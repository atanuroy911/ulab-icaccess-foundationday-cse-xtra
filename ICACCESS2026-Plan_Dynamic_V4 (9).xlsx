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Budget" sheetId="1" r:id="rId4"/>
    <sheet state="visible" name="Sessions" sheetId="2" r:id="rId5"/>
    <sheet state="visible" name="Schedule" sheetId="3" r:id="rId6"/>
    <sheet state="visible" name="Senior Faculty" sheetId="4" r:id="rId7"/>
    <sheet state="visible" name="Junior Faculty" sheetId="5" r:id="rId8"/>
    <sheet state="visible" name="Chairs" sheetId="6" r:id="rId9"/>
    <sheet state="visible" name="Papers" sheetId="7" r:id="rId10"/>
    <sheet state="visible" name="Session Overview" sheetId="8" r:id="rId11"/>
    <sheet state="visible" name="Keynote 1" sheetId="9" r:id="rId12"/>
    <sheet state="visible" name="Keynote 2" sheetId="10" r:id="rId13"/>
    <sheet state="visible" name="Keynote 3" sheetId="11" r:id="rId14"/>
    <sheet state="visible" name="Workshop" sheetId="12" r:id="rId15"/>
    <sheet state="visible" name="T1P1" sheetId="13" r:id="rId16"/>
    <sheet state="visible" name="T1P2" sheetId="14" r:id="rId17"/>
    <sheet state="visible" name="T1P3" sheetId="15" r:id="rId18"/>
    <sheet state="visible" name="T2P1" sheetId="16" r:id="rId19"/>
    <sheet state="visible" name="T2P2" sheetId="17" r:id="rId20"/>
    <sheet state="visible" name="T2P3" sheetId="18" r:id="rId21"/>
    <sheet state="visible" name="T2P4" sheetId="19" r:id="rId22"/>
    <sheet state="visible" name="T3P1" sheetId="20" r:id="rId23"/>
    <sheet state="visible" name="T3P3" sheetId="21" r:id="rId24"/>
    <sheet state="visible" name="T3P5" sheetId="22" r:id="rId25"/>
    <sheet state="visible" name="T4P1" sheetId="23" r:id="rId26"/>
    <sheet state="visible" name="T4P2" sheetId="24" r:id="rId27"/>
    <sheet state="visible" name="T4P3" sheetId="25" r:id="rId28"/>
    <sheet state="visible" name="T4P4" sheetId="26" r:id="rId29"/>
    <sheet state="visible" name="T4P5" sheetId="27" r:id="rId30"/>
    <sheet state="visible" name="T4P6" sheetId="28" r:id="rId31"/>
    <sheet state="visible" name="T3P2" sheetId="29" r:id="rId32"/>
    <sheet state="visible" name="T2P5" sheetId="30" r:id="rId33"/>
    <sheet state="visible" name="T3P4" sheetId="31" r:id="rId34"/>
    <sheet state="hidden" name="_Lists" sheetId="32" r:id="rId35"/>
  </sheets>
  <definedNames/>
  <calcPr/>
  <extLst>
    <ext uri="GoogleSheetsCustomDataVersion2">
      <go:sheetsCustomData xmlns:go="http://customooxmlschemas.google.com/" r:id="rId36" roundtripDataChecksum="j+AditLLGFxU71mZvvDPSxvj4OcKTtjW5qKBkuMF9a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
      <text>
        <t xml:space="preserve">======
ID#AAACAwqX9Ns
Unknown Author    (2026-09-27 20:14:45)
Helper table (do not edit): stacks each person's Session 1 assignment (rows 2-201) then Session 2 assignment (rows 202-401) into one list so the session sheets can find the 1st, 2nd... person assigned to a given session code.</t>
      </text>
    </comment>
  </commentList>
  <extLst>
    <ext uri="GoogleSheetsCustomDataVersion2">
      <go:sheetsCustomData xmlns:go="http://customooxmlschemas.google.com/" r:id="rId1" roundtripDataSignature="AMtx7miamE36pN+HQmYlUMh5pIcNlQDXa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
      <text>
        <t xml:space="preserve">======
ID#AAACAwqX9Nk
Unknown Author    (2026-09-27 20:14:45)
Helper table (do not edit): stacks each person's Session 1 assignment (rows 2-201) then Session 2 assignment (rows 202-401) into one list so the session sheets can find the 1st, 2nd... person assigned to a given session code.</t>
      </text>
    </comment>
  </commentList>
  <extLst>
    <ext uri="GoogleSheetsCustomDataVersion2">
      <go:sheetsCustomData xmlns:go="http://customooxmlschemas.google.com/" r:id="rId1" roundtripDataSignature="AMtx7mhWXR1njOCOgAnZYnD7zm9xjaVuQ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
      <text>
        <t xml:space="preserve">======
ID#AAACAwqX9Nw
Unknown Author    (2026-09-27 20:14:45)
Helper table (do not edit): stacks each person's Session 1 assignment (rows 2-201) then Session 2 assignment (rows 202-401) into one list so the session sheets can find the 1st, 2nd... person assigned to a given session code.</t>
      </text>
    </comment>
  </commentList>
  <extLst>
    <ext uri="GoogleSheetsCustomDataVersion2">
      <go:sheetsCustomData xmlns:go="http://customooxmlschemas.google.com/" r:id="rId1" roundtripDataSignature="AMtx7mhhNKv2u0Uj29Qkf2owgavpb95Jo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
ID#AAACAwqX9No
Unknown Author    (2026-09-27 20:14:45)
Helper column: this paper's rank among papers assigned to the same session. Used by the session sheets to pull the right paper into each slot. Do not edit.</t>
      </text>
    </comment>
  </commentList>
  <extLst>
    <ext uri="GoogleSheetsCustomDataVersion2">
      <go:sheetsCustomData xmlns:go="http://customooxmlschemas.google.com/" r:id="rId1" roundtripDataSignature="AMtx7mhAuVcrMrrHAXCs+Hk4w5yTIbRYOg=="/>
    </ext>
  </extLst>
</comments>
</file>

<file path=xl/sharedStrings.xml><?xml version="1.0" encoding="utf-8"?>
<sst xmlns="http://schemas.openxmlformats.org/spreadsheetml/2006/main" count="1524" uniqueCount="743">
  <si>
    <t>Track</t>
  </si>
  <si>
    <t>iCACCESS 2026: Budget</t>
  </si>
  <si>
    <t>Name</t>
  </si>
  <si>
    <t>Session ID</t>
  </si>
  <si>
    <t>Designation</t>
  </si>
  <si>
    <t>Session Title</t>
  </si>
  <si>
    <t>Email</t>
  </si>
  <si>
    <t>Mobile</t>
  </si>
  <si>
    <t>Session 1</t>
  </si>
  <si>
    <t>iCACCESS 2026 (2-3 October)</t>
  </si>
  <si>
    <t>Assigned</t>
  </si>
  <si>
    <t>Session Room</t>
  </si>
  <si>
    <t>Session 2</t>
  </si>
  <si>
    <t>No of accepted Papers</t>
  </si>
  <si>
    <t>Helper: Name</t>
  </si>
  <si>
    <t>Helper: Session Code</t>
  </si>
  <si>
    <t>Helper: Email</t>
  </si>
  <si>
    <t>Helper: Mobile</t>
  </si>
  <si>
    <t>Helper: Order</t>
  </si>
  <si>
    <t>Track 1: Computing and Intelligent Systems</t>
  </si>
  <si>
    <t>No of Registration</t>
  </si>
  <si>
    <t>Prof. Dr. Muhammad Golam Kibria</t>
  </si>
  <si>
    <t>T1P1</t>
  </si>
  <si>
    <t>Professor &amp; Dean, SSE</t>
  </si>
  <si>
    <t>golam.kibria@ulab.edu.bd</t>
  </si>
  <si>
    <t>Schedule</t>
  </si>
  <si>
    <t>01771122144</t>
  </si>
  <si>
    <t>Machine Learning Foundations and Intelligent Systems</t>
  </si>
  <si>
    <t>PD101</t>
  </si>
  <si>
    <t>Keynote 2</t>
  </si>
  <si>
    <t>T1P2</t>
  </si>
  <si>
    <t>Natural Language, Computer Vision, and Multimodal AI</t>
  </si>
  <si>
    <t>PD102</t>
  </si>
  <si>
    <t>Track 2: Wireless and Optical Communication</t>
  </si>
  <si>
    <t>T1P3</t>
  </si>
  <si>
    <t>Day 1</t>
  </si>
  <si>
    <t>No of Guests (Internal + External)</t>
  </si>
  <si>
    <t>Wireless Networks and Optical Communication Systems</t>
  </si>
  <si>
    <t>PD103</t>
  </si>
  <si>
    <t>Track 1 &amp; Track 5: Computing and Intelligent Systems</t>
  </si>
  <si>
    <t>No of Organizers (Faculty and Officer)</t>
  </si>
  <si>
    <t>T2P1</t>
  </si>
  <si>
    <t>Cloud, Big Data, and Distributed Computing</t>
  </si>
  <si>
    <t>PD104</t>
  </si>
  <si>
    <t>No of Session Chairs</t>
  </si>
  <si>
    <t>Time</t>
  </si>
  <si>
    <t>Event</t>
  </si>
  <si>
    <t>Venue</t>
  </si>
  <si>
    <t>8:00-9:00</t>
  </si>
  <si>
    <t>T2P2</t>
  </si>
  <si>
    <t>No of Volenteers</t>
  </si>
  <si>
    <t>Registration</t>
  </si>
  <si>
    <t>Applied AI and Intelligent Computing Applications</t>
  </si>
  <si>
    <t>Media</t>
  </si>
  <si>
    <t>9:30-10:30</t>
  </si>
  <si>
    <t>Opening Ceremony</t>
  </si>
  <si>
    <t>Track 5: Digital Learning and Educational Technologies</t>
  </si>
  <si>
    <t>T2P3</t>
  </si>
  <si>
    <t>Dollar rate (USD to BDT)</t>
  </si>
  <si>
    <t>AI-Enabled Digital Learning and Educational Technologies</t>
  </si>
  <si>
    <t>10:40-11:40</t>
  </si>
  <si>
    <t xml:space="preserve">Keynote Session 1 </t>
  </si>
  <si>
    <t>Track 4: Smart and Cyber-Physical Systems</t>
  </si>
  <si>
    <t>T2P4</t>
  </si>
  <si>
    <t>Prof. Dr. Nafees Mansoor</t>
  </si>
  <si>
    <t>IoT, Embedded, and Cyber-Physical Systems</t>
  </si>
  <si>
    <t>Professor, CSE</t>
  </si>
  <si>
    <t>nafees.mansoor@ulab.edu.bd</t>
  </si>
  <si>
    <t>01879242323</t>
  </si>
  <si>
    <t>11:40-12:40</t>
  </si>
  <si>
    <t>IEEE Workshop</t>
  </si>
  <si>
    <t>IEEE workshop - Responsible AI for Academic Research</t>
  </si>
  <si>
    <t>T4P1</t>
  </si>
  <si>
    <t>Machine Learning Applications and Data-Driven Systems</t>
  </si>
  <si>
    <t>Expenditure</t>
  </si>
  <si>
    <t>Technical Session 1 (T1P1, T1P2, T1P3)</t>
  </si>
  <si>
    <t>4x3=12</t>
  </si>
  <si>
    <t>Anwarul Haque Joarder</t>
  </si>
  <si>
    <t>anwar.joarder@ulab.edu.bd</t>
  </si>
  <si>
    <t>https://bdren.zoom.us/j/8428351030?pwd=7kfJZ1PoRiAzd0aKSn3l28Yuta2D1P.1&amp;omn=92475321723</t>
  </si>
  <si>
    <t>Revenue</t>
  </si>
  <si>
    <t>01977000805</t>
  </si>
  <si>
    <t>12:40-14:30</t>
  </si>
  <si>
    <t>Prayer and Lunch Break</t>
  </si>
  <si>
    <t>Responsible</t>
  </si>
  <si>
    <t>Item</t>
  </si>
  <si>
    <t>Price per Unit</t>
  </si>
  <si>
    <t>No of Units</t>
  </si>
  <si>
    <t>Cost</t>
  </si>
  <si>
    <t>Dr. T. M Abul Kalam Azad</t>
  </si>
  <si>
    <t>14:30-16:30</t>
  </si>
  <si>
    <t>Associate Professor, CSE</t>
  </si>
  <si>
    <t>Technical Session 2 (T2P1, T2P2, T2P3, T2P4)</t>
  </si>
  <si>
    <t>abul.kalam@ulab.edu.bd</t>
  </si>
  <si>
    <t>Amount</t>
  </si>
  <si>
    <t>01789379752</t>
  </si>
  <si>
    <t>8x5=40</t>
  </si>
  <si>
    <t>Keynote 1</t>
  </si>
  <si>
    <t>Nafees Mansoor, Rokon</t>
  </si>
  <si>
    <t>IEEE Registration</t>
  </si>
  <si>
    <t>16:30-17:30</t>
  </si>
  <si>
    <t xml:space="preserve">Keynote Session 2 </t>
  </si>
  <si>
    <t>18:30-20:30</t>
  </si>
  <si>
    <t>Savings</t>
  </si>
  <si>
    <t>Dr. Rezwan Al Islam Khan</t>
  </si>
  <si>
    <t>rezwan.islam@ulab.edu.bd</t>
  </si>
  <si>
    <t>01712530199</t>
  </si>
  <si>
    <t>Cultural Ceremony and Dinner</t>
  </si>
  <si>
    <t>Per Paper Registration</t>
  </si>
  <si>
    <t>Dr. Ayesha Akter Lata</t>
  </si>
  <si>
    <t>Assistant Professor, CSE</t>
  </si>
  <si>
    <t>ayesha.akter@ulab.edu.bd</t>
  </si>
  <si>
    <t>01856412501</t>
  </si>
  <si>
    <t>T4P3</t>
  </si>
  <si>
    <t>Regsitration (Local)</t>
  </si>
  <si>
    <t>Day 2</t>
  </si>
  <si>
    <t>Dr. Al Amin Sheikh</t>
  </si>
  <si>
    <t xml:space="preserve">Track 2: Wireless and Optical Communication + Track 1: Computing and Intelligent Systems </t>
  </si>
  <si>
    <t>T4P2</t>
  </si>
  <si>
    <t>taskia.khatun@ulab.edu.bd</t>
  </si>
  <si>
    <t>01701564663</t>
  </si>
  <si>
    <t>Intelligent Communication Networks and Computing</t>
  </si>
  <si>
    <t>https://bdren.zoom.us/j/3426823862?pwd=qdTx7T0wafu1iseMaIbFJzZkwB20Gq.1&amp;omn=9670458221</t>
  </si>
  <si>
    <t>T3P3</t>
  </si>
  <si>
    <t>Dean, SSE</t>
  </si>
  <si>
    <t>Bag</t>
  </si>
  <si>
    <t>Regsitration (International)</t>
  </si>
  <si>
    <t>Dr. Mst. Taskia Khatun</t>
  </si>
  <si>
    <t>alamin.sheikh@ulab.edu.bd</t>
  </si>
  <si>
    <t>01764912222</t>
  </si>
  <si>
    <t>11:00-13:00</t>
  </si>
  <si>
    <t>Technical Session 4 (T4P1, T4P2, T4P3, T4P4, T4P5, T4P6)</t>
  </si>
  <si>
    <t>Online</t>
  </si>
  <si>
    <t>8x6=48</t>
  </si>
  <si>
    <t>Pendrive</t>
  </si>
  <si>
    <t>Dr. Nafiz Jaidye</t>
  </si>
  <si>
    <t>nafiz.jaidye@ulab.edu.bd</t>
  </si>
  <si>
    <t>01889121516</t>
  </si>
  <si>
    <t>14:30-15:30</t>
  </si>
  <si>
    <t>Sponsor (US-DK)</t>
  </si>
  <si>
    <t>Keynote Session 3</t>
  </si>
  <si>
    <t>T3P5</t>
  </si>
  <si>
    <t>Pen and Pad</t>
  </si>
  <si>
    <t>ULAB</t>
  </si>
  <si>
    <t>18:00-19:00</t>
  </si>
  <si>
    <t>Track 3: Electronics, Devices, and Nanotechnology + Track 1: Computing and Intelligent Systems</t>
  </si>
  <si>
    <t>Closing and Award Ceremony</t>
  </si>
  <si>
    <t>Raihan Kibria</t>
  </si>
  <si>
    <t>Electronics and Hardware for Intelligent Computing</t>
  </si>
  <si>
    <t>Senior Lecturer, CSE</t>
  </si>
  <si>
    <t>Nazmul, Zafor, Trina</t>
  </si>
  <si>
    <t>Dinner</t>
  </si>
  <si>
    <t>https://bdren.zoom.us/j/5012406330?pwd=czJaVXJnaHdJZlhpM21RWWF1a2hNQT09&amp;omn=91831440282</t>
  </si>
  <si>
    <t>raihan.kibria@ulab.edu.bd</t>
  </si>
  <si>
    <t>01819417956</t>
  </si>
  <si>
    <t>T4P4</t>
  </si>
  <si>
    <t>Rubaiya Hafiz</t>
  </si>
  <si>
    <t>rubaiya.hafiz@ulab.edu.bd</t>
  </si>
  <si>
    <t>01914194973</t>
  </si>
  <si>
    <t>T3P1</t>
  </si>
  <si>
    <t>Others (Banks)</t>
  </si>
  <si>
    <t>Jannatul Ferdous Ruma</t>
  </si>
  <si>
    <t>Crest</t>
  </si>
  <si>
    <t>Senior Lecturer, Course Coordinator, CSE</t>
  </si>
  <si>
    <t>jannatul.ferdous1@ulab.edu.bd</t>
  </si>
  <si>
    <t>01710954167</t>
  </si>
  <si>
    <t>T4P6</t>
  </si>
  <si>
    <t>Cybersecurity, Blockchain, and Trustworthy Computing</t>
  </si>
  <si>
    <t>https://bdren.zoom.us/j/4074534482?pwd=krdtcqcqU2E4TPlssbKu9CBmk1aJre.1&amp;omn=98496255250</t>
  </si>
  <si>
    <t>Dr. A.S.M. Shihavuddin</t>
  </si>
  <si>
    <t>Professor &amp; HoD, EEE</t>
  </si>
  <si>
    <t>shihav.uddin@ulab.edu.bd</t>
  </si>
  <si>
    <t>01847246426</t>
  </si>
  <si>
    <t>Special Crest</t>
  </si>
  <si>
    <t>ID</t>
  </si>
  <si>
    <t>Ifat Al Baqee, PhD</t>
  </si>
  <si>
    <t>Associate Professor, EEE</t>
  </si>
  <si>
    <t>ifat.albaqee@ulab.edu.bd</t>
  </si>
  <si>
    <t>01715135140</t>
  </si>
  <si>
    <t>Snacks</t>
  </si>
  <si>
    <t>Lunch</t>
  </si>
  <si>
    <t>Md. Ashraful Haque, PhD</t>
  </si>
  <si>
    <t>ashraful.haque1@ulab.edu.bd</t>
  </si>
  <si>
    <t>01745323543</t>
  </si>
  <si>
    <t>T4P5</t>
  </si>
  <si>
    <t>Human-Centered Computing and Interaction Design</t>
  </si>
  <si>
    <r>
      <rPr>
        <color rgb="FF1155CC"/>
        <u/>
      </rPr>
      <t>https://bdren.zoom.us/j/6484705712?pwd=r2vMz5RDbK87nBoCzOyaSvbW4H3hy1.1&amp;omn=96422492579</t>
    </r>
  </si>
  <si>
    <t>Mainul Haque</t>
  </si>
  <si>
    <t>Senior Lecturer, EEE</t>
  </si>
  <si>
    <t>mainul.haque@ulab.edu.bd</t>
  </si>
  <si>
    <t>01717172837</t>
  </si>
  <si>
    <t>Branding</t>
  </si>
  <si>
    <t>Printing (Banner)</t>
  </si>
  <si>
    <t>Cultural</t>
  </si>
  <si>
    <t>Dean, SSE, Nazmul</t>
  </si>
  <si>
    <t>Emerging Topics in Computing and Intelligent Systems</t>
  </si>
  <si>
    <t>Others (Coupons)</t>
  </si>
  <si>
    <t xml:space="preserve">https://meet.google.com/warndfcavc
</t>
  </si>
  <si>
    <t>Opening ceremony</t>
  </si>
  <si>
    <t>Shihavuddin, Nafees Mansoor</t>
  </si>
  <si>
    <t>Session design and execution</t>
  </si>
  <si>
    <t>Surplus</t>
  </si>
  <si>
    <t>General Invitation</t>
  </si>
  <si>
    <t>Chief guest selection and invitation</t>
  </si>
  <si>
    <t>Closing ceremony</t>
  </si>
  <si>
    <t>Suravi Akhter</t>
  </si>
  <si>
    <t>Lecturer, CSE</t>
  </si>
  <si>
    <t>suravi.akhter@ulab.edu.bd</t>
  </si>
  <si>
    <t>01308395394</t>
  </si>
  <si>
    <t>Dr. Md.Ruhul Amin</t>
  </si>
  <si>
    <t>Southeast University</t>
  </si>
  <si>
    <t>dr.mdruhulamin@seu.edu.bd</t>
  </si>
  <si>
    <t>01710949921</t>
  </si>
  <si>
    <t>Nazmul Abdal</t>
  </si>
  <si>
    <t>nazmul.abdal@ulab.edu.bd</t>
  </si>
  <si>
    <t>01752813855</t>
  </si>
  <si>
    <t>Fatema Khan</t>
  </si>
  <si>
    <t>fatema.khan@ulab.edu.bd</t>
  </si>
  <si>
    <t>01781527079</t>
  </si>
  <si>
    <t>Md Kaviul Hossain</t>
  </si>
  <si>
    <t>kaviul.hossain@ulab.edu.bd</t>
  </si>
  <si>
    <t>01775520904</t>
  </si>
  <si>
    <t>Nasir Uddin Ahmed</t>
  </si>
  <si>
    <t>nasir.uddin1@ulab.edu.bd</t>
  </si>
  <si>
    <t>01818009809</t>
  </si>
  <si>
    <t>Wahida Ferdose Urmi</t>
  </si>
  <si>
    <t>wahida.ferdose@ulab.edu.bd</t>
  </si>
  <si>
    <t>01756629803</t>
  </si>
  <si>
    <t>Dr. Mohammed Ashikur Rahman</t>
  </si>
  <si>
    <t>Southeast Universuty</t>
  </si>
  <si>
    <t>ashikur.rahman@seu.edu.bd</t>
  </si>
  <si>
    <t>01735524483</t>
  </si>
  <si>
    <t>Shah Jafor Sadeek Quaderi</t>
  </si>
  <si>
    <t>jafor.sadeek@ulab.edu.bd</t>
  </si>
  <si>
    <t>01725828062</t>
  </si>
  <si>
    <t>Prof. Dr. Ishtiak Al  Mamoon</t>
  </si>
  <si>
    <t>IUBAT</t>
  </si>
  <si>
    <t>Ishtiak.cse@iubat.edu</t>
  </si>
  <si>
    <t>01713229860</t>
  </si>
  <si>
    <t>Dewan Ahmed Muhtasim</t>
  </si>
  <si>
    <t>ahmed.muhtasim@ulab.edu.bd</t>
  </si>
  <si>
    <t>01602654504</t>
  </si>
  <si>
    <t>Prof. Dr. Ahmed Al Mansur</t>
  </si>
  <si>
    <t>Bangladesh University of Business and Technology (BUBT)</t>
  </si>
  <si>
    <t>mansur.eee@bubt.edu.bd</t>
  </si>
  <si>
    <t>01715020314</t>
  </si>
  <si>
    <t>Atanu Shuvam Roy</t>
  </si>
  <si>
    <t>atanu.shuvam@ulab.edu.bd</t>
  </si>
  <si>
    <t>01937545261</t>
  </si>
  <si>
    <t>Foysal Ahmed</t>
  </si>
  <si>
    <t>foysal.ahmed@ulab.edu.bd</t>
  </si>
  <si>
    <t>01632917360</t>
  </si>
  <si>
    <t>Prof. Dr. Kamruddin Nur</t>
  </si>
  <si>
    <t>American International University-Bangladesh</t>
  </si>
  <si>
    <t>kamruddin.nur@gmail.com</t>
  </si>
  <si>
    <t>01777354323</t>
  </si>
  <si>
    <t>Title</t>
  </si>
  <si>
    <t>Authors</t>
  </si>
  <si>
    <t>Emails</t>
  </si>
  <si>
    <t>Primary</t>
  </si>
  <si>
    <t>Session</t>
  </si>
  <si>
    <t>Abir Bin Yousuf</t>
  </si>
  <si>
    <t>abir.yousuf@ulab.edu.bd</t>
  </si>
  <si>
    <t>01628312807</t>
  </si>
  <si>
    <t>Order</t>
  </si>
  <si>
    <t>Chair Score (/50)</t>
  </si>
  <si>
    <t>Reviewer Score (/50)</t>
  </si>
  <si>
    <t>Total (/100)</t>
  </si>
  <si>
    <t>Rank</t>
  </si>
  <si>
    <t>Dr. Nahid Akhter Jahan</t>
  </si>
  <si>
    <t>Brac University</t>
  </si>
  <si>
    <t>nahid.jahan@bracu.ac.bd</t>
  </si>
  <si>
    <t>01828141026</t>
  </si>
  <si>
    <t>A O M Shamsuddoha</t>
  </si>
  <si>
    <t>Lecturer, EEE</t>
  </si>
  <si>
    <t>shamsud.doha@ulab.edu.bd</t>
  </si>
  <si>
    <t>01982279906</t>
  </si>
  <si>
    <t>Computing</t>
  </si>
  <si>
    <t>Evaluating image upsampling strategies for downstream microscopy image classification</t>
  </si>
  <si>
    <t>Sakib Mohammad (Fairmont State University)*; Aalvee Asad Kausani (Fairmont State University); Md Noumil Tousif (Islamic University of Technology)</t>
  </si>
  <si>
    <t>smohammad@fairmontstate.edu; akausani@fairmontstate.edu; noumiltousif@iut-dhaka.edu</t>
  </si>
  <si>
    <t>smohammad@fairmontstate.edu</t>
  </si>
  <si>
    <t>Abdullah Md. Zobayer</t>
  </si>
  <si>
    <t>abdullah.zobayer@ulab.edu.bd</t>
  </si>
  <si>
    <t>01921999286</t>
  </si>
  <si>
    <t>Dr. Mirza Rasheduzzaman</t>
  </si>
  <si>
    <t>BRAC University</t>
  </si>
  <si>
    <t>mirza.rasheduzzaman@gmail.com</t>
  </si>
  <si>
    <t>01787736780</t>
  </si>
  <si>
    <t>Md. Monzurul Haque</t>
  </si>
  <si>
    <t>monzurul.haque@ulab.edu.bd</t>
  </si>
  <si>
    <t>01621853028</t>
  </si>
  <si>
    <t>Dr. Mohammad Rifat Ahmmad Rashid</t>
  </si>
  <si>
    <t>East West University</t>
  </si>
  <si>
    <t>rifat.rashid@ewubd.edu</t>
  </si>
  <si>
    <t>01314447616</t>
  </si>
  <si>
    <t>Imran Hossain</t>
  </si>
  <si>
    <t>imran.hossain3@ulab.edu.bd</t>
  </si>
  <si>
    <t>Prof. Dr. Engr. Muhibul Haque Bhuyan</t>
  </si>
  <si>
    <t>muhibulhb@aiub.edu</t>
  </si>
  <si>
    <t>01815657346</t>
  </si>
  <si>
    <t>Dr. Khairul Alam</t>
  </si>
  <si>
    <t>Dept. of Electrical &amp; Electronic Engineering East West University</t>
  </si>
  <si>
    <t>kalam@ewubd.edu</t>
  </si>
  <si>
    <t>01713458911</t>
  </si>
  <si>
    <t>Dr. Sifat Momen</t>
  </si>
  <si>
    <t>North South University</t>
  </si>
  <si>
    <t>sifat.momen@northsouth.edu</t>
  </si>
  <si>
    <t>01754119999</t>
  </si>
  <si>
    <t>Dr. Mohammad Nurul Huda</t>
  </si>
  <si>
    <t>United International University</t>
  </si>
  <si>
    <t>mnh@cse.uiu.ac.bd</t>
  </si>
  <si>
    <t>01673476433</t>
  </si>
  <si>
    <t>Dr. Mustafa Habib Chowdhury</t>
  </si>
  <si>
    <t>Independent University, Bangladesh</t>
  </si>
  <si>
    <t>mchowdhury@iub.edu.bd</t>
  </si>
  <si>
    <t>01706635679</t>
  </si>
  <si>
    <t>Dr. Mohammad Shazzad Hossain</t>
  </si>
  <si>
    <t>shazzad.hossain@ulab.edu.bd</t>
  </si>
  <si>
    <t>01712030624</t>
  </si>
  <si>
    <t>Dr. Md. Ashraful Haque, PhD</t>
  </si>
  <si>
    <t>01675011109</t>
  </si>
  <si>
    <t>A Hybrid Retrieval-Augmented Machine Learning Approach for AI-Generated Text Detection</t>
  </si>
  <si>
    <t>Md. Siam Ansary (Ahsanullah University of Science and Technology)*; SUMONA ISLAM ZERIN (Ahsanullah University of Science and Technology (AUST))</t>
  </si>
  <si>
    <t>siamansary.aust@gmail.com; sumona.vnc@gmail.com</t>
  </si>
  <si>
    <t>siamansary.aust@gmail.com</t>
  </si>
  <si>
    <t>Dr. Aminur Rahman</t>
  </si>
  <si>
    <t>BUBT</t>
  </si>
  <si>
    <t>aminur@bubt.edu.bd</t>
  </si>
  <si>
    <t>01716539541</t>
  </si>
  <si>
    <t>CEC: A Non-Stationary Benchmarking Protocol for the Fair Evaluation of Metaheuristic Optimizers</t>
  </si>
  <si>
    <t>Prof. Dr. Md. Shahriar Rahman</t>
  </si>
  <si>
    <t>Hussain Mohammad  Ricon (American International University-Bangladesh); Tabassum  Alam (American International University-Bangladesh); Rifat Rudro (American International University-Bangladesh)*; Kamruddin  Nur (	American International University-Bangladesh)</t>
  </si>
  <si>
    <t>UIU</t>
  </si>
  <si>
    <t>22-49911-3@student.aiub.edu; 22-49912-3@student.aiub.edu; mamun.rudro@aiub.edu; kamruddin@aiub.edu</t>
  </si>
  <si>
    <t>mshahriar@cse.uiu.ac.bd</t>
  </si>
  <si>
    <t>mamun.rudro@aiub.edu</t>
  </si>
  <si>
    <t>01742092172</t>
  </si>
  <si>
    <t>Dr. Anwarul Haque Joarder</t>
  </si>
  <si>
    <t>SPPC: Benchmarking Selenium, Playwright, Puppeteer, and Cypress for Energy-Efficient Web Automation</t>
  </si>
  <si>
    <t>MD. Zihaul Islam  Zihan (American International University-Bangladesh); Al Israfil Niloy (	American International University-Bangladesh); Raid Ibney Hasan  Arnob (American International University-Bangladesh); Rifat Rudro (American International University-Bangladesh)*; Kamruddin  Nur (American International University-Bangladesh)</t>
  </si>
  <si>
    <t>22-49229-3@student.aiub.edu; 22-49033-3@student.aiub.edu; 22-48357-3@student.aiub.edu; mamun.rudro@aiub.edu; kamruddin@aiub.edu</t>
  </si>
  <si>
    <t>Dr. A. B. M. Sayeed Ud Doulah</t>
  </si>
  <si>
    <t>sayeed.doulah@seu.edu.bd</t>
  </si>
  <si>
    <t>Explainable Machine Learning for Cross-Species Myeloid Biomarker Discovery in Glioblastoma</t>
  </si>
  <si>
    <t>MD Himel  Kabir (American International University-Bangladesh); Shanjida   Sultana (American International University-Bangladesh); MD  Salauddin (American International University-Bangladesh); Rifat Rudro (American International University-Bangladesh)*; Kamruddin  Nur (American International University-Bangladesh)</t>
  </si>
  <si>
    <t>23-51481-1@student.aiub.edu; 23-51519-1@student.aiub.edu; 23-51479-1@student.aiub.edu; mamun.rudro@aiub.edu; kamruddin@aiub.edu</t>
  </si>
  <si>
    <t>An Explainable Lightweight CBAM-CNN with Focal Loss for Brain Tumor MRI Classification</t>
  </si>
  <si>
    <t>Saiful  Islam (American International University-Bangladesh); Safin Rahatil  Tanim (American International University-Bangladesh); Kazi Tanvir (Universiti Kebangsaan Malaysia(UKM)); Kamruddin  Nur (American International University-Bangladesh)*</t>
  </si>
  <si>
    <t>22-47027-1@student.aiub.edu; 22-48551-3@student.aiub.edu; p170862@siswa.ukm.edu.my; kamruddin@aiub.edu</t>
  </si>
  <si>
    <t>kamruddin@aiub.edu</t>
  </si>
  <si>
    <t>Beyond Fragmentation: A Causal Analysis of Unicode NFKC Normalization Effects in Dialectal Bengali NER</t>
  </si>
  <si>
    <t>Touhidur  Rahman (American International University-Bangladesh); Alif Bin  Islam (American International University-Bangladesh); Kazi Tanvir (Universiti Kebangsaan Malaysia(UKM)); Kamruddin  Nur (American International University-Bangladesh)*</t>
  </si>
  <si>
    <t>22-49381-3@student.aiub.edu; 22-49382-3@student.aiub.edu; p170862@siswa.ukm.edu.my; kamruddin@aiub.edu</t>
  </si>
  <si>
    <t>An Explainable Ensemble Learning Approach for Anemia Prediction Using Clinical and Biochemical Data</t>
  </si>
  <si>
    <t>Gulfame  Jannat (American International University Bangladesh); MD. Toky Tajwer  Mahin (American International University Bangladesh); MD. Sohanur Rahman  Shohan (	American International University Bangladesh); Muhtasin  Ifti (American International University Bangladesh); Aminun Nahar (American International University Bangladesh)*; Kamruddin  Nur (American International University Bangladesh)</t>
  </si>
  <si>
    <t>23-50293-1@student.aiub.edu; 22-48934-3@student.aiub.edu; 20-43672-2@student.aiub.edu; 23-50249-1@student.aiub.edu; aminun.nahar@aiub.edu; kamruddin@aiub.edu</t>
  </si>
  <si>
    <t>aminun.nahar@aiub.edu</t>
  </si>
  <si>
    <t>Interpretable Psoriatic Lesion Classification via Multi-Cohort Gene Expression Profiling</t>
  </si>
  <si>
    <t>Shah Salehin  Siddique Raduan (American International University-Bangladesh); Rayena  Rahman (American International University-Bangladesh); Kamrun Nahar  Sumaiya (American International University-Bangladesh); Kazi Tanvir (Universiti Kebangsaan Malaysia(UKM)); Kamruddin  Nur (American International University-Bangladesh)*</t>
  </si>
  <si>
    <t>23-52038-2@student.aiub.edu; 23-52055-2@student.aiub.edu; 23-52047-2@student.aiub.edu; p170862@siswa.ukm.edu.my; kamruddin@aiub.edu</t>
  </si>
  <si>
    <t>Dual-Input ConvNeXt with Spatial Cross-Attention for Colonoscopy Mayo Scoring</t>
  </si>
  <si>
    <t>Md. Mamun  Hossain ( 	Khwaja Yunus Ali University); Md.Abu  Raihan ( 	Khwaja Yunus Ali University); Jarziz  Ahmed ( 	Khwaja Yunus Ali University); F M Javed Mehedi Shamrat (Khwaja Yunus Ali University)*; Md. Asraf  Ali (Khwaja Yunus Ali University)</t>
  </si>
  <si>
    <t>muhammed.mamun.131@gmail.com; raihan.cse@kyau.edu.bd; jarzizcse13th.kyau@gmail.com; shamrat.cse@kyau.edu.bd; asrafali@kyau.edu.bd</t>
  </si>
  <si>
    <t>shamrat.cse@kyau.edu.bd</t>
  </si>
  <si>
    <t>DCAF-Net: Dual-Branch Convolutional Network with Spatial Cross-Attention Fusion for Thyroid Nodule Classification</t>
  </si>
  <si>
    <t>Syed Muntasin  Fayaz (Khwaja Yunus Ali University); F M Javed Mehedi Shamrat (Khwaja Yunus Ali University)*; Md.Abu  Raihan ( 	Khwaja Yunus Ali University); MD. Asraf  Ali (Khwaja Yunus Ali University)</t>
  </si>
  <si>
    <t>muntasinfayaz@gmail.com; shamrat.cse@kyau.edu.bd; raihan.cse@kyau.edu.bd; asrafali@kyau.edu.bd</t>
  </si>
  <si>
    <t>TaxNet-Bangladesh: Building a Domain-Specific Tax Question-Answering System for Businesses in Bangladesh</t>
  </si>
  <si>
    <t>Raihan  Kibria (University of Liberal Arts Bangladesh)*; Noshin  Tabassum (University of Liberal Arts Bangladesh); Md. Nadimul Islam (University of Liberal Arts Bangladesh); Jannatul Ferdous Badhon (University of Liberal Arts Bangladesh); Monira Akter (University of Liberal Arts Bangladesh); MD KAVIUL HOSSAIN (University of Liberal Arts Bangladesh)</t>
  </si>
  <si>
    <t>raihan.kibria@ulab.edu.bd; noshin.tabassum.cse@ulab.edu.bd; nadimul.islam.cse@ulab.edu.bd; jannatul.ferdous3.cse@ulab.edu.bd; monira.akter.cse@ulab.edu.bd; kaviul.hossain@ulab.edu.bd</t>
  </si>
  <si>
    <t>MpoxFusionNet: Privacy-Aware Hybrid CNN-Transformer Fusion for Monkeypox Detection from Skin Lesion Images</t>
  </si>
  <si>
    <t>Anika Sarker  Emo ( 	Khwaja Yunus Ali University); Shimanto  Kumar ( 	Khwaja Yunus Ali University); F M Javed Mehedi Shamrat (Khwaja Yunus Ali University)*; Rashiduzzaman  Shakil (Daffodil International University); Bonna  Akter (University of Texas Rio Grande Valley); Md. Asraf  Ali (Khwaja Yunus Ali University)</t>
  </si>
  <si>
    <t>anikaimo387@gmail.com; kshimanto70@gmail.com; shamrat.cse@kyau.edu.bd; rashiduzzaman.diucse@gmail.com; bonna.akter01@utrgv.edu; asrafali@kyau.edu.bd</t>
  </si>
  <si>
    <t>Multi-Task Swin Transformer for Automated Pneumonia Detection and Subtype Classification from Pediatric Chest X-Ray Images</t>
  </si>
  <si>
    <t>Md.Mahbubur Rahman (Patuakhali Science &amp; Technology University); Pritha Kar (Patuakhali Science &amp; Technology University )*; Romaiya Rechi (	Patuakhali Science &amp; Technology University); Kaberi Chaki (Patuakhali Science &amp; Technology University); Chinmay Bepery (Patuakhali Science &amp; Technology University); Md. Atikqur Rahaman (Patuakhali Science &amp; Technology University); Sarna  Majumder (Patuakhali Science &amp; Technology University)</t>
  </si>
  <si>
    <t>mahbub.cse@pstu.ac.bd; pritha18@cse.pstu.ac.bd; rechi18@cse.pstu.ac.bd; kaberi18@cse.pstu.ac.bd; chinmay.cse@pstu.ac.bd; atik.csit@pstu.ac.bd; saran.majumder90@gmail.com</t>
  </si>
  <si>
    <t>pritha18@cse.pstu.ac.bd</t>
  </si>
  <si>
    <t>Quantum Machine Learning for Voice Pathology Detection: A Comparative Study with Classical Machine Learning and 1D-CNN Models</t>
  </si>
  <si>
    <t>Uttam Mahapatra (Uttara University)*; Md. Mehedi Hasan Tusar (Uttara University); Md Maniruz Zaman (Uttara University); Jiad Bin Asad (Uttara University); Md. Shamsul Islam (Uttara University); Amit Das (Uttara University)</t>
  </si>
  <si>
    <t>uttammahapatra211@gmail.com; its.mehedi.eee@gmail.com; mmzaman.ruet@gmail.com; jiadbinasad@gmail.com; islamshamsul127@gmail.com; amit.das.ruet@gmail.com</t>
  </si>
  <si>
    <t>uttammahapatra211@gmail.com</t>
  </si>
  <si>
    <t>HybridOsteoX: A Knee Osteoporosis Explainable AI Framework Using Hybrid CNN-ViT Fusion</t>
  </si>
  <si>
    <t>Zarin Tasnim Rahman Tarin (North South University); Nawar Nooren Orpa (North South University)*; Sifat Momen (North South University)</t>
  </si>
  <si>
    <t>zarin.tarin@northsouth.edu; nawar.orpa@northsouth.edu; sifat.momen@northsouth.edu</t>
  </si>
  <si>
    <t>nawar.orpa@northsouth.edu</t>
  </si>
  <si>
    <t>BanglaRhet: Benchmarking Classical and Transformer Models for Rhetorical and Persuasion Detection in Bangla Political Speech</t>
  </si>
  <si>
    <t>Rohit Kumar Sen (North East University Bangladesh)*; Anik Chowdhury (North East University Bangladesh)</t>
  </si>
  <si>
    <t>rohit.k.sen.neub@gmail.com; anikchowdhuryraj.neub@gmail.com</t>
  </si>
  <si>
    <t>rohit.k.sen.neub@gmail.com</t>
  </si>
  <si>
    <t>FairHireATS: An Intersectional Bias Detection and Mitigation Framework for Automated Resume Screening</t>
  </si>
  <si>
    <t>Fahmida Salma (Sylhet Engineering College)*; Fariha Zarin (Sylhet Engineering College); Zarin Chowdhury (Sylhet Engineering College); Md. Lysuzzaman (Sylhet Engineering College)</t>
  </si>
  <si>
    <t>fahmidasalma071@sec.ac.bd; farihazrn@sec.ac.bd; ztasnim263@sec.ac.bd; l.zaman.cse@sec.ac.bd</t>
  </si>
  <si>
    <t>fahmidasalma071@sec.ac.bd</t>
  </si>
  <si>
    <t>HalluciNet: A Multi-Granularity Contrastive Framework for Factual Hallucination Detection in Large Language Models</t>
  </si>
  <si>
    <t>Md. Siam Ansary (Ahsanullah University of Science and Technology)*; SUMONA ISLAM  ZERIN (Ahsanullah University of Science and Technology)</t>
  </si>
  <si>
    <t>SplitSeg: Generalizable Skin Lesion Segmentation with ResNeSt-UNet</t>
  </si>
  <si>
    <t>Saalim Araf (North South University)*; Khurshed . (North South University); Shaheer Shamsi (North South University); Saiba Adnan (North South University); Sifat Momen (North South University)</t>
  </si>
  <si>
    <t>saalim.araf@northsouth.edu; khurshed@northsouth.edu; shaheer.shamsi@northsouth.edu; saiba.adnan@northsouth.edu; sifat.momen@northsouth.edu</t>
  </si>
  <si>
    <t>saalim.araf@northsouth.edu</t>
  </si>
  <si>
    <t>Distributed Transformer Inference for Sentiment Analysis: An HTCondor and DAGMan-Based Workflow Approach on AWS</t>
  </si>
  <si>
    <t>MD KAVIUL HOSSAIN (University of Liberal Arts Bangladesh); Nasir Uddin Ahmed (University of Liberal Arts Bangladesh)*; Fatema  Khan (University of Liberal Arts Bangladesh)</t>
  </si>
  <si>
    <t>kaviul.hossain@ulab.edu.bd; nasir.uddin1@ulab.edu.bd; fatema.khan@ulab.edu.bd</t>
  </si>
  <si>
    <t>Explainable Machine Learning and Country-Level Trade Segmentation for Global Electric Vehicle Trade</t>
  </si>
  <si>
    <t>Tashida Yeasmin (Atish Dipankar University of Science &amp; Technology)*; Ismot Ara (Atish Dipankar University of Science &amp; Technology)</t>
  </si>
  <si>
    <t>tashida@adust.edu.bd; ismot.ara@adust.edu.bd</t>
  </si>
  <si>
    <t>tashida@adust.edu.bd</t>
  </si>
  <si>
    <t>Linux Malware Detection using API Call Graphs with Graph2Vec and GraphSAGE Model</t>
  </si>
  <si>
    <t>Sadman  Chowdhury (Daffodil International University); Mohammad Sarwar Hossain Mollah (Daffodil International University)*; MD. RUHUL  KUDDUS  (Daffodil International University); Rakibul Hasan Nirob (Daffodil International University); Sanjana Noor  Disha (Daffodil International University)</t>
  </si>
  <si>
    <t>chowdhury16-662@s.diu.edu.bd; headcis@daffodilvarsity.edu.bd; ruhul16-555@diu.edu.bd; nirob16-615@diu.edu.bd; disha2312091002@diu.edu.bd</t>
  </si>
  <si>
    <t>headcis@daffodilvarsity.edu.bd</t>
  </si>
  <si>
    <t>Blockchain-Based Bug Bounty System with A Novel Weighted Reputation-Driven Consensus Mechanism</t>
  </si>
  <si>
    <t>Kazi Noor E Saba (University of Liberal Arts Bangladesh)*; Jumana Muntaha (University of Liberal Arts Bangladesh); Md.Akib Al Mahmud DIhan (University of Liberal Arts Bangladesh); Abida Binte Asif (University of Liberal Arts Bangladesh); Sami Hossain (University of Liberal Arts Bangladesh); Nafees Mansoor, PhD (University of Liberal Arts Bangladesh)</t>
  </si>
  <si>
    <t>noore.saba.cse@ulab.edu.bd; jumana.muntaha.cse@ulab.edu.bd; akib.almahmud.cse@ulab.edu.bd; abida.asif.cse@ulab.edu.bd; sami.hossain.cse@ulab.edu.bd; nafees@ieee.org</t>
  </si>
  <si>
    <t>noore.saba.cse@ulab.edu.bd</t>
  </si>
  <si>
    <t>An Interpretable Machine Learning Approach for Maternity Risk Prediction and Assessment</t>
  </si>
  <si>
    <t>Shah Jafor Sadeek Quaderi (University of Liberal Arts Bangladesh)*; Nasir Uddin Ahmed (University of Liberal Arts Bangladesh); Md. Sahidullah (Asian University of Bangladesh)</t>
  </si>
  <si>
    <t>jafor.sadeek@ulab.edu.bd; nasir.uddin1@ulab.edu.bd; sahidullah.shafi.work@gmail.com</t>
  </si>
  <si>
    <t>Transformer Based Approaches for Intent Detection and Slot Filling in Bangla and Sylhety Virtual Assistants</t>
  </si>
  <si>
    <t>Proyash Das (Metropolitan University)*; Mowly Ray (Metropolitan University); Md. Mushtaq Shahriyar  Rafee (Metropolitan University)</t>
  </si>
  <si>
    <t>dasproyash10@gmail.com; mowlyray421@gmail.com; rafee@metrouni.edu.bd</t>
  </si>
  <si>
    <t>dasproyash10@gmail.com</t>
  </si>
  <si>
    <t>A Leakage-Aware Comparative Analysis of Machine Learning Models for IMU-Based Human Activity Recognition Systems</t>
  </si>
  <si>
    <t>Arnob Aich (AIUB)*; Shamiul Islam (AIUB); Md.Sadman Hossain (AIUB); Md.Nasif Rafidi (AIUB);  Samiha Islam Abrita (AIUB)</t>
  </si>
  <si>
    <t>23-51390-1@student.aiub.edu; 23-51353-1@student.aiub.edu; 23-55242-3@student.aiub.edu; 23-51361-1@student.aiub.edu; abrita@aiub.edu</t>
  </si>
  <si>
    <t>23-51390-1@student.aiub.edu</t>
  </si>
  <si>
    <t>An Integrated Edge-AI Framework for Interpretable Respiratory Screening via Adaptive Cough Analysis in Low-Resource Settings</t>
  </si>
  <si>
    <t>Md. Mehedi Hassan (Bangladesh University of Engineering and Technology)*; Fariha Hasan Chowdhury (Bangladesh University of Engineering and Technology); Sumaiya Islam Shotota (Bangladesh University of Engineering and Technology); Nafisa  Akter (Bangladesh University of Engineering and Technology)</t>
  </si>
  <si>
    <t>m.hassan.bme@gmail.com; fari.hasanchowdhury@gmail.com; shotota25@gmail.com; nafisaakterrichi@gmail.com</t>
  </si>
  <si>
    <t>m.hassan.bme@gmail.com</t>
  </si>
  <si>
    <t>Attention-Enhanced U-Net with Boundary-Aware Hybrid Loss for Low-Grade Glioma Segmentation in Multi-Sequence MRI</t>
  </si>
  <si>
    <t>Md. Abu Farhad (Rajshahi University of Engineering &amp; Technology)*; Anjuman Risny (Bangladesh Agricultural University); A. F. M.  Minhazur Rahman (Rajshahi University of Engineering &amp; Technology)</t>
  </si>
  <si>
    <t>abufarhad15@gmail.com; anjuman.bau@gmail.com; m.r.saurov@gmail.com</t>
  </si>
  <si>
    <t>abufarhad15@gmail.com</t>
  </si>
  <si>
    <t>FormSense: A Continuous Fatigue and Form Tracking Application for Resistance Workout Monitoring Utilizing Phase-Graded IMU Analysis</t>
  </si>
  <si>
    <t>Abdullah Al Mahi (Military Institute of Science and Technology); Munawar Arif Nitol (Military Institute of Science and technology)*; Md. Mehedi Hasan Bhuiyan (Military Institute of Science and Technology); Sadman Rahman (Military Institute of Science and Technology); Kazi Newaj Faisal (Military Institute of Science and Technology)</t>
  </si>
  <si>
    <t>abdullahmahi526@gmail.com; munawarmisteece@gmail.com; mehedihasan.bhuiyan04@gmail.com; sdmrnwashere@gmail.com; newajfaisal@gmail.com</t>
  </si>
  <si>
    <t>munawarmisteece@gmail.com</t>
  </si>
  <si>
    <t>TriFuseNet: A Three-Stream Cross-Attention Network for Few-Shot Multimodal Idiom Ranking</t>
  </si>
  <si>
    <t>Farhana Sultana Ananna (University of Chittagong)*; Puja Chakraborty (East West University); Shima Chakraborty (University of Chittagong); Shahida begum (East West University)</t>
  </si>
  <si>
    <t>20701080@std.cu.ac.bd; puja.chakraborty@ewubd.edu; shimacse@cu.ac.bd; imashahida92@gmail.com</t>
  </si>
  <si>
    <t>20701080@std.cu.ac.bd</t>
  </si>
  <si>
    <t>ResNet and LSTM Based Hybrid Deep Learning Model for Reliable and Interpretable Epileptic Seizure Classification</t>
  </si>
  <si>
    <t>Junaed Ahmed Antor (Yangzhou University); Qingzhen Han (Yangzhou University); Touhid Alam (American International University-Bangladesh)*</t>
  </si>
  <si>
    <t>junaedm333@gmail.com; hanqzh@yzu.edu.cn; 22-46330-1@student.aiub.edu</t>
  </si>
  <si>
    <t>22-46330-1@student.aiub.edu</t>
  </si>
  <si>
    <t>An Interpretable Stacking Ensemble for Chronic Kidney Disease Screening and KDIGO Severity Staging</t>
  </si>
  <si>
    <t>Sadman Khalid (University of Liberal Arts Bangladesh); Jannatul Adoun Lam (University of Liberal Arts Bangladesh); Abdullah Al ZIyad (	University of Liberal Arts Bangladesh); Jannatul Ferdous Ruma (ULAB)*</t>
  </si>
  <si>
    <t>sadman.khalid.cse@ulab.edu.bd; janntul.adoun.cse@ulab.edu.bd; abdullah.al.ziyad.cse@ulab.edu.bd; jannatul.ferdous1@ulab.edu.bd</t>
  </si>
  <si>
    <t>Continuous Bengali Sign Language Recognition from Sentence-Level Videos Using Deep Learning Architectures</t>
  </si>
  <si>
    <t>Md. Minhazul Islam (University of Liberal Arts Bangladesh); Shakhar Das Rony (University of Liberal Arts Bangladesh); Tamim Hasan (	University of Liberal Arts Bangladesh); Jannatul Ferdous Ruma (University of Liberal Arts Bangladesh)*</t>
  </si>
  <si>
    <t>minhazul.islam1.cse@ulab.edu.bd; shakhar.das.cse@ulab.edu.bd; tamim.hasan1.cse@ulab.edu.bd; jannatul.ferdous1@ulab.edu.bd</t>
  </si>
  <si>
    <t>BioCal RA: A Trustworthy and Explainable Multi-Agent Research Assistant for Biomedical Field</t>
  </si>
  <si>
    <t>Salvir Rahman Ratul (University of Liberal Arts Bangladesh)*; Navid Rahman (University of Liberal Arts Bangladesh); Shafwan Shadid Khan (University of Liberal Arts Bangladesh); Argho Das (University of Liberal Arts Bangladesh); Nancy Drong (University of Liberal Arts Bangladesh); Rubaiya Hafiz (University of Liberal Arts Bangladesh)</t>
  </si>
  <si>
    <t>salvir.rahman.cse@ulab.edu.bd; navid.rahman.cse@ulab.edu.bd; shafwan.shadid.cse@ulab.edu.bd; argho.das.cse@ulab.edu.bd; nancy.drong.cse@ulab.edu.bd; rubaiya.hafiz@ulab.edu.bd</t>
  </si>
  <si>
    <t>salvir.rahman.cse@ulab.edu.bd</t>
  </si>
  <si>
    <t>MentalScreen: A Hybrid PHQ-9/GAD-7 and MentalRoBERTa Agentic Framework for Multi-Label Mental Health Detection with Deterministic Crisis Routing</t>
  </si>
  <si>
    <t>Md. Rakibul Hasan Nishat (Rajshahi University of Engineering &amp; Technology)*; S. M. Khalid Bin Zahid (Rajshahi University of Engineering &amp; Technology); Abdul Hasib (Rajshahi University of Engineering &amp; Technology); Md. Firoj Ali (Rajshahi University of Engineering &amp; Technology); Md. Ariful Islam Sagor (Rajshahi University of Engineering &amp; Technology)</t>
  </si>
  <si>
    <t>rakibulnishat1864@gmail.com; smkhalidbz@gmail.com; sm.abdulhasib.bd@gmail.com; firoj@mte.ruet.ac.bd; ariful.islam200069@gmail.com</t>
  </si>
  <si>
    <t>rakibulnishat1864@gmail.com</t>
  </si>
  <si>
    <t>Illusion of Sequence: Rigorously Validated Null Result for Recurrent and Attention-Based Memory-Forensic Ransomware Family Classification</t>
  </si>
  <si>
    <t>Abdul Hasib (University of Frontier Technology, Bangladesh.)*; Nasif Shahriar Alif (Central Queensland University, Australia.); Md. Rakibul Hasan Nishat (Rajshahi University of Engineering &amp; Technology.); Md. Shakil  Ahmed (Green University of Bangladesh.); Arjina Nasrin Khan (University of Frontier Technology, Bangladesh.)</t>
  </si>
  <si>
    <t>sm.abdulhasib.bd@gmail.com; nasifcqu@gmail.com; rakibulnishat1864@gmail.com; shakil.ahmed.1218@gmail.com; arjinanasrinkhan@gmail.com</t>
  </si>
  <si>
    <t>sm.abdulhasib.bd@gmail.com</t>
  </si>
  <si>
    <t>VNetLS: Supervised 3D VNet-Based MRI Enhancement with Loss Optimization</t>
  </si>
  <si>
    <t>Syeda Sunehra Sakhawat (	University of Liberal Arts Bangladesh); Nusrat Tithy (University of Liberal Arts Bangladesh)*; Romana Sultana (University of Liberal Arts Bangladesh); Kazi Ifat Jahan Zim (University of Liberal Arts Bangladesh); Meherun Nessa Eva (University of Liberal Arts Bangladesh); Ehasan Ahmed (	University of Liberal Arts Bangladesh); Nafees Mansoor (	University of Liberal Arts Bangladesh)</t>
  </si>
  <si>
    <t>sunehra.sakhawat.cse@ulab.edu.bd; nusrat.jannat.cse@ulab.edu.bd; romana.sultana.cse@ulab.edu.bd; ifat.jahan.cse@ulab.edu.bd; meherun.nessa.cse@ulab.edu.bd; ehasan.ahmed.cse@ulab.edu.bd; nafees.mansoor@ulab.edu.bd</t>
  </si>
  <si>
    <t>nusrat.jannat.cse@ulab.edu.bd</t>
  </si>
  <si>
    <t>Cartographer: Transforming Code Repositories into LLM-Optimized Semantic Graphs</t>
  </si>
  <si>
    <t>Ehasan Ahmed (University of Liberal Arts Bangladesh)*; Nafess Mansoor (University of Liberal Arts Bangladesh)</t>
  </si>
  <si>
    <t>ehasan.ahmed.cse@ulab.edu.bd; nafees.mansoor@ulab.edu.bd</t>
  </si>
  <si>
    <t>ehasan.ahmed.cse@ulab.edu.bd</t>
  </si>
  <si>
    <t>A Lightweight Hybrid Quantum-Classical CNN for Brain Tumor MRI Classification</t>
  </si>
  <si>
    <t>Tamanna Khatun (University of Liberal Arts Bangladesh)*; Nafees Mansoor (University of Liberal Arts Bangladesh)</t>
  </si>
  <si>
    <t>tamanna.khatun.cse@ulab.edu.bd; nafees.mansoor@ulab.edu.bd</t>
  </si>
  <si>
    <t>tamanna.khatun.cse@ulab.edu.bd</t>
  </si>
  <si>
    <t>Multi-Representation Fusion with Subspace-Aware SMOTE for Source Code Vulnerability Detection</t>
  </si>
  <si>
    <t>Talat Mahmud  Lam (University of Liberal Arts Bangladesh); Sadia Nuzat  Prova (University of Liberal Arts Bangladesh); Shahin  Alam (University of Liberal Arts Bangladesh	); Umme Asma  Busra (University of Liberal Arts Bangladesh); Md. Nazmul Abdal (University of Liberal Arts Bangladesh )*</t>
  </si>
  <si>
    <t>talat.mahmud.cse@ulab.edu.bd; sadia.nuzat.cse@ulab.edu.bd; shahin.alam.cse@ulab.edu.bd; umme.asma.cse@ulab.edu.bd; nazmul.abdal@ulab.edu.bd</t>
  </si>
  <si>
    <t>Explainable Digital Addiction Severity Prediction Using Machine Learning, NLP, and Large Language Models</t>
  </si>
  <si>
    <t>Tasnim Sharif Rowla (North South University); Jawata Afnan (North South University); Nishat Salsabil (North South University); Riasat  Khan (North South University)*</t>
  </si>
  <si>
    <t>tasnim.rowla@northsouth.edu; jawata.afnan@northsouth.edu; nishat.salsabil01@northsouth.edu; riasat.khan@northsouth.edu</t>
  </si>
  <si>
    <t>riasat.khan@northsouth.edu</t>
  </si>
  <si>
    <t>Predicting the Effect of Drugs on Neonatal using Machine Learning and Explainable AI</t>
  </si>
  <si>
    <t>Md. Zehadul Islam (Green University of Bangladesh); Md. Abdullah Al Moin (Green University of Bangladesh); Md. Abu Hurayra (Green University of Bangladesh); Md. Solaiman Mia (Green University of Bangladesh)*</t>
  </si>
  <si>
    <t>zehadul.ace@gmail.com; abdullah.al.moin.cse@gmail.com; hurayra.55.nox@gmail.com; solaiman@cse.green.edu.bd</t>
  </si>
  <si>
    <t>solaiman@cse.green.edu.bd</t>
  </si>
  <si>
    <t>A Leak-Free, Explainable Machine Learning Framework for Predicting Internet Gaming Disorder Tolerance: Re-Evaluating SMOTE, Chi-Square Feature Selection, and LIME under Rigorous Validation</t>
  </si>
  <si>
    <t>Firoz Hasan (Daffodil International University)*; Rubina  Khatun (University of Rajshahi); Dewan Mamun Raza (Daffodil International University)</t>
  </si>
  <si>
    <t>firoz.cse@diu.edu.bd; babyru17@gmail.com; dewan.csediu@gmail.com</t>
  </si>
  <si>
    <t>firoz.cse@diu.edu.bd</t>
  </si>
  <si>
    <t>NOVA-Net: A Noise-Aware Deep Network for Robust Human Activity Recognition from Surveillance Videos</t>
  </si>
  <si>
    <t>Atia Sadilka (Rajshahi University of Engineering and Technology); Asifur Rahman  Siyam  (Rajshahi University of Engineering and Technology )*; Md. Nuhi-Alamin (Rajshahi University of Engineering and Technology)</t>
  </si>
  <si>
    <t>atiasadika63@gmail.com; asif.siyam72@gmail.com; nuhialamin@eee.ruet.ac.bd</t>
  </si>
  <si>
    <t>asif.siyam72@gmail.com</t>
  </si>
  <si>
    <t>Explainable Machine Learning and Causal Analysis for Obesity Prediction Using Knowledge Graphs</t>
  </si>
  <si>
    <t>Tashida Yeasmin (Atish Dipankar University of Science &amp; Technology)*</t>
  </si>
  <si>
    <t>Meta-Learning for Few-Shot Personalization of Error-Related Potential Brain-Computer Interfaces</t>
  </si>
  <si>
    <t>Md Shahidul  Islam Dipu (Rajshahi University of Engineering and Technology)*; Barshon  Sen (Rajshahi University of Engineering and Technology)</t>
  </si>
  <si>
    <t>shahidul03579@gmail.com; sen.barshon@gmail.com</t>
  </si>
  <si>
    <t>shahidul03579@gmail.com</t>
  </si>
  <si>
    <t>High-Throughput Meritocratic Consensus: A Native Go Implementation of Reputation-Based Ordering for Hyperledger Fabric</t>
  </si>
  <si>
    <t>Takia Nawrin (University of Liberal Arts Bangladesh)*; Md. Yusuf (University of Liberal Arts Bangladesh); Maftun Ahommed (University of Liberal Arts Bangladesh); Nafees Mansoor (University of Liberal Arts Bangladesh)</t>
  </si>
  <si>
    <t>takia.nawrin.cse@ulab.edu.bd; md.yusuf.cse@ulab.edu.bd; maftun.ahommed.cse@ulab.edu.bd; nafees@ieee.org</t>
  </si>
  <si>
    <t>takia.nawrin.cse@ulab.edu.bd</t>
  </si>
  <si>
    <t>NeuroXplain: An Explainable Transfer Learning Framework for Alzheimer’s Disease Classification</t>
  </si>
  <si>
    <t>Md Sifatuzzaman  Mia (Daffodil International University )*; Md. Abu Yousuf (Multimedia University ); MD. Jahid Sikder (Daffodil International University); Md. Nabid Rezuan (Daffodil International University); Md. Sadekur  Rahman (Daffodil International University)</t>
  </si>
  <si>
    <t>mia23105101363@diu.edu.bd; yousuf.md.abu@student.mmu.edu.my; sikder2305101759@diu.edu.bd; rezuan23105101144@diu.edu.bd; sadekur.cse@daffodilvarsity.edu.bd</t>
  </si>
  <si>
    <t>mia23105101363@diu.edu.bd</t>
  </si>
  <si>
    <t>Integrated Machine Learning and Deep Learning Pipeline for Discovering Diagnostic and Prognostic Biomarkers of Colon Cancer</t>
  </si>
  <si>
    <t>Mst. Moriam Khatun Mim (Green University of Bangladesh); Md. Sakhawat Hossain Rabbi (Green University of Bangladesh); Susmita Paul Tisha (Green University of Bangladesh); Mahenoor Akhter (Green University of Bangladesh); Wahia Tasnim (Green University of Bangladesh); Humayan Kabir Rana (Green University of Bangladesh)*</t>
  </si>
  <si>
    <t>mimmariam89766@gmail.com; rabbi.201002311@green.ac.bd; scpaultisha20@gmail.com; mahinoorakther136@gmail.com; wahia@ads.green.edu.bd; humayan@cse.green.edu.bd</t>
  </si>
  <si>
    <t>humayan@cse.green.edu.bd</t>
  </si>
  <si>
    <t>Temporal Capability Cryptography: Cryptographic State Evolution for Forward Authorization in Distributed Systems</t>
  </si>
  <si>
    <t>Arunangshu Mojumder Raatul (University of Liberal Arts Bangladesh)*; Nafees Mansoor (University of Liberal Arts Bangladesh)</t>
  </si>
  <si>
    <t>arunangshu.mojumder.cse@ulab.edu.bd; nafees.mansoor@ulab.edu.bd</t>
  </si>
  <si>
    <t>arunangshu.mojumder.cse@ulab.edu.bd</t>
  </si>
  <si>
    <t>Comparative Study of Classical and Learning-Based Tissue Tracking Algorithms on Infrared Surgical Tattoo Sequences for Minimally Invasive Surgery</t>
  </si>
  <si>
    <t>Zinia Ahmed Toushy (Brac University); Tahsina Rahman (Brac University)*; Sadia Ferdous (Brac University); Muaz Mohammad Zimam (Brac University); Nafis Imtiaz Fuad (Brac University); Amitabha Chakrabarty (Brac University); Azwad Aziz (Brac University)</t>
  </si>
  <si>
    <t>zinia.ahmed.toushy@g.bracu.ac.bd; tahsina.rahman1@g.bracu.ac.bd; sadia.ferdous@g.bracu.ac.bd; muaz.mohammad.zimam1@g.bracu.ac.bd; nafis.imtiaz.fuad@g.bracu.ac.bd; amitabha@bracu.ac.bd; azwad.aziz@g.bracu.ac.bd</t>
  </si>
  <si>
    <t>tahsina.rahman1@g.bracu.ac.bd</t>
  </si>
  <si>
    <t>AdaLLM: A Subject-Adaptive RAG Framework Designed for the Question Answering Process of NCTB’s Class-8 Science &amp; BGS Subjects</t>
  </si>
  <si>
    <t>Raihan Kibria (University of Liberal Arts Bangladesh)*; Samia  Rahman (University of Liberal Arts Bangladesh); Redwan Ahamad Samir (University of Liberal Arts Bangladesh); Md Omur Faruk (University of Liberal Arts Bangladesh); Raiyan Islam (University of Liberal Arts Bangladesh); MD KAVIUL HOSSAIN (University of Liberal Arts Bangladesh)</t>
  </si>
  <si>
    <t>raihan.kibria@ulab.edu.bd; samia.rahman.cse@ulab.edu.bd; redwansamir90@gmail.com; omurfaruk199823@gmail.com; raiyanislam875@gmail.com; kaviul.hossain@ulab.edu.bd</t>
  </si>
  <si>
    <t>Graph Attention Versus Tabular Models for Early Liver Fibrosis Staging: A Leakage-Controlled Multi-Cohort Benchmark</t>
  </si>
  <si>
    <t>Samiha Zaman (BRAC University)*; Rudra Joyti Maitra Soham (BRAC University); Ismaeel Ghani (BRAC University); Lubaina Afra Islam (BRAC University); Samira Ahmed (BRAC University); Azwad Aziz (BRAC University); Amitabha Chakrabarty (BRAC University)</t>
  </si>
  <si>
    <t>samihabintezaman25@gmail.com; rudrajoyti.maitra.soham@g.bracu.ac.bd; ismaeel.ghani@g.bracu.ac.bd; lubaina.afra.islam@g.bracu.ac.bd; samira.ahmed.naahee@g.bracu.ac.bd; azwad.aziz@g.bracu.ac.bd; amitabha@bracu.ac.bd</t>
  </si>
  <si>
    <t>samihabintezaman25@gmail.com</t>
  </si>
  <si>
    <t>A Zero-Initialized Residual MLP Head for Lung Cancer CT Scan Image Classification: A Comparative Study using five CNN Backbones</t>
  </si>
  <si>
    <t>Md. Ahsan Ullah (University of Liberal Arts Bangladesh)*; Lasker Ershad Ali (Khulna University); Atanu Shuvam Roy (University of Liberal Arts Bangladesh); T. M. A. K. Azad (University of Liberal Arts Bangladesh); Arnab Mukherjee (International University of Business Agriculture and Technology); G. M.  Mamun-Al-Imran (Khulna University)</t>
  </si>
  <si>
    <t>ahsan.ullah@ulab.edu.bd; ershad@math.ku.ac.bd; atanu.shuvam@ulab.edu.bd; abul.kalam@ulab.edu.bd; arnab.math@iubat.edu; mamun.imran@math.ku.ac.bd</t>
  </si>
  <si>
    <t>ahsan.ullah@ulab.edu.bd</t>
  </si>
  <si>
    <t>Adapting BitNet b1.58 techniques in Convolutional Neural Networks for Efficient Deep Learning</t>
  </si>
  <si>
    <t>Jayed Bin Jamil (BRAC University)*; Lazin Shimran (BRAC University); Maimuna Esha (BRAC University); Amitabha Chakrabarty (BRAC University); Swakkhar Shatabda (BRAC University); Atanu Roy (BRAC University); Azwad Aziz (BRAC University)</t>
  </si>
  <si>
    <t>jayed.bin.jamil@g.bracu.ac.bd; lazin.shimran@g.bracu.ac.bd; maimuna.fairuz.esha@g.bracu.ac.bd; amitabha@bracu.ac.bd; swakkhar.shatabda@bracu.ac.bd; atanu.roy@bracu.ac.bd; azwad.aziz@bracu.ac.bd</t>
  </si>
  <si>
    <t>jayed.bin.jamil@g.bracu.ac.bd</t>
  </si>
  <si>
    <t>Kidney-Net:Feature-Centric and Minimal Biomarker-Based Prediction of Chronic Kidney Disease Using Machine Learning</t>
  </si>
  <si>
    <t>Md.Rafiul Islam (American International University Bangladesh)*; Famid Rabbi (American International University Bangladesh); Tasmin Akther Tasu (American International University Bangladesh); Anika Tahsin (American International University Bangladesh); Samia Afroze Simla (American International University Bangladesh); Tawfiqul Hasan (American International University Bangladesh); Sultanul Arifeen Hamim (American International University Bangladesh); Jungpil Shin (University of Aizu)</t>
  </si>
  <si>
    <t>23-52452-2@student.aiub.edu; 23-54436-3@student.aiub.edu; 23-54361-3@student.aiub.edu; 23-50984-1@student.aiub.edu; 23-54500-3@student.aiub.edu; 23-54422-3@student.aiub.edu; hamim@aiub.edu; jpshin@u-aizu.ac.jp</t>
  </si>
  <si>
    <t>23-52452-2@student.aiub.edu</t>
  </si>
  <si>
    <t>Graph-Enhanced Causal Reinforcement Learning for Proactive Customer Retention: A Comparative Benchmark</t>
  </si>
  <si>
    <t>Kazi Tasfin Mahmud (BRAC University)*; Md. Zarif Latif (BRAC University); Sidratul Muntaha (BRAC University); Puja Banik (BRAC University); Azwad Aziz (BRAC University); Amitabha Chakrabarty (BRAC University)</t>
  </si>
  <si>
    <t>kazi.tasfin.mahmud@g.bracu.ac.bd; md.zarif.latif@g.bracu.ac.bd; sidratul.muntaha1@g.bracu.ac.bd; puja.banik@g.bracu.ac.bd; azwad.aziz@bracu.ac.bd; amitabha@bracu.ac.bd</t>
  </si>
  <si>
    <t>kazi.tasfin.mahmud@g.bracu.ac.bd</t>
  </si>
  <si>
    <t>A Multimodal Framework for Early-Stage Crop Disease Diagnosis Using Visual and Environmental Data</t>
  </si>
  <si>
    <t>Ishmam Bhuiyan (BRAC University)*; Abrar Masud (Brac University); Shafin  Ahmed (Brac University); Aswad Khan (Brac University); Azwad Aziz (Brac University); Amitabha  Chakrabarty (Brac Unviersity)</t>
  </si>
  <si>
    <t>rafsanrashid7@gmail.com; abrar.masud@g.bracu.ac.bd; shafin.ahmed3@g.bracu.ac.bd; aswad.khan@g.bracu.ac.bd; azwad.aziz@g.bracu.ac.bd; amitabha@bracu.ac.bd</t>
  </si>
  <si>
    <t>rafsanrashid7@gmail.com</t>
  </si>
  <si>
    <t>A Lightweight Framework for Foldable Protein Sequence Generation via Confidence-Guided Selection</t>
  </si>
  <si>
    <t>Shahriar  Shirso (Brac)*; Suprio Mugdha (Brac); Anika Trishna (Brac); SInka Aishi (Brac); Amitabha Chakravarthy (Brac); Azwad Aziz (Brac)</t>
  </si>
  <si>
    <t>shahriar.khan.shirso@g.bracu.ac.bd; suprio.biswas.mugdha@g.bracu.ac.bd; anika.anis.trishna@g.bracu.ac.bd; sinka.siddiki.aishi@g.bracu.ac.bd; amitabha@bracu.ac.bd; azwad.aziz@bracu.ac.bd</t>
  </si>
  <si>
    <t>shahriar.khan.shirso@g.bracu.ac.bd</t>
  </si>
  <si>
    <t>Smart Systems</t>
  </si>
  <si>
    <t>Robust Anomaly Detection in Multi-Pollutant Time Series Using Median–MAD and Hybrid Sequence Model</t>
  </si>
  <si>
    <t>Ohcitya  Bhattacharjee (Chittagong University of Engineering &amp; Technology); Pratya Chowdhury (Chittagong University of Engineering &amp; Technology); Md.Ruhul Amin Shazid (Bangladesh University of Business and Technology (BUBT))*</t>
  </si>
  <si>
    <t>bhattacharjeeohcitya@gmail.com; chowdhurypratya0066@gmail.com; ruhulaminshazid@gmail.com</t>
  </si>
  <si>
    <t>ruhulaminshazid@gmail.com</t>
  </si>
  <si>
    <t>The Tokenization Tax: Quantifying and Mitigating Subword Fragmentation Costs for Bangla in Multilingual LLMs</t>
  </si>
  <si>
    <t>Yasar Al Samin (Islamic University of Technology, Dhaka)*; Zaeed Ahmad (Islamic University of Technology, Dhaka); Tanjim Mahbub (Islamic University of Technology, Dhaka); Tashmim Hossain Maisha (Islamic University of Technology, Dhaka); Mosaraf Hosan Nishat (Islamic University of Technology, Dhaka); Muhammad Usama Islam (Metropolitan State University, Minnesota)</t>
  </si>
  <si>
    <t>yasaralsamin@iut-dhaka.edu; zaeed@iut-dhaka.edu; tanjimmahbub@iut-dhaka.edu; tashmimmaisha@iut-dhaka.edu; mosarafhosan@iut-dhaka.edu; muhammadusama.islam@metrostate.edu</t>
  </si>
  <si>
    <t>yasaralsamin@iut-dhaka.edu</t>
  </si>
  <si>
    <t>An Integrated Gradient-boosting and Session-based  Deep Learning Framework for Demand forecasting and Customer Personalization</t>
  </si>
  <si>
    <t>Sultana Razia (Greenwhich University)*</t>
  </si>
  <si>
    <t>sultanarofficial@gmail.com</t>
  </si>
  <si>
    <t>ESP32-Based IoT Smart Poultry Farm with MQTT and Hybrid Power</t>
  </si>
  <si>
    <t>Aditya Das Gupta (Barisal Engineering College, University of Dhaka)*; Amit Kumar Kar  (	Barisal Engineering College, University of Dhaka); Shihab- Al -Rashid (	Barisal Engineering College, University of Dhaka); Mahfujur Rahman Reaz (Barisal Engineering College, University of Dhaka); Piyal Das (Port City International University)</t>
  </si>
  <si>
    <t>aditya.duengg@bec.edu.bd; amitkar763@gmail.com; shihab.duengg@bec.edu.bd; mahfujreaz.duengg@bec.edu.bd; piyaldas9210@gmail.com</t>
  </si>
  <si>
    <t>aditya.duengg@bec.edu.bd</t>
  </si>
  <si>
    <t>Computer Vision and Kalman Filtering for Driverless Vehicle Steering Angle Computation</t>
  </si>
  <si>
    <t>Abdullah Al Niloy (Canadian University of Bangladesh)*; Md Sabbir Hossain (Canadian University of Bangladesh); Md. Akhtaruzzaman (Canadian University of Bangladesh); Md. Ziad Hosain (Canadian University of Bangladesh); Md. Mahmudul Hasan (Canadian University of Bangladesh); Md. Siddik (Independent University)</t>
  </si>
  <si>
    <t>abdullah0186373@gmail.com; sabbirhossain756389@gmail.com; mdakhtaruzzamanhridoy@gmail.com; ziad.hosain@gmail.com; mahmudulhasan14222@gmail.com; jahidsiddik85@gmail.com</t>
  </si>
  <si>
    <t>abdullah0186373@gmail.com</t>
  </si>
  <si>
    <t>An Integrated Dual-Module Cyber Physical System for Motorcycle Safety: Utilizing Pre-Ride Safety, Crash Detection and Swift Response with Mobile Application Companion</t>
  </si>
  <si>
    <t>Md Hasan (BUET)*; Erom Hasan Niha (BUET); Md. Amir Hamza (BUET); Ayon Kumer Dea (BUET)</t>
  </si>
  <si>
    <t>2006146@eee.buet.ac.bd; 2006144@eee.buet.ac.bd; 2006145@eee.buet.ac.bd; 2006147@eee.buet.ac.bd</t>
  </si>
  <si>
    <t>2006146@eee.buet.ac.bd</t>
  </si>
  <si>
    <t>A Low-Cost IoT-Based Smart Home Automation and Security System with Energy-Efficient Operation for Sustainable Living in Developing Regions</t>
  </si>
  <si>
    <t>Md. Masum Latif Chowdhury (University of Liberal Arts Bangladesh (ULAB))*; Md. Rajib Hossain (University of Liberal Arts Bangladesh (ULAB)); Nur Atika Mim (University of Liberal Arts Bangladesh (ULAB)); Sabbir Sarder (University of Liberal Arts Bangladesh (ULAB)); Md Raiyan Ahmed Panto (University of Liberal Arts Bangladesh (ULAB)); A O M Shamsuddoha (University of Liberal Arts Bangladesh (ULAB))</t>
  </si>
  <si>
    <t>masum.latif.eee@ulab.edu.bd; rajib.hossain.eee@ulab.edu.bd; nur.atika.eee@ulab.edu.bd; sabbir.sarder.eee@ulab.edu.bd; raiyan.ahmed.eee@ulab.edu.bd; shamsud.doha@ulab.edu.bd</t>
  </si>
  <si>
    <t>masum.latif.eee@ulab.edu.bd</t>
  </si>
  <si>
    <t>Wireless and Optical Communication</t>
  </si>
  <si>
    <t>Performance Analysis of RIS-Assisted 6G Wireless Systems with Hybrid Architectures and Hardware Constraints</t>
  </si>
  <si>
    <t>Md Hossam-E-Haider (Military Institute of Science &amp; Technology); Md. Rafiul Islam  Talukder (Military Institute of Science &amp; Technology); Md. Mehedi Hasan Khan  Apurbo (Military Institute of Science &amp; Technology); Samia Rahman  (Military Institute of Science &amp; Technology )*; Nusrat Jahan Neela  Monika (Military Institute of Science &amp; Technology)</t>
  </si>
  <si>
    <t>haider@eece.mist.ac.bd; rafiulriad44@gmail.com; apurpohossain472@gmail.com; rsamia5594@gmail.com; nusratnila204@gmail.com</t>
  </si>
  <si>
    <t>rsamia5594@gmail.com</t>
  </si>
  <si>
    <t>An Explainable Telecom Network Fault Prediction Using BiLSTM-Attention Framework and SHAP</t>
  </si>
  <si>
    <t>Shuvro  Debnath (CUET, Chittagong university of engineering and technology); Suriaya   Perven (CUET, Chittagong university of engineering and technology); Mostofa Khalid Bin  Sams (CUET, Chittagong university of engineering and technology); Mahfuzulhoq Chowdhury (Chittagong University of Engineering &amp; Technology)*</t>
  </si>
  <si>
    <t>u2104108@student.cuet.ac.bd; u2104103@student.cuet.ac.bd; u2103092@student.cuet.ac.bd; mahfuz_csecuet@yahoo.com</t>
  </si>
  <si>
    <t>mahfuz_csecuet@yahoo.com</t>
  </si>
  <si>
    <t>Adaptive LMS Based Channel Estimation for OFDM Systems under Time Varying Doppler Fading</t>
  </si>
  <si>
    <t>MD IFTAKHAR AHSAN  JARIF (American International University Bangladesh (AIUB))*; Bishwajit Banik  Pathik (American International University-Bangladesh(AIUB))</t>
  </si>
  <si>
    <t>23-50727-1@student.aiub.edu; bishwajit@aiub.edu</t>
  </si>
  <si>
    <t>23-50727-1@student.aiub.edu</t>
  </si>
  <si>
    <t>Novel Microstrip-fed Implantable Antenna Design Operating at 5.85 GHz for Medical Applications</t>
  </si>
  <si>
    <t>Dr. Mohammad  Khan (North South University)*; Sadman  Ishraq (North South University); MA Sheam (North South University);  Ayatullah Hasnat  Behesti (North South University)</t>
  </si>
  <si>
    <t>monirkhan.qmul@gmail.com; sadman.ishraq@northsouth.edu; sheam1720@gmail.com; ayatullah.behesti@northsouth.edu</t>
  </si>
  <si>
    <t>monirkhan.qmul@gmail.com</t>
  </si>
  <si>
    <t>An X-Band 2×2 MIMO Antenna Array with Enhanced Beamforming and Radiation Performance</t>
  </si>
  <si>
    <t>Sohanur  Sohag  (Uttara University )*; Anoy  Roy (Chittagong university of engineering and technology); Rahul  Barua (National University); Nea  Jaw Rakhine (University of Chittagong); Md. Rakib Uddin (Uttara University); Md. Ashraful  Haque (University of Liberal Arts Bangladesh )</t>
  </si>
  <si>
    <t>sohanur.rs1@uttarauniversity.edu.bd; anoyroy.eee@gmail.com; rahulbarua349@gmail.com; neajawrakhine@gmail.com; rakibuddin2202@gmail.com; limon.ashraf@gmail.com</t>
  </si>
  <si>
    <t>sohanur.rs1@uttarauniversity.edu.bd</t>
  </si>
  <si>
    <t>Isolation-Wall Integrated Graphene THz MIMO Antenna with Wideband and High-Diversity Performance for 6G Applications</t>
  </si>
  <si>
    <t>Tanvir Ahmed Fahim (Bangladesh Army International University of Science and Technology, Cumilla)*; Md. Abdullah-Al- Mamun (Bangladesh Army International University of Science and Technology, Cumilla); Md. Gulam  Mustafa (Bangladesh Army International University of Science and Technology, Cumilla); Joton Kumar Dea (Bangladesh Army International University of Science and Technology, Cumilla); Md. Ashraful Haque  (University of Liberal Arts Bangladesh, Dhaka)</t>
  </si>
  <si>
    <t>www.fahim116@gmail.com; mamunal59@gmail.com; mustafaredwan1996@gmail.com; jotonkumardea@gmail.com; limon.ashraf@gmail.com</t>
  </si>
  <si>
    <t>www.fahim116@gmail.com</t>
  </si>
  <si>
    <t>AFDM-Aided PD-NOMA with Dynamic Power Allocation for High-Mobility THz Communications</t>
  </si>
  <si>
    <t>Md. Maharaj Kabir (Khulna University); Mohammad Ismat Kadir (Khulna University)*</t>
  </si>
  <si>
    <t>msc250909@ku.ac.bd; ismat.kadir@ece.ku.ac.bd</t>
  </si>
  <si>
    <t>ismat.kadir@ece.ku.ac.bd</t>
  </si>
  <si>
    <t>Side-Fed Circular Slotted BD Flag-Shaped Antenna with DGS for Sub-6 GHz IoT and Smart Wireless Applications</t>
  </si>
  <si>
    <t>Md Sohel   Pervez (Pabna University of Science and Technology); Naymaa  Rashid (Pabna University of Science and Technology); Md. Ashraful  Haque  (University of Liberal Arts Bangladesh); Sajeeb Chandra Das (TH Cologne University of Applied Sciences); Tithi Rani (Rajshahi University of Science and Technology); Liton Chandra  Paul (Pabna University of Science and Technology)*</t>
  </si>
  <si>
    <t>sohel.pervezpust@gmail.com; naymaa.rashid.mrittika@gmail.com; limon.ashraf@gmail.com; sajeebchandradas@gmail.com; tithi.saha.134040@gmail.com; litonpaulete@gmail.com</t>
  </si>
  <si>
    <t>litonpaulete@gmail.com</t>
  </si>
  <si>
    <t>Design and Analysis of a Conformal Frequency and Pattern Reconfigurable Antenna for Wearable Applications</t>
  </si>
  <si>
    <t>AL-MAHRUF RAHMAN (Rajshahi University of Engineering and Technology)*; MD. HEDAYETULLAH (Mymensingh Engineering College); ABU SADAT MD. SAYEM (The University of Queensland)</t>
  </si>
  <si>
    <t>mahruf.eee.ruet@gmail.com; hedayetullahz1324@gmail.com; sayem@eee.ruet.ac.bd</t>
  </si>
  <si>
    <t>mahruf.eee.ruet@gmail.com</t>
  </si>
  <si>
    <t>Electronics and Nanotechnology</t>
  </si>
  <si>
    <t>Multi-Metaheuristic Optimisation of Cascade Controllers for DC-DC Converters: A Comparative Study of PI, PID, and Sliding Mode Control</t>
  </si>
  <si>
    <t>Md Maniruz Zaman (Bangladesh University of Engineering and Technology)*; Jiad Bin Asad (Uttara University); Amit Das (Uttara University); Md. Shamsul Islam (Uttara University); Md. Mehedi Hasan Tusar (Uttara University); Uttam Mahapatra (Uttara University)</t>
  </si>
  <si>
    <t>mmzaman.ruet@gmail.com; jiadbinasad@gmail.com; amit.das.ruet@gmail.com; islamshamsul127@gmail.com; its.mehedi.eee@gmail.com; uttammahapatra211@gmail.com</t>
  </si>
  <si>
    <t>mmzaman.ruet@gmail.com</t>
  </si>
  <si>
    <t>Cross-Design Limitations of ML-Based PPA Prediction in OpenLane</t>
  </si>
  <si>
    <t>Atair Rahman Alvi (BRAC University)*; Tahmid Noor Rahman (BRAC University); Ifrana Hamim (BRAC University); Md. Siam Khan Niloy (AIUB)</t>
  </si>
  <si>
    <t>alvialvi91@gmail.com; tahmid5555@gmail.com; hamimifrana@gmail.com; mdsiamkhanniloy@gmail.com</t>
  </si>
  <si>
    <t>alvialvi91@gmail.com</t>
  </si>
  <si>
    <t>Numerical Investigation of a Corrugated PDMS Diaphragm-based Fiber Optic Fabry-Perot Sensor for Acoustic Sensing</t>
  </si>
  <si>
    <t>Sinthia Islam (Khulna University of Engineering &amp; Technology)*; Dr. Md Jahirul  Islam (	Khulna University of Engineering &amp; Technology); Nafisa  Pervin (Khulna University of Engineering &amp; Technology)</t>
  </si>
  <si>
    <t>islam1903063@stud.kuet.ac.bd; jahirul@eee.kuet.ac.bd; pervin1903041@stud.kuet.ac.bd</t>
  </si>
  <si>
    <t>islam1903063@stud.kuet.ac.bd</t>
  </si>
  <si>
    <t>A 16.1-fJ/conv.-step 8-bit 100-MS/s SAR ADC for WLAN Receiver Baseband in 65-nm CMOS</t>
  </si>
  <si>
    <t>Junayet Hossain (BUET)*; Mithon   Rahman (BUET)</t>
  </si>
  <si>
    <t>junayethossain260@gmail.com; mithonrahman24@gmail.com</t>
  </si>
  <si>
    <t>junayethossain260@gmail.com</t>
  </si>
  <si>
    <t>A Unified MOPSO-Optimized Cascade Control Framework for DC–DC Boost Converters: Comparative Evaluation of PI, PID, Sliding Mode, and Finite-Control-Set MPC</t>
  </si>
  <si>
    <t>Modulation Strategy for Optimizing Semiconductor Losses for A High Power Step-Down Dual Active Bridge Converter in AI Data Center Applications</t>
  </si>
  <si>
    <t>Mohammad  Reza (Islamic University of Technology )*; Mubeen Chowdhury  (Islamic University of Technology ); Nasif Niloy (Islamic University of Technology )</t>
  </si>
  <si>
    <t>farhanreza@iut-dhaka.edu; mubeeraisul@iut-dhaka.edu; nasifniloy@iut-dhaka.edu</t>
  </si>
  <si>
    <t>farhanreza@iut-dhaka.edu</t>
  </si>
  <si>
    <t>An Au/ITO Dual-Layer Photonic Crystal Fiber Surface Plasmon Resonance Biosensor for Label-Free Detection and Discrimination of Basal, HeLa, and Jurkat Cancer Cells</t>
  </si>
  <si>
    <t>Samiul Hasan (Independent University)*; Fardous  Mahmud (Independent University); Naim Abrar   Shaharia (	Independent University); Minhazul Abedin   Nabil (Independent University); Hemal  Sharma (	Independent University); Kh Shahriya  Zaman (	Independent University); Feroz  Ahmed (Independent University)</t>
  </si>
  <si>
    <t>samiulhasan803@gmail.com; fardousmahmud8@gmail.com; 2221447@iub.edu.bd; 2221738@iub.edu.bd; sharma.hemal14@gmail.com; shahriya@iub.edu.bd; fahmed@iub.edu.bd</t>
  </si>
  <si>
    <t>samiulhasan803@gmail.com</t>
  </si>
  <si>
    <t>PSO-Based Selective Harmonic Elimination with Smart Cell-Bypassing for a 15-Level Asymmetric Cascaded H-Bridge Inverter</t>
  </si>
  <si>
    <t>Hosen Miah (Green University of Bangladesh)*; Md. Ahsanul Alam (Green University of Bangladesh); Md. Asif  Hasan (Green University of Bangladesh);  Rajoyn Ahmed Rudro (Green University of Bangladesh); Md Zihad Alamin Tashfin (Green University of Bangladesh); Iftekhar Ahmmed (Green University of Bangladesh)</t>
  </si>
  <si>
    <t>husseinbijoy7@gmail.com; ahsanul@eee.green.edu.bd; asifhasanpl90@gmail.com; rejwanahmedruddro@gmail.com; alaminzihad.mail@gmail.com; iftekhar215ac@gmail.com</t>
  </si>
  <si>
    <t>husseinbijoy7@gmail.com</t>
  </si>
  <si>
    <t>FinTech and Digital Business Analytics</t>
  </si>
  <si>
    <t>Uncertainty-Aware Sequential Fraud Detection: A Bayesian Transformer Framework with Dual Explainability and Calibrated Probabilistic Inference</t>
  </si>
  <si>
    <t>Tanvir  Ahmed (Daffodil International University )*; Sharmin Jahan  Shithy (Daffodil International University); Md Asraful Islam  Jony (Daffodil International University)</t>
  </si>
  <si>
    <t>tanvir2305341789@diu.edu.bd; shithy1013@gmail.com; jony2305341752@diu.edu.bd</t>
  </si>
  <si>
    <t>tanvir2305341789@diu.edu.bd</t>
  </si>
  <si>
    <t>The Effect of e-KYC Adoption on the Cost Efficiency of Commercial Banks in Bangladesh: A Dynamic Panel Study</t>
  </si>
  <si>
    <t>Shabab  Sabiq (University of Barishal); Progga Biswas  Parama (Eden Mohila College); Khadiza Tul  Ferdaous  (University Of Liberal Arts Bangladesh); Mashiyat   Tafannum (University of Dhaka ); Arpita  Mistry (Daffodil international University); Maftun Ahommed (University Of Liberal Arts Bangladesh)*</t>
  </si>
  <si>
    <t>ssabiq18.fin@bu.ac.bd; progga.biswas.mkt@gmail.com; khadiza.ferdaous.bba@ulab.edu.bd; mashiyat-2019512668@fin.du.ac.bd; mistry2304083062@diu.edu.bd; maftun.ahommed.cse@ulab.edu.bd</t>
  </si>
  <si>
    <t>maftun.ahommed.cse@ulab.edu.bd</t>
  </si>
  <si>
    <t>Programmable Remittances for Bangladesh A Permissioned Blockchain System for Diaspora-Controlled Household Payments</t>
  </si>
  <si>
    <t>Tanjim Mahmud Rakin (American International University-Bangladesh)*; MD Mushfiqur Rahman Mushfique (Islamic University of Technology)</t>
  </si>
  <si>
    <t>tanjimmahmudwork@gmail.com; mushfique2@iut-dhaka.edu</t>
  </si>
  <si>
    <t>tanjimmahmudwork@gmail.com</t>
  </si>
  <si>
    <t>Architectural Differences among MFS, PSP, and PSO in Bangladesh: A Liability–Ledger Reference Model</t>
  </si>
  <si>
    <t>Tanjim Mahmud Rakin (American International University-Bangladesh)*</t>
  </si>
  <si>
    <t>FinTech and Digital Business Analytics: A Reference Framework and Machine-Learning Case Study for Data-Driven Financial Services</t>
  </si>
  <si>
    <t>SHIVAM SATIJA (Virginia Commonwealth University)*</t>
  </si>
  <si>
    <t>SATIJAS3@VCU.EDU</t>
  </si>
  <si>
    <t>Adaptive Neuro Weave Ensemble Learning System for Predictive Organizational and Market Analytics</t>
  </si>
  <si>
    <t>Sangeetha A (Sri Ramakrishna College of Arts and Science)*</t>
  </si>
  <si>
    <t>priyamca007@gmail.com</t>
  </si>
  <si>
    <t>Energy and Sustainability</t>
  </si>
  <si>
    <t>A Comparative Study of Statistical, Machine Learning, and Deep Learning Models for Short-Term Electricity Load Forecasting on the Bangladesh National Grid</t>
  </si>
  <si>
    <t>Kazi Shadman  Sakib (University of Dhaka); Syeda Tamima Sama  Parsa (Sylhet Engineering College); Mubinur Rashid Tahjib (Sylhet Engineering College)*; Md. Shahid  Iqbal (Mymensingh Engineering College)</t>
  </si>
  <si>
    <t>kazishadman-2017614973@cs.du.ac.bd; syeda.parsa@sec.ac.bd; mubinur.tahjib@sec.ac.bd; iqbal@mec.ac.bd</t>
  </si>
  <si>
    <t>mubinur.tahjib@sec.ac.bd</t>
  </si>
  <si>
    <t>Floating Solar on an Oxbow Lake: Energy, Water, and Rice Co-Benefits at Bergobindopur Baor, Bangladesh</t>
  </si>
  <si>
    <t>Md Saqlain Mustak Saki (Green University of Bangladesh)*; Md Shoab Khan (Green University of Bangladesh); Md Hujaifa Ahmmed Tanvir (Green University of Bangladesh); ASM Shihavuddin (Green University of Bangladesh)</t>
  </si>
  <si>
    <t>saqlainm1307@gmail.com; shoabkhan788@gmail.com; hujaifaahmmedtanvir322@gmail.com; shihav@eee.green.edu.bd</t>
  </si>
  <si>
    <t>saqlainm1307@gmail.com</t>
  </si>
  <si>
    <t>Digital Learning Technologies</t>
  </si>
  <si>
    <t>Design of a generative AI agent as a learning support tool for special education needs students</t>
  </si>
  <si>
    <t>Franciszek Gorczyca (GradeAid); Md Saifuddin Khalid (Technical University of Denmark)*</t>
  </si>
  <si>
    <t>franciszek@gradeaid.ai; skhalid@dtu.dk</t>
  </si>
  <si>
    <t>skhalid@dtu.dk</t>
  </si>
  <si>
    <t>Technical Challenges and Solutions for Building Augmented Reality for Education</t>
  </si>
  <si>
    <t>Mohammed Oussama Seddini (Le Mans Université); Mohamed Ez-Zaouia (University of Rennes); Mohamed Hamza Falih (Le Mans Université); Iza Marfisi (Le Mans Université); Md Saifuddin Khalid (Technical University of Denmark)*</t>
  </si>
  <si>
    <t>Mohammed_Oussama.Seddini.Etu@univ-lemans.fr; mohamed.ez-zaouia@univ-rennes.fr; Mohamed_Hamza.Falih@univ-lemans.fr; iza.marfisi@univ-lemans.fr; skhalid@dtu.dk</t>
  </si>
  <si>
    <t>Comparing local GPT and Student Performance on Introductory Statistics MCQ Examinations</t>
  </si>
  <si>
    <t>Nipa Chowdhury (Technical University of Denmark (DTU)); Sumaya Ahmed Promi (Technical University of Denmark (DTU)); Nicolai Siim Larsen (Technical University of Denmark (DTU)); Md Saifuddin Khalid (Technical University of Denmark)*</t>
  </si>
  <si>
    <t>nipachynipu@gmail.com; promi9425@gmail.com; nisi@dtu.dk; skhalid@dtu.dk</t>
  </si>
  <si>
    <t>An Interpretable Ensemble Learning Framework for Predicting Students' Entrepreneurial Intention in Digital Entrepreneurship Education</t>
  </si>
  <si>
    <t>K. M. Arafat Islam (Daffodil International University)*; Abdul Fardaus (Green University of Bangladesh)</t>
  </si>
  <si>
    <t>islam15-5498@diu.edu.bd; abdulfardaus0@gmail.com</t>
  </si>
  <si>
    <t>islam15-5498@diu.edu.bd</t>
  </si>
  <si>
    <t>A Dual-Focus UX Prioritization Framework for Educational Games Using Sentiment Analysis</t>
  </si>
  <si>
    <t>Mohammed Ashikur Rahman (Southeast Universuty)*; Md Kowsar Ahmed (University Malaya)</t>
  </si>
  <si>
    <t>ashikur.rahman@seu.edu.bd; kowsar2311@gmail.com</t>
  </si>
  <si>
    <t>Session Code</t>
  </si>
  <si>
    <t>Type</t>
  </si>
  <si>
    <t>Papers Assigned</t>
  </si>
  <si>
    <t>Paper Capacity</t>
  </si>
  <si>
    <t>Paper Status</t>
  </si>
  <si>
    <t>Chairs Assigned</t>
  </si>
  <si>
    <t>Senior Faculty Assigned</t>
  </si>
  <si>
    <t>Junior Faculty Assigned</t>
  </si>
  <si>
    <t>AI and Deep Learning for Robotics and Health care Applications</t>
  </si>
  <si>
    <t>Session Time</t>
  </si>
  <si>
    <t>Keynote 3</t>
  </si>
  <si>
    <t>Towards a Car-lite Society – Challenges and Opportunities</t>
  </si>
  <si>
    <t>Session Chair</t>
  </si>
  <si>
    <t>Dr. Jia Uddin</t>
  </si>
  <si>
    <t>Session Moderator</t>
  </si>
  <si>
    <t>Responsible AI for Academic Research</t>
  </si>
  <si>
    <t>Day 1, 11:40-12:40</t>
  </si>
  <si>
    <t>Session Facillitator</t>
  </si>
  <si>
    <t>Rappoteur 1</t>
  </si>
  <si>
    <t>Rappoteur 2</t>
  </si>
  <si>
    <t>Keynote Details</t>
  </si>
  <si>
    <t>Speakers Info</t>
  </si>
  <si>
    <t>Dr Rong Su</t>
  </si>
  <si>
    <t>Speakers Intro</t>
  </si>
  <si>
    <t xml:space="preserve">Professor, School of Electrical &amp; Electronic Engineering, Nanyang Technological University, Singapore
</t>
  </si>
  <si>
    <t>Abstract</t>
  </si>
  <si>
    <t>Private vehicles are well known to be one key contribution factor for traffic network inefficiency such as traffic jams, waste gas emissions and excessive traffic space requirements (due to parking needs). However, the average utilization rate of private cars is extremely low. How to reduce the number of private cars and their daily usage is one open question for the academia and industry. A car-lite society relies less on private cars for transport, emphasizing sustainable alternatives like walking, cycling, and public transport to reduce car dependency. One key challenge is how to convince people that their travel needs and quality of mobility will not degrade, even after they give up their private cars. One conjecture is that a person might be willing to consider this option only when he/she is certain that, whenever a travel-need arises, there will always be a suitable car available within a short period of time acceptable by the person. That is, the technologies must ensure a guaranteed maximum waiting time in any circumstances. In this talk, we will discuss how different mobility-related technologies might contribute to a holistic system solution to achieve a car-lite society, and what possible challenges are.</t>
  </si>
  <si>
    <t>Professor Dr. Celia Shahnaz, FTWAS, SMIEEE, LFIEB, 
Department of EEE, BUET</t>
  </si>
  <si>
    <t>Celia Shahnaz, SMIEEE, Fellow IEB, received Ph.D. degree from Concordia University, Canada and is currently a professor at, Department of EEE, BUET, Bangladesh since 2015. She was the winner of Canadian Common Scholarship for pursuing her Ph.D study in Canada and recipient of Bangladesh Academy of Science Gold Medal for her contributions in science and technology. The World Academy of Science (TWAS) members have elected her as a Fellow of TWAS for the advancement of science in developing countries, effective 1 January 2023. Recently, her nomination has been approved and she has been inducted into IEEE-Eta Kappa Nu as a Professional Member into the Eta Chapter of the Board of Governors. She has served as 2023-24, Liaison of WIE to IEEE Board of Directors and 2023-25 Member, IEEE in 2050 and Beyond subcommittee. She has been selected and appointed as 2026 IEEE SSIT Education subcommittee, 2025-27 IEEE Computer society Distinguished Visitor. She has been appointed as 2025-26 Chair, IEEE WIE Nominations and Appoints. She has been elected as 2022 IEEE WIE Committee Chair-Elect and she has served as the 2023-2024 IEEE WIE Committee Chair. She has been appointed as 2024-25, Division V Representative, IEEE TAB Award and Recognition Committee , 2024-26 Member, IEEE Fourier Award for Signal Processing Committee , 2024-25 IEEE Computer society Awards Chair, 2025 Member, IEEE CS Diversity and Inclusion Committee, 2024 Member, IEEE CS Election Committee, 2020, 2022-23 Member, IEEE New Initiative Committee, 2021-24 Member, IEEE History Committee, Liaison between IEEE History Committee and IEEE WIE, 2023 Corresponding member, IEEE BOD Ad-Hoc: Coordinating IEEE’s Response to Multimedia-Based Digital Reality Technologies, 2023 Member, the future of the IEEE WIE ILC Adhoc. She has served as 2021-22 Chair, IEEE SPS Women in Signal Processing, 2021-22 Liaison between IEEE SPS and IEEE WIE, 2021-22 Member, IEEE Educational Activities Board Faculty Resource Committee, 2022 Member, IEEE WIE Strategic planning Committee, 2021 Chair, IEEE WIE History Subcommittee, 2020-21 Member, IEEE WIE Senior Member Elevation Drive and 2019-2022 Member, IEEE WIE WePower Subcommittee. She has served as an Editorial board member, IET Signal Processing From 2018 to date. She is the immediate past Chair, IEEE Bangladesh Section, Co-founder &amp; Chair, IEEE EMBS, IAS, RAS, SSIT Bangladesh Chapters, Co-founder &amp; Vice-Chair, IEEE SPS Bangladesh Chapter, Founder and Advisor, WIE AG, and founder and Chair of SIGHT group FLASH, IEEE Bangladesh Section. She is the recipient of the 2025 R10 Outstanding Volunteer Award, 2021 IEEE MGA Achievement Award, 2021 Inspiring Women in Academia Award from Bangladesh brand forum, 2019 R10 Humanitarian Activities Outstanding Volunteer Award, 2016 MGA Leadership Award 2015 WIE Inspiring Member Award, 2013 R10 WIE Professional Volunteer Award. She has more than 25 years of experience (25 years as an IEEE volunteer) in leading impactful Technical, Professional, Educational, Industrial, Women Empowerment, Humanitarian Technology, Power and Energy-related Projects at national/international levels.</t>
  </si>
  <si>
    <t>Rapid advances in signal processing, artificial intelligence (AI), machine learning, and deep learning are transforming robotics and healthcare by enabling intelligent systems to analyze complex signals, perceive their environments, and support data-driven decision-making. This talk highlights recent developments in audio, visual, biomedical, and multimodal signal processing, with emphasis on their applications in human-centered intelligent systems.
In healthcare, AI-assisted processing of biomedical signals and medical images is creating new opportunities for automated screening, diagnosis, monitoring, and clinical decision support. Deep neural networks, attention-based models, ensemble learning, and generative AI are increasingly being applied to EEG, ECG, heart sounds, medical images, and other physiological data for disease detection, abnormality classification, sleep analysis, and personalized healthcare. Privacy-preserving approaches such as federated learning are also becoming important for developing collaborative medical AI systems while protecting sensitive patient information.
In robotics, the integration of sensing, computer vision, signal processing, and AI is enabling more autonomous, adaptive, and interactive systems. Deep-learning-based perception, multimodal recognition, reinforcement learning, and intelligent control are supporting applications in assistive robotics, autonomous navigation, environmental monitoring, human–robot interaction, and accessibility technologies such as sign-language recognition.
A major trend across these fields is the shift from conventional feature-engineered approaches toward adaptive, multimodal, explainable, and data-driven intelligent systems. The convergence of advanced signal processing with generative AI, lightweight neural networks, intelligent sensors, and edge computing is expected to further enhance real-time performance, reliability, and accessibility. These developments offer strong potential for safer robotics, affordable healthcare, and scalable intelligent solutions addressing practical societal and technological challenges.</t>
  </si>
  <si>
    <t>Session Chair 1</t>
  </si>
  <si>
    <t>Session Chair 2</t>
  </si>
  <si>
    <t>Papers</t>
  </si>
  <si>
    <t xml:space="preserve">Prof. Dr. Mustafa Habib Chowdhury </t>
  </si>
  <si>
    <t>Prof. Dr. Sifat Momen</t>
  </si>
  <si>
    <t>Dr. Abul Barkat Sayeed Ud Doulah</t>
  </si>
  <si>
    <t>PD110</t>
  </si>
  <si>
    <t xml:space="preserve">suravi.akhter@ulab.edu.bd       </t>
  </si>
  <si>
    <t xml:space="preserve">Abir Bin Yousuf </t>
  </si>
  <si>
    <t>Dewan Muhtasim</t>
  </si>
  <si>
    <t>Dr. Md. Ruhul Amin</t>
  </si>
  <si>
    <t>T3P2</t>
  </si>
  <si>
    <t>T2P5</t>
  </si>
  <si>
    <t>T3P4</t>
  </si>
  <si>
    <t>Technical Session Codes</t>
  </si>
  <si>
    <t>All Session Codes (incl. Keynotes/Workshop)</t>
  </si>
  <si>
    <t>PD108</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</si>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</sst>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4">
    <font>
      <sz val="10.0"/>
      <color rgb="FF334155"/>
      <name val="Arial"/>
      <scheme val="minor"/>
    </font>
    <font>
      <sz val="10.0"/>
      <color rgb="FF334155"/>
      <name val="Arial"/>
    </font>
    <font>
      <b/>
      <sz val="10.0"/>
      <color rgb="FF1F2A44"/>
      <name val="Arial"/>
    </font>
    <font>
      <b/>
      <sz val="18.0"/>
      <color rgb="FF1F2A44"/>
      <name val="Arial"/>
    </font>
    <font/>
    <font>
      <b/>
      <sz val="16.0"/>
      <color rgb="FF1F2A44"/>
      <name val="Arial"/>
    </font>
    <font>
      <b/>
      <sz val="9.0"/>
      <color rgb="FF64748B"/>
      <name val="Arial"/>
    </font>
    <font>
      <b/>
      <sz val="10.0"/>
      <color theme="1"/>
      <name val="Arial"/>
    </font>
    <font>
      <sz val="10.0"/>
      <color rgb="FF000000"/>
      <name val="Arial"/>
    </font>
    <font>
      <b/>
      <sz val="11.0"/>
      <color rgb="FF1F2A44"/>
      <name val="Arial"/>
    </font>
    <font>
      <sz val="10.0"/>
      <color rgb="FFFFFFFF"/>
      <name val="Arial"/>
    </font>
    <font>
      <sz val="9.0"/>
      <color rgb="FF94A3B8"/>
      <name val="Arial"/>
    </font>
    <font>
      <sz val="10.0"/>
      <color rgb="FF64748B"/>
      <name val="Arial"/>
    </font>
    <font>
      <u/>
      <color rgb="FF0000FF"/>
    </font>
    <font>
      <u/>
      <color rgb="FF0000FF"/>
    </font>
    <font>
      <sz val="10.0"/>
      <color rgb="FF1D4ED8"/>
      <name val="Arial"/>
    </font>
    <font>
      <color rgb="FF4B5563"/>
      <name val="&quot;Readex Pro&quot;"/>
    </font>
    <font>
      <color theme="1"/>
      <name val="Arial"/>
      <scheme val="minor"/>
    </font>
    <font>
      <b/>
      <color rgb="FF0A1F44"/>
      <name val="Outfit"/>
    </font>
    <font>
      <u/>
      <sz val="10.0"/>
      <color rgb="FF0000FF"/>
      <name val="Arial"/>
    </font>
    <font>
      <sz val="13.0"/>
      <color rgb="FF1A1A2E"/>
      <name val="Inter"/>
    </font>
    <font>
      <sz val="9.0"/>
      <color rgb="FF334155"/>
      <name val="Arial"/>
    </font>
    <font>
      <u/>
      <sz val="10.0"/>
      <color rgb="FF64748B"/>
      <name val="Arial"/>
    </font>
    <font>
      <sz val="11.0"/>
      <color theme="1"/>
      <name val="Arial"/>
    </font>
  </fonts>
  <fills count="8">
    <fill>
      <patternFill patternType="none"/>
    </fill>
    <fill>
      <patternFill patternType="lightGray"/>
    </fill>
    <fill>
      <patternFill patternType="solid">
        <fgColor rgb="FFF1F5F9"/>
        <bgColor rgb="FFF1F5F9"/>
      </patternFill>
    </fill>
    <fill>
      <patternFill patternType="solid">
        <fgColor rgb="FFECECEC"/>
        <bgColor rgb="FFECECEC"/>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rgb="FFEFF6FF"/>
        <bgColor rgb="FFEFF6FF"/>
      </patternFill>
    </fill>
  </fills>
  <borders count="23">
    <border/>
    <border>
      <left/>
      <right/>
      <top/>
      <bottom style="thin">
        <color rgb="FF1F2A44"/>
      </bottom>
    </border>
    <border>
      <bottom style="thin">
        <color rgb="FF000000"/>
      </bottom>
    </border>
    <border>
      <left/>
      <top/>
      <bottom/>
    </border>
    <border>
      <top/>
      <bottom/>
    </border>
    <border>
      <right/>
      <top/>
      <bottom/>
    </border>
    <border>
      <left/>
      <right/>
      <top/>
      <bottom/>
    </border>
    <border>
      <bottom style="thin">
        <color rgb="FFEFEFEF"/>
      </bottom>
    </border>
    <border>
      <left/>
      <right/>
      <top/>
      <bottom style="thin">
        <color rgb="FFEFEFEF"/>
      </bottom>
    </border>
    <border>
      <bottom style="thin">
        <color rgb="FF1F2A44"/>
      </bottom>
    </border>
    <border>
      <left/>
      <right/>
    </border>
    <border>
      <left/>
      <right/>
      <bottom/>
    </border>
    <border>
      <bottom style="thin">
        <color rgb="FFE2E8F0"/>
      </bottom>
    </border>
    <border>
      <left/>
      <right/>
      <top/>
    </border>
    <border>
      <top style="thin">
        <color rgb="FF000000"/>
      </top>
      <bottom style="thin">
        <color rgb="FF000000"/>
      </bottom>
    </border>
    <border>
      <left/>
      <top style="thin">
        <color rgb="FF000000"/>
      </top>
      <bottom style="thin">
        <color rgb="FF000000"/>
      </bottom>
    </border>
    <border>
      <right/>
      <top style="thin">
        <color rgb="FF000000"/>
      </top>
      <bottom style="thin">
        <color rgb="FF000000"/>
      </bottom>
    </border>
    <border>
      <top style="thin">
        <color rgb="FFE2E8F0"/>
      </top>
      <bottom style="thin">
        <color rgb="FF000000"/>
      </bottom>
    </border>
    <border>
      <left style="thin">
        <color rgb="FF000000"/>
      </left>
      <right style="thin">
        <color rgb="FF000000"/>
      </right>
      <top style="thin">
        <color rgb="FF000000"/>
      </top>
      <bottom style="thin">
        <color rgb="FF000000"/>
      </bottom>
    </border>
    <border>
      <left/>
      <right/>
      <top/>
      <bottom style="thin">
        <color rgb="FFE2E8F0"/>
      </bottom>
    </border>
    <border>
      <top style="thin">
        <color rgb="FFE2E8F0"/>
      </top>
      <bottom style="thin">
        <color rgb="FFE2E8F0"/>
      </bottom>
    </border>
    <border>
      <left/>
      <top/>
      <bottom style="thin">
        <color rgb="FF1F2A44"/>
      </bottom>
    </border>
    <border>
      <right/>
      <top/>
      <bottom style="thin">
        <color rgb="FF1F2A44"/>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0" fontId="1" numFmtId="3" xfId="0" applyAlignment="1" applyFont="1" applyNumberFormat="1">
      <alignment vertical="center"/>
    </xf>
    <xf borderId="1" fillId="2" fontId="2" numFmtId="0" xfId="0" applyAlignment="1" applyBorder="1" applyFill="1" applyFont="1">
      <alignment vertical="center"/>
    </xf>
    <xf borderId="2" fillId="0" fontId="3" numFmtId="0" xfId="0" applyAlignment="1" applyBorder="1" applyFont="1">
      <alignment horizontal="center" vertical="center"/>
    </xf>
    <xf borderId="2" fillId="0" fontId="4" numFmtId="0" xfId="0" applyBorder="1" applyFont="1"/>
    <xf borderId="1" fillId="2" fontId="2" numFmtId="0" xfId="0" applyAlignment="1" applyBorder="1" applyFill="1" applyFont="1">
      <alignment horizontal="center" vertical="center"/>
    </xf>
    <xf borderId="0" fillId="0" fontId="5" numFmtId="0" xfId="0" applyAlignment="1" applyFont="1">
      <alignment horizontal="center" vertical="center"/>
    </xf>
    <xf borderId="0" fillId="0" fontId="2" numFmtId="0" xfId="0" applyAlignment="1" applyFont="1">
      <alignment vertical="center"/>
    </xf>
    <xf borderId="0" fillId="0" fontId="1" numFmtId="0" xfId="0" applyAlignment="1" applyFont="1">
      <alignment vertical="center"/>
    </xf>
    <xf borderId="1" fillId="2" fontId="6" numFmtId="0" xfId="0" applyAlignment="1" applyBorder="1" applyFill="1" applyFont="1">
      <alignment vertical="center"/>
    </xf>
    <xf borderId="3" fillId="3" fontId="7" numFmtId="3" xfId="0" applyAlignment="1" applyBorder="1" applyFill="1" applyFont="1" applyNumberFormat="1">
      <alignment horizontal="center" vertical="center"/>
    </xf>
    <xf borderId="4" fillId="0" fontId="4" numFmtId="0" xfId="0" applyBorder="1" applyFont="1"/>
    <xf borderId="5" fillId="0" fontId="4" numFmtId="0" xfId="0" applyBorder="1" applyFont="1"/>
    <xf borderId="0" fillId="4" fontId="1" numFmtId="0" xfId="0" applyAlignment="1" applyFill="1" applyFont="1">
      <alignment vertical="center"/>
    </xf>
    <xf borderId="6" fillId="5" fontId="1" numFmtId="0" xfId="0" applyAlignment="1" applyBorder="1" applyFill="1" applyFont="1">
      <alignment vertical="center"/>
    </xf>
    <xf borderId="6" fillId="4" fontId="1" numFmtId="0" xfId="0" applyAlignment="1" applyBorder="1" applyFill="1" applyFont="1">
      <alignment vertical="center"/>
    </xf>
    <xf borderId="6" fillId="5" fontId="1" numFmtId="49" xfId="0" applyAlignment="1" applyBorder="1" applyFill="1" applyFont="1" applyNumberFormat="1">
      <alignment horizontal="center" vertical="center"/>
    </xf>
    <xf borderId="0" fillId="4" fontId="1" numFmtId="0" xfId="0" applyAlignment="1" applyFill="1" applyFont="1">
      <alignment readingOrder="0" vertical="center"/>
    </xf>
    <xf borderId="3" fillId="4" fontId="8" numFmtId="0" xfId="0" applyAlignment="1" applyBorder="1" applyFill="1" applyFont="1">
      <alignment horizontal="center" vertical="center"/>
    </xf>
    <xf borderId="0" fillId="0" fontId="1" numFmtId="0" xfId="0" applyAlignment="1" applyFont="1">
      <alignment readingOrder="0" vertical="center"/>
    </xf>
    <xf borderId="0" fillId="0" fontId="1" numFmtId="0" xfId="0" applyAlignment="1" applyFont="1">
      <alignment horizontal="center" readingOrder="0" vertical="center"/>
    </xf>
    <xf borderId="0" fillId="0" fontId="2" numFmtId="164" xfId="0" applyAlignment="1" applyFont="1" applyNumberFormat="1">
      <alignment horizontal="center" vertical="center"/>
    </xf>
    <xf borderId="7" fillId="4" fontId="1" numFmtId="0" xfId="0" applyAlignment="1" applyBorder="1" applyFill="1" applyFont="1">
      <alignment readingOrder="0" vertical="center"/>
    </xf>
    <xf borderId="8" fillId="4" fontId="1" numFmtId="0" xfId="0" applyAlignment="1" applyBorder="1" applyFill="1" applyFont="1">
      <alignment readingOrder="0" vertical="center"/>
    </xf>
    <xf borderId="9" fillId="0" fontId="9" numFmtId="0" xfId="0" applyAlignment="1" applyBorder="1" applyFont="1">
      <alignment vertical="center"/>
    </xf>
    <xf borderId="0" fillId="0" fontId="1" numFmtId="0" xfId="0" applyAlignment="1" applyFont="1">
      <alignment horizontal="center" vertical="center"/>
    </xf>
    <xf borderId="9" fillId="0" fontId="4" numFmtId="0" xfId="0" applyBorder="1" applyFont="1"/>
    <xf borderId="0" fillId="0" fontId="10" numFmtId="0" xfId="0" applyAlignment="1" applyFont="1">
      <alignment vertical="center"/>
    </xf>
    <xf borderId="10" fillId="6" fontId="1" numFmtId="0" xfId="0" applyAlignment="1" applyBorder="1" applyFill="1" applyFont="1">
      <alignment readingOrder="0" vertical="center"/>
    </xf>
    <xf borderId="11" fillId="0" fontId="4" numFmtId="0" xfId="0" applyBorder="1" applyFont="1"/>
    <xf borderId="0" fillId="0" fontId="11" numFmtId="0" xfId="0" applyAlignment="1" applyFont="1">
      <alignment vertical="center"/>
    </xf>
    <xf borderId="12" fillId="0" fontId="12" numFmtId="0" xfId="0" applyAlignment="1" applyBorder="1" applyFont="1">
      <alignment vertical="center"/>
    </xf>
    <xf borderId="13" fillId="6" fontId="1" numFmtId="0" xfId="0" applyAlignment="1" applyBorder="1" applyFill="1" applyFont="1">
      <alignment readingOrder="0" vertical="center"/>
    </xf>
    <xf borderId="12" fillId="0" fontId="1" numFmtId="0" xfId="0" applyAlignment="1" applyBorder="1" applyFont="1">
      <alignment vertical="center"/>
    </xf>
    <xf borderId="0" fillId="0" fontId="11" numFmtId="49" xfId="0" applyAlignment="1" applyFont="1" applyNumberFormat="1">
      <alignment vertical="center"/>
    </xf>
    <xf borderId="6" fillId="6" fontId="1" numFmtId="0" xfId="0" applyAlignment="1" applyBorder="1" applyFill="1" applyFont="1">
      <alignment readingOrder="0" vertical="center"/>
    </xf>
    <xf borderId="14" fillId="0" fontId="1" numFmtId="0" xfId="0" applyAlignment="1" applyBorder="1" applyFont="1">
      <alignment vertical="center"/>
    </xf>
    <xf borderId="12" fillId="0" fontId="1" numFmtId="0" xfId="0" applyAlignment="1" applyBorder="1" applyFont="1">
      <alignment readingOrder="0" vertical="center"/>
    </xf>
    <xf borderId="15" fillId="3" fontId="7" numFmtId="3" xfId="0" applyAlignment="1" applyBorder="1" applyFill="1" applyFont="1" applyNumberFormat="1">
      <alignment horizontal="center" vertical="center"/>
    </xf>
    <xf borderId="14" fillId="0" fontId="4" numFmtId="0" xfId="0" applyBorder="1" applyFont="1"/>
    <xf borderId="16" fillId="0" fontId="4" numFmtId="0" xfId="0" applyBorder="1" applyFont="1"/>
    <xf borderId="12" fillId="0" fontId="12" numFmtId="0" xfId="0" applyAlignment="1" applyBorder="1" applyFont="1">
      <alignment readingOrder="0" vertical="center"/>
    </xf>
    <xf borderId="0" fillId="0" fontId="10" numFmtId="0" xfId="0" applyAlignment="1" applyFont="1">
      <alignment horizontal="right" vertical="center"/>
    </xf>
    <xf borderId="0" fillId="0" fontId="1" numFmtId="49" xfId="0" applyAlignment="1" applyFont="1" applyNumberFormat="1">
      <alignment horizontal="center" vertical="center"/>
    </xf>
    <xf borderId="0" fillId="0" fontId="2" numFmtId="3" xfId="0" applyAlignment="1" applyFont="1" applyNumberFormat="1">
      <alignment vertical="center"/>
    </xf>
    <xf borderId="17" fillId="0" fontId="12" numFmtId="0" xfId="0" applyAlignment="1" applyBorder="1" applyFont="1">
      <alignment vertical="center"/>
    </xf>
    <xf borderId="17" fillId="0" fontId="1" numFmtId="0" xfId="0" applyAlignment="1" applyBorder="1" applyFont="1">
      <alignment readingOrder="0" vertical="center"/>
    </xf>
    <xf borderId="17" fillId="0" fontId="1" numFmtId="0" xfId="0" applyAlignment="1" applyBorder="1" applyFont="1">
      <alignment vertical="center"/>
    </xf>
    <xf borderId="18" fillId="0" fontId="13" numFmtId="0" xfId="0" applyAlignment="1" applyBorder="1" applyFont="1">
      <alignment readingOrder="0" vertical="center"/>
    </xf>
    <xf borderId="18" fillId="0" fontId="14" numFmtId="0" xfId="0" applyAlignment="1" applyBorder="1" applyFont="1">
      <alignment readingOrder="0" vertical="center"/>
    </xf>
    <xf borderId="7" fillId="0" fontId="1" numFmtId="0" xfId="0" applyAlignment="1" applyBorder="1" applyFont="1">
      <alignment vertical="center"/>
    </xf>
    <xf borderId="8" fillId="6" fontId="1" numFmtId="0" xfId="0" applyAlignment="1" applyBorder="1" applyFill="1" applyFont="1">
      <alignment readingOrder="0" vertical="center"/>
    </xf>
    <xf borderId="12" fillId="0" fontId="1" numFmtId="3" xfId="0" applyAlignment="1" applyBorder="1" applyFont="1" applyNumberFormat="1">
      <alignment vertical="center"/>
    </xf>
    <xf borderId="7" fillId="0" fontId="1" numFmtId="0" xfId="0" applyAlignment="1" applyBorder="1" applyFont="1">
      <alignment readingOrder="0" vertical="center"/>
    </xf>
    <xf borderId="2" fillId="0" fontId="1" numFmtId="3" xfId="0" applyAlignment="1" applyBorder="1" applyFont="1" applyNumberFormat="1">
      <alignment vertical="center"/>
    </xf>
    <xf borderId="6" fillId="4" fontId="1" numFmtId="3" xfId="0" applyAlignment="1" applyBorder="1" applyFill="1" applyFont="1" applyNumberFormat="1">
      <alignment vertical="center"/>
    </xf>
    <xf borderId="6" fillId="4" fontId="2" numFmtId="3" xfId="0" applyAlignment="1" applyBorder="1" applyFill="1" applyFont="1" applyNumberFormat="1">
      <alignment vertical="center"/>
    </xf>
    <xf borderId="6" fillId="4" fontId="2" numFmtId="0" xfId="0" applyAlignment="1" applyBorder="1" applyFill="1" applyFont="1">
      <alignment horizontal="right" vertical="center"/>
    </xf>
    <xf borderId="1" fillId="2" fontId="2" numFmtId="49" xfId="0" applyAlignment="1" applyBorder="1" applyFill="1" applyFont="1" applyNumberFormat="1">
      <alignment vertical="center"/>
    </xf>
    <xf borderId="0" fillId="0" fontId="1" numFmtId="49" xfId="0" applyAlignment="1" applyFont="1" applyNumberFormat="1">
      <alignment readingOrder="0" vertical="center"/>
    </xf>
    <xf borderId="1" fillId="2" fontId="2" numFmtId="0" xfId="0" applyAlignment="1" applyBorder="1" applyFill="1" applyFont="1">
      <alignment horizontal="center" shrinkToFit="0" vertical="center" wrapText="1"/>
    </xf>
    <xf borderId="1" fillId="2" fontId="2" numFmtId="0" xfId="0" applyAlignment="1" applyBorder="1" applyFill="1" applyFont="1">
      <alignment shrinkToFit="0" vertical="center" wrapText="1"/>
    </xf>
    <xf borderId="0" fillId="0" fontId="2" numFmtId="0" xfId="0" applyAlignment="1" applyFont="1">
      <alignment shrinkToFit="0" vertical="center" wrapText="1"/>
    </xf>
    <xf borderId="0" fillId="0" fontId="1" numFmtId="0" xfId="0" applyAlignment="1" applyFont="1">
      <alignment horizontal="center" shrinkToFit="0" vertical="center" wrapText="1"/>
    </xf>
    <xf borderId="0" fillId="0" fontId="1" numFmtId="0" xfId="0" applyAlignment="1" applyFont="1">
      <alignment shrinkToFit="0" vertical="center" wrapText="1"/>
    </xf>
    <xf borderId="0" fillId="0" fontId="1" numFmtId="0" xfId="0" applyAlignment="1" applyFont="1">
      <alignment horizontal="center" readingOrder="0" shrinkToFit="0" vertical="center" wrapText="1"/>
    </xf>
    <xf borderId="0" fillId="0" fontId="1" numFmtId="2" xfId="0" applyAlignment="1" applyFont="1" applyNumberFormat="1">
      <alignment horizontal="center" shrinkToFit="0" vertical="center" wrapText="1"/>
    </xf>
    <xf borderId="19" fillId="7" fontId="15" numFmtId="0" xfId="0" applyAlignment="1" applyBorder="1" applyFill="1" applyFont="1">
      <alignment horizontal="center" shrinkToFit="0" vertical="center" wrapText="1"/>
    </xf>
    <xf borderId="0" fillId="0" fontId="2" numFmtId="0" xfId="0" applyAlignment="1" applyFont="1">
      <alignment horizontal="center" shrinkToFit="0" vertical="center" wrapText="1"/>
    </xf>
    <xf borderId="0" fillId="0" fontId="1" numFmtId="49" xfId="0" applyAlignment="1" applyFont="1" applyNumberFormat="1">
      <alignment vertical="center"/>
    </xf>
    <xf borderId="0" fillId="6" fontId="16" numFmtId="0" xfId="0" applyAlignment="1" applyFill="1" applyFont="1">
      <alignment horizontal="left" readingOrder="0"/>
    </xf>
    <xf borderId="0" fillId="0" fontId="17" numFmtId="0" xfId="0" applyAlignment="1" applyFont="1">
      <alignment horizontal="center"/>
    </xf>
    <xf borderId="12" fillId="0" fontId="1" numFmtId="0" xfId="0" applyAlignment="1" applyBorder="1" applyFont="1">
      <alignment horizontal="center" vertical="center"/>
    </xf>
    <xf borderId="12" fillId="0" fontId="1" numFmtId="0" xfId="0" applyAlignment="1" applyBorder="1" applyFont="1">
      <alignment horizontal="center" readingOrder="0" vertical="center"/>
    </xf>
    <xf borderId="0" fillId="0" fontId="17" numFmtId="49" xfId="0" applyFont="1" applyNumberFormat="1"/>
    <xf borderId="0" fillId="0" fontId="1" numFmtId="0" xfId="0" applyAlignment="1" applyFont="1">
      <alignment horizontal="center"/>
    </xf>
    <xf borderId="2" fillId="0" fontId="6" numFmtId="0" xfId="0" applyAlignment="1" applyBorder="1" applyFont="1">
      <alignment shrinkToFit="0" vertical="center" wrapText="1"/>
    </xf>
    <xf borderId="2" fillId="0" fontId="2" numFmtId="0" xfId="0" applyAlignment="1" applyBorder="1" applyFont="1">
      <alignment shrinkToFit="0" vertical="center" wrapText="1"/>
    </xf>
    <xf borderId="2" fillId="0" fontId="1" numFmtId="0" xfId="0" applyAlignment="1" applyBorder="1" applyFont="1">
      <alignment shrinkToFit="0" vertical="center" wrapText="1"/>
    </xf>
    <xf borderId="0" fillId="0" fontId="6" numFmtId="0" xfId="0" applyAlignment="1" applyFont="1">
      <alignment shrinkToFit="0" vertical="center" wrapText="1"/>
    </xf>
    <xf borderId="12" fillId="0" fontId="12" numFmtId="0" xfId="0" applyAlignment="1" applyBorder="1" applyFont="1">
      <alignment shrinkToFit="0" vertical="center" wrapText="1"/>
    </xf>
    <xf borderId="2" fillId="0" fontId="6" numFmtId="0" xfId="0" applyAlignment="1" applyBorder="1" applyFont="1">
      <alignment vertical="center"/>
    </xf>
    <xf borderId="2" fillId="0" fontId="2" numFmtId="0" xfId="0" applyAlignment="1" applyBorder="1" applyFont="1">
      <alignment vertical="center"/>
    </xf>
    <xf borderId="2" fillId="0" fontId="1" numFmtId="0" xfId="0" applyAlignment="1" applyBorder="1" applyFont="1">
      <alignment vertical="center"/>
    </xf>
    <xf borderId="0" fillId="0" fontId="6" numFmtId="0" xfId="0" applyAlignment="1" applyFont="1">
      <alignment vertical="center"/>
    </xf>
    <xf borderId="0" fillId="0" fontId="9" numFmtId="0" xfId="0" applyAlignment="1" applyFont="1">
      <alignment vertical="center"/>
    </xf>
    <xf borderId="12" fillId="0" fontId="1" numFmtId="0" xfId="0" applyAlignment="1" applyBorder="1" applyFont="1">
      <alignment shrinkToFit="0" vertical="center" wrapText="1"/>
    </xf>
    <xf borderId="12" fillId="0" fontId="1" numFmtId="0" xfId="0" applyAlignment="1" applyBorder="1" applyFont="1">
      <alignment horizontal="right" shrinkToFit="0" vertical="center" wrapText="1"/>
    </xf>
    <xf borderId="0" fillId="6" fontId="18" numFmtId="0" xfId="0" applyAlignment="1" applyFill="1" applyFont="1">
      <alignment readingOrder="0"/>
    </xf>
    <xf borderId="12" fillId="0" fontId="19" numFmtId="0" xfId="0" applyAlignment="1" applyBorder="1" applyFont="1">
      <alignment readingOrder="0" vertical="center"/>
    </xf>
    <xf borderId="20" fillId="0" fontId="12" numFmtId="0" xfId="0" applyAlignment="1" applyBorder="1" applyFont="1">
      <alignment vertical="center"/>
    </xf>
    <xf borderId="17" fillId="0" fontId="12" numFmtId="0" xfId="0" applyAlignment="1" applyBorder="1" applyFont="1">
      <alignment shrinkToFit="0" vertical="center" wrapText="1"/>
    </xf>
    <xf borderId="20" fillId="0" fontId="1" numFmtId="0" xfId="0" applyAlignment="1" applyBorder="1" applyFont="1">
      <alignment vertical="center"/>
    </xf>
    <xf borderId="12" fillId="0" fontId="12" numFmtId="0" xfId="0" applyAlignment="1" applyBorder="1" applyFont="1">
      <alignment vertical="top"/>
    </xf>
    <xf borderId="0" fillId="0" fontId="1" numFmtId="0" xfId="0" applyAlignment="1" applyFont="1">
      <alignment horizontal="left" readingOrder="0" shrinkToFit="0" vertical="top" wrapText="1"/>
    </xf>
    <xf borderId="17" fillId="0" fontId="1" numFmtId="0" xfId="0" applyAlignment="1" applyBorder="1" applyFont="1">
      <alignment shrinkToFit="0" vertical="center" wrapText="1"/>
    </xf>
    <xf borderId="0" fillId="6" fontId="20" numFmtId="0" xfId="0" applyAlignment="1" applyFill="1" applyFont="1">
      <alignment readingOrder="0"/>
    </xf>
    <xf borderId="0" fillId="0" fontId="1" numFmtId="0" xfId="0" applyAlignment="1" applyFont="1">
      <alignment horizontal="left" shrinkToFit="0" vertical="top" wrapText="1"/>
    </xf>
    <xf borderId="2" fillId="0" fontId="12" numFmtId="0" xfId="0" applyAlignment="1" applyBorder="1" applyFont="1">
      <alignment vertical="center"/>
    </xf>
    <xf borderId="17" fillId="0" fontId="1" numFmtId="0" xfId="0" applyAlignment="1" applyBorder="1" applyFont="1">
      <alignment horizontal="right" shrinkToFit="0" vertical="center" wrapText="1"/>
    </xf>
    <xf borderId="0" fillId="0" fontId="1" numFmtId="0" xfId="0" applyAlignment="1" applyFont="1">
      <alignment horizontal="right" shrinkToFit="0" vertical="center" wrapText="1"/>
    </xf>
    <xf borderId="0" fillId="0" fontId="9" numFmtId="0" xfId="0" applyAlignment="1" applyFont="1">
      <alignment shrinkToFit="0" vertical="center" wrapText="1"/>
    </xf>
    <xf borderId="0" fillId="0" fontId="6" numFmtId="0" xfId="0" applyAlignment="1" applyFont="1">
      <alignment horizontal="right" shrinkToFit="0" vertical="center" wrapText="1"/>
    </xf>
    <xf borderId="12" fillId="0" fontId="12" numFmtId="0" xfId="0" applyAlignment="1" applyBorder="1" applyFont="1">
      <alignment shrinkToFit="0" vertical="top" wrapText="1"/>
    </xf>
    <xf borderId="0" fillId="0" fontId="21" numFmtId="0" xfId="0" applyAlignment="1" applyFont="1">
      <alignment horizontal="left" shrinkToFit="0" vertical="top" wrapText="1"/>
    </xf>
    <xf borderId="2" fillId="0" fontId="6" numFmtId="0" xfId="0" applyAlignment="1" applyBorder="1" applyFont="1">
      <alignment horizontal="left" shrinkToFit="0" vertical="center" wrapText="1"/>
    </xf>
    <xf borderId="2" fillId="0" fontId="2" numFmtId="0" xfId="0" applyAlignment="1" applyBorder="1" applyFont="1">
      <alignment horizontal="left" shrinkToFit="0" vertical="center" wrapText="1"/>
    </xf>
    <xf borderId="2" fillId="0" fontId="1" numFmtId="0" xfId="0" applyAlignment="1" applyBorder="1" applyFont="1">
      <alignment horizontal="left" shrinkToFit="0" vertical="center" wrapText="1"/>
    </xf>
    <xf borderId="0" fillId="0" fontId="1" numFmtId="0" xfId="0" applyAlignment="1" applyFont="1">
      <alignment horizontal="left" shrinkToFit="0" vertical="center" wrapText="1"/>
    </xf>
    <xf borderId="0" fillId="0" fontId="1" numFmtId="0" xfId="0" applyAlignment="1" applyFont="1">
      <alignment shrinkToFit="0" wrapText="1"/>
    </xf>
    <xf borderId="0" fillId="0" fontId="6" numFmtId="0" xfId="0" applyAlignment="1" applyFont="1">
      <alignment horizontal="left" shrinkToFit="0" vertical="center" wrapText="1"/>
    </xf>
    <xf borderId="0" fillId="0" fontId="2" numFmtId="0" xfId="0" applyAlignment="1" applyFont="1">
      <alignment horizontal="left" shrinkToFit="0" vertical="center" wrapText="1"/>
    </xf>
    <xf borderId="12" fillId="0" fontId="12" numFmtId="0" xfId="0" applyAlignment="1" applyBorder="1" applyFont="1">
      <alignment horizontal="left" shrinkToFit="0" vertical="center" wrapText="1"/>
    </xf>
    <xf borderId="12" fillId="0" fontId="1" numFmtId="0" xfId="0" applyAlignment="1" applyBorder="1" applyFont="1">
      <alignment horizontal="left" shrinkToFit="0" vertical="center" wrapText="1"/>
    </xf>
    <xf borderId="12" fillId="0" fontId="12" numFmtId="0" xfId="0" applyAlignment="1" applyBorder="1" applyFont="1">
      <alignment horizontal="left" readingOrder="0" shrinkToFit="0" vertical="center" wrapText="1"/>
    </xf>
    <xf borderId="12" fillId="0" fontId="12" numFmtId="0" xfId="0" applyAlignment="1" applyBorder="1" applyFont="1">
      <alignment readingOrder="0" shrinkToFit="0" vertical="center" wrapText="1"/>
    </xf>
    <xf borderId="12" fillId="0" fontId="1" numFmtId="0" xfId="0" applyAlignment="1" applyBorder="1" applyFont="1">
      <alignment horizontal="left" readingOrder="0" shrinkToFit="0" vertical="center" wrapText="1"/>
    </xf>
    <xf borderId="2" fillId="0" fontId="9" numFmtId="0" xfId="0" applyAlignment="1" applyBorder="1" applyFont="1">
      <alignment shrinkToFit="0" vertical="center" wrapText="1"/>
    </xf>
    <xf borderId="12" fillId="0" fontId="1" numFmtId="0" xfId="0" applyAlignment="1" applyBorder="1" applyFont="1">
      <alignment readingOrder="0" shrinkToFit="0" vertical="center" wrapText="1"/>
    </xf>
    <xf borderId="17" fillId="0" fontId="12" numFmtId="0" xfId="0" applyAlignment="1" applyBorder="1" applyFont="1">
      <alignment horizontal="left" shrinkToFit="0" vertical="center" wrapText="1"/>
    </xf>
    <xf borderId="17" fillId="0" fontId="1" numFmtId="0" xfId="0" applyAlignment="1" applyBorder="1" applyFont="1">
      <alignment horizontal="left" shrinkToFit="0" vertical="center" wrapText="1"/>
    </xf>
    <xf borderId="0" fillId="0" fontId="9" numFmtId="0" xfId="0" applyAlignment="1" applyFont="1">
      <alignment horizontal="left" shrinkToFit="0" vertical="center" wrapText="1"/>
    </xf>
    <xf borderId="1" fillId="2" fontId="2" numFmtId="0" xfId="0" applyAlignment="1" applyBorder="1" applyFill="1" applyFont="1">
      <alignment horizontal="left" shrinkToFit="0" vertical="center" wrapText="1"/>
    </xf>
    <xf borderId="21" fillId="2" fontId="2" numFmtId="0" xfId="0" applyAlignment="1" applyBorder="1" applyFill="1" applyFont="1">
      <alignment horizontal="left" shrinkToFit="0" vertical="center" wrapText="1"/>
    </xf>
    <xf borderId="22" fillId="0" fontId="4" numFmtId="0" xfId="0" applyBorder="1" applyFont="1"/>
    <xf borderId="12" fillId="0" fontId="4" numFmtId="0" xfId="0" applyBorder="1" applyFont="1"/>
    <xf borderId="12" fillId="0" fontId="22" numFmtId="0" xfId="0" applyAlignment="1" applyBorder="1" applyFont="1">
      <alignment shrinkToFit="0" vertical="center" wrapText="1"/>
    </xf>
    <xf borderId="0" fillId="0" fontId="1" numFmtId="49" xfId="0" applyAlignment="1" applyFont="1" applyNumberFormat="1">
      <alignment horizontal="left" vertical="center"/>
    </xf>
    <xf borderId="0" fillId="0" fontId="23" numFmtId="0" xfId="0" applyAlignment="1" applyFont="1">
      <alignment vertical="center"/>
    </xf>
  </cellXfs>
  <cellStyles count="1">
    <cellStyle xfId="0" name="Normal" builtinId="0"/>
  </cellStyles>
  <dxfs count="2">
    <dxf>
      <font/>
      <fill>
        <patternFill patternType="none"/>
      </fill>
      <border>
        <bottom style="thin">
          <color rgb="FFE2E8F0"/>
        </bottom>
      </border>
    </dxf>
    <dxf>
      <font>
        <color rgb="FFFFFFFF"/>
      </font>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3"/></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14" Type="http://schemas.openxmlformats.org/officeDocument/2006/relationships/worksheet" Target="worksheets/sheet11.xml"/><Relationship Id="rId36" Type="http://customschemas.google.com/relationships/workbookmetadata" Target="metadata"/><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dren.zoom.us/j/8428351030?pwd=7kfJZ1PoRiAzd0aKSn3l28Yuta2D1P.1&amp;omn=92475321723" TargetMode="External"/><Relationship Id="rId2" Type="http://schemas.openxmlformats.org/officeDocument/2006/relationships/hyperlink" Target="https://bdren.zoom.us/j/3426823862?pwd=qdTx7T0wafu1iseMaIbFJzZkwB20Gq.1&amp;omn=9670458221" TargetMode="External"/><Relationship Id="rId3" Type="http://schemas.openxmlformats.org/officeDocument/2006/relationships/hyperlink" Target="https://bdren.zoom.us/j/5012406330?pwd=czJaVXJnaHdJZlhpM21RWWF1a2hNQT09&amp;omn=91831440282" TargetMode="External"/><Relationship Id="rId4" Type="http://schemas.openxmlformats.org/officeDocument/2006/relationships/hyperlink" Target="https://bdren.zoom.us/j/4074534482?pwd=krdtcqcqU2E4TPlssbKu9CBmk1aJre.1&amp;omn=98496255250" TargetMode="External"/><Relationship Id="rId5" Type="http://schemas.openxmlformats.org/officeDocument/2006/relationships/hyperlink" Target="https://bdren.zoom.us/j/6484705712?pwd=r2vMz5RDbK87nBoCzOyaSvbW4H3hy1.1&amp;omn=96422492579" TargetMode="External"/><Relationship Id="rId6" Type="http://schemas.openxmlformats.org/officeDocument/2006/relationships/hyperlink" Target="https://meet.google.com/war-ndfc-avc"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bdren.zoom.us/j/8428351030?pwd=7kfJZ1PoRiAzd0aKSn3l28Yuta2D1P.1&amp;omn=92475321723"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2A44"/>
    <pageSetUpPr fitToPage="1"/>
  </sheetPr>
  <sheetViews>
    <sheetView showGridLines="0" workbookViewId="0"/>
  </sheetViews>
  <sheetFormatPr customHeight="1" defaultColWidth="12.63" defaultRowHeight="15.0"/>
  <cols>
    <col customWidth="1" min="1" max="1" width="2.88"/>
    <col customWidth="1" hidden="1" min="2" max="2" width="28.13"/>
    <col customWidth="1" min="3" max="3" width="33.88"/>
    <col customWidth="1" min="4" max="4" width="14.0"/>
    <col customWidth="1" min="5" max="5" width="13.0"/>
    <col customWidth="1" min="6" max="6" width="14.0"/>
    <col customWidth="1" min="7" max="7" width="3.0"/>
    <col customWidth="1" min="8" max="8" width="25.63"/>
    <col customWidth="1" min="9" max="9" width="14.0"/>
    <col customWidth="1" min="10" max="26" width="9.13"/>
  </cols>
  <sheetData>
    <row r="1" ht="12.75" customHeight="1">
      <c r="A1" s="1"/>
      <c r="B1" s="1"/>
      <c r="C1" s="3" t="s">
        <v>1</v>
      </c>
      <c r="D1" s="4"/>
      <c r="E1" s="4"/>
      <c r="F1" s="4"/>
      <c r="G1" s="4"/>
      <c r="H1" s="4"/>
      <c r="I1" s="4"/>
      <c r="J1" s="1"/>
      <c r="K1" s="1"/>
      <c r="L1" s="1"/>
      <c r="M1" s="1"/>
      <c r="N1" s="1"/>
      <c r="O1" s="1"/>
      <c r="P1" s="1"/>
      <c r="Q1" s="1"/>
      <c r="R1" s="1"/>
      <c r="S1" s="1"/>
      <c r="T1" s="1"/>
      <c r="U1" s="1"/>
      <c r="V1" s="1"/>
      <c r="W1" s="1"/>
      <c r="X1" s="1"/>
      <c r="Y1" s="1"/>
      <c r="Z1" s="1"/>
    </row>
    <row r="2" ht="12.75" customHeight="1">
      <c r="A2" s="1"/>
      <c r="B2" s="1"/>
      <c r="C2" s="1" t="s">
        <v>13</v>
      </c>
      <c r="D2" s="10">
        <v>97.0</v>
      </c>
      <c r="E2" s="11"/>
      <c r="F2" s="11"/>
      <c r="G2" s="11"/>
      <c r="H2" s="11"/>
      <c r="I2" s="12"/>
      <c r="J2" s="1"/>
      <c r="K2" s="1"/>
      <c r="L2" s="1"/>
      <c r="M2" s="1"/>
      <c r="N2" s="1"/>
      <c r="O2" s="1"/>
      <c r="P2" s="1"/>
      <c r="Q2" s="1"/>
      <c r="R2" s="1"/>
      <c r="S2" s="1"/>
      <c r="T2" s="1"/>
      <c r="U2" s="1"/>
      <c r="V2" s="1"/>
      <c r="W2" s="1"/>
      <c r="X2" s="1"/>
      <c r="Y2" s="1"/>
      <c r="Z2" s="1"/>
    </row>
    <row r="3" ht="12.75" customHeight="1">
      <c r="A3" s="1"/>
      <c r="B3" s="1"/>
      <c r="C3" s="1" t="s">
        <v>20</v>
      </c>
      <c r="D3" s="21">
        <f>D2*0.9</f>
        <v>87.3</v>
      </c>
      <c r="J3" s="1"/>
      <c r="K3" s="1"/>
      <c r="L3" s="1"/>
      <c r="M3" s="1"/>
      <c r="N3" s="1"/>
      <c r="O3" s="1"/>
      <c r="P3" s="1"/>
      <c r="Q3" s="1"/>
      <c r="R3" s="1"/>
      <c r="S3" s="1"/>
      <c r="T3" s="1"/>
      <c r="U3" s="1"/>
      <c r="V3" s="1"/>
      <c r="W3" s="1"/>
      <c r="X3" s="1"/>
      <c r="Y3" s="1"/>
      <c r="Z3" s="1"/>
    </row>
    <row r="4" ht="12.75" customHeight="1">
      <c r="A4" s="1"/>
      <c r="B4" s="1"/>
      <c r="C4" s="1" t="s">
        <v>36</v>
      </c>
      <c r="D4" s="10">
        <v>30.0</v>
      </c>
      <c r="E4" s="11"/>
      <c r="F4" s="11"/>
      <c r="G4" s="11"/>
      <c r="H4" s="11"/>
      <c r="I4" s="12"/>
      <c r="J4" s="1"/>
      <c r="K4" s="1"/>
      <c r="L4" s="1"/>
      <c r="M4" s="1"/>
      <c r="N4" s="1"/>
      <c r="O4" s="1"/>
      <c r="P4" s="1"/>
      <c r="Q4" s="1"/>
      <c r="R4" s="1"/>
      <c r="S4" s="1"/>
      <c r="T4" s="1"/>
      <c r="U4" s="1"/>
      <c r="V4" s="1"/>
      <c r="W4" s="1"/>
      <c r="X4" s="1"/>
      <c r="Y4" s="1"/>
      <c r="Z4" s="1"/>
    </row>
    <row r="5" ht="12.75" customHeight="1">
      <c r="A5" s="1"/>
      <c r="B5" s="1"/>
      <c r="C5" s="1" t="s">
        <v>40</v>
      </c>
      <c r="D5" s="10">
        <v>40.0</v>
      </c>
      <c r="E5" s="11"/>
      <c r="F5" s="11"/>
      <c r="G5" s="11"/>
      <c r="H5" s="11"/>
      <c r="I5" s="12"/>
      <c r="J5" s="1"/>
      <c r="K5" s="1"/>
      <c r="L5" s="1"/>
      <c r="M5" s="1"/>
      <c r="N5" s="1"/>
      <c r="O5" s="1"/>
      <c r="P5" s="1"/>
      <c r="Q5" s="1"/>
      <c r="R5" s="1"/>
      <c r="S5" s="1"/>
      <c r="T5" s="1"/>
      <c r="U5" s="1"/>
      <c r="V5" s="1"/>
      <c r="W5" s="1"/>
      <c r="X5" s="1"/>
      <c r="Y5" s="1"/>
      <c r="Z5" s="1"/>
    </row>
    <row r="6" ht="12.75" customHeight="1">
      <c r="A6" s="1"/>
      <c r="B6" s="1"/>
      <c r="C6" s="1" t="s">
        <v>44</v>
      </c>
      <c r="D6" s="21">
        <f>2*D3/6</f>
        <v>29.1</v>
      </c>
      <c r="J6" s="1"/>
      <c r="K6" s="1"/>
      <c r="L6" s="1"/>
      <c r="M6" s="1"/>
      <c r="N6" s="1"/>
      <c r="O6" s="1"/>
      <c r="P6" s="1"/>
      <c r="Q6" s="1"/>
      <c r="R6" s="1"/>
      <c r="S6" s="1"/>
      <c r="T6" s="1"/>
      <c r="U6" s="1"/>
      <c r="V6" s="1"/>
      <c r="W6" s="1"/>
      <c r="X6" s="1"/>
      <c r="Y6" s="1"/>
      <c r="Z6" s="1"/>
    </row>
    <row r="7" ht="12.75" customHeight="1">
      <c r="A7" s="1"/>
      <c r="B7" s="1"/>
      <c r="C7" s="1" t="s">
        <v>50</v>
      </c>
      <c r="D7" s="10">
        <v>20.0</v>
      </c>
      <c r="E7" s="11"/>
      <c r="F7" s="11"/>
      <c r="G7" s="11"/>
      <c r="H7" s="11"/>
      <c r="I7" s="12"/>
      <c r="J7" s="1"/>
      <c r="K7" s="1"/>
      <c r="L7" s="1"/>
      <c r="M7" s="1"/>
      <c r="N7" s="1"/>
      <c r="O7" s="1"/>
      <c r="P7" s="1"/>
      <c r="Q7" s="1"/>
      <c r="R7" s="1"/>
      <c r="S7" s="1"/>
      <c r="T7" s="1"/>
      <c r="U7" s="1"/>
      <c r="V7" s="1"/>
      <c r="W7" s="1"/>
      <c r="X7" s="1"/>
      <c r="Y7" s="1"/>
      <c r="Z7" s="1"/>
    </row>
    <row r="8" ht="12.75" customHeight="1">
      <c r="A8" s="1"/>
      <c r="B8" s="1"/>
      <c r="C8" s="1" t="s">
        <v>53</v>
      </c>
      <c r="D8" s="10">
        <v>10.0</v>
      </c>
      <c r="E8" s="11"/>
      <c r="F8" s="11"/>
      <c r="G8" s="11"/>
      <c r="H8" s="11"/>
      <c r="I8" s="12"/>
      <c r="J8" s="1"/>
      <c r="K8" s="1"/>
      <c r="L8" s="1"/>
      <c r="M8" s="1"/>
      <c r="N8" s="1"/>
      <c r="O8" s="1"/>
      <c r="P8" s="1"/>
      <c r="Q8" s="1"/>
      <c r="R8" s="1"/>
      <c r="S8" s="1"/>
      <c r="T8" s="1"/>
      <c r="U8" s="1"/>
      <c r="V8" s="1"/>
      <c r="W8" s="1"/>
      <c r="X8" s="1"/>
      <c r="Y8" s="1"/>
      <c r="Z8" s="1"/>
    </row>
    <row r="9" ht="12.75" customHeight="1">
      <c r="A9" s="1"/>
      <c r="B9" s="1"/>
      <c r="C9" s="36" t="s">
        <v>58</v>
      </c>
      <c r="D9" s="38">
        <v>124.0</v>
      </c>
      <c r="E9" s="39"/>
      <c r="F9" s="39"/>
      <c r="G9" s="39"/>
      <c r="H9" s="39"/>
      <c r="I9" s="40"/>
      <c r="J9" s="1"/>
      <c r="K9" s="1"/>
      <c r="L9" s="1"/>
      <c r="M9" s="1"/>
      <c r="N9" s="1"/>
      <c r="O9" s="1"/>
      <c r="P9" s="1"/>
      <c r="Q9" s="1"/>
      <c r="R9" s="1"/>
      <c r="S9" s="1"/>
      <c r="T9" s="1"/>
      <c r="U9" s="1"/>
      <c r="V9" s="1"/>
      <c r="W9" s="1"/>
      <c r="X9" s="1"/>
      <c r="Y9" s="1"/>
      <c r="Z9" s="1"/>
    </row>
    <row r="10" ht="12.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2.75" customHeight="1">
      <c r="A11" s="1"/>
      <c r="B11" s="1"/>
      <c r="C11" s="24" t="s">
        <v>74</v>
      </c>
      <c r="D11" s="26"/>
      <c r="E11" s="26"/>
      <c r="F11" s="26"/>
      <c r="G11" s="1"/>
      <c r="H11" s="24" t="s">
        <v>80</v>
      </c>
      <c r="I11" s="26"/>
      <c r="J11" s="1"/>
      <c r="K11" s="1"/>
      <c r="L11" s="1"/>
      <c r="M11" s="1"/>
      <c r="N11" s="1"/>
      <c r="O11" s="1"/>
      <c r="P11" s="1"/>
      <c r="Q11" s="1"/>
      <c r="R11" s="1"/>
      <c r="S11" s="1"/>
      <c r="T11" s="1"/>
      <c r="U11" s="1"/>
      <c r="V11" s="1"/>
      <c r="W11" s="1"/>
      <c r="X11" s="1"/>
      <c r="Y11" s="1"/>
      <c r="Z11" s="1"/>
    </row>
    <row r="12" ht="12.75" customHeight="1">
      <c r="A12" s="1"/>
      <c r="B12" s="2" t="s">
        <v>84</v>
      </c>
      <c r="C12" s="2" t="s">
        <v>85</v>
      </c>
      <c r="D12" s="2" t="s">
        <v>86</v>
      </c>
      <c r="E12" s="2" t="s">
        <v>87</v>
      </c>
      <c r="F12" s="2" t="s">
        <v>88</v>
      </c>
      <c r="G12" s="44"/>
      <c r="H12" s="2" t="s">
        <v>85</v>
      </c>
      <c r="I12" s="2" t="s">
        <v>94</v>
      </c>
      <c r="J12" s="1"/>
      <c r="K12" s="1"/>
      <c r="L12" s="1"/>
      <c r="M12" s="1"/>
      <c r="N12" s="1"/>
      <c r="O12" s="1"/>
      <c r="P12" s="1"/>
      <c r="Q12" s="1"/>
      <c r="R12" s="1"/>
      <c r="S12" s="1"/>
      <c r="T12" s="1"/>
      <c r="U12" s="1"/>
      <c r="V12" s="1"/>
      <c r="W12" s="1"/>
      <c r="X12" s="1"/>
      <c r="Y12" s="1"/>
      <c r="Z12" s="1"/>
    </row>
    <row r="13" ht="12.75" customHeight="1">
      <c r="A13" s="1"/>
      <c r="B13" s="1" t="s">
        <v>98</v>
      </c>
      <c r="C13" s="1" t="s">
        <v>99</v>
      </c>
      <c r="D13" s="1">
        <f>1450*D9</f>
        <v>179800</v>
      </c>
      <c r="E13" s="1">
        <v>1.0</v>
      </c>
      <c r="F13" s="1">
        <f t="shared" ref="F13:F21" si="1">D13*E13</f>
        <v>179800</v>
      </c>
      <c r="G13" s="1"/>
      <c r="H13" s="1" t="s">
        <v>103</v>
      </c>
      <c r="I13" s="1">
        <v>0.0</v>
      </c>
      <c r="J13" s="1"/>
      <c r="K13" s="1"/>
      <c r="L13" s="1"/>
      <c r="M13" s="1"/>
      <c r="N13" s="1"/>
      <c r="O13" s="1"/>
      <c r="P13" s="1"/>
      <c r="Q13" s="1"/>
      <c r="R13" s="1"/>
      <c r="S13" s="1"/>
      <c r="T13" s="1"/>
      <c r="U13" s="1"/>
      <c r="V13" s="1"/>
      <c r="W13" s="1"/>
      <c r="X13" s="1"/>
      <c r="Y13" s="1"/>
      <c r="Z13" s="1"/>
    </row>
    <row r="14" ht="12.75" customHeight="1">
      <c r="A14" s="1"/>
      <c r="B14" s="1" t="s">
        <v>98</v>
      </c>
      <c r="C14" s="1" t="s">
        <v>108</v>
      </c>
      <c r="D14" s="1">
        <f>22*D9</f>
        <v>2728</v>
      </c>
      <c r="E14" s="1">
        <f>D3</f>
        <v>87.3</v>
      </c>
      <c r="F14" s="1">
        <f t="shared" si="1"/>
        <v>238154.4</v>
      </c>
      <c r="G14" s="1"/>
      <c r="H14" s="1" t="s">
        <v>114</v>
      </c>
      <c r="I14" s="1">
        <f>8000*D3*0.95</f>
        <v>663480</v>
      </c>
      <c r="J14" s="1"/>
      <c r="K14" s="1"/>
      <c r="L14" s="1"/>
      <c r="M14" s="1"/>
      <c r="N14" s="1"/>
      <c r="O14" s="1"/>
      <c r="P14" s="1"/>
      <c r="Q14" s="1"/>
      <c r="R14" s="1"/>
      <c r="S14" s="1"/>
      <c r="T14" s="1"/>
      <c r="U14" s="1"/>
      <c r="V14" s="1"/>
      <c r="W14" s="1"/>
      <c r="X14" s="1"/>
      <c r="Y14" s="1"/>
      <c r="Z14" s="1"/>
    </row>
    <row r="15" ht="12.75" customHeight="1">
      <c r="A15" s="1"/>
      <c r="B15" s="1" t="s">
        <v>124</v>
      </c>
      <c r="C15" s="1" t="s">
        <v>125</v>
      </c>
      <c r="D15" s="1">
        <v>780.0</v>
      </c>
      <c r="E15" s="1">
        <v>225.0</v>
      </c>
      <c r="F15" s="1">
        <f t="shared" si="1"/>
        <v>175500</v>
      </c>
      <c r="G15" s="1"/>
      <c r="H15" s="1" t="s">
        <v>126</v>
      </c>
      <c r="I15" s="1">
        <f>180*D9*D3*0.05</f>
        <v>97426.8</v>
      </c>
      <c r="J15" s="1"/>
      <c r="K15" s="1"/>
      <c r="L15" s="1"/>
      <c r="M15" s="1"/>
      <c r="N15" s="1"/>
      <c r="O15" s="1"/>
      <c r="P15" s="1"/>
      <c r="Q15" s="1"/>
      <c r="R15" s="1"/>
      <c r="S15" s="1"/>
      <c r="T15" s="1"/>
      <c r="U15" s="1"/>
      <c r="V15" s="1"/>
      <c r="W15" s="1"/>
      <c r="X15" s="1"/>
      <c r="Y15" s="1"/>
      <c r="Z15" s="1"/>
    </row>
    <row r="16" ht="12.75" customHeight="1">
      <c r="A16" s="1"/>
      <c r="B16" s="1" t="s">
        <v>124</v>
      </c>
      <c r="C16" s="1" t="s">
        <v>134</v>
      </c>
      <c r="D16" s="1">
        <v>400.0</v>
      </c>
      <c r="E16" s="1">
        <v>100.0</v>
      </c>
      <c r="F16" s="1">
        <f t="shared" si="1"/>
        <v>40000</v>
      </c>
      <c r="G16" s="1"/>
      <c r="H16" s="1" t="s">
        <v>139</v>
      </c>
      <c r="I16" s="1">
        <v>50000.0</v>
      </c>
      <c r="J16" s="1"/>
      <c r="K16" s="1"/>
      <c r="L16" s="1"/>
      <c r="M16" s="1"/>
      <c r="N16" s="1"/>
      <c r="O16" s="1"/>
      <c r="P16" s="1"/>
      <c r="Q16" s="1"/>
      <c r="R16" s="1"/>
      <c r="S16" s="1"/>
      <c r="T16" s="1"/>
      <c r="U16" s="1"/>
      <c r="V16" s="1"/>
      <c r="W16" s="1"/>
      <c r="X16" s="1"/>
      <c r="Y16" s="1"/>
      <c r="Z16" s="1"/>
    </row>
    <row r="17" ht="12.75" customHeight="1">
      <c r="A17" s="1"/>
      <c r="B17" s="1" t="s">
        <v>124</v>
      </c>
      <c r="C17" s="1" t="s">
        <v>142</v>
      </c>
      <c r="D17" s="1">
        <v>60.0</v>
      </c>
      <c r="E17" s="1">
        <v>150.0</v>
      </c>
      <c r="F17" s="1">
        <f t="shared" si="1"/>
        <v>9000</v>
      </c>
      <c r="G17" s="1"/>
      <c r="H17" s="1" t="s">
        <v>143</v>
      </c>
      <c r="I17" s="1">
        <v>100000.0</v>
      </c>
      <c r="J17" s="1"/>
      <c r="K17" s="1"/>
      <c r="L17" s="1"/>
      <c r="M17" s="1"/>
      <c r="N17" s="1"/>
      <c r="O17" s="1"/>
      <c r="P17" s="1"/>
      <c r="Q17" s="1"/>
      <c r="R17" s="1"/>
      <c r="S17" s="1"/>
      <c r="T17" s="1"/>
      <c r="U17" s="1"/>
      <c r="V17" s="1"/>
      <c r="W17" s="1"/>
      <c r="X17" s="1"/>
      <c r="Y17" s="1"/>
      <c r="Z17" s="1"/>
    </row>
    <row r="18" ht="12.75" customHeight="1">
      <c r="A18" s="1"/>
      <c r="B18" s="1" t="s">
        <v>150</v>
      </c>
      <c r="C18" s="1" t="s">
        <v>151</v>
      </c>
      <c r="D18" s="1">
        <v>550.0</v>
      </c>
      <c r="E18" s="1">
        <f>0.8*(D3+D4+D5+D6+D7+20)</f>
        <v>181.12</v>
      </c>
      <c r="F18" s="1">
        <f t="shared" si="1"/>
        <v>99616</v>
      </c>
      <c r="G18" s="1"/>
      <c r="H18" s="1" t="s">
        <v>160</v>
      </c>
      <c r="I18" s="1">
        <v>0.0</v>
      </c>
      <c r="J18" s="1"/>
      <c r="K18" s="1"/>
      <c r="L18" s="1"/>
      <c r="M18" s="1"/>
      <c r="N18" s="1"/>
      <c r="O18" s="1"/>
      <c r="P18" s="1"/>
      <c r="Q18" s="1"/>
      <c r="R18" s="1"/>
      <c r="S18" s="1"/>
      <c r="T18" s="1"/>
      <c r="U18" s="1"/>
      <c r="V18" s="1"/>
      <c r="W18" s="1"/>
      <c r="X18" s="1"/>
      <c r="Y18" s="1"/>
      <c r="Z18" s="1"/>
    </row>
    <row r="19" ht="12.75" customHeight="1">
      <c r="A19" s="1"/>
      <c r="B19" s="1" t="s">
        <v>124</v>
      </c>
      <c r="C19" s="1" t="s">
        <v>162</v>
      </c>
      <c r="D19" s="1">
        <v>450.0</v>
      </c>
      <c r="E19" s="1">
        <f>D6+0.5*D5</f>
        <v>49.1</v>
      </c>
      <c r="F19" s="1">
        <f t="shared" si="1"/>
        <v>22095</v>
      </c>
      <c r="G19" s="1"/>
      <c r="H19" s="1"/>
      <c r="I19" s="1"/>
      <c r="J19" s="1"/>
      <c r="K19" s="1"/>
      <c r="L19" s="1"/>
      <c r="M19" s="1"/>
      <c r="N19" s="1"/>
      <c r="O19" s="1"/>
      <c r="P19" s="1"/>
      <c r="Q19" s="1"/>
      <c r="R19" s="1"/>
      <c r="S19" s="1"/>
      <c r="T19" s="1"/>
      <c r="U19" s="1"/>
      <c r="V19" s="1"/>
      <c r="W19" s="1"/>
      <c r="X19" s="1"/>
      <c r="Y19" s="1"/>
      <c r="Z19" s="1"/>
    </row>
    <row r="20" ht="12.75" customHeight="1">
      <c r="A20" s="1"/>
      <c r="B20" s="1" t="s">
        <v>124</v>
      </c>
      <c r="C20" s="1" t="s">
        <v>173</v>
      </c>
      <c r="D20" s="1">
        <v>1400.0</v>
      </c>
      <c r="E20" s="1">
        <v>10.0</v>
      </c>
      <c r="F20" s="1">
        <f t="shared" si="1"/>
        <v>14000</v>
      </c>
      <c r="G20" s="1"/>
      <c r="H20" s="1"/>
      <c r="I20" s="1"/>
      <c r="J20" s="1"/>
      <c r="K20" s="1"/>
      <c r="L20" s="1"/>
      <c r="M20" s="1"/>
      <c r="N20" s="1"/>
      <c r="O20" s="1"/>
      <c r="P20" s="1"/>
      <c r="Q20" s="1"/>
      <c r="R20" s="1"/>
      <c r="S20" s="1"/>
      <c r="T20" s="1"/>
      <c r="U20" s="1"/>
      <c r="V20" s="1"/>
      <c r="W20" s="1"/>
      <c r="X20" s="1"/>
      <c r="Y20" s="1"/>
      <c r="Z20" s="1"/>
    </row>
    <row r="21" ht="12.75" customHeight="1">
      <c r="A21" s="1"/>
      <c r="B21" s="1" t="s">
        <v>124</v>
      </c>
      <c r="C21" s="1" t="s">
        <v>174</v>
      </c>
      <c r="D21" s="1">
        <v>90.0</v>
      </c>
      <c r="E21" s="1">
        <v>130.0</v>
      </c>
      <c r="F21" s="1">
        <f t="shared" si="1"/>
        <v>11700</v>
      </c>
      <c r="G21" s="1"/>
      <c r="H21" s="1"/>
      <c r="I21" s="1"/>
      <c r="J21" s="1"/>
      <c r="K21" s="1"/>
      <c r="L21" s="1"/>
      <c r="M21" s="1"/>
      <c r="N21" s="1"/>
      <c r="O21" s="1"/>
      <c r="P21" s="1"/>
      <c r="Q21" s="1"/>
      <c r="R21" s="1"/>
      <c r="S21" s="1"/>
      <c r="T21" s="1"/>
      <c r="U21" s="1"/>
      <c r="V21" s="1"/>
      <c r="W21" s="1"/>
      <c r="X21" s="1"/>
      <c r="Y21" s="1"/>
      <c r="Z21" s="1"/>
    </row>
    <row r="22" ht="12.75" customHeight="1">
      <c r="A22" s="1"/>
      <c r="B22" s="1" t="s">
        <v>150</v>
      </c>
      <c r="C22" s="1" t="s">
        <v>179</v>
      </c>
      <c r="D22" s="1"/>
      <c r="E22" s="1"/>
      <c r="F22" s="1">
        <v>20000.0</v>
      </c>
      <c r="G22" s="1"/>
      <c r="H22" s="1"/>
      <c r="I22" s="1"/>
      <c r="J22" s="1"/>
      <c r="K22" s="1"/>
      <c r="L22" s="1"/>
      <c r="M22" s="1"/>
      <c r="N22" s="1"/>
      <c r="O22" s="1"/>
      <c r="P22" s="1"/>
      <c r="Q22" s="1"/>
      <c r="R22" s="1"/>
      <c r="S22" s="1"/>
      <c r="T22" s="1"/>
      <c r="U22" s="1"/>
      <c r="V22" s="1"/>
      <c r="W22" s="1"/>
      <c r="X22" s="1"/>
      <c r="Y22" s="1"/>
      <c r="Z22" s="1"/>
    </row>
    <row r="23" ht="12.75" customHeight="1">
      <c r="A23" s="1"/>
      <c r="B23" s="1" t="s">
        <v>150</v>
      </c>
      <c r="C23" s="1" t="s">
        <v>180</v>
      </c>
      <c r="D23" s="1">
        <v>200.0</v>
      </c>
      <c r="E23" s="1">
        <f>D3+D4+D5+D6+D7+20</f>
        <v>226.4</v>
      </c>
      <c r="F23" s="1">
        <f>D23*E23</f>
        <v>45280</v>
      </c>
      <c r="G23" s="1"/>
      <c r="H23" s="1"/>
      <c r="I23" s="1"/>
      <c r="J23" s="1"/>
      <c r="K23" s="1"/>
      <c r="L23" s="1"/>
      <c r="M23" s="1"/>
      <c r="N23" s="1"/>
      <c r="O23" s="1"/>
      <c r="P23" s="1"/>
      <c r="Q23" s="1"/>
      <c r="R23" s="1"/>
      <c r="S23" s="1"/>
      <c r="T23" s="1"/>
      <c r="U23" s="1"/>
      <c r="V23" s="1"/>
      <c r="W23" s="1"/>
      <c r="X23" s="1"/>
      <c r="Y23" s="1"/>
      <c r="Z23" s="1"/>
    </row>
    <row r="24" ht="12.75" customHeight="1">
      <c r="A24" s="1"/>
      <c r="B24" s="1" t="s">
        <v>124</v>
      </c>
      <c r="C24" s="1" t="s">
        <v>191</v>
      </c>
      <c r="D24" s="1"/>
      <c r="E24" s="1"/>
      <c r="F24" s="1">
        <v>20000.0</v>
      </c>
      <c r="G24" s="1"/>
      <c r="H24" s="1"/>
      <c r="I24" s="1"/>
      <c r="J24" s="1"/>
      <c r="K24" s="1"/>
      <c r="L24" s="1"/>
      <c r="M24" s="1"/>
      <c r="N24" s="1"/>
      <c r="O24" s="1"/>
      <c r="P24" s="1"/>
      <c r="Q24" s="1"/>
      <c r="R24" s="1"/>
      <c r="S24" s="1"/>
      <c r="T24" s="1"/>
      <c r="U24" s="1"/>
      <c r="V24" s="1"/>
      <c r="W24" s="1"/>
      <c r="X24" s="1"/>
      <c r="Y24" s="1"/>
      <c r="Z24" s="1"/>
    </row>
    <row r="25" ht="12.75" customHeight="1">
      <c r="A25" s="1"/>
      <c r="B25" s="1" t="s">
        <v>124</v>
      </c>
      <c r="C25" s="1" t="s">
        <v>192</v>
      </c>
      <c r="D25" s="1"/>
      <c r="E25" s="1"/>
      <c r="F25" s="1">
        <v>30000.0</v>
      </c>
      <c r="G25" s="1"/>
      <c r="H25" s="1"/>
      <c r="I25" s="1"/>
      <c r="J25" s="1"/>
      <c r="K25" s="1"/>
      <c r="L25" s="1"/>
      <c r="M25" s="1"/>
      <c r="N25" s="1"/>
      <c r="O25" s="1"/>
      <c r="P25" s="1"/>
      <c r="Q25" s="1"/>
      <c r="R25" s="1"/>
      <c r="S25" s="1"/>
      <c r="T25" s="1"/>
      <c r="U25" s="1"/>
      <c r="V25" s="1"/>
      <c r="W25" s="1"/>
      <c r="X25" s="1"/>
      <c r="Y25" s="1"/>
      <c r="Z25" s="1"/>
    </row>
    <row r="26" ht="12.75" customHeight="1">
      <c r="A26" s="1"/>
      <c r="B26" s="1"/>
      <c r="C26" s="1" t="s">
        <v>193</v>
      </c>
      <c r="D26" s="1"/>
      <c r="E26" s="1"/>
      <c r="F26" s="1">
        <v>5000.0</v>
      </c>
      <c r="G26" s="1"/>
      <c r="H26" s="1"/>
      <c r="I26" s="1"/>
      <c r="J26" s="1"/>
      <c r="K26" s="1"/>
      <c r="L26" s="1"/>
      <c r="M26" s="1"/>
      <c r="N26" s="1"/>
      <c r="O26" s="1"/>
      <c r="P26" s="1"/>
      <c r="Q26" s="1"/>
      <c r="R26" s="1"/>
      <c r="S26" s="1"/>
      <c r="T26" s="1"/>
      <c r="U26" s="1"/>
      <c r="V26" s="1"/>
      <c r="W26" s="1"/>
      <c r="X26" s="1"/>
      <c r="Y26" s="1"/>
      <c r="Z26" s="1"/>
    </row>
    <row r="27" ht="12.75" customHeight="1">
      <c r="A27" s="1"/>
      <c r="B27" s="52" t="s">
        <v>194</v>
      </c>
      <c r="C27" s="54" t="s">
        <v>196</v>
      </c>
      <c r="D27" s="54"/>
      <c r="E27" s="54"/>
      <c r="F27" s="54">
        <v>5000.0</v>
      </c>
      <c r="G27" s="54"/>
      <c r="H27" s="54"/>
      <c r="I27" s="54"/>
      <c r="J27" s="1"/>
      <c r="K27" s="1"/>
      <c r="L27" s="1"/>
      <c r="M27" s="1"/>
      <c r="N27" s="1"/>
      <c r="O27" s="1"/>
      <c r="P27" s="1"/>
      <c r="Q27" s="1"/>
      <c r="R27" s="1"/>
      <c r="S27" s="1"/>
      <c r="T27" s="1"/>
      <c r="U27" s="1"/>
      <c r="V27" s="1"/>
      <c r="W27" s="1"/>
      <c r="X27" s="1"/>
      <c r="Y27" s="1"/>
      <c r="Z27" s="1"/>
    </row>
    <row r="28" ht="12.75" customHeight="1">
      <c r="A28" s="1"/>
      <c r="B28" s="1"/>
      <c r="C28" s="55"/>
      <c r="D28" s="55"/>
      <c r="E28" s="56"/>
      <c r="F28" s="56">
        <f>SUM(F13:F27)</f>
        <v>915145.4</v>
      </c>
      <c r="G28" s="56"/>
      <c r="H28" s="56"/>
      <c r="I28" s="56">
        <f>SUM(I13:I27)</f>
        <v>910906.8</v>
      </c>
      <c r="J28" s="1"/>
      <c r="K28" s="1"/>
      <c r="L28" s="1"/>
      <c r="M28" s="1"/>
      <c r="N28" s="1"/>
      <c r="O28" s="1"/>
      <c r="P28" s="1"/>
      <c r="Q28" s="1"/>
      <c r="R28" s="1"/>
      <c r="S28" s="1"/>
      <c r="T28" s="1"/>
      <c r="U28" s="1"/>
      <c r="V28" s="1"/>
      <c r="W28" s="1"/>
      <c r="X28" s="1"/>
      <c r="Y28" s="1"/>
      <c r="Z28" s="1"/>
    </row>
    <row r="29" ht="12.75" customHeight="1">
      <c r="A29" s="1"/>
      <c r="B29" s="27" t="s">
        <v>124</v>
      </c>
      <c r="C29" s="27" t="s">
        <v>198</v>
      </c>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27" t="s">
        <v>199</v>
      </c>
      <c r="C30" s="27" t="s">
        <v>200</v>
      </c>
      <c r="D30" s="1"/>
      <c r="E30" s="1"/>
      <c r="F30" s="1"/>
      <c r="G30" s="1"/>
      <c r="H30" s="57" t="s">
        <v>201</v>
      </c>
      <c r="I30" s="56">
        <f>I28-F28</f>
        <v>-4238.6</v>
      </c>
      <c r="J30" s="1"/>
      <c r="K30" s="1"/>
      <c r="L30" s="1"/>
      <c r="M30" s="1"/>
      <c r="N30" s="1"/>
      <c r="O30" s="1"/>
      <c r="P30" s="1"/>
      <c r="Q30" s="1"/>
      <c r="R30" s="1"/>
      <c r="S30" s="1"/>
      <c r="T30" s="1"/>
      <c r="U30" s="1"/>
      <c r="V30" s="1"/>
      <c r="W30" s="1"/>
      <c r="X30" s="1"/>
      <c r="Y30" s="1"/>
      <c r="Z30" s="1"/>
    </row>
    <row r="31" ht="12.75" customHeight="1">
      <c r="A31" s="1"/>
      <c r="B31" s="27" t="s">
        <v>124</v>
      </c>
      <c r="C31" s="27" t="s">
        <v>202</v>
      </c>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27" t="s">
        <v>124</v>
      </c>
      <c r="C32" s="27" t="s">
        <v>203</v>
      </c>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27" t="s">
        <v>124</v>
      </c>
      <c r="C33" s="27" t="s">
        <v>204</v>
      </c>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1">
    <mergeCell ref="D8:I8"/>
    <mergeCell ref="D9:I9"/>
    <mergeCell ref="C11:F11"/>
    <mergeCell ref="H11:I11"/>
    <mergeCell ref="C1:I1"/>
    <mergeCell ref="D2:I2"/>
    <mergeCell ref="D3:I3"/>
    <mergeCell ref="D4:I4"/>
    <mergeCell ref="D5:I5"/>
    <mergeCell ref="D6:I6"/>
    <mergeCell ref="D7:I7"/>
  </mergeCells>
  <printOptions/>
  <pageMargins bottom="0.75" footer="0.0" header="0.0" left="0.7" right="0.7" top="0.75"/>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2A44"/>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82.5"/>
    <col customWidth="1" min="2" max="2" width="11.88"/>
    <col customWidth="1" min="3" max="3" width="47.75"/>
    <col customWidth="1" min="4" max="4" width="18.63"/>
    <col customWidth="1" min="5" max="24" width="9.13"/>
  </cols>
  <sheetData>
    <row r="1">
      <c r="A1" s="2" t="s">
        <v>0</v>
      </c>
      <c r="B1" s="2" t="s">
        <v>3</v>
      </c>
      <c r="C1" s="2" t="s">
        <v>5</v>
      </c>
      <c r="D1" s="2" t="s">
        <v>11</v>
      </c>
      <c r="E1" s="8"/>
      <c r="F1" s="8"/>
      <c r="G1" s="8"/>
      <c r="H1" s="8"/>
      <c r="I1" s="8"/>
      <c r="J1" s="8"/>
      <c r="K1" s="8"/>
      <c r="L1" s="8"/>
      <c r="M1" s="8"/>
      <c r="N1" s="8"/>
      <c r="O1" s="8"/>
      <c r="P1" s="8"/>
      <c r="Q1" s="8"/>
      <c r="R1" s="8"/>
      <c r="S1" s="8"/>
      <c r="T1" s="8"/>
      <c r="U1" s="8"/>
      <c r="V1" s="8"/>
      <c r="W1" s="8"/>
      <c r="X1" s="8"/>
      <c r="Y1" s="8"/>
      <c r="Z1" s="8"/>
    </row>
    <row r="2">
      <c r="A2" s="13" t="s">
        <v>19</v>
      </c>
      <c r="B2" s="15" t="s">
        <v>22</v>
      </c>
      <c r="C2" s="17" t="s">
        <v>27</v>
      </c>
      <c r="D2" s="19" t="s">
        <v>28</v>
      </c>
      <c r="E2" s="8"/>
      <c r="F2" s="8"/>
      <c r="G2" s="8"/>
      <c r="H2" s="8"/>
      <c r="I2" s="8"/>
      <c r="J2" s="8"/>
      <c r="K2" s="8"/>
      <c r="L2" s="8"/>
      <c r="M2" s="8"/>
      <c r="N2" s="8"/>
      <c r="O2" s="8"/>
      <c r="P2" s="8"/>
      <c r="Q2" s="8"/>
      <c r="R2" s="8"/>
      <c r="S2" s="8"/>
      <c r="T2" s="8"/>
      <c r="U2" s="8"/>
      <c r="V2" s="8"/>
      <c r="W2" s="8"/>
      <c r="X2" s="8"/>
      <c r="Y2" s="8"/>
      <c r="Z2" s="8"/>
    </row>
    <row r="3">
      <c r="A3" s="13" t="s">
        <v>19</v>
      </c>
      <c r="B3" s="15" t="s">
        <v>30</v>
      </c>
      <c r="C3" s="17" t="s">
        <v>31</v>
      </c>
      <c r="D3" s="19" t="s">
        <v>32</v>
      </c>
      <c r="E3" s="8"/>
      <c r="F3" s="8"/>
      <c r="G3" s="8"/>
      <c r="H3" s="8"/>
      <c r="I3" s="8"/>
      <c r="J3" s="8"/>
      <c r="K3" s="8"/>
      <c r="L3" s="8"/>
      <c r="M3" s="8"/>
      <c r="N3" s="8"/>
      <c r="O3" s="8"/>
      <c r="P3" s="8"/>
      <c r="Q3" s="8"/>
      <c r="R3" s="8"/>
      <c r="S3" s="8"/>
      <c r="T3" s="8"/>
      <c r="U3" s="8"/>
      <c r="V3" s="8"/>
      <c r="W3" s="8"/>
      <c r="X3" s="8"/>
      <c r="Y3" s="8"/>
      <c r="Z3" s="8"/>
    </row>
    <row r="4">
      <c r="A4" s="22" t="s">
        <v>33</v>
      </c>
      <c r="B4" s="23" t="s">
        <v>34</v>
      </c>
      <c r="C4" s="22" t="s">
        <v>37</v>
      </c>
      <c r="D4" s="19" t="s">
        <v>38</v>
      </c>
      <c r="E4" s="8"/>
      <c r="F4" s="8"/>
      <c r="G4" s="8"/>
      <c r="H4" s="8"/>
      <c r="I4" s="8"/>
      <c r="J4" s="8"/>
      <c r="K4" s="8"/>
      <c r="L4" s="8"/>
      <c r="M4" s="8"/>
      <c r="N4" s="8"/>
      <c r="O4" s="8"/>
      <c r="P4" s="8"/>
      <c r="Q4" s="8"/>
      <c r="R4" s="8"/>
      <c r="S4" s="8"/>
      <c r="T4" s="8"/>
      <c r="U4" s="8"/>
      <c r="V4" s="8"/>
      <c r="W4" s="8"/>
      <c r="X4" s="8"/>
      <c r="Y4" s="8"/>
      <c r="Z4" s="8"/>
    </row>
    <row r="5">
      <c r="A5" s="19" t="s">
        <v>39</v>
      </c>
      <c r="B5" s="28" t="s">
        <v>41</v>
      </c>
      <c r="C5" s="19" t="s">
        <v>42</v>
      </c>
      <c r="D5" s="19" t="s">
        <v>43</v>
      </c>
      <c r="E5" s="8"/>
      <c r="F5" s="8"/>
      <c r="G5" s="8"/>
      <c r="H5" s="8"/>
      <c r="I5" s="8"/>
      <c r="J5" s="8"/>
      <c r="K5" s="8"/>
      <c r="L5" s="8"/>
      <c r="M5" s="8"/>
      <c r="N5" s="8"/>
      <c r="O5" s="8"/>
      <c r="P5" s="8"/>
      <c r="Q5" s="8"/>
      <c r="R5" s="8"/>
      <c r="S5" s="8"/>
      <c r="T5" s="8"/>
      <c r="U5" s="8"/>
      <c r="V5" s="8"/>
      <c r="W5" s="8"/>
      <c r="X5" s="8"/>
      <c r="Y5" s="8"/>
      <c r="Z5" s="8"/>
    </row>
    <row r="6" ht="3.0" customHeight="1">
      <c r="B6" s="29"/>
      <c r="E6" s="8"/>
      <c r="F6" s="8"/>
      <c r="G6" s="8"/>
      <c r="H6" s="8"/>
      <c r="I6" s="8"/>
      <c r="J6" s="8"/>
      <c r="K6" s="8"/>
      <c r="L6" s="8"/>
      <c r="M6" s="8"/>
      <c r="N6" s="8"/>
      <c r="O6" s="8"/>
      <c r="P6" s="8"/>
      <c r="Q6" s="8"/>
      <c r="R6" s="8"/>
      <c r="S6" s="8"/>
      <c r="T6" s="8"/>
      <c r="U6" s="8"/>
      <c r="V6" s="8"/>
      <c r="W6" s="8"/>
      <c r="X6" s="8"/>
      <c r="Y6" s="8"/>
      <c r="Z6" s="8"/>
    </row>
    <row r="7">
      <c r="A7" s="8" t="s">
        <v>19</v>
      </c>
      <c r="B7" s="32" t="s">
        <v>49</v>
      </c>
      <c r="C7" s="19" t="s">
        <v>52</v>
      </c>
      <c r="D7" s="19" t="s">
        <v>28</v>
      </c>
      <c r="E7" s="8"/>
      <c r="F7" s="8"/>
      <c r="G7" s="8"/>
      <c r="H7" s="8"/>
      <c r="I7" s="8"/>
      <c r="J7" s="8"/>
      <c r="K7" s="8"/>
      <c r="L7" s="8"/>
      <c r="M7" s="8"/>
      <c r="N7" s="8"/>
      <c r="O7" s="8"/>
      <c r="P7" s="8"/>
      <c r="Q7" s="8"/>
      <c r="R7" s="8"/>
      <c r="S7" s="8"/>
      <c r="T7" s="8"/>
      <c r="U7" s="8"/>
      <c r="V7" s="8"/>
      <c r="W7" s="8"/>
      <c r="X7" s="8"/>
      <c r="Y7" s="8"/>
      <c r="Z7" s="8"/>
    </row>
    <row r="8" ht="4.5" customHeight="1">
      <c r="B8" s="29"/>
      <c r="E8" s="8"/>
      <c r="F8" s="8"/>
      <c r="G8" s="8"/>
      <c r="H8" s="8"/>
      <c r="I8" s="8"/>
      <c r="J8" s="8"/>
      <c r="K8" s="8"/>
      <c r="L8" s="8"/>
      <c r="M8" s="8"/>
      <c r="N8" s="8"/>
      <c r="O8" s="8"/>
      <c r="P8" s="8"/>
      <c r="Q8" s="8"/>
      <c r="R8" s="8"/>
      <c r="S8" s="8"/>
      <c r="T8" s="8"/>
      <c r="U8" s="8"/>
      <c r="V8" s="8"/>
      <c r="W8" s="8"/>
      <c r="X8" s="8"/>
      <c r="Y8" s="8"/>
      <c r="Z8" s="8"/>
    </row>
    <row r="9">
      <c r="A9" s="8" t="s">
        <v>56</v>
      </c>
      <c r="B9" s="35" t="s">
        <v>57</v>
      </c>
      <c r="C9" s="19" t="s">
        <v>59</v>
      </c>
      <c r="D9" s="19" t="s">
        <v>32</v>
      </c>
      <c r="E9" s="8"/>
      <c r="F9" s="8"/>
      <c r="G9" s="8"/>
      <c r="H9" s="8"/>
      <c r="I9" s="8"/>
      <c r="J9" s="8"/>
      <c r="K9" s="8"/>
      <c r="L9" s="8"/>
      <c r="M9" s="8"/>
      <c r="N9" s="8"/>
      <c r="O9" s="8"/>
      <c r="P9" s="8"/>
      <c r="Q9" s="8"/>
      <c r="R9" s="8"/>
      <c r="S9" s="8"/>
      <c r="T9" s="8"/>
      <c r="U9" s="8"/>
      <c r="V9" s="8"/>
      <c r="W9" s="8"/>
      <c r="X9" s="8"/>
      <c r="Y9" s="8"/>
      <c r="Z9" s="8"/>
    </row>
    <row r="10">
      <c r="A10" s="8" t="s">
        <v>62</v>
      </c>
      <c r="B10" s="32" t="s">
        <v>63</v>
      </c>
      <c r="C10" s="19" t="s">
        <v>65</v>
      </c>
      <c r="D10" s="19" t="s">
        <v>38</v>
      </c>
      <c r="E10" s="8"/>
      <c r="F10" s="8"/>
      <c r="G10" s="8"/>
      <c r="H10" s="8"/>
      <c r="I10" s="8"/>
      <c r="J10" s="8"/>
      <c r="K10" s="8"/>
      <c r="L10" s="8"/>
      <c r="M10" s="8"/>
      <c r="N10" s="8"/>
      <c r="O10" s="8"/>
      <c r="P10" s="8"/>
      <c r="Q10" s="8"/>
      <c r="R10" s="8"/>
      <c r="S10" s="8"/>
      <c r="T10" s="8"/>
      <c r="U10" s="8"/>
      <c r="V10" s="8"/>
      <c r="W10" s="8"/>
      <c r="X10" s="8"/>
      <c r="Y10" s="8"/>
      <c r="Z10" s="8"/>
    </row>
    <row r="11" ht="1.5" customHeight="1">
      <c r="B11" s="29"/>
      <c r="E11" s="8"/>
      <c r="F11" s="8"/>
      <c r="G11" s="8"/>
      <c r="H11" s="8"/>
      <c r="I11" s="8"/>
      <c r="J11" s="8"/>
      <c r="K11" s="8"/>
      <c r="L11" s="8"/>
      <c r="M11" s="8"/>
      <c r="N11" s="8"/>
      <c r="O11" s="8"/>
      <c r="P11" s="8"/>
      <c r="Q11" s="8"/>
      <c r="R11" s="8"/>
      <c r="S11" s="8"/>
      <c r="T11" s="8"/>
      <c r="U11" s="8"/>
      <c r="V11" s="8"/>
      <c r="W11" s="8"/>
      <c r="X11" s="8"/>
      <c r="Y11" s="8"/>
      <c r="Z11" s="8"/>
    </row>
    <row r="12">
      <c r="A12" s="8" t="s">
        <v>19</v>
      </c>
      <c r="B12" s="35" t="s">
        <v>72</v>
      </c>
      <c r="C12" s="19" t="s">
        <v>73</v>
      </c>
      <c r="D12" s="48" t="s">
        <v>79</v>
      </c>
      <c r="E12" s="8"/>
      <c r="F12" s="8"/>
      <c r="G12" s="8"/>
      <c r="H12" s="8"/>
      <c r="I12" s="8"/>
      <c r="J12" s="8"/>
      <c r="K12" s="8"/>
      <c r="L12" s="8"/>
      <c r="M12" s="8"/>
      <c r="N12" s="8"/>
      <c r="O12" s="8"/>
      <c r="P12" s="8"/>
      <c r="Q12" s="8"/>
      <c r="R12" s="8"/>
      <c r="S12" s="8"/>
      <c r="T12" s="8"/>
      <c r="U12" s="8"/>
      <c r="V12" s="8"/>
      <c r="W12" s="8"/>
      <c r="X12" s="8"/>
      <c r="Y12" s="8"/>
      <c r="Z12" s="8"/>
    </row>
    <row r="13">
      <c r="A13" s="19" t="s">
        <v>117</v>
      </c>
      <c r="B13" s="35" t="s">
        <v>118</v>
      </c>
      <c r="C13" s="19" t="s">
        <v>121</v>
      </c>
      <c r="D13" s="49" t="s">
        <v>122</v>
      </c>
      <c r="E13" s="8"/>
      <c r="F13" s="8"/>
      <c r="G13" s="8"/>
      <c r="H13" s="8"/>
      <c r="I13" s="8"/>
      <c r="J13" s="8"/>
      <c r="K13" s="8"/>
      <c r="L13" s="8"/>
      <c r="M13" s="8"/>
      <c r="N13" s="8"/>
      <c r="O13" s="8"/>
      <c r="P13" s="8"/>
      <c r="Q13" s="8"/>
      <c r="R13" s="8"/>
      <c r="S13" s="8"/>
      <c r="T13" s="8"/>
      <c r="U13" s="8"/>
      <c r="V13" s="8"/>
      <c r="W13" s="8"/>
      <c r="X13" s="8"/>
      <c r="Y13" s="8"/>
      <c r="Z13" s="8"/>
    </row>
    <row r="14">
      <c r="A14" s="19" t="s">
        <v>145</v>
      </c>
      <c r="B14" s="35" t="s">
        <v>113</v>
      </c>
      <c r="C14" s="19" t="s">
        <v>148</v>
      </c>
      <c r="D14" s="48" t="s">
        <v>152</v>
      </c>
      <c r="E14" s="8"/>
      <c r="F14" s="8"/>
      <c r="G14" s="8"/>
      <c r="H14" s="8"/>
      <c r="I14" s="8"/>
      <c r="J14" s="8"/>
      <c r="K14" s="8"/>
      <c r="L14" s="8"/>
      <c r="M14" s="8"/>
      <c r="N14" s="8"/>
      <c r="O14" s="8"/>
      <c r="P14" s="8"/>
      <c r="Q14" s="8"/>
      <c r="R14" s="8"/>
      <c r="S14" s="8"/>
      <c r="T14" s="8"/>
      <c r="U14" s="8"/>
      <c r="V14" s="8"/>
      <c r="W14" s="8"/>
      <c r="X14" s="8"/>
      <c r="Y14" s="8"/>
      <c r="Z14" s="8"/>
    </row>
    <row r="15">
      <c r="A15" s="8" t="s">
        <v>19</v>
      </c>
      <c r="B15" s="35" t="s">
        <v>155</v>
      </c>
      <c r="C15" s="19" t="s">
        <v>167</v>
      </c>
      <c r="D15" s="49" t="s">
        <v>168</v>
      </c>
      <c r="E15" s="8"/>
      <c r="F15" s="8"/>
      <c r="G15" s="8"/>
      <c r="H15" s="8"/>
      <c r="I15" s="8"/>
      <c r="J15" s="8"/>
      <c r="K15" s="8"/>
      <c r="L15" s="8"/>
      <c r="M15" s="8"/>
      <c r="N15" s="8"/>
      <c r="O15" s="8"/>
      <c r="P15" s="8"/>
      <c r="Q15" s="8"/>
      <c r="R15" s="8"/>
      <c r="S15" s="8"/>
      <c r="T15" s="8"/>
      <c r="U15" s="8"/>
      <c r="V15" s="8"/>
      <c r="W15" s="8"/>
      <c r="X15" s="8"/>
      <c r="Y15" s="8"/>
      <c r="Z15" s="8"/>
    </row>
    <row r="16">
      <c r="A16" s="8" t="s">
        <v>19</v>
      </c>
      <c r="B16" s="35" t="s">
        <v>184</v>
      </c>
      <c r="C16" s="19" t="s">
        <v>185</v>
      </c>
      <c r="D16" s="49" t="s">
        <v>186</v>
      </c>
      <c r="E16" s="8"/>
      <c r="F16" s="8"/>
      <c r="G16" s="8"/>
      <c r="H16" s="8"/>
      <c r="I16" s="8"/>
      <c r="J16" s="8"/>
      <c r="K16" s="8"/>
      <c r="L16" s="8"/>
      <c r="M16" s="8"/>
      <c r="N16" s="8"/>
      <c r="O16" s="8"/>
      <c r="P16" s="8"/>
      <c r="Q16" s="8"/>
      <c r="R16" s="8"/>
      <c r="S16" s="8"/>
      <c r="T16" s="8"/>
      <c r="U16" s="8"/>
      <c r="V16" s="8"/>
      <c r="W16" s="8"/>
      <c r="X16" s="8"/>
      <c r="Y16" s="8"/>
      <c r="Z16" s="8"/>
    </row>
    <row r="17">
      <c r="A17" s="50" t="s">
        <v>19</v>
      </c>
      <c r="B17" s="51" t="s">
        <v>166</v>
      </c>
      <c r="C17" s="53" t="s">
        <v>195</v>
      </c>
      <c r="D17" s="48" t="s">
        <v>197</v>
      </c>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sheetData>
  <mergeCells count="12">
    <mergeCell ref="A7:A8"/>
    <mergeCell ref="A10:A11"/>
    <mergeCell ref="B10:B11"/>
    <mergeCell ref="C10:C11"/>
    <mergeCell ref="D10:D11"/>
    <mergeCell ref="A5:A6"/>
    <mergeCell ref="B5:B6"/>
    <mergeCell ref="C5:C6"/>
    <mergeCell ref="D5:D6"/>
    <mergeCell ref="B7:B8"/>
    <mergeCell ref="C7:C8"/>
    <mergeCell ref="D7:D8"/>
  </mergeCells>
  <conditionalFormatting sqref="A2:D17">
    <cfRule type="expression" dxfId="0" priority="1">
      <formula>$C2&lt;&gt;""</formula>
    </cfRule>
  </conditionalFormatting>
  <hyperlinks>
    <hyperlink r:id="rId1" ref="D12"/>
    <hyperlink r:id="rId2" ref="D13"/>
    <hyperlink r:id="rId3" ref="D14"/>
    <hyperlink r:id="rId4" ref="D15"/>
    <hyperlink r:id="rId5" ref="D16"/>
    <hyperlink r:id="rId6" ref="D17"/>
  </hyperlinks>
  <printOptions/>
  <pageMargins bottom="0.75" footer="0.0" header="0.0" left="0.7" right="0.7" top="0.75"/>
  <pageSetup fitToHeight="0" paperSize="9" orientation="landscape"/>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2A44"/>
    <pageSetUpPr/>
  </sheetPr>
  <sheetViews>
    <sheetView showGridLines="0" workbookViewId="0"/>
  </sheetViews>
  <sheetFormatPr customHeight="1" defaultColWidth="12.63" defaultRowHeight="15.0"/>
  <cols>
    <col customWidth="1" min="1" max="1" width="18.0"/>
    <col customWidth="1" min="2" max="2" width="47.13"/>
    <col customWidth="1" min="3" max="3" width="15.13"/>
    <col customWidth="1" min="4" max="24" width="9.13"/>
  </cols>
  <sheetData>
    <row r="1" ht="31.5" customHeight="1">
      <c r="A1" s="6" t="s">
        <v>9</v>
      </c>
      <c r="D1" s="1"/>
      <c r="E1" s="1"/>
      <c r="F1" s="1"/>
      <c r="G1" s="1"/>
      <c r="H1" s="1"/>
      <c r="I1" s="1"/>
      <c r="J1" s="1"/>
      <c r="K1" s="1"/>
      <c r="L1" s="1"/>
      <c r="M1" s="1"/>
      <c r="N1" s="1"/>
      <c r="O1" s="1"/>
      <c r="P1" s="1"/>
      <c r="Q1" s="1"/>
      <c r="R1" s="1"/>
      <c r="S1" s="1"/>
      <c r="T1" s="1"/>
      <c r="U1" s="1"/>
      <c r="V1" s="1"/>
      <c r="W1" s="1"/>
      <c r="X1" s="1"/>
      <c r="Y1" s="1"/>
      <c r="Z1" s="1"/>
    </row>
    <row r="2">
      <c r="A2" s="18" t="s">
        <v>25</v>
      </c>
      <c r="B2" s="11"/>
      <c r="C2" s="12"/>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24" t="s">
        <v>35</v>
      </c>
      <c r="B4" s="26"/>
      <c r="C4" s="26"/>
      <c r="D4" s="27"/>
      <c r="E4" s="1"/>
      <c r="F4" s="1"/>
      <c r="G4" s="1"/>
      <c r="H4" s="1"/>
      <c r="I4" s="1"/>
      <c r="J4" s="1"/>
      <c r="K4" s="1"/>
      <c r="L4" s="1"/>
      <c r="M4" s="1"/>
      <c r="N4" s="1"/>
      <c r="O4" s="1"/>
      <c r="P4" s="1"/>
      <c r="Q4" s="1"/>
      <c r="R4" s="1"/>
      <c r="S4" s="1"/>
      <c r="T4" s="1"/>
      <c r="U4" s="1"/>
      <c r="V4" s="1"/>
      <c r="W4" s="1"/>
      <c r="X4" s="1"/>
      <c r="Y4" s="1"/>
      <c r="Z4" s="1"/>
    </row>
    <row r="5">
      <c r="A5" s="2" t="s">
        <v>45</v>
      </c>
      <c r="B5" s="2" t="s">
        <v>46</v>
      </c>
      <c r="C5" s="2" t="s">
        <v>47</v>
      </c>
      <c r="D5" s="27"/>
      <c r="E5" s="1"/>
      <c r="F5" s="1"/>
      <c r="G5" s="1"/>
      <c r="H5" s="1"/>
      <c r="I5" s="1"/>
      <c r="J5" s="1"/>
      <c r="K5" s="1"/>
      <c r="L5" s="1"/>
      <c r="M5" s="1"/>
      <c r="N5" s="1"/>
      <c r="O5" s="1"/>
      <c r="P5" s="1"/>
      <c r="Q5" s="1"/>
      <c r="R5" s="1"/>
      <c r="S5" s="1"/>
      <c r="T5" s="1"/>
      <c r="U5" s="1"/>
      <c r="V5" s="1"/>
      <c r="W5" s="1"/>
      <c r="X5" s="1"/>
      <c r="Y5" s="1"/>
      <c r="Z5" s="1"/>
    </row>
    <row r="6">
      <c r="A6" s="31" t="s">
        <v>48</v>
      </c>
      <c r="B6" s="33" t="s">
        <v>51</v>
      </c>
      <c r="C6" s="33"/>
      <c r="D6" s="27"/>
      <c r="E6" s="1"/>
      <c r="F6" s="1"/>
      <c r="G6" s="1"/>
      <c r="H6" s="1"/>
      <c r="I6" s="1"/>
      <c r="J6" s="1"/>
      <c r="K6" s="1"/>
      <c r="L6" s="1"/>
      <c r="M6" s="1"/>
      <c r="N6" s="1"/>
      <c r="O6" s="1"/>
      <c r="P6" s="1"/>
      <c r="Q6" s="1"/>
      <c r="R6" s="1"/>
      <c r="S6" s="1"/>
      <c r="T6" s="1"/>
      <c r="U6" s="1"/>
      <c r="V6" s="1"/>
      <c r="W6" s="1"/>
      <c r="X6" s="1"/>
      <c r="Y6" s="1"/>
      <c r="Z6" s="1"/>
    </row>
    <row r="7">
      <c r="A7" s="31" t="s">
        <v>54</v>
      </c>
      <c r="B7" s="33" t="s">
        <v>55</v>
      </c>
      <c r="C7" s="33"/>
      <c r="D7" s="27"/>
      <c r="E7" s="1"/>
      <c r="F7" s="1"/>
      <c r="G7" s="1"/>
      <c r="H7" s="1"/>
      <c r="I7" s="1"/>
      <c r="J7" s="1"/>
      <c r="K7" s="1"/>
      <c r="L7" s="1"/>
      <c r="M7" s="1"/>
      <c r="N7" s="1"/>
      <c r="O7" s="1"/>
      <c r="P7" s="1"/>
      <c r="Q7" s="1"/>
      <c r="R7" s="1"/>
      <c r="S7" s="1"/>
      <c r="T7" s="1"/>
      <c r="U7" s="1"/>
      <c r="V7" s="1"/>
      <c r="W7" s="1"/>
      <c r="X7" s="1"/>
      <c r="Y7" s="1"/>
      <c r="Z7" s="1"/>
    </row>
    <row r="8">
      <c r="A8" s="31" t="s">
        <v>60</v>
      </c>
      <c r="B8" s="37" t="s">
        <v>61</v>
      </c>
      <c r="C8" s="33"/>
      <c r="D8" s="27"/>
      <c r="E8" s="1"/>
      <c r="F8" s="1"/>
      <c r="G8" s="1"/>
      <c r="H8" s="1"/>
      <c r="I8" s="1"/>
      <c r="J8" s="1"/>
      <c r="K8" s="1"/>
      <c r="L8" s="1"/>
      <c r="M8" s="1"/>
      <c r="N8" s="1"/>
      <c r="O8" s="1"/>
      <c r="P8" s="1"/>
      <c r="Q8" s="1"/>
      <c r="R8" s="1"/>
      <c r="S8" s="1"/>
      <c r="T8" s="1"/>
      <c r="U8" s="1"/>
      <c r="V8" s="1"/>
      <c r="W8" s="1"/>
      <c r="X8" s="1"/>
      <c r="Y8" s="1"/>
      <c r="Z8" s="1"/>
    </row>
    <row r="9">
      <c r="A9" s="41" t="s">
        <v>69</v>
      </c>
      <c r="B9" s="33" t="s">
        <v>71</v>
      </c>
      <c r="C9" s="33"/>
      <c r="D9" s="42"/>
      <c r="E9" s="1"/>
      <c r="F9" s="1"/>
      <c r="G9" s="1"/>
      <c r="H9" s="1"/>
      <c r="I9" s="1"/>
      <c r="J9" s="1"/>
      <c r="K9" s="1"/>
      <c r="L9" s="1"/>
      <c r="M9" s="1"/>
      <c r="N9" s="1"/>
      <c r="O9" s="1"/>
      <c r="P9" s="1"/>
      <c r="Q9" s="1"/>
      <c r="R9" s="1"/>
      <c r="S9" s="1"/>
      <c r="T9" s="1"/>
      <c r="U9" s="1"/>
      <c r="V9" s="1"/>
      <c r="W9" s="1"/>
      <c r="X9" s="1"/>
      <c r="Y9" s="1"/>
      <c r="Z9" s="1"/>
    </row>
    <row r="10">
      <c r="A10" s="31" t="s">
        <v>69</v>
      </c>
      <c r="B10" s="33" t="s">
        <v>75</v>
      </c>
      <c r="C10" s="33"/>
      <c r="D10" s="42" t="s">
        <v>76</v>
      </c>
      <c r="E10" s="1"/>
      <c r="F10" s="1"/>
      <c r="G10" s="1"/>
      <c r="H10" s="1"/>
      <c r="I10" s="1"/>
      <c r="J10" s="1"/>
      <c r="K10" s="1"/>
      <c r="L10" s="1"/>
      <c r="M10" s="1"/>
      <c r="N10" s="1"/>
      <c r="O10" s="1"/>
      <c r="P10" s="1"/>
      <c r="Q10" s="1"/>
      <c r="R10" s="1"/>
      <c r="S10" s="1"/>
      <c r="T10" s="1"/>
      <c r="U10" s="1"/>
      <c r="V10" s="1"/>
      <c r="W10" s="1"/>
      <c r="X10" s="1"/>
      <c r="Y10" s="1"/>
      <c r="Z10" s="1"/>
    </row>
    <row r="11">
      <c r="A11" s="31" t="s">
        <v>82</v>
      </c>
      <c r="B11" s="33" t="s">
        <v>83</v>
      </c>
      <c r="C11" s="33"/>
      <c r="D11" s="42"/>
      <c r="E11" s="1"/>
      <c r="F11" s="1"/>
      <c r="G11" s="1"/>
      <c r="H11" s="1"/>
      <c r="I11" s="1"/>
      <c r="J11" s="1"/>
      <c r="K11" s="1"/>
      <c r="L11" s="1"/>
      <c r="M11" s="1"/>
      <c r="N11" s="1"/>
      <c r="O11" s="1"/>
      <c r="P11" s="1"/>
      <c r="Q11" s="1"/>
      <c r="R11" s="1"/>
      <c r="S11" s="1"/>
      <c r="T11" s="1"/>
      <c r="U11" s="1"/>
      <c r="V11" s="1"/>
      <c r="W11" s="1"/>
      <c r="X11" s="1"/>
      <c r="Y11" s="1"/>
      <c r="Z11" s="1"/>
    </row>
    <row r="12">
      <c r="A12" s="41" t="s">
        <v>90</v>
      </c>
      <c r="B12" s="37" t="s">
        <v>92</v>
      </c>
      <c r="C12" s="33"/>
      <c r="D12" s="42" t="s">
        <v>96</v>
      </c>
      <c r="E12" s="1"/>
      <c r="F12" s="1"/>
      <c r="G12" s="1"/>
      <c r="H12" s="1"/>
      <c r="I12" s="1"/>
      <c r="J12" s="1"/>
      <c r="K12" s="1"/>
      <c r="L12" s="1"/>
      <c r="M12" s="1"/>
      <c r="N12" s="1"/>
      <c r="O12" s="1"/>
      <c r="P12" s="1"/>
      <c r="Q12" s="1"/>
      <c r="R12" s="1"/>
      <c r="S12" s="1"/>
      <c r="T12" s="1"/>
      <c r="U12" s="1"/>
      <c r="V12" s="1"/>
      <c r="W12" s="1"/>
      <c r="X12" s="1"/>
      <c r="Y12" s="1"/>
      <c r="Z12" s="1"/>
    </row>
    <row r="13">
      <c r="A13" s="31" t="s">
        <v>100</v>
      </c>
      <c r="B13" s="37" t="s">
        <v>101</v>
      </c>
      <c r="C13" s="33"/>
      <c r="D13" s="42"/>
      <c r="E13" s="1"/>
      <c r="F13" s="1"/>
      <c r="G13" s="1"/>
      <c r="H13" s="1"/>
      <c r="I13" s="1"/>
      <c r="J13" s="1"/>
      <c r="K13" s="1"/>
      <c r="L13" s="1"/>
      <c r="M13" s="1"/>
      <c r="N13" s="1"/>
      <c r="O13" s="1"/>
      <c r="P13" s="1"/>
      <c r="Q13" s="1"/>
      <c r="R13" s="1"/>
      <c r="S13" s="1"/>
      <c r="T13" s="1"/>
      <c r="U13" s="1"/>
      <c r="V13" s="1"/>
      <c r="W13" s="1"/>
      <c r="X13" s="1"/>
      <c r="Y13" s="1"/>
      <c r="Z13" s="1"/>
    </row>
    <row r="14">
      <c r="A14" s="45" t="s">
        <v>102</v>
      </c>
      <c r="B14" s="46" t="s">
        <v>107</v>
      </c>
      <c r="C14" s="47"/>
      <c r="D14" s="42"/>
      <c r="E14" s="1"/>
      <c r="F14" s="1"/>
      <c r="G14" s="1"/>
      <c r="H14" s="1"/>
      <c r="I14" s="1"/>
      <c r="J14" s="1"/>
      <c r="K14" s="1"/>
      <c r="L14" s="1"/>
      <c r="M14" s="1"/>
      <c r="N14" s="1"/>
      <c r="O14" s="1"/>
      <c r="P14" s="1"/>
      <c r="Q14" s="1"/>
      <c r="R14" s="1"/>
      <c r="S14" s="1"/>
      <c r="T14" s="1"/>
      <c r="U14" s="1"/>
      <c r="V14" s="1"/>
      <c r="W14" s="1"/>
      <c r="X14" s="1"/>
      <c r="Y14" s="1"/>
      <c r="Z14" s="1"/>
    </row>
    <row r="15">
      <c r="A15" s="1"/>
      <c r="B15" s="1"/>
      <c r="C15" s="1"/>
      <c r="D15" s="42"/>
      <c r="E15" s="1"/>
      <c r="F15" s="1"/>
      <c r="G15" s="1"/>
      <c r="H15" s="1"/>
      <c r="I15" s="1"/>
      <c r="J15" s="1"/>
      <c r="K15" s="1"/>
      <c r="L15" s="1"/>
      <c r="M15" s="1"/>
      <c r="N15" s="1"/>
      <c r="O15" s="1"/>
      <c r="P15" s="1"/>
      <c r="Q15" s="1"/>
      <c r="R15" s="1"/>
      <c r="S15" s="1"/>
      <c r="T15" s="1"/>
      <c r="U15" s="1"/>
      <c r="V15" s="1"/>
      <c r="W15" s="1"/>
      <c r="X15" s="1"/>
      <c r="Y15" s="1"/>
      <c r="Z15" s="1"/>
    </row>
    <row r="16">
      <c r="A16" s="24" t="s">
        <v>115</v>
      </c>
      <c r="B16" s="26"/>
      <c r="C16" s="26"/>
      <c r="D16" s="42"/>
      <c r="E16" s="1"/>
      <c r="F16" s="1"/>
      <c r="G16" s="1"/>
      <c r="H16" s="1"/>
      <c r="I16" s="1"/>
      <c r="J16" s="1"/>
      <c r="K16" s="1"/>
      <c r="L16" s="1"/>
      <c r="M16" s="1"/>
      <c r="N16" s="1"/>
      <c r="O16" s="1"/>
      <c r="P16" s="1"/>
      <c r="Q16" s="1"/>
      <c r="R16" s="1"/>
      <c r="S16" s="1"/>
      <c r="T16" s="1"/>
      <c r="U16" s="1"/>
      <c r="V16" s="1"/>
      <c r="W16" s="1"/>
      <c r="X16" s="1"/>
      <c r="Y16" s="1"/>
      <c r="Z16" s="1"/>
    </row>
    <row r="17">
      <c r="A17" s="2" t="s">
        <v>45</v>
      </c>
      <c r="B17" s="2" t="s">
        <v>46</v>
      </c>
      <c r="C17" s="2" t="s">
        <v>47</v>
      </c>
      <c r="D17" s="42"/>
      <c r="E17" s="1"/>
      <c r="F17" s="1"/>
      <c r="G17" s="1"/>
      <c r="H17" s="1"/>
      <c r="I17" s="1"/>
      <c r="J17" s="1"/>
      <c r="K17" s="1"/>
      <c r="L17" s="1"/>
      <c r="M17" s="1"/>
      <c r="N17" s="1"/>
      <c r="O17" s="1"/>
      <c r="P17" s="1"/>
      <c r="Q17" s="1"/>
      <c r="R17" s="1"/>
      <c r="S17" s="1"/>
      <c r="T17" s="1"/>
      <c r="U17" s="1"/>
      <c r="V17" s="1"/>
      <c r="W17" s="1"/>
      <c r="X17" s="1"/>
      <c r="Y17" s="1"/>
      <c r="Z17" s="1"/>
    </row>
    <row r="18">
      <c r="A18" s="33" t="s">
        <v>130</v>
      </c>
      <c r="B18" s="33" t="s">
        <v>131</v>
      </c>
      <c r="C18" s="33" t="s">
        <v>132</v>
      </c>
      <c r="D18" s="42" t="s">
        <v>133</v>
      </c>
      <c r="E18" s="1"/>
      <c r="F18" s="1"/>
      <c r="G18" s="1"/>
      <c r="H18" s="1"/>
      <c r="I18" s="1"/>
      <c r="J18" s="1"/>
      <c r="K18" s="1"/>
      <c r="L18" s="1"/>
      <c r="M18" s="1"/>
      <c r="N18" s="1"/>
      <c r="O18" s="1"/>
      <c r="P18" s="1"/>
      <c r="Q18" s="1"/>
      <c r="R18" s="1"/>
      <c r="S18" s="1"/>
      <c r="T18" s="1"/>
      <c r="U18" s="1"/>
      <c r="V18" s="1"/>
      <c r="W18" s="1"/>
      <c r="X18" s="1"/>
      <c r="Y18" s="1"/>
      <c r="Z18" s="1"/>
    </row>
    <row r="19">
      <c r="A19" s="33" t="s">
        <v>138</v>
      </c>
      <c r="B19" s="33" t="s">
        <v>140</v>
      </c>
      <c r="C19" s="33" t="s">
        <v>132</v>
      </c>
      <c r="D19" s="42"/>
      <c r="E19" s="1"/>
      <c r="F19" s="1"/>
      <c r="G19" s="1"/>
      <c r="H19" s="1"/>
      <c r="I19" s="1"/>
      <c r="J19" s="1"/>
      <c r="K19" s="1"/>
      <c r="L19" s="1"/>
      <c r="M19" s="1"/>
      <c r="N19" s="1"/>
      <c r="O19" s="1"/>
      <c r="P19" s="1"/>
      <c r="Q19" s="1"/>
      <c r="R19" s="1"/>
      <c r="S19" s="1"/>
      <c r="T19" s="1"/>
      <c r="U19" s="1"/>
      <c r="V19" s="1"/>
      <c r="W19" s="1"/>
      <c r="X19" s="1"/>
      <c r="Y19" s="1"/>
      <c r="Z19" s="1"/>
    </row>
    <row r="20">
      <c r="A20" s="47" t="s">
        <v>144</v>
      </c>
      <c r="B20" s="47" t="s">
        <v>146</v>
      </c>
      <c r="C20" s="47" t="s">
        <v>132</v>
      </c>
      <c r="D20" s="42"/>
      <c r="E20" s="1"/>
      <c r="F20" s="1"/>
      <c r="G20" s="1"/>
      <c r="H20" s="1"/>
      <c r="I20" s="1"/>
      <c r="J20" s="1"/>
      <c r="K20" s="1"/>
      <c r="L20" s="1"/>
      <c r="M20" s="1"/>
      <c r="N20" s="1"/>
      <c r="O20" s="1"/>
      <c r="P20" s="1"/>
      <c r="Q20" s="1"/>
      <c r="R20" s="1"/>
      <c r="S20" s="1"/>
      <c r="T20" s="1"/>
      <c r="U20" s="1"/>
      <c r="V20" s="1"/>
      <c r="W20" s="1"/>
      <c r="X20" s="1"/>
      <c r="Y20" s="1"/>
      <c r="Z20" s="1"/>
    </row>
    <row r="21">
      <c r="A21" s="1"/>
      <c r="B21" s="1"/>
      <c r="C21" s="1"/>
      <c r="D21" s="42">
        <v>140.0</v>
      </c>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sheetData>
  <mergeCells count="4">
    <mergeCell ref="A1:C1"/>
    <mergeCell ref="A2:C2"/>
    <mergeCell ref="A4:C4"/>
    <mergeCell ref="A16:C16"/>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B82F6"/>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30.63"/>
    <col customWidth="1" min="2" max="2" width="38.63"/>
    <col customWidth="1" min="3" max="3" width="24.63"/>
    <col customWidth="1" min="4" max="4" width="16.38"/>
    <col customWidth="1" min="5" max="5" width="17.75"/>
    <col customWidth="1" min="6" max="8" width="12.0"/>
    <col customWidth="1" min="9" max="9" width="3.0"/>
    <col customWidth="1" min="10" max="14" width="14.0"/>
    <col customWidth="1" min="15" max="26" width="9.13"/>
  </cols>
  <sheetData>
    <row r="1" ht="24.0" customHeight="1">
      <c r="A1" s="2" t="s">
        <v>2</v>
      </c>
      <c r="B1" s="2" t="s">
        <v>4</v>
      </c>
      <c r="C1" s="2" t="s">
        <v>6</v>
      </c>
      <c r="D1" s="5" t="s">
        <v>7</v>
      </c>
      <c r="E1" s="5" t="s">
        <v>8</v>
      </c>
      <c r="F1" s="5" t="s">
        <v>10</v>
      </c>
      <c r="G1" s="5" t="s">
        <v>12</v>
      </c>
      <c r="H1" s="5" t="s">
        <v>10</v>
      </c>
      <c r="I1" s="7"/>
      <c r="J1" s="9" t="s">
        <v>14</v>
      </c>
      <c r="K1" s="9" t="s">
        <v>15</v>
      </c>
      <c r="L1" s="9" t="s">
        <v>16</v>
      </c>
      <c r="M1" s="9" t="s">
        <v>17</v>
      </c>
      <c r="N1" s="9" t="s">
        <v>18</v>
      </c>
      <c r="O1" s="7"/>
      <c r="P1" s="7"/>
      <c r="Q1" s="7"/>
      <c r="R1" s="7"/>
      <c r="S1" s="7"/>
      <c r="T1" s="7"/>
      <c r="U1" s="7"/>
      <c r="V1" s="7"/>
      <c r="W1" s="7"/>
      <c r="X1" s="7"/>
      <c r="Y1" s="7"/>
      <c r="Z1" s="7"/>
    </row>
    <row r="2">
      <c r="A2" s="14" t="s">
        <v>21</v>
      </c>
      <c r="B2" s="14" t="s">
        <v>23</v>
      </c>
      <c r="C2" s="14" t="s">
        <v>24</v>
      </c>
      <c r="D2" s="16" t="s">
        <v>26</v>
      </c>
      <c r="E2" s="20" t="s">
        <v>29</v>
      </c>
      <c r="F2" s="25" t="str">
        <f t="shared" ref="F2:F201" si="1">IF(TRIM(E2)="","No","Yes")</f>
        <v>Yes</v>
      </c>
      <c r="G2" s="25"/>
      <c r="H2" s="25" t="str">
        <f t="shared" ref="H2:H201" si="2">IF(TRIM(G2)="","No","Yes")</f>
        <v>No</v>
      </c>
      <c r="I2" s="8"/>
      <c r="J2" s="30" t="str">
        <f t="shared" ref="J2:J201" si="3">IF($A2="","",$A2)</f>
        <v>Prof. Dr. Muhammad Golam Kibria</v>
      </c>
      <c r="K2" s="30" t="str">
        <f t="shared" ref="K2:K201" si="4">$E2</f>
        <v>Keynote 2</v>
      </c>
      <c r="L2" s="30" t="str">
        <f t="shared" ref="L2:L201" si="5">IF($A2="","",$C2)</f>
        <v>golam.kibria@ulab.edu.bd</v>
      </c>
      <c r="M2" s="34" t="str">
        <f t="shared" ref="M2:M201" si="6">IF($A2="","",$D2)</f>
        <v>01771122144</v>
      </c>
      <c r="N2" s="30">
        <f t="shared" ref="N2:N401" si="7">IF($K2="","",COUNTIFS($K$2:$K2,$K2))</f>
        <v>1</v>
      </c>
      <c r="O2" s="8"/>
      <c r="P2" s="8"/>
      <c r="Q2" s="8"/>
      <c r="R2" s="8"/>
      <c r="S2" s="8"/>
      <c r="T2" s="8"/>
      <c r="U2" s="8"/>
      <c r="V2" s="8"/>
      <c r="W2" s="8"/>
      <c r="X2" s="8"/>
      <c r="Y2" s="8"/>
      <c r="Z2" s="8"/>
    </row>
    <row r="3" ht="18.0" customHeight="1">
      <c r="A3" s="14" t="s">
        <v>64</v>
      </c>
      <c r="B3" s="14" t="s">
        <v>66</v>
      </c>
      <c r="C3" s="14" t="s">
        <v>67</v>
      </c>
      <c r="D3" s="16" t="s">
        <v>68</v>
      </c>
      <c r="E3" s="20" t="s">
        <v>70</v>
      </c>
      <c r="F3" s="25" t="str">
        <f t="shared" si="1"/>
        <v>Yes</v>
      </c>
      <c r="G3" s="25"/>
      <c r="H3" s="25" t="str">
        <f t="shared" si="2"/>
        <v>No</v>
      </c>
      <c r="I3" s="8"/>
      <c r="J3" s="30" t="str">
        <f t="shared" si="3"/>
        <v>Prof. Dr. Nafees Mansoor</v>
      </c>
      <c r="K3" s="30" t="str">
        <f t="shared" si="4"/>
        <v>IEEE Workshop</v>
      </c>
      <c r="L3" s="30" t="str">
        <f t="shared" si="5"/>
        <v>nafees.mansoor@ulab.edu.bd</v>
      </c>
      <c r="M3" s="34" t="str">
        <f t="shared" si="6"/>
        <v>01879242323</v>
      </c>
      <c r="N3" s="30">
        <f t="shared" si="7"/>
        <v>1</v>
      </c>
      <c r="O3" s="8"/>
      <c r="P3" s="8"/>
      <c r="Q3" s="8"/>
      <c r="R3" s="8"/>
      <c r="S3" s="8"/>
      <c r="T3" s="8"/>
      <c r="U3" s="8"/>
      <c r="V3" s="8"/>
      <c r="W3" s="8"/>
      <c r="X3" s="8"/>
      <c r="Y3" s="8"/>
      <c r="Z3" s="8"/>
    </row>
    <row r="4" ht="18.0" customHeight="1">
      <c r="A4" s="8" t="s">
        <v>77</v>
      </c>
      <c r="B4" s="8" t="s">
        <v>66</v>
      </c>
      <c r="C4" s="8" t="s">
        <v>78</v>
      </c>
      <c r="D4" s="43" t="s">
        <v>81</v>
      </c>
      <c r="E4" s="25"/>
      <c r="F4" s="25" t="str">
        <f t="shared" si="1"/>
        <v>No</v>
      </c>
      <c r="G4" s="25"/>
      <c r="H4" s="25" t="str">
        <f t="shared" si="2"/>
        <v>No</v>
      </c>
      <c r="I4" s="8"/>
      <c r="J4" s="30" t="str">
        <f t="shared" si="3"/>
        <v>Anwarul Haque Joarder</v>
      </c>
      <c r="K4" s="30" t="str">
        <f t="shared" si="4"/>
        <v/>
      </c>
      <c r="L4" s="30" t="str">
        <f t="shared" si="5"/>
        <v>anwar.joarder@ulab.edu.bd</v>
      </c>
      <c r="M4" s="34" t="str">
        <f t="shared" si="6"/>
        <v>01977000805</v>
      </c>
      <c r="N4" s="30" t="str">
        <f t="shared" si="7"/>
        <v/>
      </c>
      <c r="O4" s="8"/>
      <c r="P4" s="8"/>
      <c r="Q4" s="8"/>
      <c r="R4" s="8"/>
      <c r="S4" s="8"/>
      <c r="T4" s="8"/>
      <c r="U4" s="8"/>
      <c r="V4" s="8"/>
      <c r="W4" s="8"/>
      <c r="X4" s="8"/>
      <c r="Y4" s="8"/>
      <c r="Z4" s="8"/>
    </row>
    <row r="5" ht="18.0" customHeight="1">
      <c r="A5" s="8" t="s">
        <v>89</v>
      </c>
      <c r="B5" s="8" t="s">
        <v>91</v>
      </c>
      <c r="C5" s="8" t="s">
        <v>93</v>
      </c>
      <c r="D5" s="43" t="s">
        <v>95</v>
      </c>
      <c r="E5" s="20" t="s">
        <v>97</v>
      </c>
      <c r="F5" s="25" t="str">
        <f t="shared" si="1"/>
        <v>Yes</v>
      </c>
      <c r="G5" s="25"/>
      <c r="H5" s="25" t="str">
        <f t="shared" si="2"/>
        <v>No</v>
      </c>
      <c r="I5" s="8"/>
      <c r="J5" s="30" t="str">
        <f t="shared" si="3"/>
        <v>Dr. T. M Abul Kalam Azad</v>
      </c>
      <c r="K5" s="30" t="str">
        <f t="shared" si="4"/>
        <v>Keynote 1</v>
      </c>
      <c r="L5" s="30" t="str">
        <f t="shared" si="5"/>
        <v>abul.kalam@ulab.edu.bd</v>
      </c>
      <c r="M5" s="34" t="str">
        <f t="shared" si="6"/>
        <v>01789379752</v>
      </c>
      <c r="N5" s="30">
        <f t="shared" si="7"/>
        <v>1</v>
      </c>
      <c r="O5" s="8"/>
      <c r="P5" s="8"/>
      <c r="Q5" s="8"/>
      <c r="R5" s="8"/>
      <c r="S5" s="8"/>
      <c r="T5" s="8"/>
      <c r="U5" s="8"/>
      <c r="V5" s="8"/>
      <c r="W5" s="8"/>
      <c r="X5" s="8"/>
      <c r="Y5" s="8"/>
      <c r="Z5" s="8"/>
    </row>
    <row r="6" ht="18.0" customHeight="1">
      <c r="A6" s="8" t="s">
        <v>104</v>
      </c>
      <c r="B6" s="8" t="s">
        <v>91</v>
      </c>
      <c r="C6" s="8" t="s">
        <v>105</v>
      </c>
      <c r="D6" s="43" t="s">
        <v>106</v>
      </c>
      <c r="E6" s="20" t="s">
        <v>41</v>
      </c>
      <c r="F6" s="25" t="str">
        <f t="shared" si="1"/>
        <v>Yes</v>
      </c>
      <c r="G6" s="25"/>
      <c r="H6" s="25" t="str">
        <f t="shared" si="2"/>
        <v>No</v>
      </c>
      <c r="I6" s="8"/>
      <c r="J6" s="30" t="str">
        <f t="shared" si="3"/>
        <v>Dr. Rezwan Al Islam Khan</v>
      </c>
      <c r="K6" s="30" t="str">
        <f t="shared" si="4"/>
        <v>T2P1</v>
      </c>
      <c r="L6" s="30" t="str">
        <f t="shared" si="5"/>
        <v>rezwan.islam@ulab.edu.bd</v>
      </c>
      <c r="M6" s="34" t="str">
        <f t="shared" si="6"/>
        <v>01712530199</v>
      </c>
      <c r="N6" s="30">
        <f t="shared" si="7"/>
        <v>1</v>
      </c>
      <c r="O6" s="8"/>
      <c r="P6" s="8"/>
      <c r="Q6" s="8"/>
      <c r="R6" s="8"/>
      <c r="S6" s="8"/>
      <c r="T6" s="8"/>
      <c r="U6" s="8"/>
      <c r="V6" s="8"/>
      <c r="W6" s="8"/>
      <c r="X6" s="8"/>
      <c r="Y6" s="8"/>
      <c r="Z6" s="8"/>
    </row>
    <row r="7" ht="18.0" customHeight="1">
      <c r="A7" s="8" t="s">
        <v>109</v>
      </c>
      <c r="B7" s="8" t="s">
        <v>110</v>
      </c>
      <c r="C7" s="8" t="s">
        <v>111</v>
      </c>
      <c r="D7" s="43" t="s">
        <v>112</v>
      </c>
      <c r="E7" s="20" t="s">
        <v>22</v>
      </c>
      <c r="F7" s="25" t="str">
        <f t="shared" si="1"/>
        <v>Yes</v>
      </c>
      <c r="G7" s="19" t="s">
        <v>113</v>
      </c>
      <c r="H7" s="25" t="str">
        <f t="shared" si="2"/>
        <v>Yes</v>
      </c>
      <c r="I7" s="8"/>
      <c r="J7" s="30" t="str">
        <f t="shared" si="3"/>
        <v>Dr. Ayesha Akter Lata</v>
      </c>
      <c r="K7" s="30" t="str">
        <f t="shared" si="4"/>
        <v>T1P1</v>
      </c>
      <c r="L7" s="30" t="str">
        <f t="shared" si="5"/>
        <v>ayesha.akter@ulab.edu.bd</v>
      </c>
      <c r="M7" s="34" t="str">
        <f t="shared" si="6"/>
        <v>01856412501</v>
      </c>
      <c r="N7" s="30">
        <f t="shared" si="7"/>
        <v>1</v>
      </c>
      <c r="O7" s="8"/>
      <c r="P7" s="8"/>
      <c r="Q7" s="8"/>
      <c r="R7" s="8"/>
      <c r="S7" s="8"/>
      <c r="T7" s="8"/>
      <c r="U7" s="8"/>
      <c r="V7" s="8"/>
      <c r="W7" s="8"/>
      <c r="X7" s="8"/>
      <c r="Y7" s="8"/>
      <c r="Z7" s="8"/>
    </row>
    <row r="8" ht="18.0" customHeight="1">
      <c r="A8" s="8" t="s">
        <v>116</v>
      </c>
      <c r="B8" s="8" t="s">
        <v>110</v>
      </c>
      <c r="C8" s="8" t="s">
        <v>119</v>
      </c>
      <c r="D8" s="43" t="s">
        <v>120</v>
      </c>
      <c r="E8" s="20" t="s">
        <v>30</v>
      </c>
      <c r="F8" s="25" t="str">
        <f t="shared" si="1"/>
        <v>Yes</v>
      </c>
      <c r="G8" s="19" t="s">
        <v>123</v>
      </c>
      <c r="H8" s="25" t="str">
        <f t="shared" si="2"/>
        <v>Yes</v>
      </c>
      <c r="I8" s="8"/>
      <c r="J8" s="30" t="str">
        <f t="shared" si="3"/>
        <v>Dr. Al Amin Sheikh</v>
      </c>
      <c r="K8" s="30" t="str">
        <f t="shared" si="4"/>
        <v>T1P2</v>
      </c>
      <c r="L8" s="30" t="str">
        <f t="shared" si="5"/>
        <v>taskia.khatun@ulab.edu.bd</v>
      </c>
      <c r="M8" s="34" t="str">
        <f t="shared" si="6"/>
        <v>01701564663</v>
      </c>
      <c r="N8" s="30">
        <f t="shared" si="7"/>
        <v>1</v>
      </c>
      <c r="O8" s="8"/>
      <c r="P8" s="8"/>
      <c r="Q8" s="8"/>
      <c r="R8" s="8"/>
      <c r="S8" s="8"/>
      <c r="T8" s="8"/>
      <c r="U8" s="8"/>
      <c r="V8" s="8"/>
      <c r="W8" s="8"/>
      <c r="X8" s="8"/>
      <c r="Y8" s="8"/>
      <c r="Z8" s="8"/>
    </row>
    <row r="9" ht="18.0" customHeight="1">
      <c r="A9" s="8" t="s">
        <v>127</v>
      </c>
      <c r="B9" s="8" t="s">
        <v>110</v>
      </c>
      <c r="C9" s="8" t="s">
        <v>128</v>
      </c>
      <c r="D9" s="43" t="s">
        <v>129</v>
      </c>
      <c r="E9" s="20" t="s">
        <v>49</v>
      </c>
      <c r="F9" s="25" t="str">
        <f t="shared" si="1"/>
        <v>Yes</v>
      </c>
      <c r="G9" s="19"/>
      <c r="H9" s="25" t="str">
        <f t="shared" si="2"/>
        <v>No</v>
      </c>
      <c r="I9" s="8"/>
      <c r="J9" s="30" t="str">
        <f t="shared" si="3"/>
        <v>Dr. Mst. Taskia Khatun</v>
      </c>
      <c r="K9" s="30" t="str">
        <f t="shared" si="4"/>
        <v>T2P2</v>
      </c>
      <c r="L9" s="30" t="str">
        <f t="shared" si="5"/>
        <v>alamin.sheikh@ulab.edu.bd</v>
      </c>
      <c r="M9" s="34" t="str">
        <f t="shared" si="6"/>
        <v>01764912222</v>
      </c>
      <c r="N9" s="30">
        <f t="shared" si="7"/>
        <v>1</v>
      </c>
      <c r="O9" s="8"/>
      <c r="P9" s="8"/>
      <c r="Q9" s="8"/>
      <c r="R9" s="8"/>
      <c r="S9" s="8"/>
      <c r="T9" s="8"/>
      <c r="U9" s="8"/>
      <c r="V9" s="8"/>
      <c r="W9" s="8"/>
      <c r="X9" s="8"/>
      <c r="Y9" s="8"/>
      <c r="Z9" s="8"/>
    </row>
    <row r="10" ht="18.0" customHeight="1">
      <c r="A10" s="8" t="s">
        <v>135</v>
      </c>
      <c r="B10" s="8" t="s">
        <v>110</v>
      </c>
      <c r="C10" s="8" t="s">
        <v>136</v>
      </c>
      <c r="D10" s="43" t="s">
        <v>137</v>
      </c>
      <c r="E10" s="20" t="s">
        <v>57</v>
      </c>
      <c r="F10" s="25" t="str">
        <f t="shared" si="1"/>
        <v>Yes</v>
      </c>
      <c r="G10" s="19" t="s">
        <v>141</v>
      </c>
      <c r="H10" s="25" t="str">
        <f t="shared" si="2"/>
        <v>Yes</v>
      </c>
      <c r="I10" s="8"/>
      <c r="J10" s="30" t="str">
        <f t="shared" si="3"/>
        <v>Dr. Nafiz Jaidye</v>
      </c>
      <c r="K10" s="30" t="str">
        <f t="shared" si="4"/>
        <v>T2P3</v>
      </c>
      <c r="L10" s="30" t="str">
        <f t="shared" si="5"/>
        <v>nafiz.jaidye@ulab.edu.bd</v>
      </c>
      <c r="M10" s="34" t="str">
        <f t="shared" si="6"/>
        <v>01889121516</v>
      </c>
      <c r="N10" s="30">
        <f t="shared" si="7"/>
        <v>1</v>
      </c>
      <c r="O10" s="8"/>
      <c r="P10" s="8"/>
      <c r="Q10" s="8"/>
      <c r="R10" s="8"/>
      <c r="S10" s="8"/>
      <c r="T10" s="8"/>
      <c r="U10" s="8"/>
      <c r="V10" s="8"/>
      <c r="W10" s="8"/>
      <c r="X10" s="8"/>
      <c r="Y10" s="8"/>
      <c r="Z10" s="8"/>
    </row>
    <row r="11" ht="18.0" customHeight="1">
      <c r="A11" s="8" t="s">
        <v>147</v>
      </c>
      <c r="B11" s="8" t="s">
        <v>149</v>
      </c>
      <c r="C11" s="8" t="s">
        <v>153</v>
      </c>
      <c r="D11" s="43" t="s">
        <v>154</v>
      </c>
      <c r="E11" s="20" t="s">
        <v>63</v>
      </c>
      <c r="F11" s="25" t="str">
        <f t="shared" si="1"/>
        <v>Yes</v>
      </c>
      <c r="G11" s="19" t="s">
        <v>155</v>
      </c>
      <c r="H11" s="25" t="str">
        <f t="shared" si="2"/>
        <v>Yes</v>
      </c>
      <c r="I11" s="8"/>
      <c r="J11" s="30" t="str">
        <f t="shared" si="3"/>
        <v>Raihan Kibria</v>
      </c>
      <c r="K11" s="30" t="str">
        <f t="shared" si="4"/>
        <v>T2P4</v>
      </c>
      <c r="L11" s="30" t="str">
        <f t="shared" si="5"/>
        <v>raihan.kibria@ulab.edu.bd</v>
      </c>
      <c r="M11" s="34" t="str">
        <f t="shared" si="6"/>
        <v>01819417956</v>
      </c>
      <c r="N11" s="30">
        <f t="shared" si="7"/>
        <v>1</v>
      </c>
      <c r="O11" s="8"/>
      <c r="P11" s="8"/>
      <c r="Q11" s="8"/>
      <c r="R11" s="8"/>
      <c r="S11" s="8"/>
      <c r="T11" s="8"/>
      <c r="U11" s="8"/>
      <c r="V11" s="8"/>
      <c r="W11" s="8"/>
      <c r="X11" s="8"/>
      <c r="Y11" s="8"/>
      <c r="Z11" s="8"/>
    </row>
    <row r="12" ht="18.0" customHeight="1">
      <c r="A12" s="8" t="s">
        <v>156</v>
      </c>
      <c r="B12" s="8" t="s">
        <v>149</v>
      </c>
      <c r="C12" s="8" t="s">
        <v>157</v>
      </c>
      <c r="D12" s="43" t="s">
        <v>158</v>
      </c>
      <c r="E12" s="20" t="s">
        <v>159</v>
      </c>
      <c r="F12" s="25" t="str">
        <f t="shared" si="1"/>
        <v>Yes</v>
      </c>
      <c r="G12" s="8"/>
      <c r="H12" s="25" t="str">
        <f t="shared" si="2"/>
        <v>No</v>
      </c>
      <c r="I12" s="8"/>
      <c r="J12" s="30" t="str">
        <f t="shared" si="3"/>
        <v>Rubaiya Hafiz</v>
      </c>
      <c r="K12" s="30" t="str">
        <f t="shared" si="4"/>
        <v>T3P1</v>
      </c>
      <c r="L12" s="30" t="str">
        <f t="shared" si="5"/>
        <v>rubaiya.hafiz@ulab.edu.bd</v>
      </c>
      <c r="M12" s="34" t="str">
        <f t="shared" si="6"/>
        <v>01914194973</v>
      </c>
      <c r="N12" s="30">
        <f t="shared" si="7"/>
        <v>1</v>
      </c>
      <c r="O12" s="8"/>
      <c r="P12" s="8"/>
      <c r="Q12" s="8"/>
      <c r="R12" s="8"/>
      <c r="S12" s="8"/>
      <c r="T12" s="8"/>
      <c r="U12" s="8"/>
      <c r="V12" s="8"/>
      <c r="W12" s="8"/>
      <c r="X12" s="8"/>
      <c r="Y12" s="8"/>
      <c r="Z12" s="8"/>
    </row>
    <row r="13" ht="18.0" customHeight="1">
      <c r="A13" s="8" t="s">
        <v>161</v>
      </c>
      <c r="B13" s="8" t="s">
        <v>163</v>
      </c>
      <c r="C13" s="8" t="s">
        <v>164</v>
      </c>
      <c r="D13" s="43" t="s">
        <v>165</v>
      </c>
      <c r="E13" s="20" t="s">
        <v>166</v>
      </c>
      <c r="F13" s="25" t="str">
        <f t="shared" si="1"/>
        <v>Yes</v>
      </c>
      <c r="G13" s="19" t="s">
        <v>72</v>
      </c>
      <c r="H13" s="25" t="str">
        <f t="shared" si="2"/>
        <v>Yes</v>
      </c>
      <c r="I13" s="8"/>
      <c r="J13" s="30" t="str">
        <f t="shared" si="3"/>
        <v>Jannatul Ferdous Ruma</v>
      </c>
      <c r="K13" s="30" t="str">
        <f t="shared" si="4"/>
        <v>T4P6</v>
      </c>
      <c r="L13" s="30" t="str">
        <f t="shared" si="5"/>
        <v>jannatul.ferdous1@ulab.edu.bd</v>
      </c>
      <c r="M13" s="34" t="str">
        <f t="shared" si="6"/>
        <v>01710954167</v>
      </c>
      <c r="N13" s="30">
        <f t="shared" si="7"/>
        <v>1</v>
      </c>
      <c r="O13" s="8"/>
      <c r="P13" s="8"/>
      <c r="Q13" s="8"/>
      <c r="R13" s="8"/>
      <c r="S13" s="8"/>
      <c r="T13" s="8"/>
      <c r="U13" s="8"/>
      <c r="V13" s="8"/>
      <c r="W13" s="8"/>
      <c r="X13" s="8"/>
      <c r="Y13" s="8"/>
      <c r="Z13" s="8"/>
    </row>
    <row r="14" ht="18.0" customHeight="1">
      <c r="A14" s="14" t="s">
        <v>169</v>
      </c>
      <c r="B14" s="14" t="s">
        <v>170</v>
      </c>
      <c r="C14" s="14" t="s">
        <v>171</v>
      </c>
      <c r="D14" s="16" t="s">
        <v>172</v>
      </c>
      <c r="E14" s="20"/>
      <c r="F14" s="25" t="str">
        <f t="shared" si="1"/>
        <v>No</v>
      </c>
      <c r="G14" s="8"/>
      <c r="H14" s="25" t="str">
        <f t="shared" si="2"/>
        <v>No</v>
      </c>
      <c r="I14" s="8"/>
      <c r="J14" s="30" t="str">
        <f t="shared" si="3"/>
        <v>Dr. A.S.M. Shihavuddin</v>
      </c>
      <c r="K14" s="30" t="str">
        <f t="shared" si="4"/>
        <v/>
      </c>
      <c r="L14" s="30" t="str">
        <f t="shared" si="5"/>
        <v>shihav.uddin@ulab.edu.bd</v>
      </c>
      <c r="M14" s="34" t="str">
        <f t="shared" si="6"/>
        <v>01847246426</v>
      </c>
      <c r="N14" s="30" t="str">
        <f t="shared" si="7"/>
        <v/>
      </c>
      <c r="O14" s="8"/>
      <c r="P14" s="8"/>
      <c r="Q14" s="8"/>
      <c r="R14" s="8"/>
      <c r="S14" s="8"/>
      <c r="T14" s="8"/>
      <c r="U14" s="8"/>
      <c r="V14" s="8"/>
      <c r="W14" s="8"/>
      <c r="X14" s="8"/>
      <c r="Y14" s="8"/>
      <c r="Z14" s="8"/>
    </row>
    <row r="15" ht="18.0" customHeight="1">
      <c r="A15" s="8" t="s">
        <v>175</v>
      </c>
      <c r="B15" s="8" t="s">
        <v>176</v>
      </c>
      <c r="C15" s="8" t="s">
        <v>177</v>
      </c>
      <c r="D15" s="43" t="s">
        <v>178</v>
      </c>
      <c r="E15" s="20" t="s">
        <v>118</v>
      </c>
      <c r="F15" s="25" t="str">
        <f t="shared" si="1"/>
        <v>Yes</v>
      </c>
      <c r="G15" s="19"/>
      <c r="H15" s="25" t="str">
        <f t="shared" si="2"/>
        <v>No</v>
      </c>
      <c r="I15" s="8"/>
      <c r="J15" s="30" t="str">
        <f t="shared" si="3"/>
        <v>Ifat Al Baqee, PhD</v>
      </c>
      <c r="K15" s="30" t="str">
        <f t="shared" si="4"/>
        <v>T4P2</v>
      </c>
      <c r="L15" s="30" t="str">
        <f t="shared" si="5"/>
        <v>ifat.albaqee@ulab.edu.bd</v>
      </c>
      <c r="M15" s="34" t="str">
        <f t="shared" si="6"/>
        <v>01715135140</v>
      </c>
      <c r="N15" s="30">
        <f t="shared" si="7"/>
        <v>1</v>
      </c>
      <c r="O15" s="8"/>
      <c r="P15" s="8"/>
      <c r="Q15" s="8"/>
      <c r="R15" s="8"/>
      <c r="S15" s="8"/>
      <c r="T15" s="8"/>
      <c r="U15" s="8"/>
      <c r="V15" s="8"/>
      <c r="W15" s="8"/>
      <c r="X15" s="8"/>
      <c r="Y15" s="8"/>
      <c r="Z15" s="8"/>
    </row>
    <row r="16" ht="18.0" customHeight="1">
      <c r="A16" s="8" t="s">
        <v>181</v>
      </c>
      <c r="B16" s="8" t="s">
        <v>176</v>
      </c>
      <c r="C16" s="8" t="s">
        <v>182</v>
      </c>
      <c r="D16" s="43" t="s">
        <v>183</v>
      </c>
      <c r="E16" s="20" t="s">
        <v>34</v>
      </c>
      <c r="F16" s="25" t="str">
        <f t="shared" si="1"/>
        <v>Yes</v>
      </c>
      <c r="G16" s="8"/>
      <c r="H16" s="25" t="str">
        <f t="shared" si="2"/>
        <v>No</v>
      </c>
      <c r="I16" s="8"/>
      <c r="J16" s="30" t="str">
        <f t="shared" si="3"/>
        <v>Md. Ashraful Haque, PhD</v>
      </c>
      <c r="K16" s="30" t="str">
        <f t="shared" si="4"/>
        <v>T1P3</v>
      </c>
      <c r="L16" s="30" t="str">
        <f t="shared" si="5"/>
        <v>ashraful.haque1@ulab.edu.bd</v>
      </c>
      <c r="M16" s="34" t="str">
        <f t="shared" si="6"/>
        <v>01745323543</v>
      </c>
      <c r="N16" s="30">
        <f t="shared" si="7"/>
        <v>1</v>
      </c>
      <c r="O16" s="8"/>
      <c r="P16" s="8"/>
      <c r="Q16" s="8"/>
      <c r="R16" s="8"/>
      <c r="S16" s="8"/>
      <c r="T16" s="8"/>
      <c r="U16" s="8"/>
      <c r="V16" s="8"/>
      <c r="W16" s="8"/>
      <c r="X16" s="8"/>
      <c r="Y16" s="8"/>
      <c r="Z16" s="8"/>
    </row>
    <row r="17" ht="18.0" customHeight="1">
      <c r="A17" s="8" t="s">
        <v>187</v>
      </c>
      <c r="B17" s="8" t="s">
        <v>188</v>
      </c>
      <c r="C17" s="8" t="s">
        <v>189</v>
      </c>
      <c r="D17" s="43" t="s">
        <v>190</v>
      </c>
      <c r="E17" s="20"/>
      <c r="F17" s="25" t="str">
        <f t="shared" si="1"/>
        <v>No</v>
      </c>
      <c r="G17" s="19" t="s">
        <v>184</v>
      </c>
      <c r="H17" s="25" t="str">
        <f t="shared" si="2"/>
        <v>Yes</v>
      </c>
      <c r="I17" s="8"/>
      <c r="J17" s="30" t="str">
        <f t="shared" si="3"/>
        <v>Mainul Haque</v>
      </c>
      <c r="K17" s="30" t="str">
        <f t="shared" si="4"/>
        <v/>
      </c>
      <c r="L17" s="30" t="str">
        <f t="shared" si="5"/>
        <v>mainul.haque@ulab.edu.bd</v>
      </c>
      <c r="M17" s="34" t="str">
        <f t="shared" si="6"/>
        <v>01717172837</v>
      </c>
      <c r="N17" s="30" t="str">
        <f t="shared" si="7"/>
        <v/>
      </c>
      <c r="O17" s="8"/>
      <c r="P17" s="8"/>
      <c r="Q17" s="8"/>
      <c r="R17" s="8"/>
      <c r="S17" s="8"/>
      <c r="T17" s="8"/>
      <c r="U17" s="8"/>
      <c r="V17" s="8"/>
      <c r="W17" s="8"/>
      <c r="X17" s="8"/>
      <c r="Y17" s="8"/>
      <c r="Z17" s="8"/>
    </row>
    <row r="18" ht="18.0" customHeight="1">
      <c r="A18" s="8"/>
      <c r="B18" s="8"/>
      <c r="C18" s="8"/>
      <c r="D18" s="43"/>
      <c r="E18" s="25"/>
      <c r="F18" s="25" t="str">
        <f t="shared" si="1"/>
        <v>No</v>
      </c>
      <c r="G18" s="8"/>
      <c r="H18" s="25" t="str">
        <f t="shared" si="2"/>
        <v>No</v>
      </c>
      <c r="I18" s="8"/>
      <c r="J18" s="30" t="str">
        <f t="shared" si="3"/>
        <v/>
      </c>
      <c r="K18" s="30" t="str">
        <f t="shared" si="4"/>
        <v/>
      </c>
      <c r="L18" s="30" t="str">
        <f t="shared" si="5"/>
        <v/>
      </c>
      <c r="M18" s="30" t="str">
        <f t="shared" si="6"/>
        <v/>
      </c>
      <c r="N18" s="30" t="str">
        <f t="shared" si="7"/>
        <v/>
      </c>
      <c r="O18" s="8"/>
      <c r="P18" s="8"/>
      <c r="Q18" s="8"/>
      <c r="R18" s="8"/>
      <c r="S18" s="8"/>
      <c r="T18" s="8"/>
      <c r="U18" s="8"/>
      <c r="V18" s="8"/>
      <c r="W18" s="8"/>
      <c r="X18" s="8"/>
      <c r="Y18" s="8"/>
      <c r="Z18" s="8"/>
    </row>
    <row r="19" ht="18.0" customHeight="1">
      <c r="A19" s="8"/>
      <c r="B19" s="8"/>
      <c r="C19" s="8"/>
      <c r="D19" s="43"/>
      <c r="E19" s="25"/>
      <c r="F19" s="25" t="str">
        <f t="shared" si="1"/>
        <v>No</v>
      </c>
      <c r="G19" s="8"/>
      <c r="H19" s="25" t="str">
        <f t="shared" si="2"/>
        <v>No</v>
      </c>
      <c r="I19" s="8"/>
      <c r="J19" s="30" t="str">
        <f t="shared" si="3"/>
        <v/>
      </c>
      <c r="K19" s="30" t="str">
        <f t="shared" si="4"/>
        <v/>
      </c>
      <c r="L19" s="30" t="str">
        <f t="shared" si="5"/>
        <v/>
      </c>
      <c r="M19" s="30" t="str">
        <f t="shared" si="6"/>
        <v/>
      </c>
      <c r="N19" s="30" t="str">
        <f t="shared" si="7"/>
        <v/>
      </c>
      <c r="O19" s="8"/>
      <c r="P19" s="8"/>
      <c r="Q19" s="8"/>
      <c r="R19" s="8"/>
      <c r="S19" s="8"/>
      <c r="T19" s="8"/>
      <c r="U19" s="8"/>
      <c r="V19" s="8"/>
      <c r="W19" s="8"/>
      <c r="X19" s="8"/>
      <c r="Y19" s="8"/>
      <c r="Z19" s="8"/>
    </row>
    <row r="20" ht="18.0" customHeight="1">
      <c r="A20" s="8"/>
      <c r="B20" s="8"/>
      <c r="C20" s="8"/>
      <c r="D20" s="43"/>
      <c r="E20" s="25"/>
      <c r="F20" s="25" t="str">
        <f t="shared" si="1"/>
        <v>No</v>
      </c>
      <c r="G20" s="8"/>
      <c r="H20" s="25" t="str">
        <f t="shared" si="2"/>
        <v>No</v>
      </c>
      <c r="I20" s="8"/>
      <c r="J20" s="30" t="str">
        <f t="shared" si="3"/>
        <v/>
      </c>
      <c r="K20" s="30" t="str">
        <f t="shared" si="4"/>
        <v/>
      </c>
      <c r="L20" s="30" t="str">
        <f t="shared" si="5"/>
        <v/>
      </c>
      <c r="M20" s="30" t="str">
        <f t="shared" si="6"/>
        <v/>
      </c>
      <c r="N20" s="30" t="str">
        <f t="shared" si="7"/>
        <v/>
      </c>
      <c r="O20" s="8"/>
      <c r="P20" s="8"/>
      <c r="Q20" s="8"/>
      <c r="R20" s="8"/>
      <c r="S20" s="8"/>
      <c r="T20" s="8"/>
      <c r="U20" s="8"/>
      <c r="V20" s="8"/>
      <c r="W20" s="8"/>
      <c r="X20" s="8"/>
      <c r="Y20" s="8"/>
      <c r="Z20" s="8"/>
    </row>
    <row r="21" ht="18.0" customHeight="1">
      <c r="A21" s="8"/>
      <c r="B21" s="8"/>
      <c r="C21" s="8"/>
      <c r="D21" s="43"/>
      <c r="E21" s="25"/>
      <c r="F21" s="25" t="str">
        <f t="shared" si="1"/>
        <v>No</v>
      </c>
      <c r="G21" s="8"/>
      <c r="H21" s="25" t="str">
        <f t="shared" si="2"/>
        <v>No</v>
      </c>
      <c r="I21" s="8"/>
      <c r="J21" s="30" t="str">
        <f t="shared" si="3"/>
        <v/>
      </c>
      <c r="K21" s="30" t="str">
        <f t="shared" si="4"/>
        <v/>
      </c>
      <c r="L21" s="30" t="str">
        <f t="shared" si="5"/>
        <v/>
      </c>
      <c r="M21" s="30" t="str">
        <f t="shared" si="6"/>
        <v/>
      </c>
      <c r="N21" s="30" t="str">
        <f t="shared" si="7"/>
        <v/>
      </c>
      <c r="O21" s="8"/>
      <c r="P21" s="8"/>
      <c r="Q21" s="8"/>
      <c r="R21" s="8"/>
      <c r="S21" s="8"/>
      <c r="T21" s="8"/>
      <c r="U21" s="8"/>
      <c r="V21" s="8"/>
      <c r="W21" s="8"/>
      <c r="X21" s="8"/>
      <c r="Y21" s="8"/>
      <c r="Z21" s="8"/>
    </row>
    <row r="22" ht="18.0" customHeight="1">
      <c r="A22" s="8"/>
      <c r="B22" s="8"/>
      <c r="C22" s="8"/>
      <c r="D22" s="43"/>
      <c r="E22" s="25"/>
      <c r="F22" s="25" t="str">
        <f t="shared" si="1"/>
        <v>No</v>
      </c>
      <c r="G22" s="8"/>
      <c r="H22" s="25" t="str">
        <f t="shared" si="2"/>
        <v>No</v>
      </c>
      <c r="I22" s="8"/>
      <c r="J22" s="30" t="str">
        <f t="shared" si="3"/>
        <v/>
      </c>
      <c r="K22" s="30" t="str">
        <f t="shared" si="4"/>
        <v/>
      </c>
      <c r="L22" s="30" t="str">
        <f t="shared" si="5"/>
        <v/>
      </c>
      <c r="M22" s="30" t="str">
        <f t="shared" si="6"/>
        <v/>
      </c>
      <c r="N22" s="30" t="str">
        <f t="shared" si="7"/>
        <v/>
      </c>
      <c r="O22" s="8"/>
      <c r="P22" s="8"/>
      <c r="Q22" s="8"/>
      <c r="R22" s="8"/>
      <c r="S22" s="8"/>
      <c r="T22" s="8"/>
      <c r="U22" s="8"/>
      <c r="V22" s="8"/>
      <c r="W22" s="8"/>
      <c r="X22" s="8"/>
      <c r="Y22" s="8"/>
      <c r="Z22" s="8"/>
    </row>
    <row r="23" ht="18.0" customHeight="1">
      <c r="A23" s="8"/>
      <c r="B23" s="8"/>
      <c r="C23" s="8"/>
      <c r="D23" s="43"/>
      <c r="E23" s="25"/>
      <c r="F23" s="25" t="str">
        <f t="shared" si="1"/>
        <v>No</v>
      </c>
      <c r="G23" s="8"/>
      <c r="H23" s="25" t="str">
        <f t="shared" si="2"/>
        <v>No</v>
      </c>
      <c r="I23" s="8"/>
      <c r="J23" s="30" t="str">
        <f t="shared" si="3"/>
        <v/>
      </c>
      <c r="K23" s="30" t="str">
        <f t="shared" si="4"/>
        <v/>
      </c>
      <c r="L23" s="30" t="str">
        <f t="shared" si="5"/>
        <v/>
      </c>
      <c r="M23" s="30" t="str">
        <f t="shared" si="6"/>
        <v/>
      </c>
      <c r="N23" s="30" t="str">
        <f t="shared" si="7"/>
        <v/>
      </c>
      <c r="O23" s="8"/>
      <c r="P23" s="8"/>
      <c r="Q23" s="8"/>
      <c r="R23" s="8"/>
      <c r="S23" s="8"/>
      <c r="T23" s="8"/>
      <c r="U23" s="8"/>
      <c r="V23" s="8"/>
      <c r="W23" s="8"/>
      <c r="X23" s="8"/>
      <c r="Y23" s="8"/>
      <c r="Z23" s="8"/>
    </row>
    <row r="24" ht="18.0" customHeight="1">
      <c r="A24" s="8"/>
      <c r="B24" s="8"/>
      <c r="C24" s="8"/>
      <c r="D24" s="43"/>
      <c r="E24" s="25"/>
      <c r="F24" s="25" t="str">
        <f t="shared" si="1"/>
        <v>No</v>
      </c>
      <c r="G24" s="8"/>
      <c r="H24" s="25" t="str">
        <f t="shared" si="2"/>
        <v>No</v>
      </c>
      <c r="I24" s="8"/>
      <c r="J24" s="30" t="str">
        <f t="shared" si="3"/>
        <v/>
      </c>
      <c r="K24" s="30" t="str">
        <f t="shared" si="4"/>
        <v/>
      </c>
      <c r="L24" s="30" t="str">
        <f t="shared" si="5"/>
        <v/>
      </c>
      <c r="M24" s="30" t="str">
        <f t="shared" si="6"/>
        <v/>
      </c>
      <c r="N24" s="30" t="str">
        <f t="shared" si="7"/>
        <v/>
      </c>
      <c r="O24" s="8"/>
      <c r="P24" s="8"/>
      <c r="Q24" s="8"/>
      <c r="R24" s="8"/>
      <c r="S24" s="8"/>
      <c r="T24" s="8"/>
      <c r="U24" s="8"/>
      <c r="V24" s="8"/>
      <c r="W24" s="8"/>
      <c r="X24" s="8"/>
      <c r="Y24" s="8"/>
      <c r="Z24" s="8"/>
    </row>
    <row r="25" ht="18.0" customHeight="1">
      <c r="A25" s="8"/>
      <c r="B25" s="8"/>
      <c r="C25" s="8"/>
      <c r="D25" s="43"/>
      <c r="E25" s="25"/>
      <c r="F25" s="25" t="str">
        <f t="shared" si="1"/>
        <v>No</v>
      </c>
      <c r="G25" s="8"/>
      <c r="H25" s="25" t="str">
        <f t="shared" si="2"/>
        <v>No</v>
      </c>
      <c r="I25" s="8"/>
      <c r="J25" s="30" t="str">
        <f t="shared" si="3"/>
        <v/>
      </c>
      <c r="K25" s="30" t="str">
        <f t="shared" si="4"/>
        <v/>
      </c>
      <c r="L25" s="30" t="str">
        <f t="shared" si="5"/>
        <v/>
      </c>
      <c r="M25" s="30" t="str">
        <f t="shared" si="6"/>
        <v/>
      </c>
      <c r="N25" s="30" t="str">
        <f t="shared" si="7"/>
        <v/>
      </c>
      <c r="O25" s="8"/>
      <c r="P25" s="8"/>
      <c r="Q25" s="8"/>
      <c r="R25" s="8"/>
      <c r="S25" s="8"/>
      <c r="T25" s="8"/>
      <c r="U25" s="8"/>
      <c r="V25" s="8"/>
      <c r="W25" s="8"/>
      <c r="X25" s="8"/>
      <c r="Y25" s="8"/>
      <c r="Z25" s="8"/>
    </row>
    <row r="26" ht="18.0" customHeight="1">
      <c r="A26" s="8"/>
      <c r="B26" s="8"/>
      <c r="C26" s="8"/>
      <c r="D26" s="25"/>
      <c r="E26" s="25"/>
      <c r="F26" s="25" t="str">
        <f t="shared" si="1"/>
        <v>No</v>
      </c>
      <c r="G26" s="8"/>
      <c r="H26" s="25" t="str">
        <f t="shared" si="2"/>
        <v>No</v>
      </c>
      <c r="I26" s="8"/>
      <c r="J26" s="30" t="str">
        <f t="shared" si="3"/>
        <v/>
      </c>
      <c r="K26" s="30" t="str">
        <f t="shared" si="4"/>
        <v/>
      </c>
      <c r="L26" s="30" t="str">
        <f t="shared" si="5"/>
        <v/>
      </c>
      <c r="M26" s="30" t="str">
        <f t="shared" si="6"/>
        <v/>
      </c>
      <c r="N26" s="30" t="str">
        <f t="shared" si="7"/>
        <v/>
      </c>
      <c r="O26" s="8"/>
      <c r="P26" s="8"/>
      <c r="Q26" s="8"/>
      <c r="R26" s="8"/>
      <c r="S26" s="8"/>
      <c r="T26" s="8"/>
      <c r="U26" s="8"/>
      <c r="V26" s="8"/>
      <c r="W26" s="8"/>
      <c r="X26" s="8"/>
      <c r="Y26" s="8"/>
      <c r="Z26" s="8"/>
    </row>
    <row r="27" ht="18.0" customHeight="1">
      <c r="A27" s="8"/>
      <c r="B27" s="8"/>
      <c r="C27" s="8"/>
      <c r="D27" s="25"/>
      <c r="E27" s="25"/>
      <c r="F27" s="25" t="str">
        <f t="shared" si="1"/>
        <v>No</v>
      </c>
      <c r="G27" s="8"/>
      <c r="H27" s="25" t="str">
        <f t="shared" si="2"/>
        <v>No</v>
      </c>
      <c r="I27" s="8"/>
      <c r="J27" s="30" t="str">
        <f t="shared" si="3"/>
        <v/>
      </c>
      <c r="K27" s="30" t="str">
        <f t="shared" si="4"/>
        <v/>
      </c>
      <c r="L27" s="30" t="str">
        <f t="shared" si="5"/>
        <v/>
      </c>
      <c r="M27" s="30" t="str">
        <f t="shared" si="6"/>
        <v/>
      </c>
      <c r="N27" s="30" t="str">
        <f t="shared" si="7"/>
        <v/>
      </c>
      <c r="O27" s="8"/>
      <c r="P27" s="8"/>
      <c r="Q27" s="8"/>
      <c r="R27" s="8"/>
      <c r="S27" s="8"/>
      <c r="T27" s="8"/>
      <c r="U27" s="8"/>
      <c r="V27" s="8"/>
      <c r="W27" s="8"/>
      <c r="X27" s="8"/>
      <c r="Y27" s="8"/>
      <c r="Z27" s="8"/>
    </row>
    <row r="28" ht="18.0" customHeight="1">
      <c r="A28" s="8"/>
      <c r="B28" s="8"/>
      <c r="C28" s="8"/>
      <c r="D28" s="25"/>
      <c r="E28" s="25"/>
      <c r="F28" s="25" t="str">
        <f t="shared" si="1"/>
        <v>No</v>
      </c>
      <c r="G28" s="8"/>
      <c r="H28" s="25" t="str">
        <f t="shared" si="2"/>
        <v>No</v>
      </c>
      <c r="I28" s="8"/>
      <c r="J28" s="30" t="str">
        <f t="shared" si="3"/>
        <v/>
      </c>
      <c r="K28" s="30" t="str">
        <f t="shared" si="4"/>
        <v/>
      </c>
      <c r="L28" s="30" t="str">
        <f t="shared" si="5"/>
        <v/>
      </c>
      <c r="M28" s="30" t="str">
        <f t="shared" si="6"/>
        <v/>
      </c>
      <c r="N28" s="30" t="str">
        <f t="shared" si="7"/>
        <v/>
      </c>
      <c r="O28" s="8"/>
      <c r="P28" s="8"/>
      <c r="Q28" s="8"/>
      <c r="R28" s="8"/>
      <c r="S28" s="8"/>
      <c r="T28" s="8"/>
      <c r="U28" s="8"/>
      <c r="V28" s="8"/>
      <c r="W28" s="8"/>
      <c r="X28" s="8"/>
      <c r="Y28" s="8"/>
      <c r="Z28" s="8"/>
    </row>
    <row r="29" ht="18.0" customHeight="1">
      <c r="A29" s="8"/>
      <c r="B29" s="8"/>
      <c r="C29" s="8"/>
      <c r="D29" s="25"/>
      <c r="E29" s="25"/>
      <c r="F29" s="25" t="str">
        <f t="shared" si="1"/>
        <v>No</v>
      </c>
      <c r="G29" s="8"/>
      <c r="H29" s="25" t="str">
        <f t="shared" si="2"/>
        <v>No</v>
      </c>
      <c r="I29" s="8"/>
      <c r="J29" s="30" t="str">
        <f t="shared" si="3"/>
        <v/>
      </c>
      <c r="K29" s="30" t="str">
        <f t="shared" si="4"/>
        <v/>
      </c>
      <c r="L29" s="30" t="str">
        <f t="shared" si="5"/>
        <v/>
      </c>
      <c r="M29" s="30" t="str">
        <f t="shared" si="6"/>
        <v/>
      </c>
      <c r="N29" s="30" t="str">
        <f t="shared" si="7"/>
        <v/>
      </c>
      <c r="O29" s="8"/>
      <c r="P29" s="8"/>
      <c r="Q29" s="8"/>
      <c r="R29" s="8"/>
      <c r="S29" s="8"/>
      <c r="T29" s="8"/>
      <c r="U29" s="8"/>
      <c r="V29" s="8"/>
      <c r="W29" s="8"/>
      <c r="X29" s="8"/>
      <c r="Y29" s="8"/>
      <c r="Z29" s="8"/>
    </row>
    <row r="30" ht="18.0" customHeight="1">
      <c r="A30" s="8"/>
      <c r="B30" s="8"/>
      <c r="C30" s="8"/>
      <c r="D30" s="25"/>
      <c r="E30" s="25"/>
      <c r="F30" s="25" t="str">
        <f t="shared" si="1"/>
        <v>No</v>
      </c>
      <c r="G30" s="8"/>
      <c r="H30" s="25" t="str">
        <f t="shared" si="2"/>
        <v>No</v>
      </c>
      <c r="I30" s="8"/>
      <c r="J30" s="30" t="str">
        <f t="shared" si="3"/>
        <v/>
      </c>
      <c r="K30" s="30" t="str">
        <f t="shared" si="4"/>
        <v/>
      </c>
      <c r="L30" s="30" t="str">
        <f t="shared" si="5"/>
        <v/>
      </c>
      <c r="M30" s="30" t="str">
        <f t="shared" si="6"/>
        <v/>
      </c>
      <c r="N30" s="30" t="str">
        <f t="shared" si="7"/>
        <v/>
      </c>
      <c r="O30" s="8"/>
      <c r="P30" s="8"/>
      <c r="Q30" s="8"/>
      <c r="R30" s="8"/>
      <c r="S30" s="8"/>
      <c r="T30" s="8"/>
      <c r="U30" s="8"/>
      <c r="V30" s="8"/>
      <c r="W30" s="8"/>
      <c r="X30" s="8"/>
      <c r="Y30" s="8"/>
      <c r="Z30" s="8"/>
    </row>
    <row r="31" ht="18.0" customHeight="1">
      <c r="A31" s="8"/>
      <c r="B31" s="8"/>
      <c r="C31" s="8"/>
      <c r="D31" s="25"/>
      <c r="E31" s="25"/>
      <c r="F31" s="25" t="str">
        <f t="shared" si="1"/>
        <v>No</v>
      </c>
      <c r="G31" s="8"/>
      <c r="H31" s="25" t="str">
        <f t="shared" si="2"/>
        <v>No</v>
      </c>
      <c r="I31" s="8"/>
      <c r="J31" s="30" t="str">
        <f t="shared" si="3"/>
        <v/>
      </c>
      <c r="K31" s="30" t="str">
        <f t="shared" si="4"/>
        <v/>
      </c>
      <c r="L31" s="30" t="str">
        <f t="shared" si="5"/>
        <v/>
      </c>
      <c r="M31" s="30" t="str">
        <f t="shared" si="6"/>
        <v/>
      </c>
      <c r="N31" s="30" t="str">
        <f t="shared" si="7"/>
        <v/>
      </c>
      <c r="O31" s="8"/>
      <c r="P31" s="8"/>
      <c r="Q31" s="8"/>
      <c r="R31" s="8"/>
      <c r="S31" s="8"/>
      <c r="T31" s="8"/>
      <c r="U31" s="8"/>
      <c r="V31" s="8"/>
      <c r="W31" s="8"/>
      <c r="X31" s="8"/>
      <c r="Y31" s="8"/>
      <c r="Z31" s="8"/>
    </row>
    <row r="32" ht="18.0" customHeight="1">
      <c r="A32" s="8"/>
      <c r="B32" s="8"/>
      <c r="C32" s="8"/>
      <c r="D32" s="25"/>
      <c r="E32" s="25"/>
      <c r="F32" s="25" t="str">
        <f t="shared" si="1"/>
        <v>No</v>
      </c>
      <c r="G32" s="8"/>
      <c r="H32" s="25" t="str">
        <f t="shared" si="2"/>
        <v>No</v>
      </c>
      <c r="I32" s="8"/>
      <c r="J32" s="30" t="str">
        <f t="shared" si="3"/>
        <v/>
      </c>
      <c r="K32" s="30" t="str">
        <f t="shared" si="4"/>
        <v/>
      </c>
      <c r="L32" s="30" t="str">
        <f t="shared" si="5"/>
        <v/>
      </c>
      <c r="M32" s="30" t="str">
        <f t="shared" si="6"/>
        <v/>
      </c>
      <c r="N32" s="30" t="str">
        <f t="shared" si="7"/>
        <v/>
      </c>
      <c r="O32" s="8"/>
      <c r="P32" s="8"/>
      <c r="Q32" s="8"/>
      <c r="R32" s="8"/>
      <c r="S32" s="8"/>
      <c r="T32" s="8"/>
      <c r="U32" s="8"/>
      <c r="V32" s="8"/>
      <c r="W32" s="8"/>
      <c r="X32" s="8"/>
      <c r="Y32" s="8"/>
      <c r="Z32" s="8"/>
    </row>
    <row r="33" ht="18.0" customHeight="1">
      <c r="A33" s="8"/>
      <c r="B33" s="8"/>
      <c r="C33" s="8"/>
      <c r="D33" s="25"/>
      <c r="E33" s="25"/>
      <c r="F33" s="25" t="str">
        <f t="shared" si="1"/>
        <v>No</v>
      </c>
      <c r="G33" s="8"/>
      <c r="H33" s="25" t="str">
        <f t="shared" si="2"/>
        <v>No</v>
      </c>
      <c r="I33" s="8"/>
      <c r="J33" s="30" t="str">
        <f t="shared" si="3"/>
        <v/>
      </c>
      <c r="K33" s="30" t="str">
        <f t="shared" si="4"/>
        <v/>
      </c>
      <c r="L33" s="30" t="str">
        <f t="shared" si="5"/>
        <v/>
      </c>
      <c r="M33" s="30" t="str">
        <f t="shared" si="6"/>
        <v/>
      </c>
      <c r="N33" s="30" t="str">
        <f t="shared" si="7"/>
        <v/>
      </c>
      <c r="O33" s="8"/>
      <c r="P33" s="8"/>
      <c r="Q33" s="8"/>
      <c r="R33" s="8"/>
      <c r="S33" s="8"/>
      <c r="T33" s="8"/>
      <c r="U33" s="8"/>
      <c r="V33" s="8"/>
      <c r="W33" s="8"/>
      <c r="X33" s="8"/>
      <c r="Y33" s="8"/>
      <c r="Z33" s="8"/>
    </row>
    <row r="34" ht="18.0" customHeight="1">
      <c r="A34" s="8"/>
      <c r="B34" s="8"/>
      <c r="C34" s="8"/>
      <c r="D34" s="25"/>
      <c r="E34" s="25"/>
      <c r="F34" s="25" t="str">
        <f t="shared" si="1"/>
        <v>No</v>
      </c>
      <c r="G34" s="8"/>
      <c r="H34" s="25" t="str">
        <f t="shared" si="2"/>
        <v>No</v>
      </c>
      <c r="I34" s="8"/>
      <c r="J34" s="30" t="str">
        <f t="shared" si="3"/>
        <v/>
      </c>
      <c r="K34" s="30" t="str">
        <f t="shared" si="4"/>
        <v/>
      </c>
      <c r="L34" s="30" t="str">
        <f t="shared" si="5"/>
        <v/>
      </c>
      <c r="M34" s="30" t="str">
        <f t="shared" si="6"/>
        <v/>
      </c>
      <c r="N34" s="30" t="str">
        <f t="shared" si="7"/>
        <v/>
      </c>
      <c r="O34" s="8"/>
      <c r="P34" s="8"/>
      <c r="Q34" s="8"/>
      <c r="R34" s="8"/>
      <c r="S34" s="8"/>
      <c r="T34" s="8"/>
      <c r="U34" s="8"/>
      <c r="V34" s="8"/>
      <c r="W34" s="8"/>
      <c r="X34" s="8"/>
      <c r="Y34" s="8"/>
      <c r="Z34" s="8"/>
    </row>
    <row r="35" ht="18.0" customHeight="1">
      <c r="A35" s="8"/>
      <c r="B35" s="8"/>
      <c r="C35" s="8"/>
      <c r="D35" s="25"/>
      <c r="E35" s="25"/>
      <c r="F35" s="25" t="str">
        <f t="shared" si="1"/>
        <v>No</v>
      </c>
      <c r="G35" s="8"/>
      <c r="H35" s="25" t="str">
        <f t="shared" si="2"/>
        <v>No</v>
      </c>
      <c r="I35" s="8"/>
      <c r="J35" s="30" t="str">
        <f t="shared" si="3"/>
        <v/>
      </c>
      <c r="K35" s="30" t="str">
        <f t="shared" si="4"/>
        <v/>
      </c>
      <c r="L35" s="30" t="str">
        <f t="shared" si="5"/>
        <v/>
      </c>
      <c r="M35" s="30" t="str">
        <f t="shared" si="6"/>
        <v/>
      </c>
      <c r="N35" s="30" t="str">
        <f t="shared" si="7"/>
        <v/>
      </c>
      <c r="O35" s="8"/>
      <c r="P35" s="8"/>
      <c r="Q35" s="8"/>
      <c r="R35" s="8"/>
      <c r="S35" s="8"/>
      <c r="T35" s="8"/>
      <c r="U35" s="8"/>
      <c r="V35" s="8"/>
      <c r="W35" s="8"/>
      <c r="X35" s="8"/>
      <c r="Y35" s="8"/>
      <c r="Z35" s="8"/>
    </row>
    <row r="36" ht="18.0" customHeight="1">
      <c r="A36" s="8"/>
      <c r="B36" s="8"/>
      <c r="C36" s="8"/>
      <c r="D36" s="25"/>
      <c r="E36" s="25"/>
      <c r="F36" s="25" t="str">
        <f t="shared" si="1"/>
        <v>No</v>
      </c>
      <c r="G36" s="8"/>
      <c r="H36" s="25" t="str">
        <f t="shared" si="2"/>
        <v>No</v>
      </c>
      <c r="I36" s="8"/>
      <c r="J36" s="30" t="str">
        <f t="shared" si="3"/>
        <v/>
      </c>
      <c r="K36" s="30" t="str">
        <f t="shared" si="4"/>
        <v/>
      </c>
      <c r="L36" s="30" t="str">
        <f t="shared" si="5"/>
        <v/>
      </c>
      <c r="M36" s="30" t="str">
        <f t="shared" si="6"/>
        <v/>
      </c>
      <c r="N36" s="30" t="str">
        <f t="shared" si="7"/>
        <v/>
      </c>
      <c r="O36" s="8"/>
      <c r="P36" s="8"/>
      <c r="Q36" s="8"/>
      <c r="R36" s="8"/>
      <c r="S36" s="8"/>
      <c r="T36" s="8"/>
      <c r="U36" s="8"/>
      <c r="V36" s="8"/>
      <c r="W36" s="8"/>
      <c r="X36" s="8"/>
      <c r="Y36" s="8"/>
      <c r="Z36" s="8"/>
    </row>
    <row r="37" ht="18.0" customHeight="1">
      <c r="A37" s="8"/>
      <c r="B37" s="8"/>
      <c r="C37" s="8"/>
      <c r="D37" s="25"/>
      <c r="E37" s="25"/>
      <c r="F37" s="25" t="str">
        <f t="shared" si="1"/>
        <v>No</v>
      </c>
      <c r="G37" s="8"/>
      <c r="H37" s="25" t="str">
        <f t="shared" si="2"/>
        <v>No</v>
      </c>
      <c r="I37" s="8"/>
      <c r="J37" s="30" t="str">
        <f t="shared" si="3"/>
        <v/>
      </c>
      <c r="K37" s="30" t="str">
        <f t="shared" si="4"/>
        <v/>
      </c>
      <c r="L37" s="30" t="str">
        <f t="shared" si="5"/>
        <v/>
      </c>
      <c r="M37" s="30" t="str">
        <f t="shared" si="6"/>
        <v/>
      </c>
      <c r="N37" s="30" t="str">
        <f t="shared" si="7"/>
        <v/>
      </c>
      <c r="O37" s="8"/>
      <c r="P37" s="8"/>
      <c r="Q37" s="8"/>
      <c r="R37" s="8"/>
      <c r="S37" s="8"/>
      <c r="T37" s="8"/>
      <c r="U37" s="8"/>
      <c r="V37" s="8"/>
      <c r="W37" s="8"/>
      <c r="X37" s="8"/>
      <c r="Y37" s="8"/>
      <c r="Z37" s="8"/>
    </row>
    <row r="38" ht="18.0" customHeight="1">
      <c r="A38" s="8"/>
      <c r="B38" s="8"/>
      <c r="C38" s="8"/>
      <c r="D38" s="25"/>
      <c r="E38" s="25"/>
      <c r="F38" s="25" t="str">
        <f t="shared" si="1"/>
        <v>No</v>
      </c>
      <c r="G38" s="8"/>
      <c r="H38" s="25" t="str">
        <f t="shared" si="2"/>
        <v>No</v>
      </c>
      <c r="I38" s="8"/>
      <c r="J38" s="30" t="str">
        <f t="shared" si="3"/>
        <v/>
      </c>
      <c r="K38" s="30" t="str">
        <f t="shared" si="4"/>
        <v/>
      </c>
      <c r="L38" s="30" t="str">
        <f t="shared" si="5"/>
        <v/>
      </c>
      <c r="M38" s="30" t="str">
        <f t="shared" si="6"/>
        <v/>
      </c>
      <c r="N38" s="30" t="str">
        <f t="shared" si="7"/>
        <v/>
      </c>
      <c r="O38" s="8"/>
      <c r="P38" s="8"/>
      <c r="Q38" s="8"/>
      <c r="R38" s="8"/>
      <c r="S38" s="8"/>
      <c r="T38" s="8"/>
      <c r="U38" s="8"/>
      <c r="V38" s="8"/>
      <c r="W38" s="8"/>
      <c r="X38" s="8"/>
      <c r="Y38" s="8"/>
      <c r="Z38" s="8"/>
    </row>
    <row r="39" ht="18.0" customHeight="1">
      <c r="A39" s="8"/>
      <c r="B39" s="8"/>
      <c r="C39" s="8"/>
      <c r="D39" s="25"/>
      <c r="E39" s="25"/>
      <c r="F39" s="25" t="str">
        <f t="shared" si="1"/>
        <v>No</v>
      </c>
      <c r="G39" s="8"/>
      <c r="H39" s="25" t="str">
        <f t="shared" si="2"/>
        <v>No</v>
      </c>
      <c r="I39" s="8"/>
      <c r="J39" s="30" t="str">
        <f t="shared" si="3"/>
        <v/>
      </c>
      <c r="K39" s="30" t="str">
        <f t="shared" si="4"/>
        <v/>
      </c>
      <c r="L39" s="30" t="str">
        <f t="shared" si="5"/>
        <v/>
      </c>
      <c r="M39" s="30" t="str">
        <f t="shared" si="6"/>
        <v/>
      </c>
      <c r="N39" s="30" t="str">
        <f t="shared" si="7"/>
        <v/>
      </c>
      <c r="O39" s="8"/>
      <c r="P39" s="8"/>
      <c r="Q39" s="8"/>
      <c r="R39" s="8"/>
      <c r="S39" s="8"/>
      <c r="T39" s="8"/>
      <c r="U39" s="8"/>
      <c r="V39" s="8"/>
      <c r="W39" s="8"/>
      <c r="X39" s="8"/>
      <c r="Y39" s="8"/>
      <c r="Z39" s="8"/>
    </row>
    <row r="40" ht="18.0" customHeight="1">
      <c r="A40" s="8"/>
      <c r="B40" s="8"/>
      <c r="C40" s="8"/>
      <c r="D40" s="25"/>
      <c r="E40" s="25"/>
      <c r="F40" s="25" t="str">
        <f t="shared" si="1"/>
        <v>No</v>
      </c>
      <c r="G40" s="8"/>
      <c r="H40" s="25" t="str">
        <f t="shared" si="2"/>
        <v>No</v>
      </c>
      <c r="I40" s="8"/>
      <c r="J40" s="30" t="str">
        <f t="shared" si="3"/>
        <v/>
      </c>
      <c r="K40" s="30" t="str">
        <f t="shared" si="4"/>
        <v/>
      </c>
      <c r="L40" s="30" t="str">
        <f t="shared" si="5"/>
        <v/>
      </c>
      <c r="M40" s="30" t="str">
        <f t="shared" si="6"/>
        <v/>
      </c>
      <c r="N40" s="30" t="str">
        <f t="shared" si="7"/>
        <v/>
      </c>
      <c r="O40" s="8"/>
      <c r="P40" s="8"/>
      <c r="Q40" s="8"/>
      <c r="R40" s="8"/>
      <c r="S40" s="8"/>
      <c r="T40" s="8"/>
      <c r="U40" s="8"/>
      <c r="V40" s="8"/>
      <c r="W40" s="8"/>
      <c r="X40" s="8"/>
      <c r="Y40" s="8"/>
      <c r="Z40" s="8"/>
    </row>
    <row r="41" ht="18.0" customHeight="1">
      <c r="A41" s="8"/>
      <c r="B41" s="8"/>
      <c r="C41" s="8"/>
      <c r="D41" s="25"/>
      <c r="E41" s="25"/>
      <c r="F41" s="25" t="str">
        <f t="shared" si="1"/>
        <v>No</v>
      </c>
      <c r="G41" s="8"/>
      <c r="H41" s="25" t="str">
        <f t="shared" si="2"/>
        <v>No</v>
      </c>
      <c r="I41" s="8"/>
      <c r="J41" s="30" t="str">
        <f t="shared" si="3"/>
        <v/>
      </c>
      <c r="K41" s="30" t="str">
        <f t="shared" si="4"/>
        <v/>
      </c>
      <c r="L41" s="30" t="str">
        <f t="shared" si="5"/>
        <v/>
      </c>
      <c r="M41" s="30" t="str">
        <f t="shared" si="6"/>
        <v/>
      </c>
      <c r="N41" s="30" t="str">
        <f t="shared" si="7"/>
        <v/>
      </c>
      <c r="O41" s="8"/>
      <c r="P41" s="8"/>
      <c r="Q41" s="8"/>
      <c r="R41" s="8"/>
      <c r="S41" s="8"/>
      <c r="T41" s="8"/>
      <c r="U41" s="8"/>
      <c r="V41" s="8"/>
      <c r="W41" s="8"/>
      <c r="X41" s="8"/>
      <c r="Y41" s="8"/>
      <c r="Z41" s="8"/>
    </row>
    <row r="42" ht="18.0" customHeight="1">
      <c r="A42" s="8"/>
      <c r="B42" s="8"/>
      <c r="C42" s="8"/>
      <c r="D42" s="25"/>
      <c r="E42" s="25"/>
      <c r="F42" s="25" t="str">
        <f t="shared" si="1"/>
        <v>No</v>
      </c>
      <c r="G42" s="8"/>
      <c r="H42" s="25" t="str">
        <f t="shared" si="2"/>
        <v>No</v>
      </c>
      <c r="I42" s="8"/>
      <c r="J42" s="30" t="str">
        <f t="shared" si="3"/>
        <v/>
      </c>
      <c r="K42" s="30" t="str">
        <f t="shared" si="4"/>
        <v/>
      </c>
      <c r="L42" s="30" t="str">
        <f t="shared" si="5"/>
        <v/>
      </c>
      <c r="M42" s="30" t="str">
        <f t="shared" si="6"/>
        <v/>
      </c>
      <c r="N42" s="30" t="str">
        <f t="shared" si="7"/>
        <v/>
      </c>
      <c r="O42" s="8"/>
      <c r="P42" s="8"/>
      <c r="Q42" s="8"/>
      <c r="R42" s="8"/>
      <c r="S42" s="8"/>
      <c r="T42" s="8"/>
      <c r="U42" s="8"/>
      <c r="V42" s="8"/>
      <c r="W42" s="8"/>
      <c r="X42" s="8"/>
      <c r="Y42" s="8"/>
      <c r="Z42" s="8"/>
    </row>
    <row r="43" ht="18.0" customHeight="1">
      <c r="A43" s="8"/>
      <c r="B43" s="8"/>
      <c r="C43" s="8"/>
      <c r="D43" s="25"/>
      <c r="E43" s="25"/>
      <c r="F43" s="25" t="str">
        <f t="shared" si="1"/>
        <v>No</v>
      </c>
      <c r="G43" s="8"/>
      <c r="H43" s="25" t="str">
        <f t="shared" si="2"/>
        <v>No</v>
      </c>
      <c r="I43" s="8"/>
      <c r="J43" s="30" t="str">
        <f t="shared" si="3"/>
        <v/>
      </c>
      <c r="K43" s="30" t="str">
        <f t="shared" si="4"/>
        <v/>
      </c>
      <c r="L43" s="30" t="str">
        <f t="shared" si="5"/>
        <v/>
      </c>
      <c r="M43" s="30" t="str">
        <f t="shared" si="6"/>
        <v/>
      </c>
      <c r="N43" s="30" t="str">
        <f t="shared" si="7"/>
        <v/>
      </c>
      <c r="O43" s="8"/>
      <c r="P43" s="8"/>
      <c r="Q43" s="8"/>
      <c r="R43" s="8"/>
      <c r="S43" s="8"/>
      <c r="T43" s="8"/>
      <c r="U43" s="8"/>
      <c r="V43" s="8"/>
      <c r="W43" s="8"/>
      <c r="X43" s="8"/>
      <c r="Y43" s="8"/>
      <c r="Z43" s="8"/>
    </row>
    <row r="44" ht="18.0" customHeight="1">
      <c r="A44" s="8"/>
      <c r="B44" s="8"/>
      <c r="C44" s="8"/>
      <c r="D44" s="25"/>
      <c r="E44" s="25"/>
      <c r="F44" s="25" t="str">
        <f t="shared" si="1"/>
        <v>No</v>
      </c>
      <c r="G44" s="8"/>
      <c r="H44" s="25" t="str">
        <f t="shared" si="2"/>
        <v>No</v>
      </c>
      <c r="I44" s="8"/>
      <c r="J44" s="30" t="str">
        <f t="shared" si="3"/>
        <v/>
      </c>
      <c r="K44" s="30" t="str">
        <f t="shared" si="4"/>
        <v/>
      </c>
      <c r="L44" s="30" t="str">
        <f t="shared" si="5"/>
        <v/>
      </c>
      <c r="M44" s="30" t="str">
        <f t="shared" si="6"/>
        <v/>
      </c>
      <c r="N44" s="30" t="str">
        <f t="shared" si="7"/>
        <v/>
      </c>
      <c r="O44" s="8"/>
      <c r="P44" s="8"/>
      <c r="Q44" s="8"/>
      <c r="R44" s="8"/>
      <c r="S44" s="8"/>
      <c r="T44" s="8"/>
      <c r="U44" s="8"/>
      <c r="V44" s="8"/>
      <c r="W44" s="8"/>
      <c r="X44" s="8"/>
      <c r="Y44" s="8"/>
      <c r="Z44" s="8"/>
    </row>
    <row r="45" ht="18.0" customHeight="1">
      <c r="A45" s="8"/>
      <c r="B45" s="8"/>
      <c r="C45" s="8"/>
      <c r="D45" s="25"/>
      <c r="E45" s="25"/>
      <c r="F45" s="25" t="str">
        <f t="shared" si="1"/>
        <v>No</v>
      </c>
      <c r="G45" s="8"/>
      <c r="H45" s="25" t="str">
        <f t="shared" si="2"/>
        <v>No</v>
      </c>
      <c r="I45" s="8"/>
      <c r="J45" s="30" t="str">
        <f t="shared" si="3"/>
        <v/>
      </c>
      <c r="K45" s="30" t="str">
        <f t="shared" si="4"/>
        <v/>
      </c>
      <c r="L45" s="30" t="str">
        <f t="shared" si="5"/>
        <v/>
      </c>
      <c r="M45" s="30" t="str">
        <f t="shared" si="6"/>
        <v/>
      </c>
      <c r="N45" s="30" t="str">
        <f t="shared" si="7"/>
        <v/>
      </c>
      <c r="O45" s="8"/>
      <c r="P45" s="8"/>
      <c r="Q45" s="8"/>
      <c r="R45" s="8"/>
      <c r="S45" s="8"/>
      <c r="T45" s="8"/>
      <c r="U45" s="8"/>
      <c r="V45" s="8"/>
      <c r="W45" s="8"/>
      <c r="X45" s="8"/>
      <c r="Y45" s="8"/>
      <c r="Z45" s="8"/>
    </row>
    <row r="46" ht="18.0" customHeight="1">
      <c r="A46" s="8"/>
      <c r="B46" s="8"/>
      <c r="C46" s="8"/>
      <c r="D46" s="25"/>
      <c r="E46" s="25"/>
      <c r="F46" s="25" t="str">
        <f t="shared" si="1"/>
        <v>No</v>
      </c>
      <c r="G46" s="8"/>
      <c r="H46" s="25" t="str">
        <f t="shared" si="2"/>
        <v>No</v>
      </c>
      <c r="I46" s="8"/>
      <c r="J46" s="30" t="str">
        <f t="shared" si="3"/>
        <v/>
      </c>
      <c r="K46" s="30" t="str">
        <f t="shared" si="4"/>
        <v/>
      </c>
      <c r="L46" s="30" t="str">
        <f t="shared" si="5"/>
        <v/>
      </c>
      <c r="M46" s="30" t="str">
        <f t="shared" si="6"/>
        <v/>
      </c>
      <c r="N46" s="30" t="str">
        <f t="shared" si="7"/>
        <v/>
      </c>
      <c r="O46" s="8"/>
      <c r="P46" s="8"/>
      <c r="Q46" s="8"/>
      <c r="R46" s="8"/>
      <c r="S46" s="8"/>
      <c r="T46" s="8"/>
      <c r="U46" s="8"/>
      <c r="V46" s="8"/>
      <c r="W46" s="8"/>
      <c r="X46" s="8"/>
      <c r="Y46" s="8"/>
      <c r="Z46" s="8"/>
    </row>
    <row r="47" ht="18.0" customHeight="1">
      <c r="A47" s="8"/>
      <c r="B47" s="8"/>
      <c r="C47" s="8"/>
      <c r="D47" s="25"/>
      <c r="E47" s="25"/>
      <c r="F47" s="25" t="str">
        <f t="shared" si="1"/>
        <v>No</v>
      </c>
      <c r="G47" s="8"/>
      <c r="H47" s="25" t="str">
        <f t="shared" si="2"/>
        <v>No</v>
      </c>
      <c r="I47" s="8"/>
      <c r="J47" s="30" t="str">
        <f t="shared" si="3"/>
        <v/>
      </c>
      <c r="K47" s="30" t="str">
        <f t="shared" si="4"/>
        <v/>
      </c>
      <c r="L47" s="30" t="str">
        <f t="shared" si="5"/>
        <v/>
      </c>
      <c r="M47" s="30" t="str">
        <f t="shared" si="6"/>
        <v/>
      </c>
      <c r="N47" s="30" t="str">
        <f t="shared" si="7"/>
        <v/>
      </c>
      <c r="O47" s="8"/>
      <c r="P47" s="8"/>
      <c r="Q47" s="8"/>
      <c r="R47" s="8"/>
      <c r="S47" s="8"/>
      <c r="T47" s="8"/>
      <c r="U47" s="8"/>
      <c r="V47" s="8"/>
      <c r="W47" s="8"/>
      <c r="X47" s="8"/>
      <c r="Y47" s="8"/>
      <c r="Z47" s="8"/>
    </row>
    <row r="48" ht="18.0" customHeight="1">
      <c r="A48" s="8"/>
      <c r="B48" s="8"/>
      <c r="C48" s="8"/>
      <c r="D48" s="25"/>
      <c r="E48" s="25"/>
      <c r="F48" s="25" t="str">
        <f t="shared" si="1"/>
        <v>No</v>
      </c>
      <c r="G48" s="8"/>
      <c r="H48" s="25" t="str">
        <f t="shared" si="2"/>
        <v>No</v>
      </c>
      <c r="I48" s="8"/>
      <c r="J48" s="30" t="str">
        <f t="shared" si="3"/>
        <v/>
      </c>
      <c r="K48" s="30" t="str">
        <f t="shared" si="4"/>
        <v/>
      </c>
      <c r="L48" s="30" t="str">
        <f t="shared" si="5"/>
        <v/>
      </c>
      <c r="M48" s="30" t="str">
        <f t="shared" si="6"/>
        <v/>
      </c>
      <c r="N48" s="30" t="str">
        <f t="shared" si="7"/>
        <v/>
      </c>
      <c r="O48" s="8"/>
      <c r="P48" s="8"/>
      <c r="Q48" s="8"/>
      <c r="R48" s="8"/>
      <c r="S48" s="8"/>
      <c r="T48" s="8"/>
      <c r="U48" s="8"/>
      <c r="V48" s="8"/>
      <c r="W48" s="8"/>
      <c r="X48" s="8"/>
      <c r="Y48" s="8"/>
      <c r="Z48" s="8"/>
    </row>
    <row r="49" ht="18.0" customHeight="1">
      <c r="A49" s="8"/>
      <c r="B49" s="8"/>
      <c r="C49" s="8"/>
      <c r="D49" s="25"/>
      <c r="E49" s="25"/>
      <c r="F49" s="25" t="str">
        <f t="shared" si="1"/>
        <v>No</v>
      </c>
      <c r="G49" s="8"/>
      <c r="H49" s="25" t="str">
        <f t="shared" si="2"/>
        <v>No</v>
      </c>
      <c r="I49" s="8"/>
      <c r="J49" s="30" t="str">
        <f t="shared" si="3"/>
        <v/>
      </c>
      <c r="K49" s="30" t="str">
        <f t="shared" si="4"/>
        <v/>
      </c>
      <c r="L49" s="30" t="str">
        <f t="shared" si="5"/>
        <v/>
      </c>
      <c r="M49" s="30" t="str">
        <f t="shared" si="6"/>
        <v/>
      </c>
      <c r="N49" s="30" t="str">
        <f t="shared" si="7"/>
        <v/>
      </c>
      <c r="O49" s="8"/>
      <c r="P49" s="8"/>
      <c r="Q49" s="8"/>
      <c r="R49" s="8"/>
      <c r="S49" s="8"/>
      <c r="T49" s="8"/>
      <c r="U49" s="8"/>
      <c r="V49" s="8"/>
      <c r="W49" s="8"/>
      <c r="X49" s="8"/>
      <c r="Y49" s="8"/>
      <c r="Z49" s="8"/>
    </row>
    <row r="50" ht="18.0" customHeight="1">
      <c r="A50" s="8"/>
      <c r="B50" s="8"/>
      <c r="C50" s="8"/>
      <c r="D50" s="25"/>
      <c r="E50" s="25"/>
      <c r="F50" s="25" t="str">
        <f t="shared" si="1"/>
        <v>No</v>
      </c>
      <c r="G50" s="8"/>
      <c r="H50" s="25" t="str">
        <f t="shared" si="2"/>
        <v>No</v>
      </c>
      <c r="I50" s="8"/>
      <c r="J50" s="30" t="str">
        <f t="shared" si="3"/>
        <v/>
      </c>
      <c r="K50" s="30" t="str">
        <f t="shared" si="4"/>
        <v/>
      </c>
      <c r="L50" s="30" t="str">
        <f t="shared" si="5"/>
        <v/>
      </c>
      <c r="M50" s="30" t="str">
        <f t="shared" si="6"/>
        <v/>
      </c>
      <c r="N50" s="30" t="str">
        <f t="shared" si="7"/>
        <v/>
      </c>
      <c r="O50" s="8"/>
      <c r="P50" s="8"/>
      <c r="Q50" s="8"/>
      <c r="R50" s="8"/>
      <c r="S50" s="8"/>
      <c r="T50" s="8"/>
      <c r="U50" s="8"/>
      <c r="V50" s="8"/>
      <c r="W50" s="8"/>
      <c r="X50" s="8"/>
      <c r="Y50" s="8"/>
      <c r="Z50" s="8"/>
    </row>
    <row r="51" ht="18.0" customHeight="1">
      <c r="A51" s="8"/>
      <c r="B51" s="8"/>
      <c r="C51" s="8"/>
      <c r="D51" s="25"/>
      <c r="E51" s="25"/>
      <c r="F51" s="25" t="str">
        <f t="shared" si="1"/>
        <v>No</v>
      </c>
      <c r="G51" s="8"/>
      <c r="H51" s="25" t="str">
        <f t="shared" si="2"/>
        <v>No</v>
      </c>
      <c r="I51" s="8"/>
      <c r="J51" s="30" t="str">
        <f t="shared" si="3"/>
        <v/>
      </c>
      <c r="K51" s="30" t="str">
        <f t="shared" si="4"/>
        <v/>
      </c>
      <c r="L51" s="30" t="str">
        <f t="shared" si="5"/>
        <v/>
      </c>
      <c r="M51" s="30" t="str">
        <f t="shared" si="6"/>
        <v/>
      </c>
      <c r="N51" s="30" t="str">
        <f t="shared" si="7"/>
        <v/>
      </c>
      <c r="O51" s="8"/>
      <c r="P51" s="8"/>
      <c r="Q51" s="8"/>
      <c r="R51" s="8"/>
      <c r="S51" s="8"/>
      <c r="T51" s="8"/>
      <c r="U51" s="8"/>
      <c r="V51" s="8"/>
      <c r="W51" s="8"/>
      <c r="X51" s="8"/>
      <c r="Y51" s="8"/>
      <c r="Z51" s="8"/>
    </row>
    <row r="52" ht="18.0" customHeight="1">
      <c r="A52" s="8"/>
      <c r="B52" s="8"/>
      <c r="C52" s="8"/>
      <c r="D52" s="25"/>
      <c r="E52" s="25"/>
      <c r="F52" s="25" t="str">
        <f t="shared" si="1"/>
        <v>No</v>
      </c>
      <c r="G52" s="8"/>
      <c r="H52" s="25" t="str">
        <f t="shared" si="2"/>
        <v>No</v>
      </c>
      <c r="I52" s="8"/>
      <c r="J52" s="30" t="str">
        <f t="shared" si="3"/>
        <v/>
      </c>
      <c r="K52" s="30" t="str">
        <f t="shared" si="4"/>
        <v/>
      </c>
      <c r="L52" s="30" t="str">
        <f t="shared" si="5"/>
        <v/>
      </c>
      <c r="M52" s="30" t="str">
        <f t="shared" si="6"/>
        <v/>
      </c>
      <c r="N52" s="30" t="str">
        <f t="shared" si="7"/>
        <v/>
      </c>
      <c r="O52" s="8"/>
      <c r="P52" s="8"/>
      <c r="Q52" s="8"/>
      <c r="R52" s="8"/>
      <c r="S52" s="8"/>
      <c r="T52" s="8"/>
      <c r="U52" s="8"/>
      <c r="V52" s="8"/>
      <c r="W52" s="8"/>
      <c r="X52" s="8"/>
      <c r="Y52" s="8"/>
      <c r="Z52" s="8"/>
    </row>
    <row r="53" ht="18.0" customHeight="1">
      <c r="A53" s="8"/>
      <c r="B53" s="8"/>
      <c r="C53" s="8"/>
      <c r="D53" s="25"/>
      <c r="E53" s="25"/>
      <c r="F53" s="25" t="str">
        <f t="shared" si="1"/>
        <v>No</v>
      </c>
      <c r="G53" s="8"/>
      <c r="H53" s="25" t="str">
        <f t="shared" si="2"/>
        <v>No</v>
      </c>
      <c r="I53" s="8"/>
      <c r="J53" s="30" t="str">
        <f t="shared" si="3"/>
        <v/>
      </c>
      <c r="K53" s="30" t="str">
        <f t="shared" si="4"/>
        <v/>
      </c>
      <c r="L53" s="30" t="str">
        <f t="shared" si="5"/>
        <v/>
      </c>
      <c r="M53" s="30" t="str">
        <f t="shared" si="6"/>
        <v/>
      </c>
      <c r="N53" s="30" t="str">
        <f t="shared" si="7"/>
        <v/>
      </c>
      <c r="O53" s="8"/>
      <c r="P53" s="8"/>
      <c r="Q53" s="8"/>
      <c r="R53" s="8"/>
      <c r="S53" s="8"/>
      <c r="T53" s="8"/>
      <c r="U53" s="8"/>
      <c r="V53" s="8"/>
      <c r="W53" s="8"/>
      <c r="X53" s="8"/>
      <c r="Y53" s="8"/>
      <c r="Z53" s="8"/>
    </row>
    <row r="54" ht="18.0" customHeight="1">
      <c r="A54" s="8"/>
      <c r="B54" s="8"/>
      <c r="C54" s="8"/>
      <c r="D54" s="25"/>
      <c r="E54" s="25"/>
      <c r="F54" s="25" t="str">
        <f t="shared" si="1"/>
        <v>No</v>
      </c>
      <c r="G54" s="8"/>
      <c r="H54" s="25" t="str">
        <f t="shared" si="2"/>
        <v>No</v>
      </c>
      <c r="I54" s="8"/>
      <c r="J54" s="30" t="str">
        <f t="shared" si="3"/>
        <v/>
      </c>
      <c r="K54" s="30" t="str">
        <f t="shared" si="4"/>
        <v/>
      </c>
      <c r="L54" s="30" t="str">
        <f t="shared" si="5"/>
        <v/>
      </c>
      <c r="M54" s="30" t="str">
        <f t="shared" si="6"/>
        <v/>
      </c>
      <c r="N54" s="30" t="str">
        <f t="shared" si="7"/>
        <v/>
      </c>
      <c r="O54" s="8"/>
      <c r="P54" s="8"/>
      <c r="Q54" s="8"/>
      <c r="R54" s="8"/>
      <c r="S54" s="8"/>
      <c r="T54" s="8"/>
      <c r="U54" s="8"/>
      <c r="V54" s="8"/>
      <c r="W54" s="8"/>
      <c r="X54" s="8"/>
      <c r="Y54" s="8"/>
      <c r="Z54" s="8"/>
    </row>
    <row r="55" ht="18.0" customHeight="1">
      <c r="A55" s="8"/>
      <c r="B55" s="8"/>
      <c r="C55" s="8"/>
      <c r="D55" s="25"/>
      <c r="E55" s="25"/>
      <c r="F55" s="25" t="str">
        <f t="shared" si="1"/>
        <v>No</v>
      </c>
      <c r="G55" s="8"/>
      <c r="H55" s="25" t="str">
        <f t="shared" si="2"/>
        <v>No</v>
      </c>
      <c r="I55" s="8"/>
      <c r="J55" s="30" t="str">
        <f t="shared" si="3"/>
        <v/>
      </c>
      <c r="K55" s="30" t="str">
        <f t="shared" si="4"/>
        <v/>
      </c>
      <c r="L55" s="30" t="str">
        <f t="shared" si="5"/>
        <v/>
      </c>
      <c r="M55" s="30" t="str">
        <f t="shared" si="6"/>
        <v/>
      </c>
      <c r="N55" s="30" t="str">
        <f t="shared" si="7"/>
        <v/>
      </c>
      <c r="O55" s="8"/>
      <c r="P55" s="8"/>
      <c r="Q55" s="8"/>
      <c r="R55" s="8"/>
      <c r="S55" s="8"/>
      <c r="T55" s="8"/>
      <c r="U55" s="8"/>
      <c r="V55" s="8"/>
      <c r="W55" s="8"/>
      <c r="X55" s="8"/>
      <c r="Y55" s="8"/>
      <c r="Z55" s="8"/>
    </row>
    <row r="56" ht="18.0" customHeight="1">
      <c r="A56" s="8"/>
      <c r="B56" s="8"/>
      <c r="C56" s="8"/>
      <c r="D56" s="25"/>
      <c r="E56" s="25"/>
      <c r="F56" s="25" t="str">
        <f t="shared" si="1"/>
        <v>No</v>
      </c>
      <c r="G56" s="8"/>
      <c r="H56" s="25" t="str">
        <f t="shared" si="2"/>
        <v>No</v>
      </c>
      <c r="I56" s="8"/>
      <c r="J56" s="30" t="str">
        <f t="shared" si="3"/>
        <v/>
      </c>
      <c r="K56" s="30" t="str">
        <f t="shared" si="4"/>
        <v/>
      </c>
      <c r="L56" s="30" t="str">
        <f t="shared" si="5"/>
        <v/>
      </c>
      <c r="M56" s="30" t="str">
        <f t="shared" si="6"/>
        <v/>
      </c>
      <c r="N56" s="30" t="str">
        <f t="shared" si="7"/>
        <v/>
      </c>
      <c r="O56" s="8"/>
      <c r="P56" s="8"/>
      <c r="Q56" s="8"/>
      <c r="R56" s="8"/>
      <c r="S56" s="8"/>
      <c r="T56" s="8"/>
      <c r="U56" s="8"/>
      <c r="V56" s="8"/>
      <c r="W56" s="8"/>
      <c r="X56" s="8"/>
      <c r="Y56" s="8"/>
      <c r="Z56" s="8"/>
    </row>
    <row r="57" ht="18.0" customHeight="1">
      <c r="A57" s="8"/>
      <c r="B57" s="8"/>
      <c r="C57" s="8"/>
      <c r="D57" s="25"/>
      <c r="E57" s="25"/>
      <c r="F57" s="25" t="str">
        <f t="shared" si="1"/>
        <v>No</v>
      </c>
      <c r="G57" s="8"/>
      <c r="H57" s="25" t="str">
        <f t="shared" si="2"/>
        <v>No</v>
      </c>
      <c r="I57" s="8"/>
      <c r="J57" s="30" t="str">
        <f t="shared" si="3"/>
        <v/>
      </c>
      <c r="K57" s="30" t="str">
        <f t="shared" si="4"/>
        <v/>
      </c>
      <c r="L57" s="30" t="str">
        <f t="shared" si="5"/>
        <v/>
      </c>
      <c r="M57" s="30" t="str">
        <f t="shared" si="6"/>
        <v/>
      </c>
      <c r="N57" s="30" t="str">
        <f t="shared" si="7"/>
        <v/>
      </c>
      <c r="O57" s="8"/>
      <c r="P57" s="8"/>
      <c r="Q57" s="8"/>
      <c r="R57" s="8"/>
      <c r="S57" s="8"/>
      <c r="T57" s="8"/>
      <c r="U57" s="8"/>
      <c r="V57" s="8"/>
      <c r="W57" s="8"/>
      <c r="X57" s="8"/>
      <c r="Y57" s="8"/>
      <c r="Z57" s="8"/>
    </row>
    <row r="58" ht="18.0" customHeight="1">
      <c r="A58" s="8"/>
      <c r="B58" s="8"/>
      <c r="C58" s="8"/>
      <c r="D58" s="25"/>
      <c r="E58" s="25"/>
      <c r="F58" s="25" t="str">
        <f t="shared" si="1"/>
        <v>No</v>
      </c>
      <c r="G58" s="8"/>
      <c r="H58" s="25" t="str">
        <f t="shared" si="2"/>
        <v>No</v>
      </c>
      <c r="I58" s="8"/>
      <c r="J58" s="30" t="str">
        <f t="shared" si="3"/>
        <v/>
      </c>
      <c r="K58" s="30" t="str">
        <f t="shared" si="4"/>
        <v/>
      </c>
      <c r="L58" s="30" t="str">
        <f t="shared" si="5"/>
        <v/>
      </c>
      <c r="M58" s="30" t="str">
        <f t="shared" si="6"/>
        <v/>
      </c>
      <c r="N58" s="30" t="str">
        <f t="shared" si="7"/>
        <v/>
      </c>
      <c r="O58" s="8"/>
      <c r="P58" s="8"/>
      <c r="Q58" s="8"/>
      <c r="R58" s="8"/>
      <c r="S58" s="8"/>
      <c r="T58" s="8"/>
      <c r="U58" s="8"/>
      <c r="V58" s="8"/>
      <c r="W58" s="8"/>
      <c r="X58" s="8"/>
      <c r="Y58" s="8"/>
      <c r="Z58" s="8"/>
    </row>
    <row r="59" ht="18.0" customHeight="1">
      <c r="A59" s="8"/>
      <c r="B59" s="8"/>
      <c r="C59" s="8"/>
      <c r="D59" s="25"/>
      <c r="E59" s="25"/>
      <c r="F59" s="25" t="str">
        <f t="shared" si="1"/>
        <v>No</v>
      </c>
      <c r="G59" s="8"/>
      <c r="H59" s="25" t="str">
        <f t="shared" si="2"/>
        <v>No</v>
      </c>
      <c r="I59" s="8"/>
      <c r="J59" s="30" t="str">
        <f t="shared" si="3"/>
        <v/>
      </c>
      <c r="K59" s="30" t="str">
        <f t="shared" si="4"/>
        <v/>
      </c>
      <c r="L59" s="30" t="str">
        <f t="shared" si="5"/>
        <v/>
      </c>
      <c r="M59" s="30" t="str">
        <f t="shared" si="6"/>
        <v/>
      </c>
      <c r="N59" s="30" t="str">
        <f t="shared" si="7"/>
        <v/>
      </c>
      <c r="O59" s="8"/>
      <c r="P59" s="8"/>
      <c r="Q59" s="8"/>
      <c r="R59" s="8"/>
      <c r="S59" s="8"/>
      <c r="T59" s="8"/>
      <c r="U59" s="8"/>
      <c r="V59" s="8"/>
      <c r="W59" s="8"/>
      <c r="X59" s="8"/>
      <c r="Y59" s="8"/>
      <c r="Z59" s="8"/>
    </row>
    <row r="60" ht="18.0" customHeight="1">
      <c r="A60" s="8"/>
      <c r="B60" s="8"/>
      <c r="C60" s="8"/>
      <c r="D60" s="25"/>
      <c r="E60" s="25"/>
      <c r="F60" s="25" t="str">
        <f t="shared" si="1"/>
        <v>No</v>
      </c>
      <c r="G60" s="8"/>
      <c r="H60" s="25" t="str">
        <f t="shared" si="2"/>
        <v>No</v>
      </c>
      <c r="I60" s="8"/>
      <c r="J60" s="30" t="str">
        <f t="shared" si="3"/>
        <v/>
      </c>
      <c r="K60" s="30" t="str">
        <f t="shared" si="4"/>
        <v/>
      </c>
      <c r="L60" s="30" t="str">
        <f t="shared" si="5"/>
        <v/>
      </c>
      <c r="M60" s="30" t="str">
        <f t="shared" si="6"/>
        <v/>
      </c>
      <c r="N60" s="30" t="str">
        <f t="shared" si="7"/>
        <v/>
      </c>
      <c r="O60" s="8"/>
      <c r="P60" s="8"/>
      <c r="Q60" s="8"/>
      <c r="R60" s="8"/>
      <c r="S60" s="8"/>
      <c r="T60" s="8"/>
      <c r="U60" s="8"/>
      <c r="V60" s="8"/>
      <c r="W60" s="8"/>
      <c r="X60" s="8"/>
      <c r="Y60" s="8"/>
      <c r="Z60" s="8"/>
    </row>
    <row r="61" ht="18.0" customHeight="1">
      <c r="A61" s="8"/>
      <c r="B61" s="8"/>
      <c r="C61" s="8"/>
      <c r="D61" s="25"/>
      <c r="E61" s="25"/>
      <c r="F61" s="25" t="str">
        <f t="shared" si="1"/>
        <v>No</v>
      </c>
      <c r="G61" s="8"/>
      <c r="H61" s="25" t="str">
        <f t="shared" si="2"/>
        <v>No</v>
      </c>
      <c r="I61" s="8"/>
      <c r="J61" s="30" t="str">
        <f t="shared" si="3"/>
        <v/>
      </c>
      <c r="K61" s="30" t="str">
        <f t="shared" si="4"/>
        <v/>
      </c>
      <c r="L61" s="30" t="str">
        <f t="shared" si="5"/>
        <v/>
      </c>
      <c r="M61" s="30" t="str">
        <f t="shared" si="6"/>
        <v/>
      </c>
      <c r="N61" s="30" t="str">
        <f t="shared" si="7"/>
        <v/>
      </c>
      <c r="O61" s="8"/>
      <c r="P61" s="8"/>
      <c r="Q61" s="8"/>
      <c r="R61" s="8"/>
      <c r="S61" s="8"/>
      <c r="T61" s="8"/>
      <c r="U61" s="8"/>
      <c r="V61" s="8"/>
      <c r="W61" s="8"/>
      <c r="X61" s="8"/>
      <c r="Y61" s="8"/>
      <c r="Z61" s="8"/>
    </row>
    <row r="62" ht="18.0" customHeight="1">
      <c r="A62" s="8"/>
      <c r="B62" s="8"/>
      <c r="C62" s="8"/>
      <c r="D62" s="25"/>
      <c r="E62" s="25"/>
      <c r="F62" s="25" t="str">
        <f t="shared" si="1"/>
        <v>No</v>
      </c>
      <c r="G62" s="8"/>
      <c r="H62" s="25" t="str">
        <f t="shared" si="2"/>
        <v>No</v>
      </c>
      <c r="I62" s="8"/>
      <c r="J62" s="30" t="str">
        <f t="shared" si="3"/>
        <v/>
      </c>
      <c r="K62" s="30" t="str">
        <f t="shared" si="4"/>
        <v/>
      </c>
      <c r="L62" s="30" t="str">
        <f t="shared" si="5"/>
        <v/>
      </c>
      <c r="M62" s="30" t="str">
        <f t="shared" si="6"/>
        <v/>
      </c>
      <c r="N62" s="30" t="str">
        <f t="shared" si="7"/>
        <v/>
      </c>
      <c r="O62" s="8"/>
      <c r="P62" s="8"/>
      <c r="Q62" s="8"/>
      <c r="R62" s="8"/>
      <c r="S62" s="8"/>
      <c r="T62" s="8"/>
      <c r="U62" s="8"/>
      <c r="V62" s="8"/>
      <c r="W62" s="8"/>
      <c r="X62" s="8"/>
      <c r="Y62" s="8"/>
      <c r="Z62" s="8"/>
    </row>
    <row r="63" ht="18.0" customHeight="1">
      <c r="A63" s="8"/>
      <c r="B63" s="8"/>
      <c r="C63" s="8"/>
      <c r="D63" s="25"/>
      <c r="E63" s="25"/>
      <c r="F63" s="25" t="str">
        <f t="shared" si="1"/>
        <v>No</v>
      </c>
      <c r="G63" s="8"/>
      <c r="H63" s="25" t="str">
        <f t="shared" si="2"/>
        <v>No</v>
      </c>
      <c r="I63" s="8"/>
      <c r="J63" s="30" t="str">
        <f t="shared" si="3"/>
        <v/>
      </c>
      <c r="K63" s="30" t="str">
        <f t="shared" si="4"/>
        <v/>
      </c>
      <c r="L63" s="30" t="str">
        <f t="shared" si="5"/>
        <v/>
      </c>
      <c r="M63" s="30" t="str">
        <f t="shared" si="6"/>
        <v/>
      </c>
      <c r="N63" s="30" t="str">
        <f t="shared" si="7"/>
        <v/>
      </c>
      <c r="O63" s="8"/>
      <c r="P63" s="8"/>
      <c r="Q63" s="8"/>
      <c r="R63" s="8"/>
      <c r="S63" s="8"/>
      <c r="T63" s="8"/>
      <c r="U63" s="8"/>
      <c r="V63" s="8"/>
      <c r="W63" s="8"/>
      <c r="X63" s="8"/>
      <c r="Y63" s="8"/>
      <c r="Z63" s="8"/>
    </row>
    <row r="64" ht="18.0" customHeight="1">
      <c r="A64" s="8"/>
      <c r="B64" s="8"/>
      <c r="C64" s="8"/>
      <c r="D64" s="25"/>
      <c r="E64" s="25"/>
      <c r="F64" s="25" t="str">
        <f t="shared" si="1"/>
        <v>No</v>
      </c>
      <c r="G64" s="8"/>
      <c r="H64" s="25" t="str">
        <f t="shared" si="2"/>
        <v>No</v>
      </c>
      <c r="I64" s="8"/>
      <c r="J64" s="30" t="str">
        <f t="shared" si="3"/>
        <v/>
      </c>
      <c r="K64" s="30" t="str">
        <f t="shared" si="4"/>
        <v/>
      </c>
      <c r="L64" s="30" t="str">
        <f t="shared" si="5"/>
        <v/>
      </c>
      <c r="M64" s="30" t="str">
        <f t="shared" si="6"/>
        <v/>
      </c>
      <c r="N64" s="30" t="str">
        <f t="shared" si="7"/>
        <v/>
      </c>
      <c r="O64" s="8"/>
      <c r="P64" s="8"/>
      <c r="Q64" s="8"/>
      <c r="R64" s="8"/>
      <c r="S64" s="8"/>
      <c r="T64" s="8"/>
      <c r="U64" s="8"/>
      <c r="V64" s="8"/>
      <c r="W64" s="8"/>
      <c r="X64" s="8"/>
      <c r="Y64" s="8"/>
      <c r="Z64" s="8"/>
    </row>
    <row r="65" ht="18.0" customHeight="1">
      <c r="A65" s="8"/>
      <c r="B65" s="8"/>
      <c r="C65" s="8"/>
      <c r="D65" s="25"/>
      <c r="E65" s="25"/>
      <c r="F65" s="25" t="str">
        <f t="shared" si="1"/>
        <v>No</v>
      </c>
      <c r="G65" s="8"/>
      <c r="H65" s="25" t="str">
        <f t="shared" si="2"/>
        <v>No</v>
      </c>
      <c r="I65" s="8"/>
      <c r="J65" s="30" t="str">
        <f t="shared" si="3"/>
        <v/>
      </c>
      <c r="K65" s="30" t="str">
        <f t="shared" si="4"/>
        <v/>
      </c>
      <c r="L65" s="30" t="str">
        <f t="shared" si="5"/>
        <v/>
      </c>
      <c r="M65" s="30" t="str">
        <f t="shared" si="6"/>
        <v/>
      </c>
      <c r="N65" s="30" t="str">
        <f t="shared" si="7"/>
        <v/>
      </c>
      <c r="O65" s="8"/>
      <c r="P65" s="8"/>
      <c r="Q65" s="8"/>
      <c r="R65" s="8"/>
      <c r="S65" s="8"/>
      <c r="T65" s="8"/>
      <c r="U65" s="8"/>
      <c r="V65" s="8"/>
      <c r="W65" s="8"/>
      <c r="X65" s="8"/>
      <c r="Y65" s="8"/>
      <c r="Z65" s="8"/>
    </row>
    <row r="66" ht="18.0" customHeight="1">
      <c r="A66" s="8"/>
      <c r="B66" s="8"/>
      <c r="C66" s="8"/>
      <c r="D66" s="25"/>
      <c r="E66" s="25"/>
      <c r="F66" s="25" t="str">
        <f t="shared" si="1"/>
        <v>No</v>
      </c>
      <c r="G66" s="8"/>
      <c r="H66" s="25" t="str">
        <f t="shared" si="2"/>
        <v>No</v>
      </c>
      <c r="I66" s="8"/>
      <c r="J66" s="30" t="str">
        <f t="shared" si="3"/>
        <v/>
      </c>
      <c r="K66" s="30" t="str">
        <f t="shared" si="4"/>
        <v/>
      </c>
      <c r="L66" s="30" t="str">
        <f t="shared" si="5"/>
        <v/>
      </c>
      <c r="M66" s="30" t="str">
        <f t="shared" si="6"/>
        <v/>
      </c>
      <c r="N66" s="30" t="str">
        <f t="shared" si="7"/>
        <v/>
      </c>
      <c r="O66" s="8"/>
      <c r="P66" s="8"/>
      <c r="Q66" s="8"/>
      <c r="R66" s="8"/>
      <c r="S66" s="8"/>
      <c r="T66" s="8"/>
      <c r="U66" s="8"/>
      <c r="V66" s="8"/>
      <c r="W66" s="8"/>
      <c r="X66" s="8"/>
      <c r="Y66" s="8"/>
      <c r="Z66" s="8"/>
    </row>
    <row r="67" ht="18.0" customHeight="1">
      <c r="A67" s="8"/>
      <c r="B67" s="8"/>
      <c r="C67" s="8"/>
      <c r="D67" s="25"/>
      <c r="E67" s="25"/>
      <c r="F67" s="25" t="str">
        <f t="shared" si="1"/>
        <v>No</v>
      </c>
      <c r="G67" s="8"/>
      <c r="H67" s="25" t="str">
        <f t="shared" si="2"/>
        <v>No</v>
      </c>
      <c r="I67" s="8"/>
      <c r="J67" s="30" t="str">
        <f t="shared" si="3"/>
        <v/>
      </c>
      <c r="K67" s="30" t="str">
        <f t="shared" si="4"/>
        <v/>
      </c>
      <c r="L67" s="30" t="str">
        <f t="shared" si="5"/>
        <v/>
      </c>
      <c r="M67" s="30" t="str">
        <f t="shared" si="6"/>
        <v/>
      </c>
      <c r="N67" s="30" t="str">
        <f t="shared" si="7"/>
        <v/>
      </c>
      <c r="O67" s="8"/>
      <c r="P67" s="8"/>
      <c r="Q67" s="8"/>
      <c r="R67" s="8"/>
      <c r="S67" s="8"/>
      <c r="T67" s="8"/>
      <c r="U67" s="8"/>
      <c r="V67" s="8"/>
      <c r="W67" s="8"/>
      <c r="X67" s="8"/>
      <c r="Y67" s="8"/>
      <c r="Z67" s="8"/>
    </row>
    <row r="68" ht="18.0" customHeight="1">
      <c r="A68" s="8"/>
      <c r="B68" s="8"/>
      <c r="C68" s="8"/>
      <c r="D68" s="25"/>
      <c r="E68" s="25"/>
      <c r="F68" s="25" t="str">
        <f t="shared" si="1"/>
        <v>No</v>
      </c>
      <c r="G68" s="8"/>
      <c r="H68" s="25" t="str">
        <f t="shared" si="2"/>
        <v>No</v>
      </c>
      <c r="I68" s="8"/>
      <c r="J68" s="30" t="str">
        <f t="shared" si="3"/>
        <v/>
      </c>
      <c r="K68" s="30" t="str">
        <f t="shared" si="4"/>
        <v/>
      </c>
      <c r="L68" s="30" t="str">
        <f t="shared" si="5"/>
        <v/>
      </c>
      <c r="M68" s="30" t="str">
        <f t="shared" si="6"/>
        <v/>
      </c>
      <c r="N68" s="30" t="str">
        <f t="shared" si="7"/>
        <v/>
      </c>
      <c r="O68" s="8"/>
      <c r="P68" s="8"/>
      <c r="Q68" s="8"/>
      <c r="R68" s="8"/>
      <c r="S68" s="8"/>
      <c r="T68" s="8"/>
      <c r="U68" s="8"/>
      <c r="V68" s="8"/>
      <c r="W68" s="8"/>
      <c r="X68" s="8"/>
      <c r="Y68" s="8"/>
      <c r="Z68" s="8"/>
    </row>
    <row r="69" ht="18.0" customHeight="1">
      <c r="A69" s="8"/>
      <c r="B69" s="8"/>
      <c r="C69" s="8"/>
      <c r="D69" s="25"/>
      <c r="E69" s="25"/>
      <c r="F69" s="25" t="str">
        <f t="shared" si="1"/>
        <v>No</v>
      </c>
      <c r="G69" s="8"/>
      <c r="H69" s="25" t="str">
        <f t="shared" si="2"/>
        <v>No</v>
      </c>
      <c r="I69" s="8"/>
      <c r="J69" s="30" t="str">
        <f t="shared" si="3"/>
        <v/>
      </c>
      <c r="K69" s="30" t="str">
        <f t="shared" si="4"/>
        <v/>
      </c>
      <c r="L69" s="30" t="str">
        <f t="shared" si="5"/>
        <v/>
      </c>
      <c r="M69" s="30" t="str">
        <f t="shared" si="6"/>
        <v/>
      </c>
      <c r="N69" s="30" t="str">
        <f t="shared" si="7"/>
        <v/>
      </c>
      <c r="O69" s="8"/>
      <c r="P69" s="8"/>
      <c r="Q69" s="8"/>
      <c r="R69" s="8"/>
      <c r="S69" s="8"/>
      <c r="T69" s="8"/>
      <c r="U69" s="8"/>
      <c r="V69" s="8"/>
      <c r="W69" s="8"/>
      <c r="X69" s="8"/>
      <c r="Y69" s="8"/>
      <c r="Z69" s="8"/>
    </row>
    <row r="70" ht="18.0" customHeight="1">
      <c r="A70" s="8"/>
      <c r="B70" s="8"/>
      <c r="C70" s="8"/>
      <c r="D70" s="25"/>
      <c r="E70" s="25"/>
      <c r="F70" s="25" t="str">
        <f t="shared" si="1"/>
        <v>No</v>
      </c>
      <c r="G70" s="8"/>
      <c r="H70" s="25" t="str">
        <f t="shared" si="2"/>
        <v>No</v>
      </c>
      <c r="I70" s="8"/>
      <c r="J70" s="30" t="str">
        <f t="shared" si="3"/>
        <v/>
      </c>
      <c r="K70" s="30" t="str">
        <f t="shared" si="4"/>
        <v/>
      </c>
      <c r="L70" s="30" t="str">
        <f t="shared" si="5"/>
        <v/>
      </c>
      <c r="M70" s="30" t="str">
        <f t="shared" si="6"/>
        <v/>
      </c>
      <c r="N70" s="30" t="str">
        <f t="shared" si="7"/>
        <v/>
      </c>
      <c r="O70" s="8"/>
      <c r="P70" s="8"/>
      <c r="Q70" s="8"/>
      <c r="R70" s="8"/>
      <c r="S70" s="8"/>
      <c r="T70" s="8"/>
      <c r="U70" s="8"/>
      <c r="V70" s="8"/>
      <c r="W70" s="8"/>
      <c r="X70" s="8"/>
      <c r="Y70" s="8"/>
      <c r="Z70" s="8"/>
    </row>
    <row r="71" ht="18.0" customHeight="1">
      <c r="A71" s="8"/>
      <c r="B71" s="8"/>
      <c r="C71" s="8"/>
      <c r="D71" s="25"/>
      <c r="E71" s="25"/>
      <c r="F71" s="25" t="str">
        <f t="shared" si="1"/>
        <v>No</v>
      </c>
      <c r="G71" s="8"/>
      <c r="H71" s="25" t="str">
        <f t="shared" si="2"/>
        <v>No</v>
      </c>
      <c r="I71" s="8"/>
      <c r="J71" s="30" t="str">
        <f t="shared" si="3"/>
        <v/>
      </c>
      <c r="K71" s="30" t="str">
        <f t="shared" si="4"/>
        <v/>
      </c>
      <c r="L71" s="30" t="str">
        <f t="shared" si="5"/>
        <v/>
      </c>
      <c r="M71" s="30" t="str">
        <f t="shared" si="6"/>
        <v/>
      </c>
      <c r="N71" s="30" t="str">
        <f t="shared" si="7"/>
        <v/>
      </c>
      <c r="O71" s="8"/>
      <c r="P71" s="8"/>
      <c r="Q71" s="8"/>
      <c r="R71" s="8"/>
      <c r="S71" s="8"/>
      <c r="T71" s="8"/>
      <c r="U71" s="8"/>
      <c r="V71" s="8"/>
      <c r="W71" s="8"/>
      <c r="X71" s="8"/>
      <c r="Y71" s="8"/>
      <c r="Z71" s="8"/>
    </row>
    <row r="72" ht="18.0" customHeight="1">
      <c r="A72" s="8"/>
      <c r="B72" s="8"/>
      <c r="C72" s="8"/>
      <c r="D72" s="25"/>
      <c r="E72" s="25"/>
      <c r="F72" s="25" t="str">
        <f t="shared" si="1"/>
        <v>No</v>
      </c>
      <c r="G72" s="8"/>
      <c r="H72" s="25" t="str">
        <f t="shared" si="2"/>
        <v>No</v>
      </c>
      <c r="I72" s="8"/>
      <c r="J72" s="30" t="str">
        <f t="shared" si="3"/>
        <v/>
      </c>
      <c r="K72" s="30" t="str">
        <f t="shared" si="4"/>
        <v/>
      </c>
      <c r="L72" s="30" t="str">
        <f t="shared" si="5"/>
        <v/>
      </c>
      <c r="M72" s="30" t="str">
        <f t="shared" si="6"/>
        <v/>
      </c>
      <c r="N72" s="30" t="str">
        <f t="shared" si="7"/>
        <v/>
      </c>
      <c r="O72" s="8"/>
      <c r="P72" s="8"/>
      <c r="Q72" s="8"/>
      <c r="R72" s="8"/>
      <c r="S72" s="8"/>
      <c r="T72" s="8"/>
      <c r="U72" s="8"/>
      <c r="V72" s="8"/>
      <c r="W72" s="8"/>
      <c r="X72" s="8"/>
      <c r="Y72" s="8"/>
      <c r="Z72" s="8"/>
    </row>
    <row r="73" ht="18.0" customHeight="1">
      <c r="A73" s="8"/>
      <c r="B73" s="8"/>
      <c r="C73" s="8"/>
      <c r="D73" s="25"/>
      <c r="E73" s="25"/>
      <c r="F73" s="25" t="str">
        <f t="shared" si="1"/>
        <v>No</v>
      </c>
      <c r="G73" s="8"/>
      <c r="H73" s="25" t="str">
        <f t="shared" si="2"/>
        <v>No</v>
      </c>
      <c r="I73" s="8"/>
      <c r="J73" s="30" t="str">
        <f t="shared" si="3"/>
        <v/>
      </c>
      <c r="K73" s="30" t="str">
        <f t="shared" si="4"/>
        <v/>
      </c>
      <c r="L73" s="30" t="str">
        <f t="shared" si="5"/>
        <v/>
      </c>
      <c r="M73" s="30" t="str">
        <f t="shared" si="6"/>
        <v/>
      </c>
      <c r="N73" s="30" t="str">
        <f t="shared" si="7"/>
        <v/>
      </c>
      <c r="O73" s="8"/>
      <c r="P73" s="8"/>
      <c r="Q73" s="8"/>
      <c r="R73" s="8"/>
      <c r="S73" s="8"/>
      <c r="T73" s="8"/>
      <c r="U73" s="8"/>
      <c r="V73" s="8"/>
      <c r="W73" s="8"/>
      <c r="X73" s="8"/>
      <c r="Y73" s="8"/>
      <c r="Z73" s="8"/>
    </row>
    <row r="74" ht="18.0" customHeight="1">
      <c r="A74" s="8"/>
      <c r="B74" s="8"/>
      <c r="C74" s="8"/>
      <c r="D74" s="25"/>
      <c r="E74" s="25"/>
      <c r="F74" s="25" t="str">
        <f t="shared" si="1"/>
        <v>No</v>
      </c>
      <c r="G74" s="8"/>
      <c r="H74" s="25" t="str">
        <f t="shared" si="2"/>
        <v>No</v>
      </c>
      <c r="I74" s="8"/>
      <c r="J74" s="30" t="str">
        <f t="shared" si="3"/>
        <v/>
      </c>
      <c r="K74" s="30" t="str">
        <f t="shared" si="4"/>
        <v/>
      </c>
      <c r="L74" s="30" t="str">
        <f t="shared" si="5"/>
        <v/>
      </c>
      <c r="M74" s="30" t="str">
        <f t="shared" si="6"/>
        <v/>
      </c>
      <c r="N74" s="30" t="str">
        <f t="shared" si="7"/>
        <v/>
      </c>
      <c r="O74" s="8"/>
      <c r="P74" s="8"/>
      <c r="Q74" s="8"/>
      <c r="R74" s="8"/>
      <c r="S74" s="8"/>
      <c r="T74" s="8"/>
      <c r="U74" s="8"/>
      <c r="V74" s="8"/>
      <c r="W74" s="8"/>
      <c r="X74" s="8"/>
      <c r="Y74" s="8"/>
      <c r="Z74" s="8"/>
    </row>
    <row r="75" ht="18.0" customHeight="1">
      <c r="A75" s="8"/>
      <c r="B75" s="8"/>
      <c r="C75" s="8"/>
      <c r="D75" s="25"/>
      <c r="E75" s="25"/>
      <c r="F75" s="25" t="str">
        <f t="shared" si="1"/>
        <v>No</v>
      </c>
      <c r="G75" s="8"/>
      <c r="H75" s="25" t="str">
        <f t="shared" si="2"/>
        <v>No</v>
      </c>
      <c r="I75" s="8"/>
      <c r="J75" s="30" t="str">
        <f t="shared" si="3"/>
        <v/>
      </c>
      <c r="K75" s="30" t="str">
        <f t="shared" si="4"/>
        <v/>
      </c>
      <c r="L75" s="30" t="str">
        <f t="shared" si="5"/>
        <v/>
      </c>
      <c r="M75" s="30" t="str">
        <f t="shared" si="6"/>
        <v/>
      </c>
      <c r="N75" s="30" t="str">
        <f t="shared" si="7"/>
        <v/>
      </c>
      <c r="O75" s="8"/>
      <c r="P75" s="8"/>
      <c r="Q75" s="8"/>
      <c r="R75" s="8"/>
      <c r="S75" s="8"/>
      <c r="T75" s="8"/>
      <c r="U75" s="8"/>
      <c r="V75" s="8"/>
      <c r="W75" s="8"/>
      <c r="X75" s="8"/>
      <c r="Y75" s="8"/>
      <c r="Z75" s="8"/>
    </row>
    <row r="76" ht="18.0" customHeight="1">
      <c r="A76" s="8"/>
      <c r="B76" s="8"/>
      <c r="C76" s="8"/>
      <c r="D76" s="25"/>
      <c r="E76" s="25"/>
      <c r="F76" s="25" t="str">
        <f t="shared" si="1"/>
        <v>No</v>
      </c>
      <c r="G76" s="8"/>
      <c r="H76" s="25" t="str">
        <f t="shared" si="2"/>
        <v>No</v>
      </c>
      <c r="I76" s="8"/>
      <c r="J76" s="30" t="str">
        <f t="shared" si="3"/>
        <v/>
      </c>
      <c r="K76" s="30" t="str">
        <f t="shared" si="4"/>
        <v/>
      </c>
      <c r="L76" s="30" t="str">
        <f t="shared" si="5"/>
        <v/>
      </c>
      <c r="M76" s="30" t="str">
        <f t="shared" si="6"/>
        <v/>
      </c>
      <c r="N76" s="30" t="str">
        <f t="shared" si="7"/>
        <v/>
      </c>
      <c r="O76" s="8"/>
      <c r="P76" s="8"/>
      <c r="Q76" s="8"/>
      <c r="R76" s="8"/>
      <c r="S76" s="8"/>
      <c r="T76" s="8"/>
      <c r="U76" s="8"/>
      <c r="V76" s="8"/>
      <c r="W76" s="8"/>
      <c r="X76" s="8"/>
      <c r="Y76" s="8"/>
      <c r="Z76" s="8"/>
    </row>
    <row r="77" ht="18.0" customHeight="1">
      <c r="A77" s="8"/>
      <c r="B77" s="8"/>
      <c r="C77" s="8"/>
      <c r="D77" s="25"/>
      <c r="E77" s="25"/>
      <c r="F77" s="25" t="str">
        <f t="shared" si="1"/>
        <v>No</v>
      </c>
      <c r="G77" s="8"/>
      <c r="H77" s="25" t="str">
        <f t="shared" si="2"/>
        <v>No</v>
      </c>
      <c r="I77" s="8"/>
      <c r="J77" s="30" t="str">
        <f t="shared" si="3"/>
        <v/>
      </c>
      <c r="K77" s="30" t="str">
        <f t="shared" si="4"/>
        <v/>
      </c>
      <c r="L77" s="30" t="str">
        <f t="shared" si="5"/>
        <v/>
      </c>
      <c r="M77" s="30" t="str">
        <f t="shared" si="6"/>
        <v/>
      </c>
      <c r="N77" s="30" t="str">
        <f t="shared" si="7"/>
        <v/>
      </c>
      <c r="O77" s="8"/>
      <c r="P77" s="8"/>
      <c r="Q77" s="8"/>
      <c r="R77" s="8"/>
      <c r="S77" s="8"/>
      <c r="T77" s="8"/>
      <c r="U77" s="8"/>
      <c r="V77" s="8"/>
      <c r="W77" s="8"/>
      <c r="X77" s="8"/>
      <c r="Y77" s="8"/>
      <c r="Z77" s="8"/>
    </row>
    <row r="78" ht="18.0" customHeight="1">
      <c r="A78" s="8"/>
      <c r="B78" s="8"/>
      <c r="C78" s="8"/>
      <c r="D78" s="25"/>
      <c r="E78" s="25"/>
      <c r="F78" s="25" t="str">
        <f t="shared" si="1"/>
        <v>No</v>
      </c>
      <c r="G78" s="8"/>
      <c r="H78" s="25" t="str">
        <f t="shared" si="2"/>
        <v>No</v>
      </c>
      <c r="I78" s="8"/>
      <c r="J78" s="30" t="str">
        <f t="shared" si="3"/>
        <v/>
      </c>
      <c r="K78" s="30" t="str">
        <f t="shared" si="4"/>
        <v/>
      </c>
      <c r="L78" s="30" t="str">
        <f t="shared" si="5"/>
        <v/>
      </c>
      <c r="M78" s="30" t="str">
        <f t="shared" si="6"/>
        <v/>
      </c>
      <c r="N78" s="30" t="str">
        <f t="shared" si="7"/>
        <v/>
      </c>
      <c r="O78" s="8"/>
      <c r="P78" s="8"/>
      <c r="Q78" s="8"/>
      <c r="R78" s="8"/>
      <c r="S78" s="8"/>
      <c r="T78" s="8"/>
      <c r="U78" s="8"/>
      <c r="V78" s="8"/>
      <c r="W78" s="8"/>
      <c r="X78" s="8"/>
      <c r="Y78" s="8"/>
      <c r="Z78" s="8"/>
    </row>
    <row r="79" ht="18.0" customHeight="1">
      <c r="A79" s="8"/>
      <c r="B79" s="8"/>
      <c r="C79" s="8"/>
      <c r="D79" s="25"/>
      <c r="E79" s="25"/>
      <c r="F79" s="25" t="str">
        <f t="shared" si="1"/>
        <v>No</v>
      </c>
      <c r="G79" s="8"/>
      <c r="H79" s="25" t="str">
        <f t="shared" si="2"/>
        <v>No</v>
      </c>
      <c r="I79" s="8"/>
      <c r="J79" s="30" t="str">
        <f t="shared" si="3"/>
        <v/>
      </c>
      <c r="K79" s="30" t="str">
        <f t="shared" si="4"/>
        <v/>
      </c>
      <c r="L79" s="30" t="str">
        <f t="shared" si="5"/>
        <v/>
      </c>
      <c r="M79" s="30" t="str">
        <f t="shared" si="6"/>
        <v/>
      </c>
      <c r="N79" s="30" t="str">
        <f t="shared" si="7"/>
        <v/>
      </c>
      <c r="O79" s="8"/>
      <c r="P79" s="8"/>
      <c r="Q79" s="8"/>
      <c r="R79" s="8"/>
      <c r="S79" s="8"/>
      <c r="T79" s="8"/>
      <c r="U79" s="8"/>
      <c r="V79" s="8"/>
      <c r="W79" s="8"/>
      <c r="X79" s="8"/>
      <c r="Y79" s="8"/>
      <c r="Z79" s="8"/>
    </row>
    <row r="80" ht="18.0" customHeight="1">
      <c r="A80" s="8"/>
      <c r="B80" s="8"/>
      <c r="C80" s="8"/>
      <c r="D80" s="25"/>
      <c r="E80" s="25"/>
      <c r="F80" s="25" t="str">
        <f t="shared" si="1"/>
        <v>No</v>
      </c>
      <c r="G80" s="8"/>
      <c r="H80" s="25" t="str">
        <f t="shared" si="2"/>
        <v>No</v>
      </c>
      <c r="I80" s="8"/>
      <c r="J80" s="30" t="str">
        <f t="shared" si="3"/>
        <v/>
      </c>
      <c r="K80" s="30" t="str">
        <f t="shared" si="4"/>
        <v/>
      </c>
      <c r="L80" s="30" t="str">
        <f t="shared" si="5"/>
        <v/>
      </c>
      <c r="M80" s="30" t="str">
        <f t="shared" si="6"/>
        <v/>
      </c>
      <c r="N80" s="30" t="str">
        <f t="shared" si="7"/>
        <v/>
      </c>
      <c r="O80" s="8"/>
      <c r="P80" s="8"/>
      <c r="Q80" s="8"/>
      <c r="R80" s="8"/>
      <c r="S80" s="8"/>
      <c r="T80" s="8"/>
      <c r="U80" s="8"/>
      <c r="V80" s="8"/>
      <c r="W80" s="8"/>
      <c r="X80" s="8"/>
      <c r="Y80" s="8"/>
      <c r="Z80" s="8"/>
    </row>
    <row r="81" ht="18.0" customHeight="1">
      <c r="A81" s="8"/>
      <c r="B81" s="8"/>
      <c r="C81" s="8"/>
      <c r="D81" s="25"/>
      <c r="E81" s="25"/>
      <c r="F81" s="25" t="str">
        <f t="shared" si="1"/>
        <v>No</v>
      </c>
      <c r="G81" s="8"/>
      <c r="H81" s="25" t="str">
        <f t="shared" si="2"/>
        <v>No</v>
      </c>
      <c r="I81" s="8"/>
      <c r="J81" s="30" t="str">
        <f t="shared" si="3"/>
        <v/>
      </c>
      <c r="K81" s="30" t="str">
        <f t="shared" si="4"/>
        <v/>
      </c>
      <c r="L81" s="30" t="str">
        <f t="shared" si="5"/>
        <v/>
      </c>
      <c r="M81" s="30" t="str">
        <f t="shared" si="6"/>
        <v/>
      </c>
      <c r="N81" s="30" t="str">
        <f t="shared" si="7"/>
        <v/>
      </c>
      <c r="O81" s="8"/>
      <c r="P81" s="8"/>
      <c r="Q81" s="8"/>
      <c r="R81" s="8"/>
      <c r="S81" s="8"/>
      <c r="T81" s="8"/>
      <c r="U81" s="8"/>
      <c r="V81" s="8"/>
      <c r="W81" s="8"/>
      <c r="X81" s="8"/>
      <c r="Y81" s="8"/>
      <c r="Z81" s="8"/>
    </row>
    <row r="82" ht="18.0" customHeight="1">
      <c r="A82" s="8"/>
      <c r="B82" s="8"/>
      <c r="C82" s="8"/>
      <c r="D82" s="25"/>
      <c r="E82" s="25"/>
      <c r="F82" s="25" t="str">
        <f t="shared" si="1"/>
        <v>No</v>
      </c>
      <c r="G82" s="8"/>
      <c r="H82" s="25" t="str">
        <f t="shared" si="2"/>
        <v>No</v>
      </c>
      <c r="I82" s="8"/>
      <c r="J82" s="30" t="str">
        <f t="shared" si="3"/>
        <v/>
      </c>
      <c r="K82" s="30" t="str">
        <f t="shared" si="4"/>
        <v/>
      </c>
      <c r="L82" s="30" t="str">
        <f t="shared" si="5"/>
        <v/>
      </c>
      <c r="M82" s="30" t="str">
        <f t="shared" si="6"/>
        <v/>
      </c>
      <c r="N82" s="30" t="str">
        <f t="shared" si="7"/>
        <v/>
      </c>
      <c r="O82" s="8"/>
      <c r="P82" s="8"/>
      <c r="Q82" s="8"/>
      <c r="R82" s="8"/>
      <c r="S82" s="8"/>
      <c r="T82" s="8"/>
      <c r="U82" s="8"/>
      <c r="V82" s="8"/>
      <c r="W82" s="8"/>
      <c r="X82" s="8"/>
      <c r="Y82" s="8"/>
      <c r="Z82" s="8"/>
    </row>
    <row r="83" ht="18.0" customHeight="1">
      <c r="A83" s="8"/>
      <c r="B83" s="8"/>
      <c r="C83" s="8"/>
      <c r="D83" s="25"/>
      <c r="E83" s="25"/>
      <c r="F83" s="25" t="str">
        <f t="shared" si="1"/>
        <v>No</v>
      </c>
      <c r="G83" s="8"/>
      <c r="H83" s="25" t="str">
        <f t="shared" si="2"/>
        <v>No</v>
      </c>
      <c r="I83" s="8"/>
      <c r="J83" s="30" t="str">
        <f t="shared" si="3"/>
        <v/>
      </c>
      <c r="K83" s="30" t="str">
        <f t="shared" si="4"/>
        <v/>
      </c>
      <c r="L83" s="30" t="str">
        <f t="shared" si="5"/>
        <v/>
      </c>
      <c r="M83" s="30" t="str">
        <f t="shared" si="6"/>
        <v/>
      </c>
      <c r="N83" s="30" t="str">
        <f t="shared" si="7"/>
        <v/>
      </c>
      <c r="O83" s="8"/>
      <c r="P83" s="8"/>
      <c r="Q83" s="8"/>
      <c r="R83" s="8"/>
      <c r="S83" s="8"/>
      <c r="T83" s="8"/>
      <c r="U83" s="8"/>
      <c r="V83" s="8"/>
      <c r="W83" s="8"/>
      <c r="X83" s="8"/>
      <c r="Y83" s="8"/>
      <c r="Z83" s="8"/>
    </row>
    <row r="84" ht="18.0" customHeight="1">
      <c r="A84" s="8"/>
      <c r="B84" s="8"/>
      <c r="C84" s="8"/>
      <c r="D84" s="25"/>
      <c r="E84" s="25"/>
      <c r="F84" s="25" t="str">
        <f t="shared" si="1"/>
        <v>No</v>
      </c>
      <c r="G84" s="8"/>
      <c r="H84" s="25" t="str">
        <f t="shared" si="2"/>
        <v>No</v>
      </c>
      <c r="I84" s="8"/>
      <c r="J84" s="30" t="str">
        <f t="shared" si="3"/>
        <v/>
      </c>
      <c r="K84" s="30" t="str">
        <f t="shared" si="4"/>
        <v/>
      </c>
      <c r="L84" s="30" t="str">
        <f t="shared" si="5"/>
        <v/>
      </c>
      <c r="M84" s="30" t="str">
        <f t="shared" si="6"/>
        <v/>
      </c>
      <c r="N84" s="30" t="str">
        <f t="shared" si="7"/>
        <v/>
      </c>
      <c r="O84" s="8"/>
      <c r="P84" s="8"/>
      <c r="Q84" s="8"/>
      <c r="R84" s="8"/>
      <c r="S84" s="8"/>
      <c r="T84" s="8"/>
      <c r="U84" s="8"/>
      <c r="V84" s="8"/>
      <c r="W84" s="8"/>
      <c r="X84" s="8"/>
      <c r="Y84" s="8"/>
      <c r="Z84" s="8"/>
    </row>
    <row r="85" ht="18.0" customHeight="1">
      <c r="A85" s="8"/>
      <c r="B85" s="8"/>
      <c r="C85" s="8"/>
      <c r="D85" s="25"/>
      <c r="E85" s="25"/>
      <c r="F85" s="25" t="str">
        <f t="shared" si="1"/>
        <v>No</v>
      </c>
      <c r="G85" s="8"/>
      <c r="H85" s="25" t="str">
        <f t="shared" si="2"/>
        <v>No</v>
      </c>
      <c r="I85" s="8"/>
      <c r="J85" s="30" t="str">
        <f t="shared" si="3"/>
        <v/>
      </c>
      <c r="K85" s="30" t="str">
        <f t="shared" si="4"/>
        <v/>
      </c>
      <c r="L85" s="30" t="str">
        <f t="shared" si="5"/>
        <v/>
      </c>
      <c r="M85" s="30" t="str">
        <f t="shared" si="6"/>
        <v/>
      </c>
      <c r="N85" s="30" t="str">
        <f t="shared" si="7"/>
        <v/>
      </c>
      <c r="O85" s="8"/>
      <c r="P85" s="8"/>
      <c r="Q85" s="8"/>
      <c r="R85" s="8"/>
      <c r="S85" s="8"/>
      <c r="T85" s="8"/>
      <c r="U85" s="8"/>
      <c r="V85" s="8"/>
      <c r="W85" s="8"/>
      <c r="X85" s="8"/>
      <c r="Y85" s="8"/>
      <c r="Z85" s="8"/>
    </row>
    <row r="86" ht="18.0" customHeight="1">
      <c r="A86" s="8"/>
      <c r="B86" s="8"/>
      <c r="C86" s="8"/>
      <c r="D86" s="25"/>
      <c r="E86" s="25"/>
      <c r="F86" s="25" t="str">
        <f t="shared" si="1"/>
        <v>No</v>
      </c>
      <c r="G86" s="8"/>
      <c r="H86" s="25" t="str">
        <f t="shared" si="2"/>
        <v>No</v>
      </c>
      <c r="I86" s="8"/>
      <c r="J86" s="30" t="str">
        <f t="shared" si="3"/>
        <v/>
      </c>
      <c r="K86" s="30" t="str">
        <f t="shared" si="4"/>
        <v/>
      </c>
      <c r="L86" s="30" t="str">
        <f t="shared" si="5"/>
        <v/>
      </c>
      <c r="M86" s="30" t="str">
        <f t="shared" si="6"/>
        <v/>
      </c>
      <c r="N86" s="30" t="str">
        <f t="shared" si="7"/>
        <v/>
      </c>
      <c r="O86" s="8"/>
      <c r="P86" s="8"/>
      <c r="Q86" s="8"/>
      <c r="R86" s="8"/>
      <c r="S86" s="8"/>
      <c r="T86" s="8"/>
      <c r="U86" s="8"/>
      <c r="V86" s="8"/>
      <c r="W86" s="8"/>
      <c r="X86" s="8"/>
      <c r="Y86" s="8"/>
      <c r="Z86" s="8"/>
    </row>
    <row r="87" ht="18.0" customHeight="1">
      <c r="A87" s="8"/>
      <c r="B87" s="8"/>
      <c r="C87" s="8"/>
      <c r="D87" s="25"/>
      <c r="E87" s="25"/>
      <c r="F87" s="25" t="str">
        <f t="shared" si="1"/>
        <v>No</v>
      </c>
      <c r="G87" s="8"/>
      <c r="H87" s="25" t="str">
        <f t="shared" si="2"/>
        <v>No</v>
      </c>
      <c r="I87" s="8"/>
      <c r="J87" s="30" t="str">
        <f t="shared" si="3"/>
        <v/>
      </c>
      <c r="K87" s="30" t="str">
        <f t="shared" si="4"/>
        <v/>
      </c>
      <c r="L87" s="30" t="str">
        <f t="shared" si="5"/>
        <v/>
      </c>
      <c r="M87" s="30" t="str">
        <f t="shared" si="6"/>
        <v/>
      </c>
      <c r="N87" s="30" t="str">
        <f t="shared" si="7"/>
        <v/>
      </c>
      <c r="O87" s="8"/>
      <c r="P87" s="8"/>
      <c r="Q87" s="8"/>
      <c r="R87" s="8"/>
      <c r="S87" s="8"/>
      <c r="T87" s="8"/>
      <c r="U87" s="8"/>
      <c r="V87" s="8"/>
      <c r="W87" s="8"/>
      <c r="X87" s="8"/>
      <c r="Y87" s="8"/>
      <c r="Z87" s="8"/>
    </row>
    <row r="88" ht="18.0" customHeight="1">
      <c r="A88" s="8"/>
      <c r="B88" s="8"/>
      <c r="C88" s="8"/>
      <c r="D88" s="25"/>
      <c r="E88" s="25"/>
      <c r="F88" s="25" t="str">
        <f t="shared" si="1"/>
        <v>No</v>
      </c>
      <c r="G88" s="8"/>
      <c r="H88" s="25" t="str">
        <f t="shared" si="2"/>
        <v>No</v>
      </c>
      <c r="I88" s="8"/>
      <c r="J88" s="30" t="str">
        <f t="shared" si="3"/>
        <v/>
      </c>
      <c r="K88" s="30" t="str">
        <f t="shared" si="4"/>
        <v/>
      </c>
      <c r="L88" s="30" t="str">
        <f t="shared" si="5"/>
        <v/>
      </c>
      <c r="M88" s="30" t="str">
        <f t="shared" si="6"/>
        <v/>
      </c>
      <c r="N88" s="30" t="str">
        <f t="shared" si="7"/>
        <v/>
      </c>
      <c r="O88" s="8"/>
      <c r="P88" s="8"/>
      <c r="Q88" s="8"/>
      <c r="R88" s="8"/>
      <c r="S88" s="8"/>
      <c r="T88" s="8"/>
      <c r="U88" s="8"/>
      <c r="V88" s="8"/>
      <c r="W88" s="8"/>
      <c r="X88" s="8"/>
      <c r="Y88" s="8"/>
      <c r="Z88" s="8"/>
    </row>
    <row r="89" ht="18.0" customHeight="1">
      <c r="A89" s="8"/>
      <c r="B89" s="8"/>
      <c r="C89" s="8"/>
      <c r="D89" s="25"/>
      <c r="E89" s="25"/>
      <c r="F89" s="25" t="str">
        <f t="shared" si="1"/>
        <v>No</v>
      </c>
      <c r="G89" s="8"/>
      <c r="H89" s="25" t="str">
        <f t="shared" si="2"/>
        <v>No</v>
      </c>
      <c r="I89" s="8"/>
      <c r="J89" s="30" t="str">
        <f t="shared" si="3"/>
        <v/>
      </c>
      <c r="K89" s="30" t="str">
        <f t="shared" si="4"/>
        <v/>
      </c>
      <c r="L89" s="30" t="str">
        <f t="shared" si="5"/>
        <v/>
      </c>
      <c r="M89" s="30" t="str">
        <f t="shared" si="6"/>
        <v/>
      </c>
      <c r="N89" s="30" t="str">
        <f t="shared" si="7"/>
        <v/>
      </c>
      <c r="O89" s="8"/>
      <c r="P89" s="8"/>
      <c r="Q89" s="8"/>
      <c r="R89" s="8"/>
      <c r="S89" s="8"/>
      <c r="T89" s="8"/>
      <c r="U89" s="8"/>
      <c r="V89" s="8"/>
      <c r="W89" s="8"/>
      <c r="X89" s="8"/>
      <c r="Y89" s="8"/>
      <c r="Z89" s="8"/>
    </row>
    <row r="90" ht="18.0" customHeight="1">
      <c r="A90" s="8"/>
      <c r="B90" s="8"/>
      <c r="C90" s="8"/>
      <c r="D90" s="25"/>
      <c r="E90" s="25"/>
      <c r="F90" s="25" t="str">
        <f t="shared" si="1"/>
        <v>No</v>
      </c>
      <c r="G90" s="8"/>
      <c r="H90" s="25" t="str">
        <f t="shared" si="2"/>
        <v>No</v>
      </c>
      <c r="I90" s="8"/>
      <c r="J90" s="30" t="str">
        <f t="shared" si="3"/>
        <v/>
      </c>
      <c r="K90" s="30" t="str">
        <f t="shared" si="4"/>
        <v/>
      </c>
      <c r="L90" s="30" t="str">
        <f t="shared" si="5"/>
        <v/>
      </c>
      <c r="M90" s="30" t="str">
        <f t="shared" si="6"/>
        <v/>
      </c>
      <c r="N90" s="30" t="str">
        <f t="shared" si="7"/>
        <v/>
      </c>
      <c r="O90" s="8"/>
      <c r="P90" s="8"/>
      <c r="Q90" s="8"/>
      <c r="R90" s="8"/>
      <c r="S90" s="8"/>
      <c r="T90" s="8"/>
      <c r="U90" s="8"/>
      <c r="V90" s="8"/>
      <c r="W90" s="8"/>
      <c r="X90" s="8"/>
      <c r="Y90" s="8"/>
      <c r="Z90" s="8"/>
    </row>
    <row r="91" ht="18.0" customHeight="1">
      <c r="A91" s="8"/>
      <c r="B91" s="8"/>
      <c r="C91" s="8"/>
      <c r="D91" s="25"/>
      <c r="E91" s="25"/>
      <c r="F91" s="25" t="str">
        <f t="shared" si="1"/>
        <v>No</v>
      </c>
      <c r="G91" s="8"/>
      <c r="H91" s="25" t="str">
        <f t="shared" si="2"/>
        <v>No</v>
      </c>
      <c r="I91" s="8"/>
      <c r="J91" s="30" t="str">
        <f t="shared" si="3"/>
        <v/>
      </c>
      <c r="K91" s="30" t="str">
        <f t="shared" si="4"/>
        <v/>
      </c>
      <c r="L91" s="30" t="str">
        <f t="shared" si="5"/>
        <v/>
      </c>
      <c r="M91" s="30" t="str">
        <f t="shared" si="6"/>
        <v/>
      </c>
      <c r="N91" s="30" t="str">
        <f t="shared" si="7"/>
        <v/>
      </c>
      <c r="O91" s="8"/>
      <c r="P91" s="8"/>
      <c r="Q91" s="8"/>
      <c r="R91" s="8"/>
      <c r="S91" s="8"/>
      <c r="T91" s="8"/>
      <c r="U91" s="8"/>
      <c r="V91" s="8"/>
      <c r="W91" s="8"/>
      <c r="X91" s="8"/>
      <c r="Y91" s="8"/>
      <c r="Z91" s="8"/>
    </row>
    <row r="92" ht="18.0" customHeight="1">
      <c r="A92" s="8"/>
      <c r="B92" s="8"/>
      <c r="C92" s="8"/>
      <c r="D92" s="25"/>
      <c r="E92" s="25"/>
      <c r="F92" s="25" t="str">
        <f t="shared" si="1"/>
        <v>No</v>
      </c>
      <c r="G92" s="8"/>
      <c r="H92" s="25" t="str">
        <f t="shared" si="2"/>
        <v>No</v>
      </c>
      <c r="I92" s="8"/>
      <c r="J92" s="30" t="str">
        <f t="shared" si="3"/>
        <v/>
      </c>
      <c r="K92" s="30" t="str">
        <f t="shared" si="4"/>
        <v/>
      </c>
      <c r="L92" s="30" t="str">
        <f t="shared" si="5"/>
        <v/>
      </c>
      <c r="M92" s="30" t="str">
        <f t="shared" si="6"/>
        <v/>
      </c>
      <c r="N92" s="30" t="str">
        <f t="shared" si="7"/>
        <v/>
      </c>
      <c r="O92" s="8"/>
      <c r="P92" s="8"/>
      <c r="Q92" s="8"/>
      <c r="R92" s="8"/>
      <c r="S92" s="8"/>
      <c r="T92" s="8"/>
      <c r="U92" s="8"/>
      <c r="V92" s="8"/>
      <c r="W92" s="8"/>
      <c r="X92" s="8"/>
      <c r="Y92" s="8"/>
      <c r="Z92" s="8"/>
    </row>
    <row r="93" ht="18.0" customHeight="1">
      <c r="A93" s="8"/>
      <c r="B93" s="8"/>
      <c r="C93" s="8"/>
      <c r="D93" s="25"/>
      <c r="E93" s="25"/>
      <c r="F93" s="25" t="str">
        <f t="shared" si="1"/>
        <v>No</v>
      </c>
      <c r="G93" s="8"/>
      <c r="H93" s="25" t="str">
        <f t="shared" si="2"/>
        <v>No</v>
      </c>
      <c r="I93" s="8"/>
      <c r="J93" s="30" t="str">
        <f t="shared" si="3"/>
        <v/>
      </c>
      <c r="K93" s="30" t="str">
        <f t="shared" si="4"/>
        <v/>
      </c>
      <c r="L93" s="30" t="str">
        <f t="shared" si="5"/>
        <v/>
      </c>
      <c r="M93" s="30" t="str">
        <f t="shared" si="6"/>
        <v/>
      </c>
      <c r="N93" s="30" t="str">
        <f t="shared" si="7"/>
        <v/>
      </c>
      <c r="O93" s="8"/>
      <c r="P93" s="8"/>
      <c r="Q93" s="8"/>
      <c r="R93" s="8"/>
      <c r="S93" s="8"/>
      <c r="T93" s="8"/>
      <c r="U93" s="8"/>
      <c r="V93" s="8"/>
      <c r="W93" s="8"/>
      <c r="X93" s="8"/>
      <c r="Y93" s="8"/>
      <c r="Z93" s="8"/>
    </row>
    <row r="94" ht="18.0" customHeight="1">
      <c r="A94" s="8"/>
      <c r="B94" s="8"/>
      <c r="C94" s="8"/>
      <c r="D94" s="25"/>
      <c r="E94" s="25"/>
      <c r="F94" s="25" t="str">
        <f t="shared" si="1"/>
        <v>No</v>
      </c>
      <c r="G94" s="8"/>
      <c r="H94" s="25" t="str">
        <f t="shared" si="2"/>
        <v>No</v>
      </c>
      <c r="I94" s="8"/>
      <c r="J94" s="30" t="str">
        <f t="shared" si="3"/>
        <v/>
      </c>
      <c r="K94" s="30" t="str">
        <f t="shared" si="4"/>
        <v/>
      </c>
      <c r="L94" s="30" t="str">
        <f t="shared" si="5"/>
        <v/>
      </c>
      <c r="M94" s="30" t="str">
        <f t="shared" si="6"/>
        <v/>
      </c>
      <c r="N94" s="30" t="str">
        <f t="shared" si="7"/>
        <v/>
      </c>
      <c r="O94" s="8"/>
      <c r="P94" s="8"/>
      <c r="Q94" s="8"/>
      <c r="R94" s="8"/>
      <c r="S94" s="8"/>
      <c r="T94" s="8"/>
      <c r="U94" s="8"/>
      <c r="V94" s="8"/>
      <c r="W94" s="8"/>
      <c r="X94" s="8"/>
      <c r="Y94" s="8"/>
      <c r="Z94" s="8"/>
    </row>
    <row r="95" ht="18.0" customHeight="1">
      <c r="A95" s="8"/>
      <c r="B95" s="8"/>
      <c r="C95" s="8"/>
      <c r="D95" s="25"/>
      <c r="E95" s="25"/>
      <c r="F95" s="25" t="str">
        <f t="shared" si="1"/>
        <v>No</v>
      </c>
      <c r="G95" s="8"/>
      <c r="H95" s="25" t="str">
        <f t="shared" si="2"/>
        <v>No</v>
      </c>
      <c r="I95" s="8"/>
      <c r="J95" s="30" t="str">
        <f t="shared" si="3"/>
        <v/>
      </c>
      <c r="K95" s="30" t="str">
        <f t="shared" si="4"/>
        <v/>
      </c>
      <c r="L95" s="30" t="str">
        <f t="shared" si="5"/>
        <v/>
      </c>
      <c r="M95" s="30" t="str">
        <f t="shared" si="6"/>
        <v/>
      </c>
      <c r="N95" s="30" t="str">
        <f t="shared" si="7"/>
        <v/>
      </c>
      <c r="O95" s="8"/>
      <c r="P95" s="8"/>
      <c r="Q95" s="8"/>
      <c r="R95" s="8"/>
      <c r="S95" s="8"/>
      <c r="T95" s="8"/>
      <c r="U95" s="8"/>
      <c r="V95" s="8"/>
      <c r="W95" s="8"/>
      <c r="X95" s="8"/>
      <c r="Y95" s="8"/>
      <c r="Z95" s="8"/>
    </row>
    <row r="96" ht="18.0" customHeight="1">
      <c r="A96" s="8"/>
      <c r="B96" s="8"/>
      <c r="C96" s="8"/>
      <c r="D96" s="25"/>
      <c r="E96" s="25"/>
      <c r="F96" s="25" t="str">
        <f t="shared" si="1"/>
        <v>No</v>
      </c>
      <c r="G96" s="8"/>
      <c r="H96" s="25" t="str">
        <f t="shared" si="2"/>
        <v>No</v>
      </c>
      <c r="I96" s="8"/>
      <c r="J96" s="30" t="str">
        <f t="shared" si="3"/>
        <v/>
      </c>
      <c r="K96" s="30" t="str">
        <f t="shared" si="4"/>
        <v/>
      </c>
      <c r="L96" s="30" t="str">
        <f t="shared" si="5"/>
        <v/>
      </c>
      <c r="M96" s="30" t="str">
        <f t="shared" si="6"/>
        <v/>
      </c>
      <c r="N96" s="30" t="str">
        <f t="shared" si="7"/>
        <v/>
      </c>
      <c r="O96" s="8"/>
      <c r="P96" s="8"/>
      <c r="Q96" s="8"/>
      <c r="R96" s="8"/>
      <c r="S96" s="8"/>
      <c r="T96" s="8"/>
      <c r="U96" s="8"/>
      <c r="V96" s="8"/>
      <c r="W96" s="8"/>
      <c r="X96" s="8"/>
      <c r="Y96" s="8"/>
      <c r="Z96" s="8"/>
    </row>
    <row r="97" ht="18.0" customHeight="1">
      <c r="A97" s="8"/>
      <c r="B97" s="8"/>
      <c r="C97" s="8"/>
      <c r="D97" s="25"/>
      <c r="E97" s="25"/>
      <c r="F97" s="25" t="str">
        <f t="shared" si="1"/>
        <v>No</v>
      </c>
      <c r="G97" s="8"/>
      <c r="H97" s="25" t="str">
        <f t="shared" si="2"/>
        <v>No</v>
      </c>
      <c r="I97" s="8"/>
      <c r="J97" s="30" t="str">
        <f t="shared" si="3"/>
        <v/>
      </c>
      <c r="K97" s="30" t="str">
        <f t="shared" si="4"/>
        <v/>
      </c>
      <c r="L97" s="30" t="str">
        <f t="shared" si="5"/>
        <v/>
      </c>
      <c r="M97" s="30" t="str">
        <f t="shared" si="6"/>
        <v/>
      </c>
      <c r="N97" s="30" t="str">
        <f t="shared" si="7"/>
        <v/>
      </c>
      <c r="O97" s="8"/>
      <c r="P97" s="8"/>
      <c r="Q97" s="8"/>
      <c r="R97" s="8"/>
      <c r="S97" s="8"/>
      <c r="T97" s="8"/>
      <c r="U97" s="8"/>
      <c r="V97" s="8"/>
      <c r="W97" s="8"/>
      <c r="X97" s="8"/>
      <c r="Y97" s="8"/>
      <c r="Z97" s="8"/>
    </row>
    <row r="98" ht="18.0" customHeight="1">
      <c r="A98" s="8"/>
      <c r="B98" s="8"/>
      <c r="C98" s="8"/>
      <c r="D98" s="25"/>
      <c r="E98" s="25"/>
      <c r="F98" s="25" t="str">
        <f t="shared" si="1"/>
        <v>No</v>
      </c>
      <c r="G98" s="8"/>
      <c r="H98" s="25" t="str">
        <f t="shared" si="2"/>
        <v>No</v>
      </c>
      <c r="I98" s="8"/>
      <c r="J98" s="30" t="str">
        <f t="shared" si="3"/>
        <v/>
      </c>
      <c r="K98" s="30" t="str">
        <f t="shared" si="4"/>
        <v/>
      </c>
      <c r="L98" s="30" t="str">
        <f t="shared" si="5"/>
        <v/>
      </c>
      <c r="M98" s="30" t="str">
        <f t="shared" si="6"/>
        <v/>
      </c>
      <c r="N98" s="30" t="str">
        <f t="shared" si="7"/>
        <v/>
      </c>
      <c r="O98" s="8"/>
      <c r="P98" s="8"/>
      <c r="Q98" s="8"/>
      <c r="R98" s="8"/>
      <c r="S98" s="8"/>
      <c r="T98" s="8"/>
      <c r="U98" s="8"/>
      <c r="V98" s="8"/>
      <c r="W98" s="8"/>
      <c r="X98" s="8"/>
      <c r="Y98" s="8"/>
      <c r="Z98" s="8"/>
    </row>
    <row r="99" ht="18.0" customHeight="1">
      <c r="A99" s="8"/>
      <c r="B99" s="8"/>
      <c r="C99" s="8"/>
      <c r="D99" s="25"/>
      <c r="E99" s="25"/>
      <c r="F99" s="25" t="str">
        <f t="shared" si="1"/>
        <v>No</v>
      </c>
      <c r="G99" s="8"/>
      <c r="H99" s="25" t="str">
        <f t="shared" si="2"/>
        <v>No</v>
      </c>
      <c r="I99" s="8"/>
      <c r="J99" s="30" t="str">
        <f t="shared" si="3"/>
        <v/>
      </c>
      <c r="K99" s="30" t="str">
        <f t="shared" si="4"/>
        <v/>
      </c>
      <c r="L99" s="30" t="str">
        <f t="shared" si="5"/>
        <v/>
      </c>
      <c r="M99" s="30" t="str">
        <f t="shared" si="6"/>
        <v/>
      </c>
      <c r="N99" s="30" t="str">
        <f t="shared" si="7"/>
        <v/>
      </c>
      <c r="O99" s="8"/>
      <c r="P99" s="8"/>
      <c r="Q99" s="8"/>
      <c r="R99" s="8"/>
      <c r="S99" s="8"/>
      <c r="T99" s="8"/>
      <c r="U99" s="8"/>
      <c r="V99" s="8"/>
      <c r="W99" s="8"/>
      <c r="X99" s="8"/>
      <c r="Y99" s="8"/>
      <c r="Z99" s="8"/>
    </row>
    <row r="100" ht="18.0" customHeight="1">
      <c r="A100" s="8"/>
      <c r="B100" s="8"/>
      <c r="C100" s="8"/>
      <c r="D100" s="25"/>
      <c r="E100" s="25"/>
      <c r="F100" s="25" t="str">
        <f t="shared" si="1"/>
        <v>No</v>
      </c>
      <c r="G100" s="8"/>
      <c r="H100" s="25" t="str">
        <f t="shared" si="2"/>
        <v>No</v>
      </c>
      <c r="I100" s="8"/>
      <c r="J100" s="30" t="str">
        <f t="shared" si="3"/>
        <v/>
      </c>
      <c r="K100" s="30" t="str">
        <f t="shared" si="4"/>
        <v/>
      </c>
      <c r="L100" s="30" t="str">
        <f t="shared" si="5"/>
        <v/>
      </c>
      <c r="M100" s="30" t="str">
        <f t="shared" si="6"/>
        <v/>
      </c>
      <c r="N100" s="30" t="str">
        <f t="shared" si="7"/>
        <v/>
      </c>
      <c r="O100" s="8"/>
      <c r="P100" s="8"/>
      <c r="Q100" s="8"/>
      <c r="R100" s="8"/>
      <c r="S100" s="8"/>
      <c r="T100" s="8"/>
      <c r="U100" s="8"/>
      <c r="V100" s="8"/>
      <c r="W100" s="8"/>
      <c r="X100" s="8"/>
      <c r="Y100" s="8"/>
      <c r="Z100" s="8"/>
    </row>
    <row r="101" ht="18.0" customHeight="1">
      <c r="A101" s="8"/>
      <c r="B101" s="8"/>
      <c r="C101" s="8"/>
      <c r="D101" s="25"/>
      <c r="E101" s="25"/>
      <c r="F101" s="25" t="str">
        <f t="shared" si="1"/>
        <v>No</v>
      </c>
      <c r="G101" s="8"/>
      <c r="H101" s="25" t="str">
        <f t="shared" si="2"/>
        <v>No</v>
      </c>
      <c r="I101" s="8"/>
      <c r="J101" s="30" t="str">
        <f t="shared" si="3"/>
        <v/>
      </c>
      <c r="K101" s="30" t="str">
        <f t="shared" si="4"/>
        <v/>
      </c>
      <c r="L101" s="30" t="str">
        <f t="shared" si="5"/>
        <v/>
      </c>
      <c r="M101" s="30" t="str">
        <f t="shared" si="6"/>
        <v/>
      </c>
      <c r="N101" s="30" t="str">
        <f t="shared" si="7"/>
        <v/>
      </c>
      <c r="O101" s="8"/>
      <c r="P101" s="8"/>
      <c r="Q101" s="8"/>
      <c r="R101" s="8"/>
      <c r="S101" s="8"/>
      <c r="T101" s="8"/>
      <c r="U101" s="8"/>
      <c r="V101" s="8"/>
      <c r="W101" s="8"/>
      <c r="X101" s="8"/>
      <c r="Y101" s="8"/>
      <c r="Z101" s="8"/>
    </row>
    <row r="102" ht="18.0" customHeight="1">
      <c r="A102" s="8"/>
      <c r="B102" s="8"/>
      <c r="C102" s="8"/>
      <c r="D102" s="25"/>
      <c r="E102" s="25"/>
      <c r="F102" s="25" t="str">
        <f t="shared" si="1"/>
        <v>No</v>
      </c>
      <c r="G102" s="8"/>
      <c r="H102" s="25" t="str">
        <f t="shared" si="2"/>
        <v>No</v>
      </c>
      <c r="I102" s="8"/>
      <c r="J102" s="30" t="str">
        <f t="shared" si="3"/>
        <v/>
      </c>
      <c r="K102" s="30" t="str">
        <f t="shared" si="4"/>
        <v/>
      </c>
      <c r="L102" s="30" t="str">
        <f t="shared" si="5"/>
        <v/>
      </c>
      <c r="M102" s="30" t="str">
        <f t="shared" si="6"/>
        <v/>
      </c>
      <c r="N102" s="30" t="str">
        <f t="shared" si="7"/>
        <v/>
      </c>
      <c r="O102" s="8"/>
      <c r="P102" s="8"/>
      <c r="Q102" s="8"/>
      <c r="R102" s="8"/>
      <c r="S102" s="8"/>
      <c r="T102" s="8"/>
      <c r="U102" s="8"/>
      <c r="V102" s="8"/>
      <c r="W102" s="8"/>
      <c r="X102" s="8"/>
      <c r="Y102" s="8"/>
      <c r="Z102" s="8"/>
    </row>
    <row r="103" ht="18.0" customHeight="1">
      <c r="A103" s="8"/>
      <c r="B103" s="8"/>
      <c r="C103" s="8"/>
      <c r="D103" s="25"/>
      <c r="E103" s="25"/>
      <c r="F103" s="25" t="str">
        <f t="shared" si="1"/>
        <v>No</v>
      </c>
      <c r="G103" s="8"/>
      <c r="H103" s="25" t="str">
        <f t="shared" si="2"/>
        <v>No</v>
      </c>
      <c r="I103" s="8"/>
      <c r="J103" s="30" t="str">
        <f t="shared" si="3"/>
        <v/>
      </c>
      <c r="K103" s="30" t="str">
        <f t="shared" si="4"/>
        <v/>
      </c>
      <c r="L103" s="30" t="str">
        <f t="shared" si="5"/>
        <v/>
      </c>
      <c r="M103" s="30" t="str">
        <f t="shared" si="6"/>
        <v/>
      </c>
      <c r="N103" s="30" t="str">
        <f t="shared" si="7"/>
        <v/>
      </c>
      <c r="O103" s="8"/>
      <c r="P103" s="8"/>
      <c r="Q103" s="8"/>
      <c r="R103" s="8"/>
      <c r="S103" s="8"/>
      <c r="T103" s="8"/>
      <c r="U103" s="8"/>
      <c r="V103" s="8"/>
      <c r="W103" s="8"/>
      <c r="X103" s="8"/>
      <c r="Y103" s="8"/>
      <c r="Z103" s="8"/>
    </row>
    <row r="104" ht="18.0" customHeight="1">
      <c r="A104" s="8"/>
      <c r="B104" s="8"/>
      <c r="C104" s="8"/>
      <c r="D104" s="25"/>
      <c r="E104" s="25"/>
      <c r="F104" s="25" t="str">
        <f t="shared" si="1"/>
        <v>No</v>
      </c>
      <c r="G104" s="8"/>
      <c r="H104" s="25" t="str">
        <f t="shared" si="2"/>
        <v>No</v>
      </c>
      <c r="I104" s="8"/>
      <c r="J104" s="30" t="str">
        <f t="shared" si="3"/>
        <v/>
      </c>
      <c r="K104" s="30" t="str">
        <f t="shared" si="4"/>
        <v/>
      </c>
      <c r="L104" s="30" t="str">
        <f t="shared" si="5"/>
        <v/>
      </c>
      <c r="M104" s="30" t="str">
        <f t="shared" si="6"/>
        <v/>
      </c>
      <c r="N104" s="30" t="str">
        <f t="shared" si="7"/>
        <v/>
      </c>
      <c r="O104" s="8"/>
      <c r="P104" s="8"/>
      <c r="Q104" s="8"/>
      <c r="R104" s="8"/>
      <c r="S104" s="8"/>
      <c r="T104" s="8"/>
      <c r="U104" s="8"/>
      <c r="V104" s="8"/>
      <c r="W104" s="8"/>
      <c r="X104" s="8"/>
      <c r="Y104" s="8"/>
      <c r="Z104" s="8"/>
    </row>
    <row r="105" ht="18.0" customHeight="1">
      <c r="A105" s="8"/>
      <c r="B105" s="8"/>
      <c r="C105" s="8"/>
      <c r="D105" s="25"/>
      <c r="E105" s="25"/>
      <c r="F105" s="25" t="str">
        <f t="shared" si="1"/>
        <v>No</v>
      </c>
      <c r="G105" s="8"/>
      <c r="H105" s="25" t="str">
        <f t="shared" si="2"/>
        <v>No</v>
      </c>
      <c r="I105" s="8"/>
      <c r="J105" s="30" t="str">
        <f t="shared" si="3"/>
        <v/>
      </c>
      <c r="K105" s="30" t="str">
        <f t="shared" si="4"/>
        <v/>
      </c>
      <c r="L105" s="30" t="str">
        <f t="shared" si="5"/>
        <v/>
      </c>
      <c r="M105" s="30" t="str">
        <f t="shared" si="6"/>
        <v/>
      </c>
      <c r="N105" s="30" t="str">
        <f t="shared" si="7"/>
        <v/>
      </c>
      <c r="O105" s="8"/>
      <c r="P105" s="8"/>
      <c r="Q105" s="8"/>
      <c r="R105" s="8"/>
      <c r="S105" s="8"/>
      <c r="T105" s="8"/>
      <c r="U105" s="8"/>
      <c r="V105" s="8"/>
      <c r="W105" s="8"/>
      <c r="X105" s="8"/>
      <c r="Y105" s="8"/>
      <c r="Z105" s="8"/>
    </row>
    <row r="106" ht="18.0" customHeight="1">
      <c r="A106" s="8"/>
      <c r="B106" s="8"/>
      <c r="C106" s="8"/>
      <c r="D106" s="25"/>
      <c r="E106" s="25"/>
      <c r="F106" s="25" t="str">
        <f t="shared" si="1"/>
        <v>No</v>
      </c>
      <c r="G106" s="8"/>
      <c r="H106" s="25" t="str">
        <f t="shared" si="2"/>
        <v>No</v>
      </c>
      <c r="I106" s="8"/>
      <c r="J106" s="30" t="str">
        <f t="shared" si="3"/>
        <v/>
      </c>
      <c r="K106" s="30" t="str">
        <f t="shared" si="4"/>
        <v/>
      </c>
      <c r="L106" s="30" t="str">
        <f t="shared" si="5"/>
        <v/>
      </c>
      <c r="M106" s="30" t="str">
        <f t="shared" si="6"/>
        <v/>
      </c>
      <c r="N106" s="30" t="str">
        <f t="shared" si="7"/>
        <v/>
      </c>
      <c r="O106" s="8"/>
      <c r="P106" s="8"/>
      <c r="Q106" s="8"/>
      <c r="R106" s="8"/>
      <c r="S106" s="8"/>
      <c r="T106" s="8"/>
      <c r="U106" s="8"/>
      <c r="V106" s="8"/>
      <c r="W106" s="8"/>
      <c r="X106" s="8"/>
      <c r="Y106" s="8"/>
      <c r="Z106" s="8"/>
    </row>
    <row r="107" ht="18.0" customHeight="1">
      <c r="A107" s="8"/>
      <c r="B107" s="8"/>
      <c r="C107" s="8"/>
      <c r="D107" s="25"/>
      <c r="E107" s="25"/>
      <c r="F107" s="25" t="str">
        <f t="shared" si="1"/>
        <v>No</v>
      </c>
      <c r="G107" s="8"/>
      <c r="H107" s="25" t="str">
        <f t="shared" si="2"/>
        <v>No</v>
      </c>
      <c r="I107" s="8"/>
      <c r="J107" s="30" t="str">
        <f t="shared" si="3"/>
        <v/>
      </c>
      <c r="K107" s="30" t="str">
        <f t="shared" si="4"/>
        <v/>
      </c>
      <c r="L107" s="30" t="str">
        <f t="shared" si="5"/>
        <v/>
      </c>
      <c r="M107" s="30" t="str">
        <f t="shared" si="6"/>
        <v/>
      </c>
      <c r="N107" s="30" t="str">
        <f t="shared" si="7"/>
        <v/>
      </c>
      <c r="O107" s="8"/>
      <c r="P107" s="8"/>
      <c r="Q107" s="8"/>
      <c r="R107" s="8"/>
      <c r="S107" s="8"/>
      <c r="T107" s="8"/>
      <c r="U107" s="8"/>
      <c r="V107" s="8"/>
      <c r="W107" s="8"/>
      <c r="X107" s="8"/>
      <c r="Y107" s="8"/>
      <c r="Z107" s="8"/>
    </row>
    <row r="108" ht="18.0" customHeight="1">
      <c r="A108" s="8"/>
      <c r="B108" s="8"/>
      <c r="C108" s="8"/>
      <c r="D108" s="25"/>
      <c r="E108" s="25"/>
      <c r="F108" s="25" t="str">
        <f t="shared" si="1"/>
        <v>No</v>
      </c>
      <c r="G108" s="8"/>
      <c r="H108" s="25" t="str">
        <f t="shared" si="2"/>
        <v>No</v>
      </c>
      <c r="I108" s="8"/>
      <c r="J108" s="30" t="str">
        <f t="shared" si="3"/>
        <v/>
      </c>
      <c r="K108" s="30" t="str">
        <f t="shared" si="4"/>
        <v/>
      </c>
      <c r="L108" s="30" t="str">
        <f t="shared" si="5"/>
        <v/>
      </c>
      <c r="M108" s="30" t="str">
        <f t="shared" si="6"/>
        <v/>
      </c>
      <c r="N108" s="30" t="str">
        <f t="shared" si="7"/>
        <v/>
      </c>
      <c r="O108" s="8"/>
      <c r="P108" s="8"/>
      <c r="Q108" s="8"/>
      <c r="R108" s="8"/>
      <c r="S108" s="8"/>
      <c r="T108" s="8"/>
      <c r="U108" s="8"/>
      <c r="V108" s="8"/>
      <c r="W108" s="8"/>
      <c r="X108" s="8"/>
      <c r="Y108" s="8"/>
      <c r="Z108" s="8"/>
    </row>
    <row r="109" ht="18.0" customHeight="1">
      <c r="A109" s="8"/>
      <c r="B109" s="8"/>
      <c r="C109" s="8"/>
      <c r="D109" s="25"/>
      <c r="E109" s="25"/>
      <c r="F109" s="25" t="str">
        <f t="shared" si="1"/>
        <v>No</v>
      </c>
      <c r="G109" s="8"/>
      <c r="H109" s="25" t="str">
        <f t="shared" si="2"/>
        <v>No</v>
      </c>
      <c r="I109" s="8"/>
      <c r="J109" s="30" t="str">
        <f t="shared" si="3"/>
        <v/>
      </c>
      <c r="K109" s="30" t="str">
        <f t="shared" si="4"/>
        <v/>
      </c>
      <c r="L109" s="30" t="str">
        <f t="shared" si="5"/>
        <v/>
      </c>
      <c r="M109" s="30" t="str">
        <f t="shared" si="6"/>
        <v/>
      </c>
      <c r="N109" s="30" t="str">
        <f t="shared" si="7"/>
        <v/>
      </c>
      <c r="O109" s="8"/>
      <c r="P109" s="8"/>
      <c r="Q109" s="8"/>
      <c r="R109" s="8"/>
      <c r="S109" s="8"/>
      <c r="T109" s="8"/>
      <c r="U109" s="8"/>
      <c r="V109" s="8"/>
      <c r="W109" s="8"/>
      <c r="X109" s="8"/>
      <c r="Y109" s="8"/>
      <c r="Z109" s="8"/>
    </row>
    <row r="110" ht="18.0" customHeight="1">
      <c r="A110" s="8"/>
      <c r="B110" s="8"/>
      <c r="C110" s="8"/>
      <c r="D110" s="25"/>
      <c r="E110" s="25"/>
      <c r="F110" s="25" t="str">
        <f t="shared" si="1"/>
        <v>No</v>
      </c>
      <c r="G110" s="8"/>
      <c r="H110" s="25" t="str">
        <f t="shared" si="2"/>
        <v>No</v>
      </c>
      <c r="I110" s="8"/>
      <c r="J110" s="30" t="str">
        <f t="shared" si="3"/>
        <v/>
      </c>
      <c r="K110" s="30" t="str">
        <f t="shared" si="4"/>
        <v/>
      </c>
      <c r="L110" s="30" t="str">
        <f t="shared" si="5"/>
        <v/>
      </c>
      <c r="M110" s="30" t="str">
        <f t="shared" si="6"/>
        <v/>
      </c>
      <c r="N110" s="30" t="str">
        <f t="shared" si="7"/>
        <v/>
      </c>
      <c r="O110" s="8"/>
      <c r="P110" s="8"/>
      <c r="Q110" s="8"/>
      <c r="R110" s="8"/>
      <c r="S110" s="8"/>
      <c r="T110" s="8"/>
      <c r="U110" s="8"/>
      <c r="V110" s="8"/>
      <c r="W110" s="8"/>
      <c r="X110" s="8"/>
      <c r="Y110" s="8"/>
      <c r="Z110" s="8"/>
    </row>
    <row r="111" ht="18.0" customHeight="1">
      <c r="A111" s="8"/>
      <c r="B111" s="8"/>
      <c r="C111" s="8"/>
      <c r="D111" s="25"/>
      <c r="E111" s="25"/>
      <c r="F111" s="25" t="str">
        <f t="shared" si="1"/>
        <v>No</v>
      </c>
      <c r="G111" s="8"/>
      <c r="H111" s="25" t="str">
        <f t="shared" si="2"/>
        <v>No</v>
      </c>
      <c r="I111" s="8"/>
      <c r="J111" s="30" t="str">
        <f t="shared" si="3"/>
        <v/>
      </c>
      <c r="K111" s="30" t="str">
        <f t="shared" si="4"/>
        <v/>
      </c>
      <c r="L111" s="30" t="str">
        <f t="shared" si="5"/>
        <v/>
      </c>
      <c r="M111" s="30" t="str">
        <f t="shared" si="6"/>
        <v/>
      </c>
      <c r="N111" s="30" t="str">
        <f t="shared" si="7"/>
        <v/>
      </c>
      <c r="O111" s="8"/>
      <c r="P111" s="8"/>
      <c r="Q111" s="8"/>
      <c r="R111" s="8"/>
      <c r="S111" s="8"/>
      <c r="T111" s="8"/>
      <c r="U111" s="8"/>
      <c r="V111" s="8"/>
      <c r="W111" s="8"/>
      <c r="X111" s="8"/>
      <c r="Y111" s="8"/>
      <c r="Z111" s="8"/>
    </row>
    <row r="112" ht="18.0" customHeight="1">
      <c r="A112" s="8"/>
      <c r="B112" s="8"/>
      <c r="C112" s="8"/>
      <c r="D112" s="25"/>
      <c r="E112" s="25"/>
      <c r="F112" s="25" t="str">
        <f t="shared" si="1"/>
        <v>No</v>
      </c>
      <c r="G112" s="8"/>
      <c r="H112" s="25" t="str">
        <f t="shared" si="2"/>
        <v>No</v>
      </c>
      <c r="I112" s="8"/>
      <c r="J112" s="30" t="str">
        <f t="shared" si="3"/>
        <v/>
      </c>
      <c r="K112" s="30" t="str">
        <f t="shared" si="4"/>
        <v/>
      </c>
      <c r="L112" s="30" t="str">
        <f t="shared" si="5"/>
        <v/>
      </c>
      <c r="M112" s="30" t="str">
        <f t="shared" si="6"/>
        <v/>
      </c>
      <c r="N112" s="30" t="str">
        <f t="shared" si="7"/>
        <v/>
      </c>
      <c r="O112" s="8"/>
      <c r="P112" s="8"/>
      <c r="Q112" s="8"/>
      <c r="R112" s="8"/>
      <c r="S112" s="8"/>
      <c r="T112" s="8"/>
      <c r="U112" s="8"/>
      <c r="V112" s="8"/>
      <c r="W112" s="8"/>
      <c r="X112" s="8"/>
      <c r="Y112" s="8"/>
      <c r="Z112" s="8"/>
    </row>
    <row r="113" ht="18.0" customHeight="1">
      <c r="A113" s="8"/>
      <c r="B113" s="8"/>
      <c r="C113" s="8"/>
      <c r="D113" s="25"/>
      <c r="E113" s="25"/>
      <c r="F113" s="25" t="str">
        <f t="shared" si="1"/>
        <v>No</v>
      </c>
      <c r="G113" s="8"/>
      <c r="H113" s="25" t="str">
        <f t="shared" si="2"/>
        <v>No</v>
      </c>
      <c r="I113" s="8"/>
      <c r="J113" s="30" t="str">
        <f t="shared" si="3"/>
        <v/>
      </c>
      <c r="K113" s="30" t="str">
        <f t="shared" si="4"/>
        <v/>
      </c>
      <c r="L113" s="30" t="str">
        <f t="shared" si="5"/>
        <v/>
      </c>
      <c r="M113" s="30" t="str">
        <f t="shared" si="6"/>
        <v/>
      </c>
      <c r="N113" s="30" t="str">
        <f t="shared" si="7"/>
        <v/>
      </c>
      <c r="O113" s="8"/>
      <c r="P113" s="8"/>
      <c r="Q113" s="8"/>
      <c r="R113" s="8"/>
      <c r="S113" s="8"/>
      <c r="T113" s="8"/>
      <c r="U113" s="8"/>
      <c r="V113" s="8"/>
      <c r="W113" s="8"/>
      <c r="X113" s="8"/>
      <c r="Y113" s="8"/>
      <c r="Z113" s="8"/>
    </row>
    <row r="114" ht="18.0" customHeight="1">
      <c r="A114" s="8"/>
      <c r="B114" s="8"/>
      <c r="C114" s="8"/>
      <c r="D114" s="25"/>
      <c r="E114" s="25"/>
      <c r="F114" s="25" t="str">
        <f t="shared" si="1"/>
        <v>No</v>
      </c>
      <c r="G114" s="8"/>
      <c r="H114" s="25" t="str">
        <f t="shared" si="2"/>
        <v>No</v>
      </c>
      <c r="I114" s="8"/>
      <c r="J114" s="30" t="str">
        <f t="shared" si="3"/>
        <v/>
      </c>
      <c r="K114" s="30" t="str">
        <f t="shared" si="4"/>
        <v/>
      </c>
      <c r="L114" s="30" t="str">
        <f t="shared" si="5"/>
        <v/>
      </c>
      <c r="M114" s="30" t="str">
        <f t="shared" si="6"/>
        <v/>
      </c>
      <c r="N114" s="30" t="str">
        <f t="shared" si="7"/>
        <v/>
      </c>
      <c r="O114" s="8"/>
      <c r="P114" s="8"/>
      <c r="Q114" s="8"/>
      <c r="R114" s="8"/>
      <c r="S114" s="8"/>
      <c r="T114" s="8"/>
      <c r="U114" s="8"/>
      <c r="V114" s="8"/>
      <c r="W114" s="8"/>
      <c r="X114" s="8"/>
      <c r="Y114" s="8"/>
      <c r="Z114" s="8"/>
    </row>
    <row r="115" ht="18.0" customHeight="1">
      <c r="A115" s="8"/>
      <c r="B115" s="8"/>
      <c r="C115" s="8"/>
      <c r="D115" s="25"/>
      <c r="E115" s="25"/>
      <c r="F115" s="25" t="str">
        <f t="shared" si="1"/>
        <v>No</v>
      </c>
      <c r="G115" s="8"/>
      <c r="H115" s="25" t="str">
        <f t="shared" si="2"/>
        <v>No</v>
      </c>
      <c r="I115" s="8"/>
      <c r="J115" s="30" t="str">
        <f t="shared" si="3"/>
        <v/>
      </c>
      <c r="K115" s="30" t="str">
        <f t="shared" si="4"/>
        <v/>
      </c>
      <c r="L115" s="30" t="str">
        <f t="shared" si="5"/>
        <v/>
      </c>
      <c r="M115" s="30" t="str">
        <f t="shared" si="6"/>
        <v/>
      </c>
      <c r="N115" s="30" t="str">
        <f t="shared" si="7"/>
        <v/>
      </c>
      <c r="O115" s="8"/>
      <c r="P115" s="8"/>
      <c r="Q115" s="8"/>
      <c r="R115" s="8"/>
      <c r="S115" s="8"/>
      <c r="T115" s="8"/>
      <c r="U115" s="8"/>
      <c r="V115" s="8"/>
      <c r="W115" s="8"/>
      <c r="X115" s="8"/>
      <c r="Y115" s="8"/>
      <c r="Z115" s="8"/>
    </row>
    <row r="116" ht="18.0" customHeight="1">
      <c r="A116" s="8"/>
      <c r="B116" s="8"/>
      <c r="C116" s="8"/>
      <c r="D116" s="25"/>
      <c r="E116" s="25"/>
      <c r="F116" s="25" t="str">
        <f t="shared" si="1"/>
        <v>No</v>
      </c>
      <c r="G116" s="8"/>
      <c r="H116" s="25" t="str">
        <f t="shared" si="2"/>
        <v>No</v>
      </c>
      <c r="I116" s="8"/>
      <c r="J116" s="30" t="str">
        <f t="shared" si="3"/>
        <v/>
      </c>
      <c r="K116" s="30" t="str">
        <f t="shared" si="4"/>
        <v/>
      </c>
      <c r="L116" s="30" t="str">
        <f t="shared" si="5"/>
        <v/>
      </c>
      <c r="M116" s="30" t="str">
        <f t="shared" si="6"/>
        <v/>
      </c>
      <c r="N116" s="30" t="str">
        <f t="shared" si="7"/>
        <v/>
      </c>
      <c r="O116" s="8"/>
      <c r="P116" s="8"/>
      <c r="Q116" s="8"/>
      <c r="R116" s="8"/>
      <c r="S116" s="8"/>
      <c r="T116" s="8"/>
      <c r="U116" s="8"/>
      <c r="V116" s="8"/>
      <c r="W116" s="8"/>
      <c r="X116" s="8"/>
      <c r="Y116" s="8"/>
      <c r="Z116" s="8"/>
    </row>
    <row r="117" ht="18.0" customHeight="1">
      <c r="A117" s="8"/>
      <c r="B117" s="8"/>
      <c r="C117" s="8"/>
      <c r="D117" s="25"/>
      <c r="E117" s="25"/>
      <c r="F117" s="25" t="str">
        <f t="shared" si="1"/>
        <v>No</v>
      </c>
      <c r="G117" s="8"/>
      <c r="H117" s="25" t="str">
        <f t="shared" si="2"/>
        <v>No</v>
      </c>
      <c r="I117" s="8"/>
      <c r="J117" s="30" t="str">
        <f t="shared" si="3"/>
        <v/>
      </c>
      <c r="K117" s="30" t="str">
        <f t="shared" si="4"/>
        <v/>
      </c>
      <c r="L117" s="30" t="str">
        <f t="shared" si="5"/>
        <v/>
      </c>
      <c r="M117" s="30" t="str">
        <f t="shared" si="6"/>
        <v/>
      </c>
      <c r="N117" s="30" t="str">
        <f t="shared" si="7"/>
        <v/>
      </c>
      <c r="O117" s="8"/>
      <c r="P117" s="8"/>
      <c r="Q117" s="8"/>
      <c r="R117" s="8"/>
      <c r="S117" s="8"/>
      <c r="T117" s="8"/>
      <c r="U117" s="8"/>
      <c r="V117" s="8"/>
      <c r="W117" s="8"/>
      <c r="X117" s="8"/>
      <c r="Y117" s="8"/>
      <c r="Z117" s="8"/>
    </row>
    <row r="118" ht="18.0" customHeight="1">
      <c r="A118" s="8"/>
      <c r="B118" s="8"/>
      <c r="C118" s="8"/>
      <c r="D118" s="25"/>
      <c r="E118" s="25"/>
      <c r="F118" s="25" t="str">
        <f t="shared" si="1"/>
        <v>No</v>
      </c>
      <c r="G118" s="8"/>
      <c r="H118" s="25" t="str">
        <f t="shared" si="2"/>
        <v>No</v>
      </c>
      <c r="I118" s="8"/>
      <c r="J118" s="30" t="str">
        <f t="shared" si="3"/>
        <v/>
      </c>
      <c r="K118" s="30" t="str">
        <f t="shared" si="4"/>
        <v/>
      </c>
      <c r="L118" s="30" t="str">
        <f t="shared" si="5"/>
        <v/>
      </c>
      <c r="M118" s="30" t="str">
        <f t="shared" si="6"/>
        <v/>
      </c>
      <c r="N118" s="30" t="str">
        <f t="shared" si="7"/>
        <v/>
      </c>
      <c r="O118" s="8"/>
      <c r="P118" s="8"/>
      <c r="Q118" s="8"/>
      <c r="R118" s="8"/>
      <c r="S118" s="8"/>
      <c r="T118" s="8"/>
      <c r="U118" s="8"/>
      <c r="V118" s="8"/>
      <c r="W118" s="8"/>
      <c r="X118" s="8"/>
      <c r="Y118" s="8"/>
      <c r="Z118" s="8"/>
    </row>
    <row r="119" ht="18.0" customHeight="1">
      <c r="A119" s="8"/>
      <c r="B119" s="8"/>
      <c r="C119" s="8"/>
      <c r="D119" s="25"/>
      <c r="E119" s="25"/>
      <c r="F119" s="25" t="str">
        <f t="shared" si="1"/>
        <v>No</v>
      </c>
      <c r="G119" s="8"/>
      <c r="H119" s="25" t="str">
        <f t="shared" si="2"/>
        <v>No</v>
      </c>
      <c r="I119" s="8"/>
      <c r="J119" s="30" t="str">
        <f t="shared" si="3"/>
        <v/>
      </c>
      <c r="K119" s="30" t="str">
        <f t="shared" si="4"/>
        <v/>
      </c>
      <c r="L119" s="30" t="str">
        <f t="shared" si="5"/>
        <v/>
      </c>
      <c r="M119" s="30" t="str">
        <f t="shared" si="6"/>
        <v/>
      </c>
      <c r="N119" s="30" t="str">
        <f t="shared" si="7"/>
        <v/>
      </c>
      <c r="O119" s="8"/>
      <c r="P119" s="8"/>
      <c r="Q119" s="8"/>
      <c r="R119" s="8"/>
      <c r="S119" s="8"/>
      <c r="T119" s="8"/>
      <c r="U119" s="8"/>
      <c r="V119" s="8"/>
      <c r="W119" s="8"/>
      <c r="X119" s="8"/>
      <c r="Y119" s="8"/>
      <c r="Z119" s="8"/>
    </row>
    <row r="120" ht="18.0" customHeight="1">
      <c r="A120" s="8"/>
      <c r="B120" s="8"/>
      <c r="C120" s="8"/>
      <c r="D120" s="25"/>
      <c r="E120" s="25"/>
      <c r="F120" s="25" t="str">
        <f t="shared" si="1"/>
        <v>No</v>
      </c>
      <c r="G120" s="8"/>
      <c r="H120" s="25" t="str">
        <f t="shared" si="2"/>
        <v>No</v>
      </c>
      <c r="I120" s="8"/>
      <c r="J120" s="30" t="str">
        <f t="shared" si="3"/>
        <v/>
      </c>
      <c r="K120" s="30" t="str">
        <f t="shared" si="4"/>
        <v/>
      </c>
      <c r="L120" s="30" t="str">
        <f t="shared" si="5"/>
        <v/>
      </c>
      <c r="M120" s="30" t="str">
        <f t="shared" si="6"/>
        <v/>
      </c>
      <c r="N120" s="30" t="str">
        <f t="shared" si="7"/>
        <v/>
      </c>
      <c r="O120" s="8"/>
      <c r="P120" s="8"/>
      <c r="Q120" s="8"/>
      <c r="R120" s="8"/>
      <c r="S120" s="8"/>
      <c r="T120" s="8"/>
      <c r="U120" s="8"/>
      <c r="V120" s="8"/>
      <c r="W120" s="8"/>
      <c r="X120" s="8"/>
      <c r="Y120" s="8"/>
      <c r="Z120" s="8"/>
    </row>
    <row r="121" ht="18.0" customHeight="1">
      <c r="A121" s="8"/>
      <c r="B121" s="8"/>
      <c r="C121" s="8"/>
      <c r="D121" s="25"/>
      <c r="E121" s="25"/>
      <c r="F121" s="25" t="str">
        <f t="shared" si="1"/>
        <v>No</v>
      </c>
      <c r="G121" s="8"/>
      <c r="H121" s="25" t="str">
        <f t="shared" si="2"/>
        <v>No</v>
      </c>
      <c r="I121" s="8"/>
      <c r="J121" s="30" t="str">
        <f t="shared" si="3"/>
        <v/>
      </c>
      <c r="K121" s="30" t="str">
        <f t="shared" si="4"/>
        <v/>
      </c>
      <c r="L121" s="30" t="str">
        <f t="shared" si="5"/>
        <v/>
      </c>
      <c r="M121" s="30" t="str">
        <f t="shared" si="6"/>
        <v/>
      </c>
      <c r="N121" s="30" t="str">
        <f t="shared" si="7"/>
        <v/>
      </c>
      <c r="O121" s="8"/>
      <c r="P121" s="8"/>
      <c r="Q121" s="8"/>
      <c r="R121" s="8"/>
      <c r="S121" s="8"/>
      <c r="T121" s="8"/>
      <c r="U121" s="8"/>
      <c r="V121" s="8"/>
      <c r="W121" s="8"/>
      <c r="X121" s="8"/>
      <c r="Y121" s="8"/>
      <c r="Z121" s="8"/>
    </row>
    <row r="122" ht="18.0" customHeight="1">
      <c r="A122" s="8"/>
      <c r="B122" s="8"/>
      <c r="C122" s="8"/>
      <c r="D122" s="25"/>
      <c r="E122" s="25"/>
      <c r="F122" s="25" t="str">
        <f t="shared" si="1"/>
        <v>No</v>
      </c>
      <c r="G122" s="8"/>
      <c r="H122" s="25" t="str">
        <f t="shared" si="2"/>
        <v>No</v>
      </c>
      <c r="I122" s="8"/>
      <c r="J122" s="30" t="str">
        <f t="shared" si="3"/>
        <v/>
      </c>
      <c r="K122" s="30" t="str">
        <f t="shared" si="4"/>
        <v/>
      </c>
      <c r="L122" s="30" t="str">
        <f t="shared" si="5"/>
        <v/>
      </c>
      <c r="M122" s="30" t="str">
        <f t="shared" si="6"/>
        <v/>
      </c>
      <c r="N122" s="30" t="str">
        <f t="shared" si="7"/>
        <v/>
      </c>
      <c r="O122" s="8"/>
      <c r="P122" s="8"/>
      <c r="Q122" s="8"/>
      <c r="R122" s="8"/>
      <c r="S122" s="8"/>
      <c r="T122" s="8"/>
      <c r="U122" s="8"/>
      <c r="V122" s="8"/>
      <c r="W122" s="8"/>
      <c r="X122" s="8"/>
      <c r="Y122" s="8"/>
      <c r="Z122" s="8"/>
    </row>
    <row r="123" ht="18.0" customHeight="1">
      <c r="A123" s="8"/>
      <c r="B123" s="8"/>
      <c r="C123" s="8"/>
      <c r="D123" s="25"/>
      <c r="E123" s="25"/>
      <c r="F123" s="25" t="str">
        <f t="shared" si="1"/>
        <v>No</v>
      </c>
      <c r="G123" s="8"/>
      <c r="H123" s="25" t="str">
        <f t="shared" si="2"/>
        <v>No</v>
      </c>
      <c r="I123" s="8"/>
      <c r="J123" s="30" t="str">
        <f t="shared" si="3"/>
        <v/>
      </c>
      <c r="K123" s="30" t="str">
        <f t="shared" si="4"/>
        <v/>
      </c>
      <c r="L123" s="30" t="str">
        <f t="shared" si="5"/>
        <v/>
      </c>
      <c r="M123" s="30" t="str">
        <f t="shared" si="6"/>
        <v/>
      </c>
      <c r="N123" s="30" t="str">
        <f t="shared" si="7"/>
        <v/>
      </c>
      <c r="O123" s="8"/>
      <c r="P123" s="8"/>
      <c r="Q123" s="8"/>
      <c r="R123" s="8"/>
      <c r="S123" s="8"/>
      <c r="T123" s="8"/>
      <c r="U123" s="8"/>
      <c r="V123" s="8"/>
      <c r="W123" s="8"/>
      <c r="X123" s="8"/>
      <c r="Y123" s="8"/>
      <c r="Z123" s="8"/>
    </row>
    <row r="124" ht="18.0" customHeight="1">
      <c r="A124" s="8"/>
      <c r="B124" s="8"/>
      <c r="C124" s="8"/>
      <c r="D124" s="25"/>
      <c r="E124" s="25"/>
      <c r="F124" s="25" t="str">
        <f t="shared" si="1"/>
        <v>No</v>
      </c>
      <c r="G124" s="8"/>
      <c r="H124" s="25" t="str">
        <f t="shared" si="2"/>
        <v>No</v>
      </c>
      <c r="I124" s="8"/>
      <c r="J124" s="30" t="str">
        <f t="shared" si="3"/>
        <v/>
      </c>
      <c r="K124" s="30" t="str">
        <f t="shared" si="4"/>
        <v/>
      </c>
      <c r="L124" s="30" t="str">
        <f t="shared" si="5"/>
        <v/>
      </c>
      <c r="M124" s="30" t="str">
        <f t="shared" si="6"/>
        <v/>
      </c>
      <c r="N124" s="30" t="str">
        <f t="shared" si="7"/>
        <v/>
      </c>
      <c r="O124" s="8"/>
      <c r="P124" s="8"/>
      <c r="Q124" s="8"/>
      <c r="R124" s="8"/>
      <c r="S124" s="8"/>
      <c r="T124" s="8"/>
      <c r="U124" s="8"/>
      <c r="V124" s="8"/>
      <c r="W124" s="8"/>
      <c r="X124" s="8"/>
      <c r="Y124" s="8"/>
      <c r="Z124" s="8"/>
    </row>
    <row r="125" ht="18.0" customHeight="1">
      <c r="A125" s="8"/>
      <c r="B125" s="8"/>
      <c r="C125" s="8"/>
      <c r="D125" s="25"/>
      <c r="E125" s="25"/>
      <c r="F125" s="25" t="str">
        <f t="shared" si="1"/>
        <v>No</v>
      </c>
      <c r="G125" s="8"/>
      <c r="H125" s="25" t="str">
        <f t="shared" si="2"/>
        <v>No</v>
      </c>
      <c r="I125" s="8"/>
      <c r="J125" s="30" t="str">
        <f t="shared" si="3"/>
        <v/>
      </c>
      <c r="K125" s="30" t="str">
        <f t="shared" si="4"/>
        <v/>
      </c>
      <c r="L125" s="30" t="str">
        <f t="shared" si="5"/>
        <v/>
      </c>
      <c r="M125" s="30" t="str">
        <f t="shared" si="6"/>
        <v/>
      </c>
      <c r="N125" s="30" t="str">
        <f t="shared" si="7"/>
        <v/>
      </c>
      <c r="O125" s="8"/>
      <c r="P125" s="8"/>
      <c r="Q125" s="8"/>
      <c r="R125" s="8"/>
      <c r="S125" s="8"/>
      <c r="T125" s="8"/>
      <c r="U125" s="8"/>
      <c r="V125" s="8"/>
      <c r="W125" s="8"/>
      <c r="X125" s="8"/>
      <c r="Y125" s="8"/>
      <c r="Z125" s="8"/>
    </row>
    <row r="126" ht="18.0" customHeight="1">
      <c r="A126" s="8"/>
      <c r="B126" s="8"/>
      <c r="C126" s="8"/>
      <c r="D126" s="25"/>
      <c r="E126" s="25"/>
      <c r="F126" s="25" t="str">
        <f t="shared" si="1"/>
        <v>No</v>
      </c>
      <c r="G126" s="8"/>
      <c r="H126" s="25" t="str">
        <f t="shared" si="2"/>
        <v>No</v>
      </c>
      <c r="I126" s="8"/>
      <c r="J126" s="30" t="str">
        <f t="shared" si="3"/>
        <v/>
      </c>
      <c r="K126" s="30" t="str">
        <f t="shared" si="4"/>
        <v/>
      </c>
      <c r="L126" s="30" t="str">
        <f t="shared" si="5"/>
        <v/>
      </c>
      <c r="M126" s="30" t="str">
        <f t="shared" si="6"/>
        <v/>
      </c>
      <c r="N126" s="30" t="str">
        <f t="shared" si="7"/>
        <v/>
      </c>
      <c r="O126" s="8"/>
      <c r="P126" s="8"/>
      <c r="Q126" s="8"/>
      <c r="R126" s="8"/>
      <c r="S126" s="8"/>
      <c r="T126" s="8"/>
      <c r="U126" s="8"/>
      <c r="V126" s="8"/>
      <c r="W126" s="8"/>
      <c r="X126" s="8"/>
      <c r="Y126" s="8"/>
      <c r="Z126" s="8"/>
    </row>
    <row r="127" ht="18.0" customHeight="1">
      <c r="A127" s="8"/>
      <c r="B127" s="8"/>
      <c r="C127" s="8"/>
      <c r="D127" s="25"/>
      <c r="E127" s="25"/>
      <c r="F127" s="25" t="str">
        <f t="shared" si="1"/>
        <v>No</v>
      </c>
      <c r="G127" s="8"/>
      <c r="H127" s="25" t="str">
        <f t="shared" si="2"/>
        <v>No</v>
      </c>
      <c r="I127" s="8"/>
      <c r="J127" s="30" t="str">
        <f t="shared" si="3"/>
        <v/>
      </c>
      <c r="K127" s="30" t="str">
        <f t="shared" si="4"/>
        <v/>
      </c>
      <c r="L127" s="30" t="str">
        <f t="shared" si="5"/>
        <v/>
      </c>
      <c r="M127" s="30" t="str">
        <f t="shared" si="6"/>
        <v/>
      </c>
      <c r="N127" s="30" t="str">
        <f t="shared" si="7"/>
        <v/>
      </c>
      <c r="O127" s="8"/>
      <c r="P127" s="8"/>
      <c r="Q127" s="8"/>
      <c r="R127" s="8"/>
      <c r="S127" s="8"/>
      <c r="T127" s="8"/>
      <c r="U127" s="8"/>
      <c r="V127" s="8"/>
      <c r="W127" s="8"/>
      <c r="X127" s="8"/>
      <c r="Y127" s="8"/>
      <c r="Z127" s="8"/>
    </row>
    <row r="128" ht="18.0" customHeight="1">
      <c r="A128" s="8"/>
      <c r="B128" s="8"/>
      <c r="C128" s="8"/>
      <c r="D128" s="25"/>
      <c r="E128" s="25"/>
      <c r="F128" s="25" t="str">
        <f t="shared" si="1"/>
        <v>No</v>
      </c>
      <c r="G128" s="8"/>
      <c r="H128" s="25" t="str">
        <f t="shared" si="2"/>
        <v>No</v>
      </c>
      <c r="I128" s="8"/>
      <c r="J128" s="30" t="str">
        <f t="shared" si="3"/>
        <v/>
      </c>
      <c r="K128" s="30" t="str">
        <f t="shared" si="4"/>
        <v/>
      </c>
      <c r="L128" s="30" t="str">
        <f t="shared" si="5"/>
        <v/>
      </c>
      <c r="M128" s="30" t="str">
        <f t="shared" si="6"/>
        <v/>
      </c>
      <c r="N128" s="30" t="str">
        <f t="shared" si="7"/>
        <v/>
      </c>
      <c r="O128" s="8"/>
      <c r="P128" s="8"/>
      <c r="Q128" s="8"/>
      <c r="R128" s="8"/>
      <c r="S128" s="8"/>
      <c r="T128" s="8"/>
      <c r="U128" s="8"/>
      <c r="V128" s="8"/>
      <c r="W128" s="8"/>
      <c r="X128" s="8"/>
      <c r="Y128" s="8"/>
      <c r="Z128" s="8"/>
    </row>
    <row r="129" ht="18.0" customHeight="1">
      <c r="A129" s="8"/>
      <c r="B129" s="8"/>
      <c r="C129" s="8"/>
      <c r="D129" s="25"/>
      <c r="E129" s="25"/>
      <c r="F129" s="25" t="str">
        <f t="shared" si="1"/>
        <v>No</v>
      </c>
      <c r="G129" s="8"/>
      <c r="H129" s="25" t="str">
        <f t="shared" si="2"/>
        <v>No</v>
      </c>
      <c r="I129" s="8"/>
      <c r="J129" s="30" t="str">
        <f t="shared" si="3"/>
        <v/>
      </c>
      <c r="K129" s="30" t="str">
        <f t="shared" si="4"/>
        <v/>
      </c>
      <c r="L129" s="30" t="str">
        <f t="shared" si="5"/>
        <v/>
      </c>
      <c r="M129" s="30" t="str">
        <f t="shared" si="6"/>
        <v/>
      </c>
      <c r="N129" s="30" t="str">
        <f t="shared" si="7"/>
        <v/>
      </c>
      <c r="O129" s="8"/>
      <c r="P129" s="8"/>
      <c r="Q129" s="8"/>
      <c r="R129" s="8"/>
      <c r="S129" s="8"/>
      <c r="T129" s="8"/>
      <c r="U129" s="8"/>
      <c r="V129" s="8"/>
      <c r="W129" s="8"/>
      <c r="X129" s="8"/>
      <c r="Y129" s="8"/>
      <c r="Z129" s="8"/>
    </row>
    <row r="130" ht="18.0" customHeight="1">
      <c r="A130" s="8"/>
      <c r="B130" s="8"/>
      <c r="C130" s="8"/>
      <c r="D130" s="25"/>
      <c r="E130" s="25"/>
      <c r="F130" s="25" t="str">
        <f t="shared" si="1"/>
        <v>No</v>
      </c>
      <c r="G130" s="8"/>
      <c r="H130" s="25" t="str">
        <f t="shared" si="2"/>
        <v>No</v>
      </c>
      <c r="I130" s="8"/>
      <c r="J130" s="30" t="str">
        <f t="shared" si="3"/>
        <v/>
      </c>
      <c r="K130" s="30" t="str">
        <f t="shared" si="4"/>
        <v/>
      </c>
      <c r="L130" s="30" t="str">
        <f t="shared" si="5"/>
        <v/>
      </c>
      <c r="M130" s="30" t="str">
        <f t="shared" si="6"/>
        <v/>
      </c>
      <c r="N130" s="30" t="str">
        <f t="shared" si="7"/>
        <v/>
      </c>
      <c r="O130" s="8"/>
      <c r="P130" s="8"/>
      <c r="Q130" s="8"/>
      <c r="R130" s="8"/>
      <c r="S130" s="8"/>
      <c r="T130" s="8"/>
      <c r="U130" s="8"/>
      <c r="V130" s="8"/>
      <c r="W130" s="8"/>
      <c r="X130" s="8"/>
      <c r="Y130" s="8"/>
      <c r="Z130" s="8"/>
    </row>
    <row r="131" ht="18.0" customHeight="1">
      <c r="A131" s="8"/>
      <c r="B131" s="8"/>
      <c r="C131" s="8"/>
      <c r="D131" s="25"/>
      <c r="E131" s="25"/>
      <c r="F131" s="25" t="str">
        <f t="shared" si="1"/>
        <v>No</v>
      </c>
      <c r="G131" s="8"/>
      <c r="H131" s="25" t="str">
        <f t="shared" si="2"/>
        <v>No</v>
      </c>
      <c r="I131" s="8"/>
      <c r="J131" s="30" t="str">
        <f t="shared" si="3"/>
        <v/>
      </c>
      <c r="K131" s="30" t="str">
        <f t="shared" si="4"/>
        <v/>
      </c>
      <c r="L131" s="30" t="str">
        <f t="shared" si="5"/>
        <v/>
      </c>
      <c r="M131" s="30" t="str">
        <f t="shared" si="6"/>
        <v/>
      </c>
      <c r="N131" s="30" t="str">
        <f t="shared" si="7"/>
        <v/>
      </c>
      <c r="O131" s="8"/>
      <c r="P131" s="8"/>
      <c r="Q131" s="8"/>
      <c r="R131" s="8"/>
      <c r="S131" s="8"/>
      <c r="T131" s="8"/>
      <c r="U131" s="8"/>
      <c r="V131" s="8"/>
      <c r="W131" s="8"/>
      <c r="X131" s="8"/>
      <c r="Y131" s="8"/>
      <c r="Z131" s="8"/>
    </row>
    <row r="132" ht="18.0" customHeight="1">
      <c r="A132" s="8"/>
      <c r="B132" s="8"/>
      <c r="C132" s="8"/>
      <c r="D132" s="25"/>
      <c r="E132" s="25"/>
      <c r="F132" s="25" t="str">
        <f t="shared" si="1"/>
        <v>No</v>
      </c>
      <c r="G132" s="8"/>
      <c r="H132" s="25" t="str">
        <f t="shared" si="2"/>
        <v>No</v>
      </c>
      <c r="I132" s="8"/>
      <c r="J132" s="30" t="str">
        <f t="shared" si="3"/>
        <v/>
      </c>
      <c r="K132" s="30" t="str">
        <f t="shared" si="4"/>
        <v/>
      </c>
      <c r="L132" s="30" t="str">
        <f t="shared" si="5"/>
        <v/>
      </c>
      <c r="M132" s="30" t="str">
        <f t="shared" si="6"/>
        <v/>
      </c>
      <c r="N132" s="30" t="str">
        <f t="shared" si="7"/>
        <v/>
      </c>
      <c r="O132" s="8"/>
      <c r="P132" s="8"/>
      <c r="Q132" s="8"/>
      <c r="R132" s="8"/>
      <c r="S132" s="8"/>
      <c r="T132" s="8"/>
      <c r="U132" s="8"/>
      <c r="V132" s="8"/>
      <c r="W132" s="8"/>
      <c r="X132" s="8"/>
      <c r="Y132" s="8"/>
      <c r="Z132" s="8"/>
    </row>
    <row r="133" ht="18.0" customHeight="1">
      <c r="A133" s="8"/>
      <c r="B133" s="8"/>
      <c r="C133" s="8"/>
      <c r="D133" s="25"/>
      <c r="E133" s="25"/>
      <c r="F133" s="25" t="str">
        <f t="shared" si="1"/>
        <v>No</v>
      </c>
      <c r="G133" s="8"/>
      <c r="H133" s="25" t="str">
        <f t="shared" si="2"/>
        <v>No</v>
      </c>
      <c r="I133" s="8"/>
      <c r="J133" s="30" t="str">
        <f t="shared" si="3"/>
        <v/>
      </c>
      <c r="K133" s="30" t="str">
        <f t="shared" si="4"/>
        <v/>
      </c>
      <c r="L133" s="30" t="str">
        <f t="shared" si="5"/>
        <v/>
      </c>
      <c r="M133" s="30" t="str">
        <f t="shared" si="6"/>
        <v/>
      </c>
      <c r="N133" s="30" t="str">
        <f t="shared" si="7"/>
        <v/>
      </c>
      <c r="O133" s="8"/>
      <c r="P133" s="8"/>
      <c r="Q133" s="8"/>
      <c r="R133" s="8"/>
      <c r="S133" s="8"/>
      <c r="T133" s="8"/>
      <c r="U133" s="8"/>
      <c r="V133" s="8"/>
      <c r="W133" s="8"/>
      <c r="X133" s="8"/>
      <c r="Y133" s="8"/>
      <c r="Z133" s="8"/>
    </row>
    <row r="134" ht="18.0" customHeight="1">
      <c r="A134" s="8"/>
      <c r="B134" s="8"/>
      <c r="C134" s="8"/>
      <c r="D134" s="25"/>
      <c r="E134" s="25"/>
      <c r="F134" s="25" t="str">
        <f t="shared" si="1"/>
        <v>No</v>
      </c>
      <c r="G134" s="8"/>
      <c r="H134" s="25" t="str">
        <f t="shared" si="2"/>
        <v>No</v>
      </c>
      <c r="I134" s="8"/>
      <c r="J134" s="30" t="str">
        <f t="shared" si="3"/>
        <v/>
      </c>
      <c r="K134" s="30" t="str">
        <f t="shared" si="4"/>
        <v/>
      </c>
      <c r="L134" s="30" t="str">
        <f t="shared" si="5"/>
        <v/>
      </c>
      <c r="M134" s="30" t="str">
        <f t="shared" si="6"/>
        <v/>
      </c>
      <c r="N134" s="30" t="str">
        <f t="shared" si="7"/>
        <v/>
      </c>
      <c r="O134" s="8"/>
      <c r="P134" s="8"/>
      <c r="Q134" s="8"/>
      <c r="R134" s="8"/>
      <c r="S134" s="8"/>
      <c r="T134" s="8"/>
      <c r="U134" s="8"/>
      <c r="V134" s="8"/>
      <c r="W134" s="8"/>
      <c r="X134" s="8"/>
      <c r="Y134" s="8"/>
      <c r="Z134" s="8"/>
    </row>
    <row r="135" ht="18.0" customHeight="1">
      <c r="A135" s="8"/>
      <c r="B135" s="8"/>
      <c r="C135" s="8"/>
      <c r="D135" s="25"/>
      <c r="E135" s="25"/>
      <c r="F135" s="25" t="str">
        <f t="shared" si="1"/>
        <v>No</v>
      </c>
      <c r="G135" s="8"/>
      <c r="H135" s="25" t="str">
        <f t="shared" si="2"/>
        <v>No</v>
      </c>
      <c r="I135" s="8"/>
      <c r="J135" s="30" t="str">
        <f t="shared" si="3"/>
        <v/>
      </c>
      <c r="K135" s="30" t="str">
        <f t="shared" si="4"/>
        <v/>
      </c>
      <c r="L135" s="30" t="str">
        <f t="shared" si="5"/>
        <v/>
      </c>
      <c r="M135" s="30" t="str">
        <f t="shared" si="6"/>
        <v/>
      </c>
      <c r="N135" s="30" t="str">
        <f t="shared" si="7"/>
        <v/>
      </c>
      <c r="O135" s="8"/>
      <c r="P135" s="8"/>
      <c r="Q135" s="8"/>
      <c r="R135" s="8"/>
      <c r="S135" s="8"/>
      <c r="T135" s="8"/>
      <c r="U135" s="8"/>
      <c r="V135" s="8"/>
      <c r="W135" s="8"/>
      <c r="X135" s="8"/>
      <c r="Y135" s="8"/>
      <c r="Z135" s="8"/>
    </row>
    <row r="136" ht="18.0" customHeight="1">
      <c r="A136" s="8"/>
      <c r="B136" s="8"/>
      <c r="C136" s="8"/>
      <c r="D136" s="25"/>
      <c r="E136" s="25"/>
      <c r="F136" s="25" t="str">
        <f t="shared" si="1"/>
        <v>No</v>
      </c>
      <c r="G136" s="8"/>
      <c r="H136" s="25" t="str">
        <f t="shared" si="2"/>
        <v>No</v>
      </c>
      <c r="I136" s="8"/>
      <c r="J136" s="30" t="str">
        <f t="shared" si="3"/>
        <v/>
      </c>
      <c r="K136" s="30" t="str">
        <f t="shared" si="4"/>
        <v/>
      </c>
      <c r="L136" s="30" t="str">
        <f t="shared" si="5"/>
        <v/>
      </c>
      <c r="M136" s="30" t="str">
        <f t="shared" si="6"/>
        <v/>
      </c>
      <c r="N136" s="30" t="str">
        <f t="shared" si="7"/>
        <v/>
      </c>
      <c r="O136" s="8"/>
      <c r="P136" s="8"/>
      <c r="Q136" s="8"/>
      <c r="R136" s="8"/>
      <c r="S136" s="8"/>
      <c r="T136" s="8"/>
      <c r="U136" s="8"/>
      <c r="V136" s="8"/>
      <c r="W136" s="8"/>
      <c r="X136" s="8"/>
      <c r="Y136" s="8"/>
      <c r="Z136" s="8"/>
    </row>
    <row r="137" ht="18.0" customHeight="1">
      <c r="A137" s="8"/>
      <c r="B137" s="8"/>
      <c r="C137" s="8"/>
      <c r="D137" s="25"/>
      <c r="E137" s="25"/>
      <c r="F137" s="25" t="str">
        <f t="shared" si="1"/>
        <v>No</v>
      </c>
      <c r="G137" s="8"/>
      <c r="H137" s="25" t="str">
        <f t="shared" si="2"/>
        <v>No</v>
      </c>
      <c r="I137" s="8"/>
      <c r="J137" s="30" t="str">
        <f t="shared" si="3"/>
        <v/>
      </c>
      <c r="K137" s="30" t="str">
        <f t="shared" si="4"/>
        <v/>
      </c>
      <c r="L137" s="30" t="str">
        <f t="shared" si="5"/>
        <v/>
      </c>
      <c r="M137" s="30" t="str">
        <f t="shared" si="6"/>
        <v/>
      </c>
      <c r="N137" s="30" t="str">
        <f t="shared" si="7"/>
        <v/>
      </c>
      <c r="O137" s="8"/>
      <c r="P137" s="8"/>
      <c r="Q137" s="8"/>
      <c r="R137" s="8"/>
      <c r="S137" s="8"/>
      <c r="T137" s="8"/>
      <c r="U137" s="8"/>
      <c r="V137" s="8"/>
      <c r="W137" s="8"/>
      <c r="X137" s="8"/>
      <c r="Y137" s="8"/>
      <c r="Z137" s="8"/>
    </row>
    <row r="138" ht="18.0" customHeight="1">
      <c r="A138" s="8"/>
      <c r="B138" s="8"/>
      <c r="C138" s="8"/>
      <c r="D138" s="25"/>
      <c r="E138" s="25"/>
      <c r="F138" s="25" t="str">
        <f t="shared" si="1"/>
        <v>No</v>
      </c>
      <c r="G138" s="8"/>
      <c r="H138" s="25" t="str">
        <f t="shared" si="2"/>
        <v>No</v>
      </c>
      <c r="I138" s="8"/>
      <c r="J138" s="30" t="str">
        <f t="shared" si="3"/>
        <v/>
      </c>
      <c r="K138" s="30" t="str">
        <f t="shared" si="4"/>
        <v/>
      </c>
      <c r="L138" s="30" t="str">
        <f t="shared" si="5"/>
        <v/>
      </c>
      <c r="M138" s="30" t="str">
        <f t="shared" si="6"/>
        <v/>
      </c>
      <c r="N138" s="30" t="str">
        <f t="shared" si="7"/>
        <v/>
      </c>
      <c r="O138" s="8"/>
      <c r="P138" s="8"/>
      <c r="Q138" s="8"/>
      <c r="R138" s="8"/>
      <c r="S138" s="8"/>
      <c r="T138" s="8"/>
      <c r="U138" s="8"/>
      <c r="V138" s="8"/>
      <c r="W138" s="8"/>
      <c r="X138" s="8"/>
      <c r="Y138" s="8"/>
      <c r="Z138" s="8"/>
    </row>
    <row r="139" ht="18.0" customHeight="1">
      <c r="A139" s="8"/>
      <c r="B139" s="8"/>
      <c r="C139" s="8"/>
      <c r="D139" s="25"/>
      <c r="E139" s="25"/>
      <c r="F139" s="25" t="str">
        <f t="shared" si="1"/>
        <v>No</v>
      </c>
      <c r="G139" s="8"/>
      <c r="H139" s="25" t="str">
        <f t="shared" si="2"/>
        <v>No</v>
      </c>
      <c r="I139" s="8"/>
      <c r="J139" s="30" t="str">
        <f t="shared" si="3"/>
        <v/>
      </c>
      <c r="K139" s="30" t="str">
        <f t="shared" si="4"/>
        <v/>
      </c>
      <c r="L139" s="30" t="str">
        <f t="shared" si="5"/>
        <v/>
      </c>
      <c r="M139" s="30" t="str">
        <f t="shared" si="6"/>
        <v/>
      </c>
      <c r="N139" s="30" t="str">
        <f t="shared" si="7"/>
        <v/>
      </c>
      <c r="O139" s="8"/>
      <c r="P139" s="8"/>
      <c r="Q139" s="8"/>
      <c r="R139" s="8"/>
      <c r="S139" s="8"/>
      <c r="T139" s="8"/>
      <c r="U139" s="8"/>
      <c r="V139" s="8"/>
      <c r="W139" s="8"/>
      <c r="X139" s="8"/>
      <c r="Y139" s="8"/>
      <c r="Z139" s="8"/>
    </row>
    <row r="140" ht="18.0" customHeight="1">
      <c r="A140" s="8"/>
      <c r="B140" s="8"/>
      <c r="C140" s="8"/>
      <c r="D140" s="25"/>
      <c r="E140" s="25"/>
      <c r="F140" s="25" t="str">
        <f t="shared" si="1"/>
        <v>No</v>
      </c>
      <c r="G140" s="8"/>
      <c r="H140" s="25" t="str">
        <f t="shared" si="2"/>
        <v>No</v>
      </c>
      <c r="I140" s="8"/>
      <c r="J140" s="30" t="str">
        <f t="shared" si="3"/>
        <v/>
      </c>
      <c r="K140" s="30" t="str">
        <f t="shared" si="4"/>
        <v/>
      </c>
      <c r="L140" s="30" t="str">
        <f t="shared" si="5"/>
        <v/>
      </c>
      <c r="M140" s="30" t="str">
        <f t="shared" si="6"/>
        <v/>
      </c>
      <c r="N140" s="30" t="str">
        <f t="shared" si="7"/>
        <v/>
      </c>
      <c r="O140" s="8"/>
      <c r="P140" s="8"/>
      <c r="Q140" s="8"/>
      <c r="R140" s="8"/>
      <c r="S140" s="8"/>
      <c r="T140" s="8"/>
      <c r="U140" s="8"/>
      <c r="V140" s="8"/>
      <c r="W140" s="8"/>
      <c r="X140" s="8"/>
      <c r="Y140" s="8"/>
      <c r="Z140" s="8"/>
    </row>
    <row r="141" ht="18.0" customHeight="1">
      <c r="A141" s="8"/>
      <c r="B141" s="8"/>
      <c r="C141" s="8"/>
      <c r="D141" s="25"/>
      <c r="E141" s="25"/>
      <c r="F141" s="25" t="str">
        <f t="shared" si="1"/>
        <v>No</v>
      </c>
      <c r="G141" s="8"/>
      <c r="H141" s="25" t="str">
        <f t="shared" si="2"/>
        <v>No</v>
      </c>
      <c r="I141" s="8"/>
      <c r="J141" s="30" t="str">
        <f t="shared" si="3"/>
        <v/>
      </c>
      <c r="K141" s="30" t="str">
        <f t="shared" si="4"/>
        <v/>
      </c>
      <c r="L141" s="30" t="str">
        <f t="shared" si="5"/>
        <v/>
      </c>
      <c r="M141" s="30" t="str">
        <f t="shared" si="6"/>
        <v/>
      </c>
      <c r="N141" s="30" t="str">
        <f t="shared" si="7"/>
        <v/>
      </c>
      <c r="O141" s="8"/>
      <c r="P141" s="8"/>
      <c r="Q141" s="8"/>
      <c r="R141" s="8"/>
      <c r="S141" s="8"/>
      <c r="T141" s="8"/>
      <c r="U141" s="8"/>
      <c r="V141" s="8"/>
      <c r="W141" s="8"/>
      <c r="X141" s="8"/>
      <c r="Y141" s="8"/>
      <c r="Z141" s="8"/>
    </row>
    <row r="142" ht="18.0" customHeight="1">
      <c r="A142" s="8"/>
      <c r="B142" s="8"/>
      <c r="C142" s="8"/>
      <c r="D142" s="25"/>
      <c r="E142" s="25"/>
      <c r="F142" s="25" t="str">
        <f t="shared" si="1"/>
        <v>No</v>
      </c>
      <c r="G142" s="8"/>
      <c r="H142" s="25" t="str">
        <f t="shared" si="2"/>
        <v>No</v>
      </c>
      <c r="I142" s="8"/>
      <c r="J142" s="30" t="str">
        <f t="shared" si="3"/>
        <v/>
      </c>
      <c r="K142" s="30" t="str">
        <f t="shared" si="4"/>
        <v/>
      </c>
      <c r="L142" s="30" t="str">
        <f t="shared" si="5"/>
        <v/>
      </c>
      <c r="M142" s="30" t="str">
        <f t="shared" si="6"/>
        <v/>
      </c>
      <c r="N142" s="30" t="str">
        <f t="shared" si="7"/>
        <v/>
      </c>
      <c r="O142" s="8"/>
      <c r="P142" s="8"/>
      <c r="Q142" s="8"/>
      <c r="R142" s="8"/>
      <c r="S142" s="8"/>
      <c r="T142" s="8"/>
      <c r="U142" s="8"/>
      <c r="V142" s="8"/>
      <c r="W142" s="8"/>
      <c r="X142" s="8"/>
      <c r="Y142" s="8"/>
      <c r="Z142" s="8"/>
    </row>
    <row r="143" ht="18.0" customHeight="1">
      <c r="A143" s="8"/>
      <c r="B143" s="8"/>
      <c r="C143" s="8"/>
      <c r="D143" s="25"/>
      <c r="E143" s="25"/>
      <c r="F143" s="25" t="str">
        <f t="shared" si="1"/>
        <v>No</v>
      </c>
      <c r="G143" s="8"/>
      <c r="H143" s="25" t="str">
        <f t="shared" si="2"/>
        <v>No</v>
      </c>
      <c r="I143" s="8"/>
      <c r="J143" s="30" t="str">
        <f t="shared" si="3"/>
        <v/>
      </c>
      <c r="K143" s="30" t="str">
        <f t="shared" si="4"/>
        <v/>
      </c>
      <c r="L143" s="30" t="str">
        <f t="shared" si="5"/>
        <v/>
      </c>
      <c r="M143" s="30" t="str">
        <f t="shared" si="6"/>
        <v/>
      </c>
      <c r="N143" s="30" t="str">
        <f t="shared" si="7"/>
        <v/>
      </c>
      <c r="O143" s="8"/>
      <c r="P143" s="8"/>
      <c r="Q143" s="8"/>
      <c r="R143" s="8"/>
      <c r="S143" s="8"/>
      <c r="T143" s="8"/>
      <c r="U143" s="8"/>
      <c r="V143" s="8"/>
      <c r="W143" s="8"/>
      <c r="X143" s="8"/>
      <c r="Y143" s="8"/>
      <c r="Z143" s="8"/>
    </row>
    <row r="144" ht="18.0" customHeight="1">
      <c r="A144" s="8"/>
      <c r="B144" s="8"/>
      <c r="C144" s="8"/>
      <c r="D144" s="25"/>
      <c r="E144" s="25"/>
      <c r="F144" s="25" t="str">
        <f t="shared" si="1"/>
        <v>No</v>
      </c>
      <c r="G144" s="8"/>
      <c r="H144" s="25" t="str">
        <f t="shared" si="2"/>
        <v>No</v>
      </c>
      <c r="I144" s="8"/>
      <c r="J144" s="30" t="str">
        <f t="shared" si="3"/>
        <v/>
      </c>
      <c r="K144" s="30" t="str">
        <f t="shared" si="4"/>
        <v/>
      </c>
      <c r="L144" s="30" t="str">
        <f t="shared" si="5"/>
        <v/>
      </c>
      <c r="M144" s="30" t="str">
        <f t="shared" si="6"/>
        <v/>
      </c>
      <c r="N144" s="30" t="str">
        <f t="shared" si="7"/>
        <v/>
      </c>
      <c r="O144" s="8"/>
      <c r="P144" s="8"/>
      <c r="Q144" s="8"/>
      <c r="R144" s="8"/>
      <c r="S144" s="8"/>
      <c r="T144" s="8"/>
      <c r="U144" s="8"/>
      <c r="V144" s="8"/>
      <c r="W144" s="8"/>
      <c r="X144" s="8"/>
      <c r="Y144" s="8"/>
      <c r="Z144" s="8"/>
    </row>
    <row r="145" ht="18.0" customHeight="1">
      <c r="A145" s="8"/>
      <c r="B145" s="8"/>
      <c r="C145" s="8"/>
      <c r="D145" s="25"/>
      <c r="E145" s="25"/>
      <c r="F145" s="25" t="str">
        <f t="shared" si="1"/>
        <v>No</v>
      </c>
      <c r="G145" s="8"/>
      <c r="H145" s="25" t="str">
        <f t="shared" si="2"/>
        <v>No</v>
      </c>
      <c r="I145" s="8"/>
      <c r="J145" s="30" t="str">
        <f t="shared" si="3"/>
        <v/>
      </c>
      <c r="K145" s="30" t="str">
        <f t="shared" si="4"/>
        <v/>
      </c>
      <c r="L145" s="30" t="str">
        <f t="shared" si="5"/>
        <v/>
      </c>
      <c r="M145" s="30" t="str">
        <f t="shared" si="6"/>
        <v/>
      </c>
      <c r="N145" s="30" t="str">
        <f t="shared" si="7"/>
        <v/>
      </c>
      <c r="O145" s="8"/>
      <c r="P145" s="8"/>
      <c r="Q145" s="8"/>
      <c r="R145" s="8"/>
      <c r="S145" s="8"/>
      <c r="T145" s="8"/>
      <c r="U145" s="8"/>
      <c r="V145" s="8"/>
      <c r="W145" s="8"/>
      <c r="X145" s="8"/>
      <c r="Y145" s="8"/>
      <c r="Z145" s="8"/>
    </row>
    <row r="146" ht="18.0" customHeight="1">
      <c r="A146" s="8"/>
      <c r="B146" s="8"/>
      <c r="C146" s="8"/>
      <c r="D146" s="25"/>
      <c r="E146" s="25"/>
      <c r="F146" s="25" t="str">
        <f t="shared" si="1"/>
        <v>No</v>
      </c>
      <c r="G146" s="8"/>
      <c r="H146" s="25" t="str">
        <f t="shared" si="2"/>
        <v>No</v>
      </c>
      <c r="I146" s="8"/>
      <c r="J146" s="30" t="str">
        <f t="shared" si="3"/>
        <v/>
      </c>
      <c r="K146" s="30" t="str">
        <f t="shared" si="4"/>
        <v/>
      </c>
      <c r="L146" s="30" t="str">
        <f t="shared" si="5"/>
        <v/>
      </c>
      <c r="M146" s="30" t="str">
        <f t="shared" si="6"/>
        <v/>
      </c>
      <c r="N146" s="30" t="str">
        <f t="shared" si="7"/>
        <v/>
      </c>
      <c r="O146" s="8"/>
      <c r="P146" s="8"/>
      <c r="Q146" s="8"/>
      <c r="R146" s="8"/>
      <c r="S146" s="8"/>
      <c r="T146" s="8"/>
      <c r="U146" s="8"/>
      <c r="V146" s="8"/>
      <c r="W146" s="8"/>
      <c r="X146" s="8"/>
      <c r="Y146" s="8"/>
      <c r="Z146" s="8"/>
    </row>
    <row r="147" ht="18.0" customHeight="1">
      <c r="A147" s="8"/>
      <c r="B147" s="8"/>
      <c r="C147" s="8"/>
      <c r="D147" s="25"/>
      <c r="E147" s="25"/>
      <c r="F147" s="25" t="str">
        <f t="shared" si="1"/>
        <v>No</v>
      </c>
      <c r="G147" s="8"/>
      <c r="H147" s="25" t="str">
        <f t="shared" si="2"/>
        <v>No</v>
      </c>
      <c r="I147" s="8"/>
      <c r="J147" s="30" t="str">
        <f t="shared" si="3"/>
        <v/>
      </c>
      <c r="K147" s="30" t="str">
        <f t="shared" si="4"/>
        <v/>
      </c>
      <c r="L147" s="30" t="str">
        <f t="shared" si="5"/>
        <v/>
      </c>
      <c r="M147" s="30" t="str">
        <f t="shared" si="6"/>
        <v/>
      </c>
      <c r="N147" s="30" t="str">
        <f t="shared" si="7"/>
        <v/>
      </c>
      <c r="O147" s="8"/>
      <c r="P147" s="8"/>
      <c r="Q147" s="8"/>
      <c r="R147" s="8"/>
      <c r="S147" s="8"/>
      <c r="T147" s="8"/>
      <c r="U147" s="8"/>
      <c r="V147" s="8"/>
      <c r="W147" s="8"/>
      <c r="X147" s="8"/>
      <c r="Y147" s="8"/>
      <c r="Z147" s="8"/>
    </row>
    <row r="148" ht="18.0" customHeight="1">
      <c r="A148" s="8"/>
      <c r="B148" s="8"/>
      <c r="C148" s="8"/>
      <c r="D148" s="25"/>
      <c r="E148" s="25"/>
      <c r="F148" s="25" t="str">
        <f t="shared" si="1"/>
        <v>No</v>
      </c>
      <c r="G148" s="8"/>
      <c r="H148" s="25" t="str">
        <f t="shared" si="2"/>
        <v>No</v>
      </c>
      <c r="I148" s="8"/>
      <c r="J148" s="30" t="str">
        <f t="shared" si="3"/>
        <v/>
      </c>
      <c r="K148" s="30" t="str">
        <f t="shared" si="4"/>
        <v/>
      </c>
      <c r="L148" s="30" t="str">
        <f t="shared" si="5"/>
        <v/>
      </c>
      <c r="M148" s="30" t="str">
        <f t="shared" si="6"/>
        <v/>
      </c>
      <c r="N148" s="30" t="str">
        <f t="shared" si="7"/>
        <v/>
      </c>
      <c r="O148" s="8"/>
      <c r="P148" s="8"/>
      <c r="Q148" s="8"/>
      <c r="R148" s="8"/>
      <c r="S148" s="8"/>
      <c r="T148" s="8"/>
      <c r="U148" s="8"/>
      <c r="V148" s="8"/>
      <c r="W148" s="8"/>
      <c r="X148" s="8"/>
      <c r="Y148" s="8"/>
      <c r="Z148" s="8"/>
    </row>
    <row r="149" ht="18.0" customHeight="1">
      <c r="A149" s="8"/>
      <c r="B149" s="8"/>
      <c r="C149" s="8"/>
      <c r="D149" s="25"/>
      <c r="E149" s="25"/>
      <c r="F149" s="25" t="str">
        <f t="shared" si="1"/>
        <v>No</v>
      </c>
      <c r="G149" s="8"/>
      <c r="H149" s="25" t="str">
        <f t="shared" si="2"/>
        <v>No</v>
      </c>
      <c r="I149" s="8"/>
      <c r="J149" s="30" t="str">
        <f t="shared" si="3"/>
        <v/>
      </c>
      <c r="K149" s="30" t="str">
        <f t="shared" si="4"/>
        <v/>
      </c>
      <c r="L149" s="30" t="str">
        <f t="shared" si="5"/>
        <v/>
      </c>
      <c r="M149" s="30" t="str">
        <f t="shared" si="6"/>
        <v/>
      </c>
      <c r="N149" s="30" t="str">
        <f t="shared" si="7"/>
        <v/>
      </c>
      <c r="O149" s="8"/>
      <c r="P149" s="8"/>
      <c r="Q149" s="8"/>
      <c r="R149" s="8"/>
      <c r="S149" s="8"/>
      <c r="T149" s="8"/>
      <c r="U149" s="8"/>
      <c r="V149" s="8"/>
      <c r="W149" s="8"/>
      <c r="X149" s="8"/>
      <c r="Y149" s="8"/>
      <c r="Z149" s="8"/>
    </row>
    <row r="150" ht="18.0" customHeight="1">
      <c r="A150" s="8"/>
      <c r="B150" s="8"/>
      <c r="C150" s="8"/>
      <c r="D150" s="25"/>
      <c r="E150" s="25"/>
      <c r="F150" s="25" t="str">
        <f t="shared" si="1"/>
        <v>No</v>
      </c>
      <c r="G150" s="8"/>
      <c r="H150" s="25" t="str">
        <f t="shared" si="2"/>
        <v>No</v>
      </c>
      <c r="I150" s="8"/>
      <c r="J150" s="30" t="str">
        <f t="shared" si="3"/>
        <v/>
      </c>
      <c r="K150" s="30" t="str">
        <f t="shared" si="4"/>
        <v/>
      </c>
      <c r="L150" s="30" t="str">
        <f t="shared" si="5"/>
        <v/>
      </c>
      <c r="M150" s="30" t="str">
        <f t="shared" si="6"/>
        <v/>
      </c>
      <c r="N150" s="30" t="str">
        <f t="shared" si="7"/>
        <v/>
      </c>
      <c r="O150" s="8"/>
      <c r="P150" s="8"/>
      <c r="Q150" s="8"/>
      <c r="R150" s="8"/>
      <c r="S150" s="8"/>
      <c r="T150" s="8"/>
      <c r="U150" s="8"/>
      <c r="V150" s="8"/>
      <c r="W150" s="8"/>
      <c r="X150" s="8"/>
      <c r="Y150" s="8"/>
      <c r="Z150" s="8"/>
    </row>
    <row r="151" ht="18.0" customHeight="1">
      <c r="A151" s="8"/>
      <c r="B151" s="8"/>
      <c r="C151" s="8"/>
      <c r="D151" s="25"/>
      <c r="E151" s="25"/>
      <c r="F151" s="25" t="str">
        <f t="shared" si="1"/>
        <v>No</v>
      </c>
      <c r="G151" s="8"/>
      <c r="H151" s="25" t="str">
        <f t="shared" si="2"/>
        <v>No</v>
      </c>
      <c r="I151" s="8"/>
      <c r="J151" s="30" t="str">
        <f t="shared" si="3"/>
        <v/>
      </c>
      <c r="K151" s="30" t="str">
        <f t="shared" si="4"/>
        <v/>
      </c>
      <c r="L151" s="30" t="str">
        <f t="shared" si="5"/>
        <v/>
      </c>
      <c r="M151" s="30" t="str">
        <f t="shared" si="6"/>
        <v/>
      </c>
      <c r="N151" s="30" t="str">
        <f t="shared" si="7"/>
        <v/>
      </c>
      <c r="O151" s="8"/>
      <c r="P151" s="8"/>
      <c r="Q151" s="8"/>
      <c r="R151" s="8"/>
      <c r="S151" s="8"/>
      <c r="T151" s="8"/>
      <c r="U151" s="8"/>
      <c r="V151" s="8"/>
      <c r="W151" s="8"/>
      <c r="X151" s="8"/>
      <c r="Y151" s="8"/>
      <c r="Z151" s="8"/>
    </row>
    <row r="152" ht="18.0" customHeight="1">
      <c r="A152" s="8"/>
      <c r="B152" s="8"/>
      <c r="C152" s="8"/>
      <c r="D152" s="25"/>
      <c r="E152" s="25"/>
      <c r="F152" s="25" t="str">
        <f t="shared" si="1"/>
        <v>No</v>
      </c>
      <c r="G152" s="8"/>
      <c r="H152" s="25" t="str">
        <f t="shared" si="2"/>
        <v>No</v>
      </c>
      <c r="I152" s="8"/>
      <c r="J152" s="30" t="str">
        <f t="shared" si="3"/>
        <v/>
      </c>
      <c r="K152" s="30" t="str">
        <f t="shared" si="4"/>
        <v/>
      </c>
      <c r="L152" s="30" t="str">
        <f t="shared" si="5"/>
        <v/>
      </c>
      <c r="M152" s="30" t="str">
        <f t="shared" si="6"/>
        <v/>
      </c>
      <c r="N152" s="30" t="str">
        <f t="shared" si="7"/>
        <v/>
      </c>
      <c r="O152" s="8"/>
      <c r="P152" s="8"/>
      <c r="Q152" s="8"/>
      <c r="R152" s="8"/>
      <c r="S152" s="8"/>
      <c r="T152" s="8"/>
      <c r="U152" s="8"/>
      <c r="V152" s="8"/>
      <c r="W152" s="8"/>
      <c r="X152" s="8"/>
      <c r="Y152" s="8"/>
      <c r="Z152" s="8"/>
    </row>
    <row r="153" ht="18.0" customHeight="1">
      <c r="A153" s="8"/>
      <c r="B153" s="8"/>
      <c r="C153" s="8"/>
      <c r="D153" s="25"/>
      <c r="E153" s="25"/>
      <c r="F153" s="25" t="str">
        <f t="shared" si="1"/>
        <v>No</v>
      </c>
      <c r="G153" s="8"/>
      <c r="H153" s="25" t="str">
        <f t="shared" si="2"/>
        <v>No</v>
      </c>
      <c r="I153" s="8"/>
      <c r="J153" s="30" t="str">
        <f t="shared" si="3"/>
        <v/>
      </c>
      <c r="K153" s="30" t="str">
        <f t="shared" si="4"/>
        <v/>
      </c>
      <c r="L153" s="30" t="str">
        <f t="shared" si="5"/>
        <v/>
      </c>
      <c r="M153" s="30" t="str">
        <f t="shared" si="6"/>
        <v/>
      </c>
      <c r="N153" s="30" t="str">
        <f t="shared" si="7"/>
        <v/>
      </c>
      <c r="O153" s="8"/>
      <c r="P153" s="8"/>
      <c r="Q153" s="8"/>
      <c r="R153" s="8"/>
      <c r="S153" s="8"/>
      <c r="T153" s="8"/>
      <c r="U153" s="8"/>
      <c r="V153" s="8"/>
      <c r="W153" s="8"/>
      <c r="X153" s="8"/>
      <c r="Y153" s="8"/>
      <c r="Z153" s="8"/>
    </row>
    <row r="154" ht="18.0" customHeight="1">
      <c r="A154" s="8"/>
      <c r="B154" s="8"/>
      <c r="C154" s="8"/>
      <c r="D154" s="25"/>
      <c r="E154" s="25"/>
      <c r="F154" s="25" t="str">
        <f t="shared" si="1"/>
        <v>No</v>
      </c>
      <c r="G154" s="8"/>
      <c r="H154" s="25" t="str">
        <f t="shared" si="2"/>
        <v>No</v>
      </c>
      <c r="I154" s="8"/>
      <c r="J154" s="30" t="str">
        <f t="shared" si="3"/>
        <v/>
      </c>
      <c r="K154" s="30" t="str">
        <f t="shared" si="4"/>
        <v/>
      </c>
      <c r="L154" s="30" t="str">
        <f t="shared" si="5"/>
        <v/>
      </c>
      <c r="M154" s="30" t="str">
        <f t="shared" si="6"/>
        <v/>
      </c>
      <c r="N154" s="30" t="str">
        <f t="shared" si="7"/>
        <v/>
      </c>
      <c r="O154" s="8"/>
      <c r="P154" s="8"/>
      <c r="Q154" s="8"/>
      <c r="R154" s="8"/>
      <c r="S154" s="8"/>
      <c r="T154" s="8"/>
      <c r="U154" s="8"/>
      <c r="V154" s="8"/>
      <c r="W154" s="8"/>
      <c r="X154" s="8"/>
      <c r="Y154" s="8"/>
      <c r="Z154" s="8"/>
    </row>
    <row r="155" ht="18.0" customHeight="1">
      <c r="A155" s="8"/>
      <c r="B155" s="8"/>
      <c r="C155" s="8"/>
      <c r="D155" s="25"/>
      <c r="E155" s="25"/>
      <c r="F155" s="25" t="str">
        <f t="shared" si="1"/>
        <v>No</v>
      </c>
      <c r="G155" s="8"/>
      <c r="H155" s="25" t="str">
        <f t="shared" si="2"/>
        <v>No</v>
      </c>
      <c r="I155" s="8"/>
      <c r="J155" s="30" t="str">
        <f t="shared" si="3"/>
        <v/>
      </c>
      <c r="K155" s="30" t="str">
        <f t="shared" si="4"/>
        <v/>
      </c>
      <c r="L155" s="30" t="str">
        <f t="shared" si="5"/>
        <v/>
      </c>
      <c r="M155" s="30" t="str">
        <f t="shared" si="6"/>
        <v/>
      </c>
      <c r="N155" s="30" t="str">
        <f t="shared" si="7"/>
        <v/>
      </c>
      <c r="O155" s="8"/>
      <c r="P155" s="8"/>
      <c r="Q155" s="8"/>
      <c r="R155" s="8"/>
      <c r="S155" s="8"/>
      <c r="T155" s="8"/>
      <c r="U155" s="8"/>
      <c r="V155" s="8"/>
      <c r="W155" s="8"/>
      <c r="X155" s="8"/>
      <c r="Y155" s="8"/>
      <c r="Z155" s="8"/>
    </row>
    <row r="156" ht="18.0" customHeight="1">
      <c r="A156" s="8"/>
      <c r="B156" s="8"/>
      <c r="C156" s="8"/>
      <c r="D156" s="25"/>
      <c r="E156" s="25"/>
      <c r="F156" s="25" t="str">
        <f t="shared" si="1"/>
        <v>No</v>
      </c>
      <c r="G156" s="8"/>
      <c r="H156" s="25" t="str">
        <f t="shared" si="2"/>
        <v>No</v>
      </c>
      <c r="I156" s="8"/>
      <c r="J156" s="30" t="str">
        <f t="shared" si="3"/>
        <v/>
      </c>
      <c r="K156" s="30" t="str">
        <f t="shared" si="4"/>
        <v/>
      </c>
      <c r="L156" s="30" t="str">
        <f t="shared" si="5"/>
        <v/>
      </c>
      <c r="M156" s="30" t="str">
        <f t="shared" si="6"/>
        <v/>
      </c>
      <c r="N156" s="30" t="str">
        <f t="shared" si="7"/>
        <v/>
      </c>
      <c r="O156" s="8"/>
      <c r="P156" s="8"/>
      <c r="Q156" s="8"/>
      <c r="R156" s="8"/>
      <c r="S156" s="8"/>
      <c r="T156" s="8"/>
      <c r="U156" s="8"/>
      <c r="V156" s="8"/>
      <c r="W156" s="8"/>
      <c r="X156" s="8"/>
      <c r="Y156" s="8"/>
      <c r="Z156" s="8"/>
    </row>
    <row r="157" ht="18.0" customHeight="1">
      <c r="A157" s="8"/>
      <c r="B157" s="8"/>
      <c r="C157" s="8"/>
      <c r="D157" s="25"/>
      <c r="E157" s="25"/>
      <c r="F157" s="25" t="str">
        <f t="shared" si="1"/>
        <v>No</v>
      </c>
      <c r="G157" s="8"/>
      <c r="H157" s="25" t="str">
        <f t="shared" si="2"/>
        <v>No</v>
      </c>
      <c r="I157" s="8"/>
      <c r="J157" s="30" t="str">
        <f t="shared" si="3"/>
        <v/>
      </c>
      <c r="K157" s="30" t="str">
        <f t="shared" si="4"/>
        <v/>
      </c>
      <c r="L157" s="30" t="str">
        <f t="shared" si="5"/>
        <v/>
      </c>
      <c r="M157" s="30" t="str">
        <f t="shared" si="6"/>
        <v/>
      </c>
      <c r="N157" s="30" t="str">
        <f t="shared" si="7"/>
        <v/>
      </c>
      <c r="O157" s="8"/>
      <c r="P157" s="8"/>
      <c r="Q157" s="8"/>
      <c r="R157" s="8"/>
      <c r="S157" s="8"/>
      <c r="T157" s="8"/>
      <c r="U157" s="8"/>
      <c r="V157" s="8"/>
      <c r="W157" s="8"/>
      <c r="X157" s="8"/>
      <c r="Y157" s="8"/>
      <c r="Z157" s="8"/>
    </row>
    <row r="158" ht="18.0" customHeight="1">
      <c r="A158" s="8"/>
      <c r="B158" s="8"/>
      <c r="C158" s="8"/>
      <c r="D158" s="25"/>
      <c r="E158" s="25"/>
      <c r="F158" s="25" t="str">
        <f t="shared" si="1"/>
        <v>No</v>
      </c>
      <c r="G158" s="8"/>
      <c r="H158" s="25" t="str">
        <f t="shared" si="2"/>
        <v>No</v>
      </c>
      <c r="I158" s="8"/>
      <c r="J158" s="30" t="str">
        <f t="shared" si="3"/>
        <v/>
      </c>
      <c r="K158" s="30" t="str">
        <f t="shared" si="4"/>
        <v/>
      </c>
      <c r="L158" s="30" t="str">
        <f t="shared" si="5"/>
        <v/>
      </c>
      <c r="M158" s="30" t="str">
        <f t="shared" si="6"/>
        <v/>
      </c>
      <c r="N158" s="30" t="str">
        <f t="shared" si="7"/>
        <v/>
      </c>
      <c r="O158" s="8"/>
      <c r="P158" s="8"/>
      <c r="Q158" s="8"/>
      <c r="R158" s="8"/>
      <c r="S158" s="8"/>
      <c r="T158" s="8"/>
      <c r="U158" s="8"/>
      <c r="V158" s="8"/>
      <c r="W158" s="8"/>
      <c r="X158" s="8"/>
      <c r="Y158" s="8"/>
      <c r="Z158" s="8"/>
    </row>
    <row r="159" ht="18.0" customHeight="1">
      <c r="A159" s="8"/>
      <c r="B159" s="8"/>
      <c r="C159" s="8"/>
      <c r="D159" s="25"/>
      <c r="E159" s="25"/>
      <c r="F159" s="25" t="str">
        <f t="shared" si="1"/>
        <v>No</v>
      </c>
      <c r="G159" s="8"/>
      <c r="H159" s="25" t="str">
        <f t="shared" si="2"/>
        <v>No</v>
      </c>
      <c r="I159" s="8"/>
      <c r="J159" s="30" t="str">
        <f t="shared" si="3"/>
        <v/>
      </c>
      <c r="K159" s="30" t="str">
        <f t="shared" si="4"/>
        <v/>
      </c>
      <c r="L159" s="30" t="str">
        <f t="shared" si="5"/>
        <v/>
      </c>
      <c r="M159" s="30" t="str">
        <f t="shared" si="6"/>
        <v/>
      </c>
      <c r="N159" s="30" t="str">
        <f t="shared" si="7"/>
        <v/>
      </c>
      <c r="O159" s="8"/>
      <c r="P159" s="8"/>
      <c r="Q159" s="8"/>
      <c r="R159" s="8"/>
      <c r="S159" s="8"/>
      <c r="T159" s="8"/>
      <c r="U159" s="8"/>
      <c r="V159" s="8"/>
      <c r="W159" s="8"/>
      <c r="X159" s="8"/>
      <c r="Y159" s="8"/>
      <c r="Z159" s="8"/>
    </row>
    <row r="160" ht="18.0" customHeight="1">
      <c r="A160" s="8"/>
      <c r="B160" s="8"/>
      <c r="C160" s="8"/>
      <c r="D160" s="25"/>
      <c r="E160" s="25"/>
      <c r="F160" s="25" t="str">
        <f t="shared" si="1"/>
        <v>No</v>
      </c>
      <c r="G160" s="8"/>
      <c r="H160" s="25" t="str">
        <f t="shared" si="2"/>
        <v>No</v>
      </c>
      <c r="I160" s="8"/>
      <c r="J160" s="30" t="str">
        <f t="shared" si="3"/>
        <v/>
      </c>
      <c r="K160" s="30" t="str">
        <f t="shared" si="4"/>
        <v/>
      </c>
      <c r="L160" s="30" t="str">
        <f t="shared" si="5"/>
        <v/>
      </c>
      <c r="M160" s="30" t="str">
        <f t="shared" si="6"/>
        <v/>
      </c>
      <c r="N160" s="30" t="str">
        <f t="shared" si="7"/>
        <v/>
      </c>
      <c r="O160" s="8"/>
      <c r="P160" s="8"/>
      <c r="Q160" s="8"/>
      <c r="R160" s="8"/>
      <c r="S160" s="8"/>
      <c r="T160" s="8"/>
      <c r="U160" s="8"/>
      <c r="V160" s="8"/>
      <c r="W160" s="8"/>
      <c r="X160" s="8"/>
      <c r="Y160" s="8"/>
      <c r="Z160" s="8"/>
    </row>
    <row r="161" ht="18.0" customHeight="1">
      <c r="A161" s="8"/>
      <c r="B161" s="8"/>
      <c r="C161" s="8"/>
      <c r="D161" s="25"/>
      <c r="E161" s="25"/>
      <c r="F161" s="25" t="str">
        <f t="shared" si="1"/>
        <v>No</v>
      </c>
      <c r="G161" s="8"/>
      <c r="H161" s="25" t="str">
        <f t="shared" si="2"/>
        <v>No</v>
      </c>
      <c r="I161" s="8"/>
      <c r="J161" s="30" t="str">
        <f t="shared" si="3"/>
        <v/>
      </c>
      <c r="K161" s="30" t="str">
        <f t="shared" si="4"/>
        <v/>
      </c>
      <c r="L161" s="30" t="str">
        <f t="shared" si="5"/>
        <v/>
      </c>
      <c r="M161" s="30" t="str">
        <f t="shared" si="6"/>
        <v/>
      </c>
      <c r="N161" s="30" t="str">
        <f t="shared" si="7"/>
        <v/>
      </c>
      <c r="O161" s="8"/>
      <c r="P161" s="8"/>
      <c r="Q161" s="8"/>
      <c r="R161" s="8"/>
      <c r="S161" s="8"/>
      <c r="T161" s="8"/>
      <c r="U161" s="8"/>
      <c r="V161" s="8"/>
      <c r="W161" s="8"/>
      <c r="X161" s="8"/>
      <c r="Y161" s="8"/>
      <c r="Z161" s="8"/>
    </row>
    <row r="162" ht="18.0" customHeight="1">
      <c r="A162" s="8"/>
      <c r="B162" s="8"/>
      <c r="C162" s="8"/>
      <c r="D162" s="25"/>
      <c r="E162" s="25"/>
      <c r="F162" s="25" t="str">
        <f t="shared" si="1"/>
        <v>No</v>
      </c>
      <c r="G162" s="8"/>
      <c r="H162" s="25" t="str">
        <f t="shared" si="2"/>
        <v>No</v>
      </c>
      <c r="I162" s="8"/>
      <c r="J162" s="30" t="str">
        <f t="shared" si="3"/>
        <v/>
      </c>
      <c r="K162" s="30" t="str">
        <f t="shared" si="4"/>
        <v/>
      </c>
      <c r="L162" s="30" t="str">
        <f t="shared" si="5"/>
        <v/>
      </c>
      <c r="M162" s="30" t="str">
        <f t="shared" si="6"/>
        <v/>
      </c>
      <c r="N162" s="30" t="str">
        <f t="shared" si="7"/>
        <v/>
      </c>
      <c r="O162" s="8"/>
      <c r="P162" s="8"/>
      <c r="Q162" s="8"/>
      <c r="R162" s="8"/>
      <c r="S162" s="8"/>
      <c r="T162" s="8"/>
      <c r="U162" s="8"/>
      <c r="V162" s="8"/>
      <c r="W162" s="8"/>
      <c r="X162" s="8"/>
      <c r="Y162" s="8"/>
      <c r="Z162" s="8"/>
    </row>
    <row r="163" ht="18.0" customHeight="1">
      <c r="A163" s="8"/>
      <c r="B163" s="8"/>
      <c r="C163" s="8"/>
      <c r="D163" s="25"/>
      <c r="E163" s="25"/>
      <c r="F163" s="25" t="str">
        <f t="shared" si="1"/>
        <v>No</v>
      </c>
      <c r="G163" s="8"/>
      <c r="H163" s="25" t="str">
        <f t="shared" si="2"/>
        <v>No</v>
      </c>
      <c r="I163" s="8"/>
      <c r="J163" s="30" t="str">
        <f t="shared" si="3"/>
        <v/>
      </c>
      <c r="K163" s="30" t="str">
        <f t="shared" si="4"/>
        <v/>
      </c>
      <c r="L163" s="30" t="str">
        <f t="shared" si="5"/>
        <v/>
      </c>
      <c r="M163" s="30" t="str">
        <f t="shared" si="6"/>
        <v/>
      </c>
      <c r="N163" s="30" t="str">
        <f t="shared" si="7"/>
        <v/>
      </c>
      <c r="O163" s="8"/>
      <c r="P163" s="8"/>
      <c r="Q163" s="8"/>
      <c r="R163" s="8"/>
      <c r="S163" s="8"/>
      <c r="T163" s="8"/>
      <c r="U163" s="8"/>
      <c r="V163" s="8"/>
      <c r="W163" s="8"/>
      <c r="X163" s="8"/>
      <c r="Y163" s="8"/>
      <c r="Z163" s="8"/>
    </row>
    <row r="164" ht="18.0" customHeight="1">
      <c r="A164" s="8"/>
      <c r="B164" s="8"/>
      <c r="C164" s="8"/>
      <c r="D164" s="25"/>
      <c r="E164" s="25"/>
      <c r="F164" s="25" t="str">
        <f t="shared" si="1"/>
        <v>No</v>
      </c>
      <c r="G164" s="8"/>
      <c r="H164" s="25" t="str">
        <f t="shared" si="2"/>
        <v>No</v>
      </c>
      <c r="I164" s="8"/>
      <c r="J164" s="30" t="str">
        <f t="shared" si="3"/>
        <v/>
      </c>
      <c r="K164" s="30" t="str">
        <f t="shared" si="4"/>
        <v/>
      </c>
      <c r="L164" s="30" t="str">
        <f t="shared" si="5"/>
        <v/>
      </c>
      <c r="M164" s="30" t="str">
        <f t="shared" si="6"/>
        <v/>
      </c>
      <c r="N164" s="30" t="str">
        <f t="shared" si="7"/>
        <v/>
      </c>
      <c r="O164" s="8"/>
      <c r="P164" s="8"/>
      <c r="Q164" s="8"/>
      <c r="R164" s="8"/>
      <c r="S164" s="8"/>
      <c r="T164" s="8"/>
      <c r="U164" s="8"/>
      <c r="V164" s="8"/>
      <c r="W164" s="8"/>
      <c r="X164" s="8"/>
      <c r="Y164" s="8"/>
      <c r="Z164" s="8"/>
    </row>
    <row r="165" ht="18.0" customHeight="1">
      <c r="A165" s="8"/>
      <c r="B165" s="8"/>
      <c r="C165" s="8"/>
      <c r="D165" s="25"/>
      <c r="E165" s="25"/>
      <c r="F165" s="25" t="str">
        <f t="shared" si="1"/>
        <v>No</v>
      </c>
      <c r="G165" s="8"/>
      <c r="H165" s="25" t="str">
        <f t="shared" si="2"/>
        <v>No</v>
      </c>
      <c r="I165" s="8"/>
      <c r="J165" s="30" t="str">
        <f t="shared" si="3"/>
        <v/>
      </c>
      <c r="K165" s="30" t="str">
        <f t="shared" si="4"/>
        <v/>
      </c>
      <c r="L165" s="30" t="str">
        <f t="shared" si="5"/>
        <v/>
      </c>
      <c r="M165" s="30" t="str">
        <f t="shared" si="6"/>
        <v/>
      </c>
      <c r="N165" s="30" t="str">
        <f t="shared" si="7"/>
        <v/>
      </c>
      <c r="O165" s="8"/>
      <c r="P165" s="8"/>
      <c r="Q165" s="8"/>
      <c r="R165" s="8"/>
      <c r="S165" s="8"/>
      <c r="T165" s="8"/>
      <c r="U165" s="8"/>
      <c r="V165" s="8"/>
      <c r="W165" s="8"/>
      <c r="X165" s="8"/>
      <c r="Y165" s="8"/>
      <c r="Z165" s="8"/>
    </row>
    <row r="166" ht="18.0" customHeight="1">
      <c r="A166" s="8"/>
      <c r="B166" s="8"/>
      <c r="C166" s="8"/>
      <c r="D166" s="25"/>
      <c r="E166" s="25"/>
      <c r="F166" s="25" t="str">
        <f t="shared" si="1"/>
        <v>No</v>
      </c>
      <c r="G166" s="8"/>
      <c r="H166" s="25" t="str">
        <f t="shared" si="2"/>
        <v>No</v>
      </c>
      <c r="I166" s="8"/>
      <c r="J166" s="30" t="str">
        <f t="shared" si="3"/>
        <v/>
      </c>
      <c r="K166" s="30" t="str">
        <f t="shared" si="4"/>
        <v/>
      </c>
      <c r="L166" s="30" t="str">
        <f t="shared" si="5"/>
        <v/>
      </c>
      <c r="M166" s="30" t="str">
        <f t="shared" si="6"/>
        <v/>
      </c>
      <c r="N166" s="30" t="str">
        <f t="shared" si="7"/>
        <v/>
      </c>
      <c r="O166" s="8"/>
      <c r="P166" s="8"/>
      <c r="Q166" s="8"/>
      <c r="R166" s="8"/>
      <c r="S166" s="8"/>
      <c r="T166" s="8"/>
      <c r="U166" s="8"/>
      <c r="V166" s="8"/>
      <c r="W166" s="8"/>
      <c r="X166" s="8"/>
      <c r="Y166" s="8"/>
      <c r="Z166" s="8"/>
    </row>
    <row r="167" ht="18.0" customHeight="1">
      <c r="A167" s="8"/>
      <c r="B167" s="8"/>
      <c r="C167" s="8"/>
      <c r="D167" s="25"/>
      <c r="E167" s="25"/>
      <c r="F167" s="25" t="str">
        <f t="shared" si="1"/>
        <v>No</v>
      </c>
      <c r="G167" s="8"/>
      <c r="H167" s="25" t="str">
        <f t="shared" si="2"/>
        <v>No</v>
      </c>
      <c r="I167" s="8"/>
      <c r="J167" s="30" t="str">
        <f t="shared" si="3"/>
        <v/>
      </c>
      <c r="K167" s="30" t="str">
        <f t="shared" si="4"/>
        <v/>
      </c>
      <c r="L167" s="30" t="str">
        <f t="shared" si="5"/>
        <v/>
      </c>
      <c r="M167" s="30" t="str">
        <f t="shared" si="6"/>
        <v/>
      </c>
      <c r="N167" s="30" t="str">
        <f t="shared" si="7"/>
        <v/>
      </c>
      <c r="O167" s="8"/>
      <c r="P167" s="8"/>
      <c r="Q167" s="8"/>
      <c r="R167" s="8"/>
      <c r="S167" s="8"/>
      <c r="T167" s="8"/>
      <c r="U167" s="8"/>
      <c r="V167" s="8"/>
      <c r="W167" s="8"/>
      <c r="X167" s="8"/>
      <c r="Y167" s="8"/>
      <c r="Z167" s="8"/>
    </row>
    <row r="168" ht="18.0" customHeight="1">
      <c r="A168" s="8"/>
      <c r="B168" s="8"/>
      <c r="C168" s="8"/>
      <c r="D168" s="25"/>
      <c r="E168" s="25"/>
      <c r="F168" s="25" t="str">
        <f t="shared" si="1"/>
        <v>No</v>
      </c>
      <c r="G168" s="8"/>
      <c r="H168" s="25" t="str">
        <f t="shared" si="2"/>
        <v>No</v>
      </c>
      <c r="I168" s="8"/>
      <c r="J168" s="30" t="str">
        <f t="shared" si="3"/>
        <v/>
      </c>
      <c r="K168" s="30" t="str">
        <f t="shared" si="4"/>
        <v/>
      </c>
      <c r="L168" s="30" t="str">
        <f t="shared" si="5"/>
        <v/>
      </c>
      <c r="M168" s="30" t="str">
        <f t="shared" si="6"/>
        <v/>
      </c>
      <c r="N168" s="30" t="str">
        <f t="shared" si="7"/>
        <v/>
      </c>
      <c r="O168" s="8"/>
      <c r="P168" s="8"/>
      <c r="Q168" s="8"/>
      <c r="R168" s="8"/>
      <c r="S168" s="8"/>
      <c r="T168" s="8"/>
      <c r="U168" s="8"/>
      <c r="V168" s="8"/>
      <c r="W168" s="8"/>
      <c r="X168" s="8"/>
      <c r="Y168" s="8"/>
      <c r="Z168" s="8"/>
    </row>
    <row r="169" ht="18.0" customHeight="1">
      <c r="A169" s="8"/>
      <c r="B169" s="8"/>
      <c r="C169" s="8"/>
      <c r="D169" s="25"/>
      <c r="E169" s="25"/>
      <c r="F169" s="25" t="str">
        <f t="shared" si="1"/>
        <v>No</v>
      </c>
      <c r="G169" s="8"/>
      <c r="H169" s="25" t="str">
        <f t="shared" si="2"/>
        <v>No</v>
      </c>
      <c r="I169" s="8"/>
      <c r="J169" s="30" t="str">
        <f t="shared" si="3"/>
        <v/>
      </c>
      <c r="K169" s="30" t="str">
        <f t="shared" si="4"/>
        <v/>
      </c>
      <c r="L169" s="30" t="str">
        <f t="shared" si="5"/>
        <v/>
      </c>
      <c r="M169" s="30" t="str">
        <f t="shared" si="6"/>
        <v/>
      </c>
      <c r="N169" s="30" t="str">
        <f t="shared" si="7"/>
        <v/>
      </c>
      <c r="O169" s="8"/>
      <c r="P169" s="8"/>
      <c r="Q169" s="8"/>
      <c r="R169" s="8"/>
      <c r="S169" s="8"/>
      <c r="T169" s="8"/>
      <c r="U169" s="8"/>
      <c r="V169" s="8"/>
      <c r="W169" s="8"/>
      <c r="X169" s="8"/>
      <c r="Y169" s="8"/>
      <c r="Z169" s="8"/>
    </row>
    <row r="170" ht="18.0" customHeight="1">
      <c r="A170" s="8"/>
      <c r="B170" s="8"/>
      <c r="C170" s="8"/>
      <c r="D170" s="25"/>
      <c r="E170" s="25"/>
      <c r="F170" s="25" t="str">
        <f t="shared" si="1"/>
        <v>No</v>
      </c>
      <c r="G170" s="8"/>
      <c r="H170" s="25" t="str">
        <f t="shared" si="2"/>
        <v>No</v>
      </c>
      <c r="I170" s="8"/>
      <c r="J170" s="30" t="str">
        <f t="shared" si="3"/>
        <v/>
      </c>
      <c r="K170" s="30" t="str">
        <f t="shared" si="4"/>
        <v/>
      </c>
      <c r="L170" s="30" t="str">
        <f t="shared" si="5"/>
        <v/>
      </c>
      <c r="M170" s="30" t="str">
        <f t="shared" si="6"/>
        <v/>
      </c>
      <c r="N170" s="30" t="str">
        <f t="shared" si="7"/>
        <v/>
      </c>
      <c r="O170" s="8"/>
      <c r="P170" s="8"/>
      <c r="Q170" s="8"/>
      <c r="R170" s="8"/>
      <c r="S170" s="8"/>
      <c r="T170" s="8"/>
      <c r="U170" s="8"/>
      <c r="V170" s="8"/>
      <c r="W170" s="8"/>
      <c r="X170" s="8"/>
      <c r="Y170" s="8"/>
      <c r="Z170" s="8"/>
    </row>
    <row r="171" ht="18.0" customHeight="1">
      <c r="A171" s="8"/>
      <c r="B171" s="8"/>
      <c r="C171" s="8"/>
      <c r="D171" s="25"/>
      <c r="E171" s="25"/>
      <c r="F171" s="25" t="str">
        <f t="shared" si="1"/>
        <v>No</v>
      </c>
      <c r="G171" s="8"/>
      <c r="H171" s="25" t="str">
        <f t="shared" si="2"/>
        <v>No</v>
      </c>
      <c r="I171" s="8"/>
      <c r="J171" s="30" t="str">
        <f t="shared" si="3"/>
        <v/>
      </c>
      <c r="K171" s="30" t="str">
        <f t="shared" si="4"/>
        <v/>
      </c>
      <c r="L171" s="30" t="str">
        <f t="shared" si="5"/>
        <v/>
      </c>
      <c r="M171" s="30" t="str">
        <f t="shared" si="6"/>
        <v/>
      </c>
      <c r="N171" s="30" t="str">
        <f t="shared" si="7"/>
        <v/>
      </c>
      <c r="O171" s="8"/>
      <c r="P171" s="8"/>
      <c r="Q171" s="8"/>
      <c r="R171" s="8"/>
      <c r="S171" s="8"/>
      <c r="T171" s="8"/>
      <c r="U171" s="8"/>
      <c r="V171" s="8"/>
      <c r="W171" s="8"/>
      <c r="X171" s="8"/>
      <c r="Y171" s="8"/>
      <c r="Z171" s="8"/>
    </row>
    <row r="172" ht="18.0" customHeight="1">
      <c r="A172" s="8"/>
      <c r="B172" s="8"/>
      <c r="C172" s="8"/>
      <c r="D172" s="25"/>
      <c r="E172" s="25"/>
      <c r="F172" s="25" t="str">
        <f t="shared" si="1"/>
        <v>No</v>
      </c>
      <c r="G172" s="8"/>
      <c r="H172" s="25" t="str">
        <f t="shared" si="2"/>
        <v>No</v>
      </c>
      <c r="I172" s="8"/>
      <c r="J172" s="30" t="str">
        <f t="shared" si="3"/>
        <v/>
      </c>
      <c r="K172" s="30" t="str">
        <f t="shared" si="4"/>
        <v/>
      </c>
      <c r="L172" s="30" t="str">
        <f t="shared" si="5"/>
        <v/>
      </c>
      <c r="M172" s="30" t="str">
        <f t="shared" si="6"/>
        <v/>
      </c>
      <c r="N172" s="30" t="str">
        <f t="shared" si="7"/>
        <v/>
      </c>
      <c r="O172" s="8"/>
      <c r="P172" s="8"/>
      <c r="Q172" s="8"/>
      <c r="R172" s="8"/>
      <c r="S172" s="8"/>
      <c r="T172" s="8"/>
      <c r="U172" s="8"/>
      <c r="V172" s="8"/>
      <c r="W172" s="8"/>
      <c r="X172" s="8"/>
      <c r="Y172" s="8"/>
      <c r="Z172" s="8"/>
    </row>
    <row r="173" ht="18.0" customHeight="1">
      <c r="A173" s="8"/>
      <c r="B173" s="8"/>
      <c r="C173" s="8"/>
      <c r="D173" s="25"/>
      <c r="E173" s="25"/>
      <c r="F173" s="25" t="str">
        <f t="shared" si="1"/>
        <v>No</v>
      </c>
      <c r="G173" s="8"/>
      <c r="H173" s="25" t="str">
        <f t="shared" si="2"/>
        <v>No</v>
      </c>
      <c r="I173" s="8"/>
      <c r="J173" s="30" t="str">
        <f t="shared" si="3"/>
        <v/>
      </c>
      <c r="K173" s="30" t="str">
        <f t="shared" si="4"/>
        <v/>
      </c>
      <c r="L173" s="30" t="str">
        <f t="shared" si="5"/>
        <v/>
      </c>
      <c r="M173" s="30" t="str">
        <f t="shared" si="6"/>
        <v/>
      </c>
      <c r="N173" s="30" t="str">
        <f t="shared" si="7"/>
        <v/>
      </c>
      <c r="O173" s="8"/>
      <c r="P173" s="8"/>
      <c r="Q173" s="8"/>
      <c r="R173" s="8"/>
      <c r="S173" s="8"/>
      <c r="T173" s="8"/>
      <c r="U173" s="8"/>
      <c r="V173" s="8"/>
      <c r="W173" s="8"/>
      <c r="X173" s="8"/>
      <c r="Y173" s="8"/>
      <c r="Z173" s="8"/>
    </row>
    <row r="174" ht="18.0" customHeight="1">
      <c r="A174" s="8"/>
      <c r="B174" s="8"/>
      <c r="C174" s="8"/>
      <c r="D174" s="25"/>
      <c r="E174" s="25"/>
      <c r="F174" s="25" t="str">
        <f t="shared" si="1"/>
        <v>No</v>
      </c>
      <c r="G174" s="8"/>
      <c r="H174" s="25" t="str">
        <f t="shared" si="2"/>
        <v>No</v>
      </c>
      <c r="I174" s="8"/>
      <c r="J174" s="30" t="str">
        <f t="shared" si="3"/>
        <v/>
      </c>
      <c r="K174" s="30" t="str">
        <f t="shared" si="4"/>
        <v/>
      </c>
      <c r="L174" s="30" t="str">
        <f t="shared" si="5"/>
        <v/>
      </c>
      <c r="M174" s="30" t="str">
        <f t="shared" si="6"/>
        <v/>
      </c>
      <c r="N174" s="30" t="str">
        <f t="shared" si="7"/>
        <v/>
      </c>
      <c r="O174" s="8"/>
      <c r="P174" s="8"/>
      <c r="Q174" s="8"/>
      <c r="R174" s="8"/>
      <c r="S174" s="8"/>
      <c r="T174" s="8"/>
      <c r="U174" s="8"/>
      <c r="V174" s="8"/>
      <c r="W174" s="8"/>
      <c r="X174" s="8"/>
      <c r="Y174" s="8"/>
      <c r="Z174" s="8"/>
    </row>
    <row r="175" ht="18.0" customHeight="1">
      <c r="A175" s="8"/>
      <c r="B175" s="8"/>
      <c r="C175" s="8"/>
      <c r="D175" s="25"/>
      <c r="E175" s="25"/>
      <c r="F175" s="25" t="str">
        <f t="shared" si="1"/>
        <v>No</v>
      </c>
      <c r="G175" s="8"/>
      <c r="H175" s="25" t="str">
        <f t="shared" si="2"/>
        <v>No</v>
      </c>
      <c r="I175" s="8"/>
      <c r="J175" s="30" t="str">
        <f t="shared" si="3"/>
        <v/>
      </c>
      <c r="K175" s="30" t="str">
        <f t="shared" si="4"/>
        <v/>
      </c>
      <c r="L175" s="30" t="str">
        <f t="shared" si="5"/>
        <v/>
      </c>
      <c r="M175" s="30" t="str">
        <f t="shared" si="6"/>
        <v/>
      </c>
      <c r="N175" s="30" t="str">
        <f t="shared" si="7"/>
        <v/>
      </c>
      <c r="O175" s="8"/>
      <c r="P175" s="8"/>
      <c r="Q175" s="8"/>
      <c r="R175" s="8"/>
      <c r="S175" s="8"/>
      <c r="T175" s="8"/>
      <c r="U175" s="8"/>
      <c r="V175" s="8"/>
      <c r="W175" s="8"/>
      <c r="X175" s="8"/>
      <c r="Y175" s="8"/>
      <c r="Z175" s="8"/>
    </row>
    <row r="176" ht="18.0" customHeight="1">
      <c r="A176" s="8"/>
      <c r="B176" s="8"/>
      <c r="C176" s="8"/>
      <c r="D176" s="25"/>
      <c r="E176" s="25"/>
      <c r="F176" s="25" t="str">
        <f t="shared" si="1"/>
        <v>No</v>
      </c>
      <c r="G176" s="8"/>
      <c r="H176" s="25" t="str">
        <f t="shared" si="2"/>
        <v>No</v>
      </c>
      <c r="I176" s="8"/>
      <c r="J176" s="30" t="str">
        <f t="shared" si="3"/>
        <v/>
      </c>
      <c r="K176" s="30" t="str">
        <f t="shared" si="4"/>
        <v/>
      </c>
      <c r="L176" s="30" t="str">
        <f t="shared" si="5"/>
        <v/>
      </c>
      <c r="M176" s="30" t="str">
        <f t="shared" si="6"/>
        <v/>
      </c>
      <c r="N176" s="30" t="str">
        <f t="shared" si="7"/>
        <v/>
      </c>
      <c r="O176" s="8"/>
      <c r="P176" s="8"/>
      <c r="Q176" s="8"/>
      <c r="R176" s="8"/>
      <c r="S176" s="8"/>
      <c r="T176" s="8"/>
      <c r="U176" s="8"/>
      <c r="V176" s="8"/>
      <c r="W176" s="8"/>
      <c r="X176" s="8"/>
      <c r="Y176" s="8"/>
      <c r="Z176" s="8"/>
    </row>
    <row r="177" ht="18.0" customHeight="1">
      <c r="A177" s="8"/>
      <c r="B177" s="8"/>
      <c r="C177" s="8"/>
      <c r="D177" s="25"/>
      <c r="E177" s="25"/>
      <c r="F177" s="25" t="str">
        <f t="shared" si="1"/>
        <v>No</v>
      </c>
      <c r="G177" s="8"/>
      <c r="H177" s="25" t="str">
        <f t="shared" si="2"/>
        <v>No</v>
      </c>
      <c r="I177" s="8"/>
      <c r="J177" s="30" t="str">
        <f t="shared" si="3"/>
        <v/>
      </c>
      <c r="K177" s="30" t="str">
        <f t="shared" si="4"/>
        <v/>
      </c>
      <c r="L177" s="30" t="str">
        <f t="shared" si="5"/>
        <v/>
      </c>
      <c r="M177" s="30" t="str">
        <f t="shared" si="6"/>
        <v/>
      </c>
      <c r="N177" s="30" t="str">
        <f t="shared" si="7"/>
        <v/>
      </c>
      <c r="O177" s="8"/>
      <c r="P177" s="8"/>
      <c r="Q177" s="8"/>
      <c r="R177" s="8"/>
      <c r="S177" s="8"/>
      <c r="T177" s="8"/>
      <c r="U177" s="8"/>
      <c r="V177" s="8"/>
      <c r="W177" s="8"/>
      <c r="X177" s="8"/>
      <c r="Y177" s="8"/>
      <c r="Z177" s="8"/>
    </row>
    <row r="178" ht="18.0" customHeight="1">
      <c r="A178" s="8"/>
      <c r="B178" s="8"/>
      <c r="C178" s="8"/>
      <c r="D178" s="25"/>
      <c r="E178" s="25"/>
      <c r="F178" s="25" t="str">
        <f t="shared" si="1"/>
        <v>No</v>
      </c>
      <c r="G178" s="8"/>
      <c r="H178" s="25" t="str">
        <f t="shared" si="2"/>
        <v>No</v>
      </c>
      <c r="I178" s="8"/>
      <c r="J178" s="30" t="str">
        <f t="shared" si="3"/>
        <v/>
      </c>
      <c r="K178" s="30" t="str">
        <f t="shared" si="4"/>
        <v/>
      </c>
      <c r="L178" s="30" t="str">
        <f t="shared" si="5"/>
        <v/>
      </c>
      <c r="M178" s="30" t="str">
        <f t="shared" si="6"/>
        <v/>
      </c>
      <c r="N178" s="30" t="str">
        <f t="shared" si="7"/>
        <v/>
      </c>
      <c r="O178" s="8"/>
      <c r="P178" s="8"/>
      <c r="Q178" s="8"/>
      <c r="R178" s="8"/>
      <c r="S178" s="8"/>
      <c r="T178" s="8"/>
      <c r="U178" s="8"/>
      <c r="V178" s="8"/>
      <c r="W178" s="8"/>
      <c r="X178" s="8"/>
      <c r="Y178" s="8"/>
      <c r="Z178" s="8"/>
    </row>
    <row r="179" ht="18.0" customHeight="1">
      <c r="A179" s="8"/>
      <c r="B179" s="8"/>
      <c r="C179" s="8"/>
      <c r="D179" s="25"/>
      <c r="E179" s="25"/>
      <c r="F179" s="25" t="str">
        <f t="shared" si="1"/>
        <v>No</v>
      </c>
      <c r="G179" s="8"/>
      <c r="H179" s="25" t="str">
        <f t="shared" si="2"/>
        <v>No</v>
      </c>
      <c r="I179" s="8"/>
      <c r="J179" s="30" t="str">
        <f t="shared" si="3"/>
        <v/>
      </c>
      <c r="K179" s="30" t="str">
        <f t="shared" si="4"/>
        <v/>
      </c>
      <c r="L179" s="30" t="str">
        <f t="shared" si="5"/>
        <v/>
      </c>
      <c r="M179" s="30" t="str">
        <f t="shared" si="6"/>
        <v/>
      </c>
      <c r="N179" s="30" t="str">
        <f t="shared" si="7"/>
        <v/>
      </c>
      <c r="O179" s="8"/>
      <c r="P179" s="8"/>
      <c r="Q179" s="8"/>
      <c r="R179" s="8"/>
      <c r="S179" s="8"/>
      <c r="T179" s="8"/>
      <c r="U179" s="8"/>
      <c r="V179" s="8"/>
      <c r="W179" s="8"/>
      <c r="X179" s="8"/>
      <c r="Y179" s="8"/>
      <c r="Z179" s="8"/>
    </row>
    <row r="180" ht="18.0" customHeight="1">
      <c r="A180" s="8"/>
      <c r="B180" s="8"/>
      <c r="C180" s="8"/>
      <c r="D180" s="25"/>
      <c r="E180" s="25"/>
      <c r="F180" s="25" t="str">
        <f t="shared" si="1"/>
        <v>No</v>
      </c>
      <c r="G180" s="8"/>
      <c r="H180" s="25" t="str">
        <f t="shared" si="2"/>
        <v>No</v>
      </c>
      <c r="I180" s="8"/>
      <c r="J180" s="30" t="str">
        <f t="shared" si="3"/>
        <v/>
      </c>
      <c r="K180" s="30" t="str">
        <f t="shared" si="4"/>
        <v/>
      </c>
      <c r="L180" s="30" t="str">
        <f t="shared" si="5"/>
        <v/>
      </c>
      <c r="M180" s="30" t="str">
        <f t="shared" si="6"/>
        <v/>
      </c>
      <c r="N180" s="30" t="str">
        <f t="shared" si="7"/>
        <v/>
      </c>
      <c r="O180" s="8"/>
      <c r="P180" s="8"/>
      <c r="Q180" s="8"/>
      <c r="R180" s="8"/>
      <c r="S180" s="8"/>
      <c r="T180" s="8"/>
      <c r="U180" s="8"/>
      <c r="V180" s="8"/>
      <c r="W180" s="8"/>
      <c r="X180" s="8"/>
      <c r="Y180" s="8"/>
      <c r="Z180" s="8"/>
    </row>
    <row r="181" ht="18.0" customHeight="1">
      <c r="A181" s="8"/>
      <c r="B181" s="8"/>
      <c r="C181" s="8"/>
      <c r="D181" s="25"/>
      <c r="E181" s="25"/>
      <c r="F181" s="25" t="str">
        <f t="shared" si="1"/>
        <v>No</v>
      </c>
      <c r="G181" s="8"/>
      <c r="H181" s="25" t="str">
        <f t="shared" si="2"/>
        <v>No</v>
      </c>
      <c r="I181" s="8"/>
      <c r="J181" s="30" t="str">
        <f t="shared" si="3"/>
        <v/>
      </c>
      <c r="K181" s="30" t="str">
        <f t="shared" si="4"/>
        <v/>
      </c>
      <c r="L181" s="30" t="str">
        <f t="shared" si="5"/>
        <v/>
      </c>
      <c r="M181" s="30" t="str">
        <f t="shared" si="6"/>
        <v/>
      </c>
      <c r="N181" s="30" t="str">
        <f t="shared" si="7"/>
        <v/>
      </c>
      <c r="O181" s="8"/>
      <c r="P181" s="8"/>
      <c r="Q181" s="8"/>
      <c r="R181" s="8"/>
      <c r="S181" s="8"/>
      <c r="T181" s="8"/>
      <c r="U181" s="8"/>
      <c r="V181" s="8"/>
      <c r="W181" s="8"/>
      <c r="X181" s="8"/>
      <c r="Y181" s="8"/>
      <c r="Z181" s="8"/>
    </row>
    <row r="182" ht="18.0" customHeight="1">
      <c r="A182" s="8"/>
      <c r="B182" s="8"/>
      <c r="C182" s="8"/>
      <c r="D182" s="25"/>
      <c r="E182" s="25"/>
      <c r="F182" s="25" t="str">
        <f t="shared" si="1"/>
        <v>No</v>
      </c>
      <c r="G182" s="8"/>
      <c r="H182" s="25" t="str">
        <f t="shared" si="2"/>
        <v>No</v>
      </c>
      <c r="I182" s="8"/>
      <c r="J182" s="30" t="str">
        <f t="shared" si="3"/>
        <v/>
      </c>
      <c r="K182" s="30" t="str">
        <f t="shared" si="4"/>
        <v/>
      </c>
      <c r="L182" s="30" t="str">
        <f t="shared" si="5"/>
        <v/>
      </c>
      <c r="M182" s="30" t="str">
        <f t="shared" si="6"/>
        <v/>
      </c>
      <c r="N182" s="30" t="str">
        <f t="shared" si="7"/>
        <v/>
      </c>
      <c r="O182" s="8"/>
      <c r="P182" s="8"/>
      <c r="Q182" s="8"/>
      <c r="R182" s="8"/>
      <c r="S182" s="8"/>
      <c r="T182" s="8"/>
      <c r="U182" s="8"/>
      <c r="V182" s="8"/>
      <c r="W182" s="8"/>
      <c r="X182" s="8"/>
      <c r="Y182" s="8"/>
      <c r="Z182" s="8"/>
    </row>
    <row r="183" ht="18.0" customHeight="1">
      <c r="A183" s="8"/>
      <c r="B183" s="8"/>
      <c r="C183" s="8"/>
      <c r="D183" s="25"/>
      <c r="E183" s="25"/>
      <c r="F183" s="25" t="str">
        <f t="shared" si="1"/>
        <v>No</v>
      </c>
      <c r="G183" s="8"/>
      <c r="H183" s="25" t="str">
        <f t="shared" si="2"/>
        <v>No</v>
      </c>
      <c r="I183" s="8"/>
      <c r="J183" s="30" t="str">
        <f t="shared" si="3"/>
        <v/>
      </c>
      <c r="K183" s="30" t="str">
        <f t="shared" si="4"/>
        <v/>
      </c>
      <c r="L183" s="30" t="str">
        <f t="shared" si="5"/>
        <v/>
      </c>
      <c r="M183" s="30" t="str">
        <f t="shared" si="6"/>
        <v/>
      </c>
      <c r="N183" s="30" t="str">
        <f t="shared" si="7"/>
        <v/>
      </c>
      <c r="O183" s="8"/>
      <c r="P183" s="8"/>
      <c r="Q183" s="8"/>
      <c r="R183" s="8"/>
      <c r="S183" s="8"/>
      <c r="T183" s="8"/>
      <c r="U183" s="8"/>
      <c r="V183" s="8"/>
      <c r="W183" s="8"/>
      <c r="X183" s="8"/>
      <c r="Y183" s="8"/>
      <c r="Z183" s="8"/>
    </row>
    <row r="184" ht="18.0" customHeight="1">
      <c r="A184" s="8"/>
      <c r="B184" s="8"/>
      <c r="C184" s="8"/>
      <c r="D184" s="25"/>
      <c r="E184" s="25"/>
      <c r="F184" s="25" t="str">
        <f t="shared" si="1"/>
        <v>No</v>
      </c>
      <c r="G184" s="8"/>
      <c r="H184" s="25" t="str">
        <f t="shared" si="2"/>
        <v>No</v>
      </c>
      <c r="I184" s="8"/>
      <c r="J184" s="30" t="str">
        <f t="shared" si="3"/>
        <v/>
      </c>
      <c r="K184" s="30" t="str">
        <f t="shared" si="4"/>
        <v/>
      </c>
      <c r="L184" s="30" t="str">
        <f t="shared" si="5"/>
        <v/>
      </c>
      <c r="M184" s="30" t="str">
        <f t="shared" si="6"/>
        <v/>
      </c>
      <c r="N184" s="30" t="str">
        <f t="shared" si="7"/>
        <v/>
      </c>
      <c r="O184" s="8"/>
      <c r="P184" s="8"/>
      <c r="Q184" s="8"/>
      <c r="R184" s="8"/>
      <c r="S184" s="8"/>
      <c r="T184" s="8"/>
      <c r="U184" s="8"/>
      <c r="V184" s="8"/>
      <c r="W184" s="8"/>
      <c r="X184" s="8"/>
      <c r="Y184" s="8"/>
      <c r="Z184" s="8"/>
    </row>
    <row r="185" ht="18.0" customHeight="1">
      <c r="A185" s="8"/>
      <c r="B185" s="8"/>
      <c r="C185" s="8"/>
      <c r="D185" s="25"/>
      <c r="E185" s="25"/>
      <c r="F185" s="25" t="str">
        <f t="shared" si="1"/>
        <v>No</v>
      </c>
      <c r="G185" s="8"/>
      <c r="H185" s="25" t="str">
        <f t="shared" si="2"/>
        <v>No</v>
      </c>
      <c r="I185" s="8"/>
      <c r="J185" s="30" t="str">
        <f t="shared" si="3"/>
        <v/>
      </c>
      <c r="K185" s="30" t="str">
        <f t="shared" si="4"/>
        <v/>
      </c>
      <c r="L185" s="30" t="str">
        <f t="shared" si="5"/>
        <v/>
      </c>
      <c r="M185" s="30" t="str">
        <f t="shared" si="6"/>
        <v/>
      </c>
      <c r="N185" s="30" t="str">
        <f t="shared" si="7"/>
        <v/>
      </c>
      <c r="O185" s="8"/>
      <c r="P185" s="8"/>
      <c r="Q185" s="8"/>
      <c r="R185" s="8"/>
      <c r="S185" s="8"/>
      <c r="T185" s="8"/>
      <c r="U185" s="8"/>
      <c r="V185" s="8"/>
      <c r="W185" s="8"/>
      <c r="X185" s="8"/>
      <c r="Y185" s="8"/>
      <c r="Z185" s="8"/>
    </row>
    <row r="186" ht="18.0" customHeight="1">
      <c r="A186" s="8"/>
      <c r="B186" s="8"/>
      <c r="C186" s="8"/>
      <c r="D186" s="25"/>
      <c r="E186" s="25"/>
      <c r="F186" s="25" t="str">
        <f t="shared" si="1"/>
        <v>No</v>
      </c>
      <c r="G186" s="8"/>
      <c r="H186" s="25" t="str">
        <f t="shared" si="2"/>
        <v>No</v>
      </c>
      <c r="I186" s="8"/>
      <c r="J186" s="30" t="str">
        <f t="shared" si="3"/>
        <v/>
      </c>
      <c r="K186" s="30" t="str">
        <f t="shared" si="4"/>
        <v/>
      </c>
      <c r="L186" s="30" t="str">
        <f t="shared" si="5"/>
        <v/>
      </c>
      <c r="M186" s="30" t="str">
        <f t="shared" si="6"/>
        <v/>
      </c>
      <c r="N186" s="30" t="str">
        <f t="shared" si="7"/>
        <v/>
      </c>
      <c r="O186" s="8"/>
      <c r="P186" s="8"/>
      <c r="Q186" s="8"/>
      <c r="R186" s="8"/>
      <c r="S186" s="8"/>
      <c r="T186" s="8"/>
      <c r="U186" s="8"/>
      <c r="V186" s="8"/>
      <c r="W186" s="8"/>
      <c r="X186" s="8"/>
      <c r="Y186" s="8"/>
      <c r="Z186" s="8"/>
    </row>
    <row r="187" ht="18.0" customHeight="1">
      <c r="A187" s="8"/>
      <c r="B187" s="8"/>
      <c r="C187" s="8"/>
      <c r="D187" s="25"/>
      <c r="E187" s="25"/>
      <c r="F187" s="25" t="str">
        <f t="shared" si="1"/>
        <v>No</v>
      </c>
      <c r="G187" s="8"/>
      <c r="H187" s="25" t="str">
        <f t="shared" si="2"/>
        <v>No</v>
      </c>
      <c r="I187" s="8"/>
      <c r="J187" s="30" t="str">
        <f t="shared" si="3"/>
        <v/>
      </c>
      <c r="K187" s="30" t="str">
        <f t="shared" si="4"/>
        <v/>
      </c>
      <c r="L187" s="30" t="str">
        <f t="shared" si="5"/>
        <v/>
      </c>
      <c r="M187" s="30" t="str">
        <f t="shared" si="6"/>
        <v/>
      </c>
      <c r="N187" s="30" t="str">
        <f t="shared" si="7"/>
        <v/>
      </c>
      <c r="O187" s="8"/>
      <c r="P187" s="8"/>
      <c r="Q187" s="8"/>
      <c r="R187" s="8"/>
      <c r="S187" s="8"/>
      <c r="T187" s="8"/>
      <c r="U187" s="8"/>
      <c r="V187" s="8"/>
      <c r="W187" s="8"/>
      <c r="X187" s="8"/>
      <c r="Y187" s="8"/>
      <c r="Z187" s="8"/>
    </row>
    <row r="188" ht="18.0" customHeight="1">
      <c r="A188" s="8"/>
      <c r="B188" s="8"/>
      <c r="C188" s="8"/>
      <c r="D188" s="25"/>
      <c r="E188" s="25"/>
      <c r="F188" s="25" t="str">
        <f t="shared" si="1"/>
        <v>No</v>
      </c>
      <c r="G188" s="8"/>
      <c r="H188" s="25" t="str">
        <f t="shared" si="2"/>
        <v>No</v>
      </c>
      <c r="I188" s="8"/>
      <c r="J188" s="30" t="str">
        <f t="shared" si="3"/>
        <v/>
      </c>
      <c r="K188" s="30" t="str">
        <f t="shared" si="4"/>
        <v/>
      </c>
      <c r="L188" s="30" t="str">
        <f t="shared" si="5"/>
        <v/>
      </c>
      <c r="M188" s="30" t="str">
        <f t="shared" si="6"/>
        <v/>
      </c>
      <c r="N188" s="30" t="str">
        <f t="shared" si="7"/>
        <v/>
      </c>
      <c r="O188" s="8"/>
      <c r="P188" s="8"/>
      <c r="Q188" s="8"/>
      <c r="R188" s="8"/>
      <c r="S188" s="8"/>
      <c r="T188" s="8"/>
      <c r="U188" s="8"/>
      <c r="V188" s="8"/>
      <c r="W188" s="8"/>
      <c r="X188" s="8"/>
      <c r="Y188" s="8"/>
      <c r="Z188" s="8"/>
    </row>
    <row r="189" ht="18.0" customHeight="1">
      <c r="A189" s="8"/>
      <c r="B189" s="8"/>
      <c r="C189" s="8"/>
      <c r="D189" s="25"/>
      <c r="E189" s="25"/>
      <c r="F189" s="25" t="str">
        <f t="shared" si="1"/>
        <v>No</v>
      </c>
      <c r="G189" s="8"/>
      <c r="H189" s="25" t="str">
        <f t="shared" si="2"/>
        <v>No</v>
      </c>
      <c r="I189" s="8"/>
      <c r="J189" s="30" t="str">
        <f t="shared" si="3"/>
        <v/>
      </c>
      <c r="K189" s="30" t="str">
        <f t="shared" si="4"/>
        <v/>
      </c>
      <c r="L189" s="30" t="str">
        <f t="shared" si="5"/>
        <v/>
      </c>
      <c r="M189" s="30" t="str">
        <f t="shared" si="6"/>
        <v/>
      </c>
      <c r="N189" s="30" t="str">
        <f t="shared" si="7"/>
        <v/>
      </c>
      <c r="O189" s="8"/>
      <c r="P189" s="8"/>
      <c r="Q189" s="8"/>
      <c r="R189" s="8"/>
      <c r="S189" s="8"/>
      <c r="T189" s="8"/>
      <c r="U189" s="8"/>
      <c r="V189" s="8"/>
      <c r="W189" s="8"/>
      <c r="X189" s="8"/>
      <c r="Y189" s="8"/>
      <c r="Z189" s="8"/>
    </row>
    <row r="190" ht="18.0" customHeight="1">
      <c r="A190" s="8"/>
      <c r="B190" s="8"/>
      <c r="C190" s="8"/>
      <c r="D190" s="25"/>
      <c r="E190" s="25"/>
      <c r="F190" s="25" t="str">
        <f t="shared" si="1"/>
        <v>No</v>
      </c>
      <c r="G190" s="8"/>
      <c r="H190" s="25" t="str">
        <f t="shared" si="2"/>
        <v>No</v>
      </c>
      <c r="I190" s="8"/>
      <c r="J190" s="30" t="str">
        <f t="shared" si="3"/>
        <v/>
      </c>
      <c r="K190" s="30" t="str">
        <f t="shared" si="4"/>
        <v/>
      </c>
      <c r="L190" s="30" t="str">
        <f t="shared" si="5"/>
        <v/>
      </c>
      <c r="M190" s="30" t="str">
        <f t="shared" si="6"/>
        <v/>
      </c>
      <c r="N190" s="30" t="str">
        <f t="shared" si="7"/>
        <v/>
      </c>
      <c r="O190" s="8"/>
      <c r="P190" s="8"/>
      <c r="Q190" s="8"/>
      <c r="R190" s="8"/>
      <c r="S190" s="8"/>
      <c r="T190" s="8"/>
      <c r="U190" s="8"/>
      <c r="V190" s="8"/>
      <c r="W190" s="8"/>
      <c r="X190" s="8"/>
      <c r="Y190" s="8"/>
      <c r="Z190" s="8"/>
    </row>
    <row r="191" ht="18.0" customHeight="1">
      <c r="A191" s="8"/>
      <c r="B191" s="8"/>
      <c r="C191" s="8"/>
      <c r="D191" s="25"/>
      <c r="E191" s="25"/>
      <c r="F191" s="25" t="str">
        <f t="shared" si="1"/>
        <v>No</v>
      </c>
      <c r="G191" s="8"/>
      <c r="H191" s="25" t="str">
        <f t="shared" si="2"/>
        <v>No</v>
      </c>
      <c r="I191" s="8"/>
      <c r="J191" s="30" t="str">
        <f t="shared" si="3"/>
        <v/>
      </c>
      <c r="K191" s="30" t="str">
        <f t="shared" si="4"/>
        <v/>
      </c>
      <c r="L191" s="30" t="str">
        <f t="shared" si="5"/>
        <v/>
      </c>
      <c r="M191" s="30" t="str">
        <f t="shared" si="6"/>
        <v/>
      </c>
      <c r="N191" s="30" t="str">
        <f t="shared" si="7"/>
        <v/>
      </c>
      <c r="O191" s="8"/>
      <c r="P191" s="8"/>
      <c r="Q191" s="8"/>
      <c r="R191" s="8"/>
      <c r="S191" s="8"/>
      <c r="T191" s="8"/>
      <c r="U191" s="8"/>
      <c r="V191" s="8"/>
      <c r="W191" s="8"/>
      <c r="X191" s="8"/>
      <c r="Y191" s="8"/>
      <c r="Z191" s="8"/>
    </row>
    <row r="192" ht="18.0" customHeight="1">
      <c r="A192" s="8"/>
      <c r="B192" s="8"/>
      <c r="C192" s="8"/>
      <c r="D192" s="25"/>
      <c r="E192" s="25"/>
      <c r="F192" s="25" t="str">
        <f t="shared" si="1"/>
        <v>No</v>
      </c>
      <c r="G192" s="8"/>
      <c r="H192" s="25" t="str">
        <f t="shared" si="2"/>
        <v>No</v>
      </c>
      <c r="I192" s="8"/>
      <c r="J192" s="30" t="str">
        <f t="shared" si="3"/>
        <v/>
      </c>
      <c r="K192" s="30" t="str">
        <f t="shared" si="4"/>
        <v/>
      </c>
      <c r="L192" s="30" t="str">
        <f t="shared" si="5"/>
        <v/>
      </c>
      <c r="M192" s="30" t="str">
        <f t="shared" si="6"/>
        <v/>
      </c>
      <c r="N192" s="30" t="str">
        <f t="shared" si="7"/>
        <v/>
      </c>
      <c r="O192" s="8"/>
      <c r="P192" s="8"/>
      <c r="Q192" s="8"/>
      <c r="R192" s="8"/>
      <c r="S192" s="8"/>
      <c r="T192" s="8"/>
      <c r="U192" s="8"/>
      <c r="V192" s="8"/>
      <c r="W192" s="8"/>
      <c r="X192" s="8"/>
      <c r="Y192" s="8"/>
      <c r="Z192" s="8"/>
    </row>
    <row r="193" ht="18.0" customHeight="1">
      <c r="A193" s="8"/>
      <c r="B193" s="8"/>
      <c r="C193" s="8"/>
      <c r="D193" s="25"/>
      <c r="E193" s="25"/>
      <c r="F193" s="25" t="str">
        <f t="shared" si="1"/>
        <v>No</v>
      </c>
      <c r="G193" s="8"/>
      <c r="H193" s="25" t="str">
        <f t="shared" si="2"/>
        <v>No</v>
      </c>
      <c r="I193" s="8"/>
      <c r="J193" s="30" t="str">
        <f t="shared" si="3"/>
        <v/>
      </c>
      <c r="K193" s="30" t="str">
        <f t="shared" si="4"/>
        <v/>
      </c>
      <c r="L193" s="30" t="str">
        <f t="shared" si="5"/>
        <v/>
      </c>
      <c r="M193" s="30" t="str">
        <f t="shared" si="6"/>
        <v/>
      </c>
      <c r="N193" s="30" t="str">
        <f t="shared" si="7"/>
        <v/>
      </c>
      <c r="O193" s="8"/>
      <c r="P193" s="8"/>
      <c r="Q193" s="8"/>
      <c r="R193" s="8"/>
      <c r="S193" s="8"/>
      <c r="T193" s="8"/>
      <c r="U193" s="8"/>
      <c r="V193" s="8"/>
      <c r="W193" s="8"/>
      <c r="X193" s="8"/>
      <c r="Y193" s="8"/>
      <c r="Z193" s="8"/>
    </row>
    <row r="194" ht="18.0" customHeight="1">
      <c r="A194" s="8"/>
      <c r="B194" s="8"/>
      <c r="C194" s="8"/>
      <c r="D194" s="25"/>
      <c r="E194" s="25"/>
      <c r="F194" s="25" t="str">
        <f t="shared" si="1"/>
        <v>No</v>
      </c>
      <c r="G194" s="8"/>
      <c r="H194" s="25" t="str">
        <f t="shared" si="2"/>
        <v>No</v>
      </c>
      <c r="I194" s="8"/>
      <c r="J194" s="30" t="str">
        <f t="shared" si="3"/>
        <v/>
      </c>
      <c r="K194" s="30" t="str">
        <f t="shared" si="4"/>
        <v/>
      </c>
      <c r="L194" s="30" t="str">
        <f t="shared" si="5"/>
        <v/>
      </c>
      <c r="M194" s="30" t="str">
        <f t="shared" si="6"/>
        <v/>
      </c>
      <c r="N194" s="30" t="str">
        <f t="shared" si="7"/>
        <v/>
      </c>
      <c r="O194" s="8"/>
      <c r="P194" s="8"/>
      <c r="Q194" s="8"/>
      <c r="R194" s="8"/>
      <c r="S194" s="8"/>
      <c r="T194" s="8"/>
      <c r="U194" s="8"/>
      <c r="V194" s="8"/>
      <c r="W194" s="8"/>
      <c r="X194" s="8"/>
      <c r="Y194" s="8"/>
      <c r="Z194" s="8"/>
    </row>
    <row r="195" ht="18.0" customHeight="1">
      <c r="A195" s="8"/>
      <c r="B195" s="8"/>
      <c r="C195" s="8"/>
      <c r="D195" s="25"/>
      <c r="E195" s="25"/>
      <c r="F195" s="25" t="str">
        <f t="shared" si="1"/>
        <v>No</v>
      </c>
      <c r="G195" s="8"/>
      <c r="H195" s="25" t="str">
        <f t="shared" si="2"/>
        <v>No</v>
      </c>
      <c r="I195" s="8"/>
      <c r="J195" s="30" t="str">
        <f t="shared" si="3"/>
        <v/>
      </c>
      <c r="K195" s="30" t="str">
        <f t="shared" si="4"/>
        <v/>
      </c>
      <c r="L195" s="30" t="str">
        <f t="shared" si="5"/>
        <v/>
      </c>
      <c r="M195" s="30" t="str">
        <f t="shared" si="6"/>
        <v/>
      </c>
      <c r="N195" s="30" t="str">
        <f t="shared" si="7"/>
        <v/>
      </c>
      <c r="O195" s="8"/>
      <c r="P195" s="8"/>
      <c r="Q195" s="8"/>
      <c r="R195" s="8"/>
      <c r="S195" s="8"/>
      <c r="T195" s="8"/>
      <c r="U195" s="8"/>
      <c r="V195" s="8"/>
      <c r="W195" s="8"/>
      <c r="X195" s="8"/>
      <c r="Y195" s="8"/>
      <c r="Z195" s="8"/>
    </row>
    <row r="196" ht="18.0" customHeight="1">
      <c r="A196" s="8"/>
      <c r="B196" s="8"/>
      <c r="C196" s="8"/>
      <c r="D196" s="25"/>
      <c r="E196" s="25"/>
      <c r="F196" s="25" t="str">
        <f t="shared" si="1"/>
        <v>No</v>
      </c>
      <c r="G196" s="8"/>
      <c r="H196" s="25" t="str">
        <f t="shared" si="2"/>
        <v>No</v>
      </c>
      <c r="I196" s="8"/>
      <c r="J196" s="30" t="str">
        <f t="shared" si="3"/>
        <v/>
      </c>
      <c r="K196" s="30" t="str">
        <f t="shared" si="4"/>
        <v/>
      </c>
      <c r="L196" s="30" t="str">
        <f t="shared" si="5"/>
        <v/>
      </c>
      <c r="M196" s="30" t="str">
        <f t="shared" si="6"/>
        <v/>
      </c>
      <c r="N196" s="30" t="str">
        <f t="shared" si="7"/>
        <v/>
      </c>
      <c r="O196" s="8"/>
      <c r="P196" s="8"/>
      <c r="Q196" s="8"/>
      <c r="R196" s="8"/>
      <c r="S196" s="8"/>
      <c r="T196" s="8"/>
      <c r="U196" s="8"/>
      <c r="V196" s="8"/>
      <c r="W196" s="8"/>
      <c r="X196" s="8"/>
      <c r="Y196" s="8"/>
      <c r="Z196" s="8"/>
    </row>
    <row r="197" ht="18.0" customHeight="1">
      <c r="A197" s="8"/>
      <c r="B197" s="8"/>
      <c r="C197" s="8"/>
      <c r="D197" s="25"/>
      <c r="E197" s="25"/>
      <c r="F197" s="25" t="str">
        <f t="shared" si="1"/>
        <v>No</v>
      </c>
      <c r="G197" s="8"/>
      <c r="H197" s="25" t="str">
        <f t="shared" si="2"/>
        <v>No</v>
      </c>
      <c r="I197" s="8"/>
      <c r="J197" s="30" t="str">
        <f t="shared" si="3"/>
        <v/>
      </c>
      <c r="K197" s="30" t="str">
        <f t="shared" si="4"/>
        <v/>
      </c>
      <c r="L197" s="30" t="str">
        <f t="shared" si="5"/>
        <v/>
      </c>
      <c r="M197" s="30" t="str">
        <f t="shared" si="6"/>
        <v/>
      </c>
      <c r="N197" s="30" t="str">
        <f t="shared" si="7"/>
        <v/>
      </c>
      <c r="O197" s="8"/>
      <c r="P197" s="8"/>
      <c r="Q197" s="8"/>
      <c r="R197" s="8"/>
      <c r="S197" s="8"/>
      <c r="T197" s="8"/>
      <c r="U197" s="8"/>
      <c r="V197" s="8"/>
      <c r="W197" s="8"/>
      <c r="X197" s="8"/>
      <c r="Y197" s="8"/>
      <c r="Z197" s="8"/>
    </row>
    <row r="198" ht="18.0" customHeight="1">
      <c r="A198" s="8"/>
      <c r="B198" s="8"/>
      <c r="C198" s="8"/>
      <c r="D198" s="25"/>
      <c r="E198" s="25"/>
      <c r="F198" s="25" t="str">
        <f t="shared" si="1"/>
        <v>No</v>
      </c>
      <c r="G198" s="8"/>
      <c r="H198" s="25" t="str">
        <f t="shared" si="2"/>
        <v>No</v>
      </c>
      <c r="I198" s="8"/>
      <c r="J198" s="30" t="str">
        <f t="shared" si="3"/>
        <v/>
      </c>
      <c r="K198" s="30" t="str">
        <f t="shared" si="4"/>
        <v/>
      </c>
      <c r="L198" s="30" t="str">
        <f t="shared" si="5"/>
        <v/>
      </c>
      <c r="M198" s="30" t="str">
        <f t="shared" si="6"/>
        <v/>
      </c>
      <c r="N198" s="30" t="str">
        <f t="shared" si="7"/>
        <v/>
      </c>
      <c r="O198" s="8"/>
      <c r="P198" s="8"/>
      <c r="Q198" s="8"/>
      <c r="R198" s="8"/>
      <c r="S198" s="8"/>
      <c r="T198" s="8"/>
      <c r="U198" s="8"/>
      <c r="V198" s="8"/>
      <c r="W198" s="8"/>
      <c r="X198" s="8"/>
      <c r="Y198" s="8"/>
      <c r="Z198" s="8"/>
    </row>
    <row r="199" ht="18.0" customHeight="1">
      <c r="A199" s="8"/>
      <c r="B199" s="8"/>
      <c r="C199" s="8"/>
      <c r="D199" s="25"/>
      <c r="E199" s="25"/>
      <c r="F199" s="25" t="str">
        <f t="shared" si="1"/>
        <v>No</v>
      </c>
      <c r="G199" s="8"/>
      <c r="H199" s="25" t="str">
        <f t="shared" si="2"/>
        <v>No</v>
      </c>
      <c r="I199" s="8"/>
      <c r="J199" s="30" t="str">
        <f t="shared" si="3"/>
        <v/>
      </c>
      <c r="K199" s="30" t="str">
        <f t="shared" si="4"/>
        <v/>
      </c>
      <c r="L199" s="30" t="str">
        <f t="shared" si="5"/>
        <v/>
      </c>
      <c r="M199" s="30" t="str">
        <f t="shared" si="6"/>
        <v/>
      </c>
      <c r="N199" s="30" t="str">
        <f t="shared" si="7"/>
        <v/>
      </c>
      <c r="O199" s="8"/>
      <c r="P199" s="8"/>
      <c r="Q199" s="8"/>
      <c r="R199" s="8"/>
      <c r="S199" s="8"/>
      <c r="T199" s="8"/>
      <c r="U199" s="8"/>
      <c r="V199" s="8"/>
      <c r="W199" s="8"/>
      <c r="X199" s="8"/>
      <c r="Y199" s="8"/>
      <c r="Z199" s="8"/>
    </row>
    <row r="200" ht="18.0" customHeight="1">
      <c r="A200" s="8"/>
      <c r="B200" s="8"/>
      <c r="C200" s="8"/>
      <c r="D200" s="25"/>
      <c r="E200" s="25"/>
      <c r="F200" s="25" t="str">
        <f t="shared" si="1"/>
        <v>No</v>
      </c>
      <c r="G200" s="8"/>
      <c r="H200" s="25" t="str">
        <f t="shared" si="2"/>
        <v>No</v>
      </c>
      <c r="I200" s="8"/>
      <c r="J200" s="30" t="str">
        <f t="shared" si="3"/>
        <v/>
      </c>
      <c r="K200" s="30" t="str">
        <f t="shared" si="4"/>
        <v/>
      </c>
      <c r="L200" s="30" t="str">
        <f t="shared" si="5"/>
        <v/>
      </c>
      <c r="M200" s="30" t="str">
        <f t="shared" si="6"/>
        <v/>
      </c>
      <c r="N200" s="30" t="str">
        <f t="shared" si="7"/>
        <v/>
      </c>
      <c r="O200" s="8"/>
      <c r="P200" s="8"/>
      <c r="Q200" s="8"/>
      <c r="R200" s="8"/>
      <c r="S200" s="8"/>
      <c r="T200" s="8"/>
      <c r="U200" s="8"/>
      <c r="V200" s="8"/>
      <c r="W200" s="8"/>
      <c r="X200" s="8"/>
      <c r="Y200" s="8"/>
      <c r="Z200" s="8"/>
    </row>
    <row r="201" ht="18.0" customHeight="1">
      <c r="A201" s="8"/>
      <c r="B201" s="8"/>
      <c r="C201" s="8"/>
      <c r="D201" s="25"/>
      <c r="E201" s="25"/>
      <c r="F201" s="25" t="str">
        <f t="shared" si="1"/>
        <v>No</v>
      </c>
      <c r="G201" s="8"/>
      <c r="H201" s="25" t="str">
        <f t="shared" si="2"/>
        <v>No</v>
      </c>
      <c r="I201" s="8"/>
      <c r="J201" s="30" t="str">
        <f t="shared" si="3"/>
        <v/>
      </c>
      <c r="K201" s="30" t="str">
        <f t="shared" si="4"/>
        <v/>
      </c>
      <c r="L201" s="30" t="str">
        <f t="shared" si="5"/>
        <v/>
      </c>
      <c r="M201" s="30" t="str">
        <f t="shared" si="6"/>
        <v/>
      </c>
      <c r="N201" s="30" t="str">
        <f t="shared" si="7"/>
        <v/>
      </c>
      <c r="O201" s="8"/>
      <c r="P201" s="8"/>
      <c r="Q201" s="8"/>
      <c r="R201" s="8"/>
      <c r="S201" s="8"/>
      <c r="T201" s="8"/>
      <c r="U201" s="8"/>
      <c r="V201" s="8"/>
      <c r="W201" s="8"/>
      <c r="X201" s="8"/>
      <c r="Y201" s="8"/>
      <c r="Z201" s="8"/>
    </row>
    <row r="202" ht="18.0" customHeight="1">
      <c r="A202" s="8"/>
      <c r="B202" s="8"/>
      <c r="C202" s="8"/>
      <c r="D202" s="25"/>
      <c r="E202" s="25"/>
      <c r="F202" s="8"/>
      <c r="G202" s="8"/>
      <c r="H202" s="8"/>
      <c r="I202" s="8"/>
      <c r="J202" s="30" t="str">
        <f t="shared" ref="J202:J401" si="8">IF($A2="","",$A2)</f>
        <v>Prof. Dr. Muhammad Golam Kibria</v>
      </c>
      <c r="K202" s="30" t="str">
        <f t="shared" ref="K202:K401" si="9">$G2</f>
        <v/>
      </c>
      <c r="L202" s="30" t="str">
        <f t="shared" ref="L202:L401" si="10">IF($A2="","",$C2)</f>
        <v>golam.kibria@ulab.edu.bd</v>
      </c>
      <c r="M202" s="34" t="str">
        <f t="shared" ref="M202:M401" si="11">IF($A2="","",$D2)</f>
        <v>01771122144</v>
      </c>
      <c r="N202" s="30" t="str">
        <f t="shared" si="7"/>
        <v/>
      </c>
      <c r="O202" s="8"/>
      <c r="P202" s="8"/>
      <c r="Q202" s="8"/>
      <c r="R202" s="8"/>
      <c r="S202" s="8"/>
      <c r="T202" s="8"/>
      <c r="U202" s="8"/>
      <c r="V202" s="8"/>
      <c r="W202" s="8"/>
      <c r="X202" s="8"/>
      <c r="Y202" s="8"/>
      <c r="Z202" s="8"/>
    </row>
    <row r="203" ht="18.0" customHeight="1">
      <c r="A203" s="8"/>
      <c r="B203" s="8"/>
      <c r="C203" s="8"/>
      <c r="D203" s="25"/>
      <c r="E203" s="25"/>
      <c r="F203" s="8"/>
      <c r="G203" s="8"/>
      <c r="H203" s="8"/>
      <c r="I203" s="8"/>
      <c r="J203" s="30" t="str">
        <f t="shared" si="8"/>
        <v>Prof. Dr. Nafees Mansoor</v>
      </c>
      <c r="K203" s="30" t="str">
        <f t="shared" si="9"/>
        <v/>
      </c>
      <c r="L203" s="30" t="str">
        <f t="shared" si="10"/>
        <v>nafees.mansoor@ulab.edu.bd</v>
      </c>
      <c r="M203" s="34" t="str">
        <f t="shared" si="11"/>
        <v>01879242323</v>
      </c>
      <c r="N203" s="30" t="str">
        <f t="shared" si="7"/>
        <v/>
      </c>
      <c r="O203" s="8"/>
      <c r="P203" s="8"/>
      <c r="Q203" s="8"/>
      <c r="R203" s="8"/>
      <c r="S203" s="8"/>
      <c r="T203" s="8"/>
      <c r="U203" s="8"/>
      <c r="V203" s="8"/>
      <c r="W203" s="8"/>
      <c r="X203" s="8"/>
      <c r="Y203" s="8"/>
      <c r="Z203" s="8"/>
    </row>
    <row r="204" ht="18.0" customHeight="1">
      <c r="A204" s="8"/>
      <c r="B204" s="8"/>
      <c r="C204" s="8"/>
      <c r="D204" s="25"/>
      <c r="E204" s="25"/>
      <c r="F204" s="8"/>
      <c r="G204" s="8"/>
      <c r="H204" s="8"/>
      <c r="I204" s="8"/>
      <c r="J204" s="30" t="str">
        <f t="shared" si="8"/>
        <v>Anwarul Haque Joarder</v>
      </c>
      <c r="K204" s="30" t="str">
        <f t="shared" si="9"/>
        <v/>
      </c>
      <c r="L204" s="30" t="str">
        <f t="shared" si="10"/>
        <v>anwar.joarder@ulab.edu.bd</v>
      </c>
      <c r="M204" s="34" t="str">
        <f t="shared" si="11"/>
        <v>01977000805</v>
      </c>
      <c r="N204" s="30" t="str">
        <f t="shared" si="7"/>
        <v/>
      </c>
      <c r="O204" s="8"/>
      <c r="P204" s="8"/>
      <c r="Q204" s="8"/>
      <c r="R204" s="8"/>
      <c r="S204" s="8"/>
      <c r="T204" s="8"/>
      <c r="U204" s="8"/>
      <c r="V204" s="8"/>
      <c r="W204" s="8"/>
      <c r="X204" s="8"/>
      <c r="Y204" s="8"/>
      <c r="Z204" s="8"/>
    </row>
    <row r="205" ht="18.0" customHeight="1">
      <c r="A205" s="8"/>
      <c r="B205" s="8"/>
      <c r="C205" s="8"/>
      <c r="D205" s="25"/>
      <c r="E205" s="25"/>
      <c r="F205" s="8"/>
      <c r="G205" s="8"/>
      <c r="H205" s="8"/>
      <c r="I205" s="8"/>
      <c r="J205" s="30" t="str">
        <f t="shared" si="8"/>
        <v>Dr. T. M Abul Kalam Azad</v>
      </c>
      <c r="K205" s="30" t="str">
        <f t="shared" si="9"/>
        <v/>
      </c>
      <c r="L205" s="30" t="str">
        <f t="shared" si="10"/>
        <v>abul.kalam@ulab.edu.bd</v>
      </c>
      <c r="M205" s="34" t="str">
        <f t="shared" si="11"/>
        <v>01789379752</v>
      </c>
      <c r="N205" s="30" t="str">
        <f t="shared" si="7"/>
        <v/>
      </c>
      <c r="O205" s="8"/>
      <c r="P205" s="8"/>
      <c r="Q205" s="8"/>
      <c r="R205" s="8"/>
      <c r="S205" s="8"/>
      <c r="T205" s="8"/>
      <c r="U205" s="8"/>
      <c r="V205" s="8"/>
      <c r="W205" s="8"/>
      <c r="X205" s="8"/>
      <c r="Y205" s="8"/>
      <c r="Z205" s="8"/>
    </row>
    <row r="206" ht="18.0" customHeight="1">
      <c r="A206" s="8"/>
      <c r="B206" s="8"/>
      <c r="C206" s="8"/>
      <c r="D206" s="25"/>
      <c r="E206" s="25"/>
      <c r="F206" s="8"/>
      <c r="G206" s="8"/>
      <c r="H206" s="8"/>
      <c r="I206" s="8"/>
      <c r="J206" s="30" t="str">
        <f t="shared" si="8"/>
        <v>Dr. Rezwan Al Islam Khan</v>
      </c>
      <c r="K206" s="30" t="str">
        <f t="shared" si="9"/>
        <v/>
      </c>
      <c r="L206" s="30" t="str">
        <f t="shared" si="10"/>
        <v>rezwan.islam@ulab.edu.bd</v>
      </c>
      <c r="M206" s="34" t="str">
        <f t="shared" si="11"/>
        <v>01712530199</v>
      </c>
      <c r="N206" s="30" t="str">
        <f t="shared" si="7"/>
        <v/>
      </c>
      <c r="O206" s="8"/>
      <c r="P206" s="8"/>
      <c r="Q206" s="8"/>
      <c r="R206" s="8"/>
      <c r="S206" s="8"/>
      <c r="T206" s="8"/>
      <c r="U206" s="8"/>
      <c r="V206" s="8"/>
      <c r="W206" s="8"/>
      <c r="X206" s="8"/>
      <c r="Y206" s="8"/>
      <c r="Z206" s="8"/>
    </row>
    <row r="207" ht="18.0" customHeight="1">
      <c r="A207" s="8"/>
      <c r="B207" s="8"/>
      <c r="C207" s="8"/>
      <c r="D207" s="25"/>
      <c r="E207" s="25"/>
      <c r="F207" s="8"/>
      <c r="G207" s="8"/>
      <c r="H207" s="8"/>
      <c r="I207" s="8"/>
      <c r="J207" s="30" t="str">
        <f t="shared" si="8"/>
        <v>Dr. Ayesha Akter Lata</v>
      </c>
      <c r="K207" s="30" t="str">
        <f t="shared" si="9"/>
        <v>T4P3</v>
      </c>
      <c r="L207" s="30" t="str">
        <f t="shared" si="10"/>
        <v>ayesha.akter@ulab.edu.bd</v>
      </c>
      <c r="M207" s="34" t="str">
        <f t="shared" si="11"/>
        <v>01856412501</v>
      </c>
      <c r="N207" s="30">
        <f t="shared" si="7"/>
        <v>1</v>
      </c>
      <c r="O207" s="8"/>
      <c r="P207" s="8"/>
      <c r="Q207" s="8"/>
      <c r="R207" s="8"/>
      <c r="S207" s="8"/>
      <c r="T207" s="8"/>
      <c r="U207" s="8"/>
      <c r="V207" s="8"/>
      <c r="W207" s="8"/>
      <c r="X207" s="8"/>
      <c r="Y207" s="8"/>
      <c r="Z207" s="8"/>
    </row>
    <row r="208" ht="18.0" customHeight="1">
      <c r="A208" s="8"/>
      <c r="B208" s="8"/>
      <c r="C208" s="8"/>
      <c r="D208" s="25"/>
      <c r="E208" s="25"/>
      <c r="F208" s="8"/>
      <c r="G208" s="8"/>
      <c r="H208" s="8"/>
      <c r="I208" s="8"/>
      <c r="J208" s="30" t="str">
        <f t="shared" si="8"/>
        <v>Dr. Al Amin Sheikh</v>
      </c>
      <c r="K208" s="30" t="str">
        <f t="shared" si="9"/>
        <v>T3P3</v>
      </c>
      <c r="L208" s="30" t="str">
        <f t="shared" si="10"/>
        <v>taskia.khatun@ulab.edu.bd</v>
      </c>
      <c r="M208" s="34" t="str">
        <f t="shared" si="11"/>
        <v>01701564663</v>
      </c>
      <c r="N208" s="30">
        <f t="shared" si="7"/>
        <v>1</v>
      </c>
      <c r="O208" s="8"/>
      <c r="P208" s="8"/>
      <c r="Q208" s="8"/>
      <c r="R208" s="8"/>
      <c r="S208" s="8"/>
      <c r="T208" s="8"/>
      <c r="U208" s="8"/>
      <c r="V208" s="8"/>
      <c r="W208" s="8"/>
      <c r="X208" s="8"/>
      <c r="Y208" s="8"/>
      <c r="Z208" s="8"/>
    </row>
    <row r="209" ht="18.0" customHeight="1">
      <c r="A209" s="8"/>
      <c r="B209" s="8"/>
      <c r="C209" s="8"/>
      <c r="D209" s="25"/>
      <c r="E209" s="25"/>
      <c r="F209" s="8"/>
      <c r="G209" s="8"/>
      <c r="H209" s="8"/>
      <c r="I209" s="8"/>
      <c r="J209" s="30" t="str">
        <f t="shared" si="8"/>
        <v>Dr. Mst. Taskia Khatun</v>
      </c>
      <c r="K209" s="30" t="str">
        <f t="shared" si="9"/>
        <v/>
      </c>
      <c r="L209" s="30" t="str">
        <f t="shared" si="10"/>
        <v>alamin.sheikh@ulab.edu.bd</v>
      </c>
      <c r="M209" s="34" t="str">
        <f t="shared" si="11"/>
        <v>01764912222</v>
      </c>
      <c r="N209" s="30" t="str">
        <f t="shared" si="7"/>
        <v/>
      </c>
      <c r="O209" s="8"/>
      <c r="P209" s="8"/>
      <c r="Q209" s="8"/>
      <c r="R209" s="8"/>
      <c r="S209" s="8"/>
      <c r="T209" s="8"/>
      <c r="U209" s="8"/>
      <c r="V209" s="8"/>
      <c r="W209" s="8"/>
      <c r="X209" s="8"/>
      <c r="Y209" s="8"/>
      <c r="Z209" s="8"/>
    </row>
    <row r="210" ht="18.0" customHeight="1">
      <c r="A210" s="8"/>
      <c r="B210" s="8"/>
      <c r="C210" s="8"/>
      <c r="D210" s="25"/>
      <c r="E210" s="25"/>
      <c r="F210" s="8"/>
      <c r="G210" s="8"/>
      <c r="H210" s="8"/>
      <c r="I210" s="8"/>
      <c r="J210" s="30" t="str">
        <f t="shared" si="8"/>
        <v>Dr. Nafiz Jaidye</v>
      </c>
      <c r="K210" s="30" t="str">
        <f t="shared" si="9"/>
        <v>T3P5</v>
      </c>
      <c r="L210" s="30" t="str">
        <f t="shared" si="10"/>
        <v>nafiz.jaidye@ulab.edu.bd</v>
      </c>
      <c r="M210" s="34" t="str">
        <f t="shared" si="11"/>
        <v>01889121516</v>
      </c>
      <c r="N210" s="30">
        <f t="shared" si="7"/>
        <v>1</v>
      </c>
      <c r="O210" s="8"/>
      <c r="P210" s="8"/>
      <c r="Q210" s="8"/>
      <c r="R210" s="8"/>
      <c r="S210" s="8"/>
      <c r="T210" s="8"/>
      <c r="U210" s="8"/>
      <c r="V210" s="8"/>
      <c r="W210" s="8"/>
      <c r="X210" s="8"/>
      <c r="Y210" s="8"/>
      <c r="Z210" s="8"/>
    </row>
    <row r="211" ht="18.0" customHeight="1">
      <c r="A211" s="8"/>
      <c r="B211" s="8"/>
      <c r="C211" s="8"/>
      <c r="D211" s="25"/>
      <c r="E211" s="25"/>
      <c r="F211" s="8"/>
      <c r="G211" s="8"/>
      <c r="H211" s="8"/>
      <c r="I211" s="8"/>
      <c r="J211" s="30" t="str">
        <f t="shared" si="8"/>
        <v>Raihan Kibria</v>
      </c>
      <c r="K211" s="30" t="str">
        <f t="shared" si="9"/>
        <v>T4P4</v>
      </c>
      <c r="L211" s="30" t="str">
        <f t="shared" si="10"/>
        <v>raihan.kibria@ulab.edu.bd</v>
      </c>
      <c r="M211" s="34" t="str">
        <f t="shared" si="11"/>
        <v>01819417956</v>
      </c>
      <c r="N211" s="30">
        <f t="shared" si="7"/>
        <v>1</v>
      </c>
      <c r="O211" s="8"/>
      <c r="P211" s="8"/>
      <c r="Q211" s="8"/>
      <c r="R211" s="8"/>
      <c r="S211" s="8"/>
      <c r="T211" s="8"/>
      <c r="U211" s="8"/>
      <c r="V211" s="8"/>
      <c r="W211" s="8"/>
      <c r="X211" s="8"/>
      <c r="Y211" s="8"/>
      <c r="Z211" s="8"/>
    </row>
    <row r="212" ht="18.0" customHeight="1">
      <c r="A212" s="8"/>
      <c r="B212" s="8"/>
      <c r="C212" s="8"/>
      <c r="D212" s="25"/>
      <c r="E212" s="25"/>
      <c r="F212" s="8"/>
      <c r="G212" s="8"/>
      <c r="H212" s="8"/>
      <c r="I212" s="8"/>
      <c r="J212" s="30" t="str">
        <f t="shared" si="8"/>
        <v>Rubaiya Hafiz</v>
      </c>
      <c r="K212" s="30" t="str">
        <f t="shared" si="9"/>
        <v/>
      </c>
      <c r="L212" s="30" t="str">
        <f t="shared" si="10"/>
        <v>rubaiya.hafiz@ulab.edu.bd</v>
      </c>
      <c r="M212" s="34" t="str">
        <f t="shared" si="11"/>
        <v>01914194973</v>
      </c>
      <c r="N212" s="30" t="str">
        <f t="shared" si="7"/>
        <v/>
      </c>
      <c r="O212" s="8"/>
      <c r="P212" s="8"/>
      <c r="Q212" s="8"/>
      <c r="R212" s="8"/>
      <c r="S212" s="8"/>
      <c r="T212" s="8"/>
      <c r="U212" s="8"/>
      <c r="V212" s="8"/>
      <c r="W212" s="8"/>
      <c r="X212" s="8"/>
      <c r="Y212" s="8"/>
      <c r="Z212" s="8"/>
    </row>
    <row r="213" ht="18.0" customHeight="1">
      <c r="A213" s="8"/>
      <c r="B213" s="8"/>
      <c r="C213" s="8"/>
      <c r="D213" s="25"/>
      <c r="E213" s="25"/>
      <c r="F213" s="8"/>
      <c r="G213" s="8"/>
      <c r="H213" s="8"/>
      <c r="I213" s="8"/>
      <c r="J213" s="30" t="str">
        <f t="shared" si="8"/>
        <v>Jannatul Ferdous Ruma</v>
      </c>
      <c r="K213" s="30" t="str">
        <f t="shared" si="9"/>
        <v>T4P1</v>
      </c>
      <c r="L213" s="30" t="str">
        <f t="shared" si="10"/>
        <v>jannatul.ferdous1@ulab.edu.bd</v>
      </c>
      <c r="M213" s="34" t="str">
        <f t="shared" si="11"/>
        <v>01710954167</v>
      </c>
      <c r="N213" s="30">
        <f t="shared" si="7"/>
        <v>1</v>
      </c>
      <c r="O213" s="8"/>
      <c r="P213" s="8"/>
      <c r="Q213" s="8"/>
      <c r="R213" s="8"/>
      <c r="S213" s="8"/>
      <c r="T213" s="8"/>
      <c r="U213" s="8"/>
      <c r="V213" s="8"/>
      <c r="W213" s="8"/>
      <c r="X213" s="8"/>
      <c r="Y213" s="8"/>
      <c r="Z213" s="8"/>
    </row>
    <row r="214" ht="18.0" customHeight="1">
      <c r="A214" s="8"/>
      <c r="B214" s="8"/>
      <c r="C214" s="8"/>
      <c r="D214" s="25"/>
      <c r="E214" s="25"/>
      <c r="F214" s="8"/>
      <c r="G214" s="8"/>
      <c r="H214" s="8"/>
      <c r="I214" s="8"/>
      <c r="J214" s="30" t="str">
        <f t="shared" si="8"/>
        <v>Dr. A.S.M. Shihavuddin</v>
      </c>
      <c r="K214" s="30" t="str">
        <f t="shared" si="9"/>
        <v/>
      </c>
      <c r="L214" s="30" t="str">
        <f t="shared" si="10"/>
        <v>shihav.uddin@ulab.edu.bd</v>
      </c>
      <c r="M214" s="34" t="str">
        <f t="shared" si="11"/>
        <v>01847246426</v>
      </c>
      <c r="N214" s="30" t="str">
        <f t="shared" si="7"/>
        <v/>
      </c>
      <c r="O214" s="8"/>
      <c r="P214" s="8"/>
      <c r="Q214" s="8"/>
      <c r="R214" s="8"/>
      <c r="S214" s="8"/>
      <c r="T214" s="8"/>
      <c r="U214" s="8"/>
      <c r="V214" s="8"/>
      <c r="W214" s="8"/>
      <c r="X214" s="8"/>
      <c r="Y214" s="8"/>
      <c r="Z214" s="8"/>
    </row>
    <row r="215" ht="18.0" customHeight="1">
      <c r="A215" s="8"/>
      <c r="B215" s="8"/>
      <c r="C215" s="8"/>
      <c r="D215" s="25"/>
      <c r="E215" s="25"/>
      <c r="F215" s="8"/>
      <c r="G215" s="8"/>
      <c r="H215" s="8"/>
      <c r="I215" s="8"/>
      <c r="J215" s="30" t="str">
        <f t="shared" si="8"/>
        <v>Ifat Al Baqee, PhD</v>
      </c>
      <c r="K215" s="30" t="str">
        <f t="shared" si="9"/>
        <v/>
      </c>
      <c r="L215" s="30" t="str">
        <f t="shared" si="10"/>
        <v>ifat.albaqee@ulab.edu.bd</v>
      </c>
      <c r="M215" s="34" t="str">
        <f t="shared" si="11"/>
        <v>01715135140</v>
      </c>
      <c r="N215" s="30" t="str">
        <f t="shared" si="7"/>
        <v/>
      </c>
      <c r="O215" s="8"/>
      <c r="P215" s="8"/>
      <c r="Q215" s="8"/>
      <c r="R215" s="8"/>
      <c r="S215" s="8"/>
      <c r="T215" s="8"/>
      <c r="U215" s="8"/>
      <c r="V215" s="8"/>
      <c r="W215" s="8"/>
      <c r="X215" s="8"/>
      <c r="Y215" s="8"/>
      <c r="Z215" s="8"/>
    </row>
    <row r="216" ht="18.0" customHeight="1">
      <c r="A216" s="8"/>
      <c r="B216" s="8"/>
      <c r="C216" s="8"/>
      <c r="D216" s="25"/>
      <c r="E216" s="25"/>
      <c r="F216" s="8"/>
      <c r="G216" s="8"/>
      <c r="H216" s="8"/>
      <c r="I216" s="8"/>
      <c r="J216" s="30" t="str">
        <f t="shared" si="8"/>
        <v>Md. Ashraful Haque, PhD</v>
      </c>
      <c r="K216" s="30" t="str">
        <f t="shared" si="9"/>
        <v/>
      </c>
      <c r="L216" s="30" t="str">
        <f t="shared" si="10"/>
        <v>ashraful.haque1@ulab.edu.bd</v>
      </c>
      <c r="M216" s="34" t="str">
        <f t="shared" si="11"/>
        <v>01745323543</v>
      </c>
      <c r="N216" s="30" t="str">
        <f t="shared" si="7"/>
        <v/>
      </c>
      <c r="O216" s="8"/>
      <c r="P216" s="8"/>
      <c r="Q216" s="8"/>
      <c r="R216" s="8"/>
      <c r="S216" s="8"/>
      <c r="T216" s="8"/>
      <c r="U216" s="8"/>
      <c r="V216" s="8"/>
      <c r="W216" s="8"/>
      <c r="X216" s="8"/>
      <c r="Y216" s="8"/>
      <c r="Z216" s="8"/>
    </row>
    <row r="217" ht="18.0" customHeight="1">
      <c r="A217" s="8"/>
      <c r="B217" s="8"/>
      <c r="C217" s="8"/>
      <c r="D217" s="25"/>
      <c r="E217" s="25"/>
      <c r="F217" s="8"/>
      <c r="G217" s="8"/>
      <c r="H217" s="8"/>
      <c r="I217" s="8"/>
      <c r="J217" s="30" t="str">
        <f t="shared" si="8"/>
        <v>Mainul Haque</v>
      </c>
      <c r="K217" s="30" t="str">
        <f t="shared" si="9"/>
        <v>T4P5</v>
      </c>
      <c r="L217" s="30" t="str">
        <f t="shared" si="10"/>
        <v>mainul.haque@ulab.edu.bd</v>
      </c>
      <c r="M217" s="34" t="str">
        <f t="shared" si="11"/>
        <v>01717172837</v>
      </c>
      <c r="N217" s="30">
        <f t="shared" si="7"/>
        <v>1</v>
      </c>
      <c r="O217" s="8"/>
      <c r="P217" s="8"/>
      <c r="Q217" s="8"/>
      <c r="R217" s="8"/>
      <c r="S217" s="8"/>
      <c r="T217" s="8"/>
      <c r="U217" s="8"/>
      <c r="V217" s="8"/>
      <c r="W217" s="8"/>
      <c r="X217" s="8"/>
      <c r="Y217" s="8"/>
      <c r="Z217" s="8"/>
    </row>
    <row r="218" ht="18.0" customHeight="1">
      <c r="A218" s="8"/>
      <c r="B218" s="8"/>
      <c r="C218" s="8"/>
      <c r="D218" s="25"/>
      <c r="E218" s="25"/>
      <c r="F218" s="8"/>
      <c r="G218" s="8"/>
      <c r="H218" s="8"/>
      <c r="I218" s="8"/>
      <c r="J218" s="30" t="str">
        <f t="shared" si="8"/>
        <v/>
      </c>
      <c r="K218" s="30" t="str">
        <f t="shared" si="9"/>
        <v/>
      </c>
      <c r="L218" s="30" t="str">
        <f t="shared" si="10"/>
        <v/>
      </c>
      <c r="M218" s="30" t="str">
        <f t="shared" si="11"/>
        <v/>
      </c>
      <c r="N218" s="30" t="str">
        <f t="shared" si="7"/>
        <v/>
      </c>
      <c r="O218" s="8"/>
      <c r="P218" s="8"/>
      <c r="Q218" s="8"/>
      <c r="R218" s="8"/>
      <c r="S218" s="8"/>
      <c r="T218" s="8"/>
      <c r="U218" s="8"/>
      <c r="V218" s="8"/>
      <c r="W218" s="8"/>
      <c r="X218" s="8"/>
      <c r="Y218" s="8"/>
      <c r="Z218" s="8"/>
    </row>
    <row r="219" ht="18.0" customHeight="1">
      <c r="A219" s="8"/>
      <c r="B219" s="8"/>
      <c r="C219" s="8"/>
      <c r="D219" s="25"/>
      <c r="E219" s="25"/>
      <c r="F219" s="8"/>
      <c r="G219" s="8"/>
      <c r="H219" s="8"/>
      <c r="I219" s="8"/>
      <c r="J219" s="30" t="str">
        <f t="shared" si="8"/>
        <v/>
      </c>
      <c r="K219" s="30" t="str">
        <f t="shared" si="9"/>
        <v/>
      </c>
      <c r="L219" s="30" t="str">
        <f t="shared" si="10"/>
        <v/>
      </c>
      <c r="M219" s="30" t="str">
        <f t="shared" si="11"/>
        <v/>
      </c>
      <c r="N219" s="30" t="str">
        <f t="shared" si="7"/>
        <v/>
      </c>
      <c r="O219" s="8"/>
      <c r="P219" s="8"/>
      <c r="Q219" s="8"/>
      <c r="R219" s="8"/>
      <c r="S219" s="8"/>
      <c r="T219" s="8"/>
      <c r="U219" s="8"/>
      <c r="V219" s="8"/>
      <c r="W219" s="8"/>
      <c r="X219" s="8"/>
      <c r="Y219" s="8"/>
      <c r="Z219" s="8"/>
    </row>
    <row r="220" ht="18.0" customHeight="1">
      <c r="A220" s="8"/>
      <c r="B220" s="8"/>
      <c r="C220" s="8"/>
      <c r="D220" s="25"/>
      <c r="E220" s="25"/>
      <c r="F220" s="8"/>
      <c r="G220" s="8"/>
      <c r="H220" s="8"/>
      <c r="I220" s="8"/>
      <c r="J220" s="30" t="str">
        <f t="shared" si="8"/>
        <v/>
      </c>
      <c r="K220" s="30" t="str">
        <f t="shared" si="9"/>
        <v/>
      </c>
      <c r="L220" s="30" t="str">
        <f t="shared" si="10"/>
        <v/>
      </c>
      <c r="M220" s="30" t="str">
        <f t="shared" si="11"/>
        <v/>
      </c>
      <c r="N220" s="30" t="str">
        <f t="shared" si="7"/>
        <v/>
      </c>
      <c r="O220" s="8"/>
      <c r="P220" s="8"/>
      <c r="Q220" s="8"/>
      <c r="R220" s="8"/>
      <c r="S220" s="8"/>
      <c r="T220" s="8"/>
      <c r="U220" s="8"/>
      <c r="V220" s="8"/>
      <c r="W220" s="8"/>
      <c r="X220" s="8"/>
      <c r="Y220" s="8"/>
      <c r="Z220" s="8"/>
    </row>
    <row r="221" ht="18.0" customHeight="1">
      <c r="A221" s="8"/>
      <c r="B221" s="8"/>
      <c r="C221" s="8"/>
      <c r="D221" s="25"/>
      <c r="E221" s="25"/>
      <c r="F221" s="8"/>
      <c r="G221" s="8"/>
      <c r="H221" s="8"/>
      <c r="I221" s="8"/>
      <c r="J221" s="30" t="str">
        <f t="shared" si="8"/>
        <v/>
      </c>
      <c r="K221" s="30" t="str">
        <f t="shared" si="9"/>
        <v/>
      </c>
      <c r="L221" s="30" t="str">
        <f t="shared" si="10"/>
        <v/>
      </c>
      <c r="M221" s="30" t="str">
        <f t="shared" si="11"/>
        <v/>
      </c>
      <c r="N221" s="30" t="str">
        <f t="shared" si="7"/>
        <v/>
      </c>
      <c r="O221" s="8"/>
      <c r="P221" s="8"/>
      <c r="Q221" s="8"/>
      <c r="R221" s="8"/>
      <c r="S221" s="8"/>
      <c r="T221" s="8"/>
      <c r="U221" s="8"/>
      <c r="V221" s="8"/>
      <c r="W221" s="8"/>
      <c r="X221" s="8"/>
      <c r="Y221" s="8"/>
      <c r="Z221" s="8"/>
    </row>
    <row r="222" ht="18.0" customHeight="1">
      <c r="A222" s="8"/>
      <c r="B222" s="8"/>
      <c r="C222" s="8"/>
      <c r="D222" s="25"/>
      <c r="E222" s="25"/>
      <c r="F222" s="8"/>
      <c r="G222" s="8"/>
      <c r="H222" s="8"/>
      <c r="I222" s="8"/>
      <c r="J222" s="30" t="str">
        <f t="shared" si="8"/>
        <v/>
      </c>
      <c r="K222" s="30" t="str">
        <f t="shared" si="9"/>
        <v/>
      </c>
      <c r="L222" s="30" t="str">
        <f t="shared" si="10"/>
        <v/>
      </c>
      <c r="M222" s="30" t="str">
        <f t="shared" si="11"/>
        <v/>
      </c>
      <c r="N222" s="30" t="str">
        <f t="shared" si="7"/>
        <v/>
      </c>
      <c r="O222" s="8"/>
      <c r="P222" s="8"/>
      <c r="Q222" s="8"/>
      <c r="R222" s="8"/>
      <c r="S222" s="8"/>
      <c r="T222" s="8"/>
      <c r="U222" s="8"/>
      <c r="V222" s="8"/>
      <c r="W222" s="8"/>
      <c r="X222" s="8"/>
      <c r="Y222" s="8"/>
      <c r="Z222" s="8"/>
    </row>
    <row r="223" ht="18.0" customHeight="1">
      <c r="A223" s="8"/>
      <c r="B223" s="8"/>
      <c r="C223" s="8"/>
      <c r="D223" s="25"/>
      <c r="E223" s="25"/>
      <c r="F223" s="8"/>
      <c r="G223" s="8"/>
      <c r="H223" s="8"/>
      <c r="I223" s="8"/>
      <c r="J223" s="30" t="str">
        <f t="shared" si="8"/>
        <v/>
      </c>
      <c r="K223" s="30" t="str">
        <f t="shared" si="9"/>
        <v/>
      </c>
      <c r="L223" s="30" t="str">
        <f t="shared" si="10"/>
        <v/>
      </c>
      <c r="M223" s="30" t="str">
        <f t="shared" si="11"/>
        <v/>
      </c>
      <c r="N223" s="30" t="str">
        <f t="shared" si="7"/>
        <v/>
      </c>
      <c r="O223" s="8"/>
      <c r="P223" s="8"/>
      <c r="Q223" s="8"/>
      <c r="R223" s="8"/>
      <c r="S223" s="8"/>
      <c r="T223" s="8"/>
      <c r="U223" s="8"/>
      <c r="V223" s="8"/>
      <c r="W223" s="8"/>
      <c r="X223" s="8"/>
      <c r="Y223" s="8"/>
      <c r="Z223" s="8"/>
    </row>
    <row r="224" ht="18.0" customHeight="1">
      <c r="A224" s="8"/>
      <c r="B224" s="8"/>
      <c r="C224" s="8"/>
      <c r="D224" s="25"/>
      <c r="E224" s="25"/>
      <c r="F224" s="8"/>
      <c r="G224" s="8"/>
      <c r="H224" s="8"/>
      <c r="I224" s="8"/>
      <c r="J224" s="30" t="str">
        <f t="shared" si="8"/>
        <v/>
      </c>
      <c r="K224" s="30" t="str">
        <f t="shared" si="9"/>
        <v/>
      </c>
      <c r="L224" s="30" t="str">
        <f t="shared" si="10"/>
        <v/>
      </c>
      <c r="M224" s="30" t="str">
        <f t="shared" si="11"/>
        <v/>
      </c>
      <c r="N224" s="30" t="str">
        <f t="shared" si="7"/>
        <v/>
      </c>
      <c r="O224" s="8"/>
      <c r="P224" s="8"/>
      <c r="Q224" s="8"/>
      <c r="R224" s="8"/>
      <c r="S224" s="8"/>
      <c r="T224" s="8"/>
      <c r="U224" s="8"/>
      <c r="V224" s="8"/>
      <c r="W224" s="8"/>
      <c r="X224" s="8"/>
      <c r="Y224" s="8"/>
      <c r="Z224" s="8"/>
    </row>
    <row r="225" ht="18.0" customHeight="1">
      <c r="A225" s="8"/>
      <c r="B225" s="8"/>
      <c r="C225" s="8"/>
      <c r="D225" s="25"/>
      <c r="E225" s="25"/>
      <c r="F225" s="8"/>
      <c r="G225" s="8"/>
      <c r="H225" s="8"/>
      <c r="I225" s="8"/>
      <c r="J225" s="30" t="str">
        <f t="shared" si="8"/>
        <v/>
      </c>
      <c r="K225" s="30" t="str">
        <f t="shared" si="9"/>
        <v/>
      </c>
      <c r="L225" s="30" t="str">
        <f t="shared" si="10"/>
        <v/>
      </c>
      <c r="M225" s="30" t="str">
        <f t="shared" si="11"/>
        <v/>
      </c>
      <c r="N225" s="30" t="str">
        <f t="shared" si="7"/>
        <v/>
      </c>
      <c r="O225" s="8"/>
      <c r="P225" s="8"/>
      <c r="Q225" s="8"/>
      <c r="R225" s="8"/>
      <c r="S225" s="8"/>
      <c r="T225" s="8"/>
      <c r="U225" s="8"/>
      <c r="V225" s="8"/>
      <c r="W225" s="8"/>
      <c r="X225" s="8"/>
      <c r="Y225" s="8"/>
      <c r="Z225" s="8"/>
    </row>
    <row r="226" ht="18.0" customHeight="1">
      <c r="A226" s="8"/>
      <c r="B226" s="8"/>
      <c r="C226" s="8"/>
      <c r="D226" s="25"/>
      <c r="E226" s="25"/>
      <c r="F226" s="8"/>
      <c r="G226" s="8"/>
      <c r="H226" s="8"/>
      <c r="I226" s="8"/>
      <c r="J226" s="30" t="str">
        <f t="shared" si="8"/>
        <v/>
      </c>
      <c r="K226" s="30" t="str">
        <f t="shared" si="9"/>
        <v/>
      </c>
      <c r="L226" s="30" t="str">
        <f t="shared" si="10"/>
        <v/>
      </c>
      <c r="M226" s="30" t="str">
        <f t="shared" si="11"/>
        <v/>
      </c>
      <c r="N226" s="30" t="str">
        <f t="shared" si="7"/>
        <v/>
      </c>
      <c r="O226" s="8"/>
      <c r="P226" s="8"/>
      <c r="Q226" s="8"/>
      <c r="R226" s="8"/>
      <c r="S226" s="8"/>
      <c r="T226" s="8"/>
      <c r="U226" s="8"/>
      <c r="V226" s="8"/>
      <c r="W226" s="8"/>
      <c r="X226" s="8"/>
      <c r="Y226" s="8"/>
      <c r="Z226" s="8"/>
    </row>
    <row r="227" ht="18.0" customHeight="1">
      <c r="A227" s="8"/>
      <c r="B227" s="8"/>
      <c r="C227" s="8"/>
      <c r="D227" s="25"/>
      <c r="E227" s="25"/>
      <c r="F227" s="8"/>
      <c r="G227" s="8"/>
      <c r="H227" s="8"/>
      <c r="I227" s="8"/>
      <c r="J227" s="30" t="str">
        <f t="shared" si="8"/>
        <v/>
      </c>
      <c r="K227" s="30" t="str">
        <f t="shared" si="9"/>
        <v/>
      </c>
      <c r="L227" s="30" t="str">
        <f t="shared" si="10"/>
        <v/>
      </c>
      <c r="M227" s="30" t="str">
        <f t="shared" si="11"/>
        <v/>
      </c>
      <c r="N227" s="30" t="str">
        <f t="shared" si="7"/>
        <v/>
      </c>
      <c r="O227" s="8"/>
      <c r="P227" s="8"/>
      <c r="Q227" s="8"/>
      <c r="R227" s="8"/>
      <c r="S227" s="8"/>
      <c r="T227" s="8"/>
      <c r="U227" s="8"/>
      <c r="V227" s="8"/>
      <c r="W227" s="8"/>
      <c r="X227" s="8"/>
      <c r="Y227" s="8"/>
      <c r="Z227" s="8"/>
    </row>
    <row r="228" ht="18.0" customHeight="1">
      <c r="A228" s="8"/>
      <c r="B228" s="8"/>
      <c r="C228" s="8"/>
      <c r="D228" s="25"/>
      <c r="E228" s="25"/>
      <c r="F228" s="8"/>
      <c r="G228" s="8"/>
      <c r="H228" s="8"/>
      <c r="I228" s="8"/>
      <c r="J228" s="30" t="str">
        <f t="shared" si="8"/>
        <v/>
      </c>
      <c r="K228" s="30" t="str">
        <f t="shared" si="9"/>
        <v/>
      </c>
      <c r="L228" s="30" t="str">
        <f t="shared" si="10"/>
        <v/>
      </c>
      <c r="M228" s="30" t="str">
        <f t="shared" si="11"/>
        <v/>
      </c>
      <c r="N228" s="30" t="str">
        <f t="shared" si="7"/>
        <v/>
      </c>
      <c r="O228" s="8"/>
      <c r="P228" s="8"/>
      <c r="Q228" s="8"/>
      <c r="R228" s="8"/>
      <c r="S228" s="8"/>
      <c r="T228" s="8"/>
      <c r="U228" s="8"/>
      <c r="V228" s="8"/>
      <c r="W228" s="8"/>
      <c r="X228" s="8"/>
      <c r="Y228" s="8"/>
      <c r="Z228" s="8"/>
    </row>
    <row r="229" ht="18.0" customHeight="1">
      <c r="A229" s="8"/>
      <c r="B229" s="8"/>
      <c r="C229" s="8"/>
      <c r="D229" s="25"/>
      <c r="E229" s="25"/>
      <c r="F229" s="8"/>
      <c r="G229" s="8"/>
      <c r="H229" s="8"/>
      <c r="I229" s="8"/>
      <c r="J229" s="30" t="str">
        <f t="shared" si="8"/>
        <v/>
      </c>
      <c r="K229" s="30" t="str">
        <f t="shared" si="9"/>
        <v/>
      </c>
      <c r="L229" s="30" t="str">
        <f t="shared" si="10"/>
        <v/>
      </c>
      <c r="M229" s="30" t="str">
        <f t="shared" si="11"/>
        <v/>
      </c>
      <c r="N229" s="30" t="str">
        <f t="shared" si="7"/>
        <v/>
      </c>
      <c r="O229" s="8"/>
      <c r="P229" s="8"/>
      <c r="Q229" s="8"/>
      <c r="R229" s="8"/>
      <c r="S229" s="8"/>
      <c r="T229" s="8"/>
      <c r="U229" s="8"/>
      <c r="V229" s="8"/>
      <c r="W229" s="8"/>
      <c r="X229" s="8"/>
      <c r="Y229" s="8"/>
      <c r="Z229" s="8"/>
    </row>
    <row r="230" ht="18.0" customHeight="1">
      <c r="A230" s="8"/>
      <c r="B230" s="8"/>
      <c r="C230" s="8"/>
      <c r="D230" s="25"/>
      <c r="E230" s="25"/>
      <c r="F230" s="8"/>
      <c r="G230" s="8"/>
      <c r="H230" s="8"/>
      <c r="I230" s="8"/>
      <c r="J230" s="30" t="str">
        <f t="shared" si="8"/>
        <v/>
      </c>
      <c r="K230" s="30" t="str">
        <f t="shared" si="9"/>
        <v/>
      </c>
      <c r="L230" s="30" t="str">
        <f t="shared" si="10"/>
        <v/>
      </c>
      <c r="M230" s="30" t="str">
        <f t="shared" si="11"/>
        <v/>
      </c>
      <c r="N230" s="30" t="str">
        <f t="shared" si="7"/>
        <v/>
      </c>
      <c r="O230" s="8"/>
      <c r="P230" s="8"/>
      <c r="Q230" s="8"/>
      <c r="R230" s="8"/>
      <c r="S230" s="8"/>
      <c r="T230" s="8"/>
      <c r="U230" s="8"/>
      <c r="V230" s="8"/>
      <c r="W230" s="8"/>
      <c r="X230" s="8"/>
      <c r="Y230" s="8"/>
      <c r="Z230" s="8"/>
    </row>
    <row r="231" ht="18.0" customHeight="1">
      <c r="A231" s="8"/>
      <c r="B231" s="8"/>
      <c r="C231" s="8"/>
      <c r="D231" s="25"/>
      <c r="E231" s="25"/>
      <c r="F231" s="8"/>
      <c r="G231" s="8"/>
      <c r="H231" s="8"/>
      <c r="I231" s="8"/>
      <c r="J231" s="30" t="str">
        <f t="shared" si="8"/>
        <v/>
      </c>
      <c r="K231" s="30" t="str">
        <f t="shared" si="9"/>
        <v/>
      </c>
      <c r="L231" s="30" t="str">
        <f t="shared" si="10"/>
        <v/>
      </c>
      <c r="M231" s="30" t="str">
        <f t="shared" si="11"/>
        <v/>
      </c>
      <c r="N231" s="30" t="str">
        <f t="shared" si="7"/>
        <v/>
      </c>
      <c r="O231" s="8"/>
      <c r="P231" s="8"/>
      <c r="Q231" s="8"/>
      <c r="R231" s="8"/>
      <c r="S231" s="8"/>
      <c r="T231" s="8"/>
      <c r="U231" s="8"/>
      <c r="V231" s="8"/>
      <c r="W231" s="8"/>
      <c r="X231" s="8"/>
      <c r="Y231" s="8"/>
      <c r="Z231" s="8"/>
    </row>
    <row r="232" ht="18.0" customHeight="1">
      <c r="A232" s="8"/>
      <c r="B232" s="8"/>
      <c r="C232" s="8"/>
      <c r="D232" s="25"/>
      <c r="E232" s="25"/>
      <c r="F232" s="8"/>
      <c r="G232" s="8"/>
      <c r="H232" s="8"/>
      <c r="I232" s="8"/>
      <c r="J232" s="30" t="str">
        <f t="shared" si="8"/>
        <v/>
      </c>
      <c r="K232" s="30" t="str">
        <f t="shared" si="9"/>
        <v/>
      </c>
      <c r="L232" s="30" t="str">
        <f t="shared" si="10"/>
        <v/>
      </c>
      <c r="M232" s="30" t="str">
        <f t="shared" si="11"/>
        <v/>
      </c>
      <c r="N232" s="30" t="str">
        <f t="shared" si="7"/>
        <v/>
      </c>
      <c r="O232" s="8"/>
      <c r="P232" s="8"/>
      <c r="Q232" s="8"/>
      <c r="R232" s="8"/>
      <c r="S232" s="8"/>
      <c r="T232" s="8"/>
      <c r="U232" s="8"/>
      <c r="V232" s="8"/>
      <c r="W232" s="8"/>
      <c r="X232" s="8"/>
      <c r="Y232" s="8"/>
      <c r="Z232" s="8"/>
    </row>
    <row r="233" ht="18.0" customHeight="1">
      <c r="A233" s="8"/>
      <c r="B233" s="8"/>
      <c r="C233" s="8"/>
      <c r="D233" s="25"/>
      <c r="E233" s="25"/>
      <c r="F233" s="8"/>
      <c r="G233" s="8"/>
      <c r="H233" s="8"/>
      <c r="I233" s="8"/>
      <c r="J233" s="30" t="str">
        <f t="shared" si="8"/>
        <v/>
      </c>
      <c r="K233" s="30" t="str">
        <f t="shared" si="9"/>
        <v/>
      </c>
      <c r="L233" s="30" t="str">
        <f t="shared" si="10"/>
        <v/>
      </c>
      <c r="M233" s="30" t="str">
        <f t="shared" si="11"/>
        <v/>
      </c>
      <c r="N233" s="30" t="str">
        <f t="shared" si="7"/>
        <v/>
      </c>
      <c r="O233" s="8"/>
      <c r="P233" s="8"/>
      <c r="Q233" s="8"/>
      <c r="R233" s="8"/>
      <c r="S233" s="8"/>
      <c r="T233" s="8"/>
      <c r="U233" s="8"/>
      <c r="V233" s="8"/>
      <c r="W233" s="8"/>
      <c r="X233" s="8"/>
      <c r="Y233" s="8"/>
      <c r="Z233" s="8"/>
    </row>
    <row r="234" ht="18.0" customHeight="1">
      <c r="A234" s="8"/>
      <c r="B234" s="8"/>
      <c r="C234" s="8"/>
      <c r="D234" s="25"/>
      <c r="E234" s="25"/>
      <c r="F234" s="8"/>
      <c r="G234" s="8"/>
      <c r="H234" s="8"/>
      <c r="I234" s="8"/>
      <c r="J234" s="30" t="str">
        <f t="shared" si="8"/>
        <v/>
      </c>
      <c r="K234" s="30" t="str">
        <f t="shared" si="9"/>
        <v/>
      </c>
      <c r="L234" s="30" t="str">
        <f t="shared" si="10"/>
        <v/>
      </c>
      <c r="M234" s="30" t="str">
        <f t="shared" si="11"/>
        <v/>
      </c>
      <c r="N234" s="30" t="str">
        <f t="shared" si="7"/>
        <v/>
      </c>
      <c r="O234" s="8"/>
      <c r="P234" s="8"/>
      <c r="Q234" s="8"/>
      <c r="R234" s="8"/>
      <c r="S234" s="8"/>
      <c r="T234" s="8"/>
      <c r="U234" s="8"/>
      <c r="V234" s="8"/>
      <c r="W234" s="8"/>
      <c r="X234" s="8"/>
      <c r="Y234" s="8"/>
      <c r="Z234" s="8"/>
    </row>
    <row r="235" ht="18.0" customHeight="1">
      <c r="A235" s="8"/>
      <c r="B235" s="8"/>
      <c r="C235" s="8"/>
      <c r="D235" s="25"/>
      <c r="E235" s="25"/>
      <c r="F235" s="8"/>
      <c r="G235" s="8"/>
      <c r="H235" s="8"/>
      <c r="I235" s="8"/>
      <c r="J235" s="30" t="str">
        <f t="shared" si="8"/>
        <v/>
      </c>
      <c r="K235" s="30" t="str">
        <f t="shared" si="9"/>
        <v/>
      </c>
      <c r="L235" s="30" t="str">
        <f t="shared" si="10"/>
        <v/>
      </c>
      <c r="M235" s="30" t="str">
        <f t="shared" si="11"/>
        <v/>
      </c>
      <c r="N235" s="30" t="str">
        <f t="shared" si="7"/>
        <v/>
      </c>
      <c r="O235" s="8"/>
      <c r="P235" s="8"/>
      <c r="Q235" s="8"/>
      <c r="R235" s="8"/>
      <c r="S235" s="8"/>
      <c r="T235" s="8"/>
      <c r="U235" s="8"/>
      <c r="V235" s="8"/>
      <c r="W235" s="8"/>
      <c r="X235" s="8"/>
      <c r="Y235" s="8"/>
      <c r="Z235" s="8"/>
    </row>
    <row r="236" ht="18.0" customHeight="1">
      <c r="A236" s="8"/>
      <c r="B236" s="8"/>
      <c r="C236" s="8"/>
      <c r="D236" s="25"/>
      <c r="E236" s="25"/>
      <c r="F236" s="8"/>
      <c r="G236" s="8"/>
      <c r="H236" s="8"/>
      <c r="I236" s="8"/>
      <c r="J236" s="30" t="str">
        <f t="shared" si="8"/>
        <v/>
      </c>
      <c r="K236" s="30" t="str">
        <f t="shared" si="9"/>
        <v/>
      </c>
      <c r="L236" s="30" t="str">
        <f t="shared" si="10"/>
        <v/>
      </c>
      <c r="M236" s="30" t="str">
        <f t="shared" si="11"/>
        <v/>
      </c>
      <c r="N236" s="30" t="str">
        <f t="shared" si="7"/>
        <v/>
      </c>
      <c r="O236" s="8"/>
      <c r="P236" s="8"/>
      <c r="Q236" s="8"/>
      <c r="R236" s="8"/>
      <c r="S236" s="8"/>
      <c r="T236" s="8"/>
      <c r="U236" s="8"/>
      <c r="V236" s="8"/>
      <c r="W236" s="8"/>
      <c r="X236" s="8"/>
      <c r="Y236" s="8"/>
      <c r="Z236" s="8"/>
    </row>
    <row r="237" ht="18.0" customHeight="1">
      <c r="A237" s="8"/>
      <c r="B237" s="8"/>
      <c r="C237" s="8"/>
      <c r="D237" s="25"/>
      <c r="E237" s="25"/>
      <c r="F237" s="8"/>
      <c r="G237" s="8"/>
      <c r="H237" s="8"/>
      <c r="I237" s="8"/>
      <c r="J237" s="30" t="str">
        <f t="shared" si="8"/>
        <v/>
      </c>
      <c r="K237" s="30" t="str">
        <f t="shared" si="9"/>
        <v/>
      </c>
      <c r="L237" s="30" t="str">
        <f t="shared" si="10"/>
        <v/>
      </c>
      <c r="M237" s="30" t="str">
        <f t="shared" si="11"/>
        <v/>
      </c>
      <c r="N237" s="30" t="str">
        <f t="shared" si="7"/>
        <v/>
      </c>
      <c r="O237" s="8"/>
      <c r="P237" s="8"/>
      <c r="Q237" s="8"/>
      <c r="R237" s="8"/>
      <c r="S237" s="8"/>
      <c r="T237" s="8"/>
      <c r="U237" s="8"/>
      <c r="V237" s="8"/>
      <c r="W237" s="8"/>
      <c r="X237" s="8"/>
      <c r="Y237" s="8"/>
      <c r="Z237" s="8"/>
    </row>
    <row r="238" ht="18.0" customHeight="1">
      <c r="A238" s="8"/>
      <c r="B238" s="8"/>
      <c r="C238" s="8"/>
      <c r="D238" s="25"/>
      <c r="E238" s="25"/>
      <c r="F238" s="8"/>
      <c r="G238" s="8"/>
      <c r="H238" s="8"/>
      <c r="I238" s="8"/>
      <c r="J238" s="30" t="str">
        <f t="shared" si="8"/>
        <v/>
      </c>
      <c r="K238" s="30" t="str">
        <f t="shared" si="9"/>
        <v/>
      </c>
      <c r="L238" s="30" t="str">
        <f t="shared" si="10"/>
        <v/>
      </c>
      <c r="M238" s="30" t="str">
        <f t="shared" si="11"/>
        <v/>
      </c>
      <c r="N238" s="30" t="str">
        <f t="shared" si="7"/>
        <v/>
      </c>
      <c r="O238" s="8"/>
      <c r="P238" s="8"/>
      <c r="Q238" s="8"/>
      <c r="R238" s="8"/>
      <c r="S238" s="8"/>
      <c r="T238" s="8"/>
      <c r="U238" s="8"/>
      <c r="V238" s="8"/>
      <c r="W238" s="8"/>
      <c r="X238" s="8"/>
      <c r="Y238" s="8"/>
      <c r="Z238" s="8"/>
    </row>
    <row r="239" ht="18.0" customHeight="1">
      <c r="A239" s="8"/>
      <c r="B239" s="8"/>
      <c r="C239" s="8"/>
      <c r="D239" s="25"/>
      <c r="E239" s="25"/>
      <c r="F239" s="8"/>
      <c r="G239" s="8"/>
      <c r="H239" s="8"/>
      <c r="I239" s="8"/>
      <c r="J239" s="30" t="str">
        <f t="shared" si="8"/>
        <v/>
      </c>
      <c r="K239" s="30" t="str">
        <f t="shared" si="9"/>
        <v/>
      </c>
      <c r="L239" s="30" t="str">
        <f t="shared" si="10"/>
        <v/>
      </c>
      <c r="M239" s="30" t="str">
        <f t="shared" si="11"/>
        <v/>
      </c>
      <c r="N239" s="30" t="str">
        <f t="shared" si="7"/>
        <v/>
      </c>
      <c r="O239" s="8"/>
      <c r="P239" s="8"/>
      <c r="Q239" s="8"/>
      <c r="R239" s="8"/>
      <c r="S239" s="8"/>
      <c r="T239" s="8"/>
      <c r="U239" s="8"/>
      <c r="V239" s="8"/>
      <c r="W239" s="8"/>
      <c r="X239" s="8"/>
      <c r="Y239" s="8"/>
      <c r="Z239" s="8"/>
    </row>
    <row r="240" ht="18.0" customHeight="1">
      <c r="A240" s="8"/>
      <c r="B240" s="8"/>
      <c r="C240" s="8"/>
      <c r="D240" s="25"/>
      <c r="E240" s="25"/>
      <c r="F240" s="8"/>
      <c r="G240" s="8"/>
      <c r="H240" s="8"/>
      <c r="I240" s="8"/>
      <c r="J240" s="30" t="str">
        <f t="shared" si="8"/>
        <v/>
      </c>
      <c r="K240" s="30" t="str">
        <f t="shared" si="9"/>
        <v/>
      </c>
      <c r="L240" s="30" t="str">
        <f t="shared" si="10"/>
        <v/>
      </c>
      <c r="M240" s="30" t="str">
        <f t="shared" si="11"/>
        <v/>
      </c>
      <c r="N240" s="30" t="str">
        <f t="shared" si="7"/>
        <v/>
      </c>
      <c r="O240" s="8"/>
      <c r="P240" s="8"/>
      <c r="Q240" s="8"/>
      <c r="R240" s="8"/>
      <c r="S240" s="8"/>
      <c r="T240" s="8"/>
      <c r="U240" s="8"/>
      <c r="V240" s="8"/>
      <c r="W240" s="8"/>
      <c r="X240" s="8"/>
      <c r="Y240" s="8"/>
      <c r="Z240" s="8"/>
    </row>
    <row r="241" ht="18.0" customHeight="1">
      <c r="A241" s="8"/>
      <c r="B241" s="8"/>
      <c r="C241" s="8"/>
      <c r="D241" s="25"/>
      <c r="E241" s="25"/>
      <c r="F241" s="8"/>
      <c r="G241" s="8"/>
      <c r="H241" s="8"/>
      <c r="I241" s="8"/>
      <c r="J241" s="30" t="str">
        <f t="shared" si="8"/>
        <v/>
      </c>
      <c r="K241" s="30" t="str">
        <f t="shared" si="9"/>
        <v/>
      </c>
      <c r="L241" s="30" t="str">
        <f t="shared" si="10"/>
        <v/>
      </c>
      <c r="M241" s="30" t="str">
        <f t="shared" si="11"/>
        <v/>
      </c>
      <c r="N241" s="30" t="str">
        <f t="shared" si="7"/>
        <v/>
      </c>
      <c r="O241" s="8"/>
      <c r="P241" s="8"/>
      <c r="Q241" s="8"/>
      <c r="R241" s="8"/>
      <c r="S241" s="8"/>
      <c r="T241" s="8"/>
      <c r="U241" s="8"/>
      <c r="V241" s="8"/>
      <c r="W241" s="8"/>
      <c r="X241" s="8"/>
      <c r="Y241" s="8"/>
      <c r="Z241" s="8"/>
    </row>
    <row r="242" ht="18.0" customHeight="1">
      <c r="A242" s="8"/>
      <c r="B242" s="8"/>
      <c r="C242" s="8"/>
      <c r="D242" s="25"/>
      <c r="E242" s="25"/>
      <c r="F242" s="8"/>
      <c r="G242" s="8"/>
      <c r="H242" s="8"/>
      <c r="I242" s="8"/>
      <c r="J242" s="30" t="str">
        <f t="shared" si="8"/>
        <v/>
      </c>
      <c r="K242" s="30" t="str">
        <f t="shared" si="9"/>
        <v/>
      </c>
      <c r="L242" s="30" t="str">
        <f t="shared" si="10"/>
        <v/>
      </c>
      <c r="M242" s="30" t="str">
        <f t="shared" si="11"/>
        <v/>
      </c>
      <c r="N242" s="30" t="str">
        <f t="shared" si="7"/>
        <v/>
      </c>
      <c r="O242" s="8"/>
      <c r="P242" s="8"/>
      <c r="Q242" s="8"/>
      <c r="R242" s="8"/>
      <c r="S242" s="8"/>
      <c r="T242" s="8"/>
      <c r="U242" s="8"/>
      <c r="V242" s="8"/>
      <c r="W242" s="8"/>
      <c r="X242" s="8"/>
      <c r="Y242" s="8"/>
      <c r="Z242" s="8"/>
    </row>
    <row r="243" ht="18.0" customHeight="1">
      <c r="A243" s="8"/>
      <c r="B243" s="8"/>
      <c r="C243" s="8"/>
      <c r="D243" s="25"/>
      <c r="E243" s="25"/>
      <c r="F243" s="8"/>
      <c r="G243" s="8"/>
      <c r="H243" s="8"/>
      <c r="I243" s="8"/>
      <c r="J243" s="30" t="str">
        <f t="shared" si="8"/>
        <v/>
      </c>
      <c r="K243" s="30" t="str">
        <f t="shared" si="9"/>
        <v/>
      </c>
      <c r="L243" s="30" t="str">
        <f t="shared" si="10"/>
        <v/>
      </c>
      <c r="M243" s="30" t="str">
        <f t="shared" si="11"/>
        <v/>
      </c>
      <c r="N243" s="30" t="str">
        <f t="shared" si="7"/>
        <v/>
      </c>
      <c r="O243" s="8"/>
      <c r="P243" s="8"/>
      <c r="Q243" s="8"/>
      <c r="R243" s="8"/>
      <c r="S243" s="8"/>
      <c r="T243" s="8"/>
      <c r="U243" s="8"/>
      <c r="V243" s="8"/>
      <c r="W243" s="8"/>
      <c r="X243" s="8"/>
      <c r="Y243" s="8"/>
      <c r="Z243" s="8"/>
    </row>
    <row r="244" ht="18.0" customHeight="1">
      <c r="A244" s="8"/>
      <c r="B244" s="8"/>
      <c r="C244" s="8"/>
      <c r="D244" s="25"/>
      <c r="E244" s="25"/>
      <c r="F244" s="8"/>
      <c r="G244" s="8"/>
      <c r="H244" s="8"/>
      <c r="I244" s="8"/>
      <c r="J244" s="30" t="str">
        <f t="shared" si="8"/>
        <v/>
      </c>
      <c r="K244" s="30" t="str">
        <f t="shared" si="9"/>
        <v/>
      </c>
      <c r="L244" s="30" t="str">
        <f t="shared" si="10"/>
        <v/>
      </c>
      <c r="M244" s="30" t="str">
        <f t="shared" si="11"/>
        <v/>
      </c>
      <c r="N244" s="30" t="str">
        <f t="shared" si="7"/>
        <v/>
      </c>
      <c r="O244" s="8"/>
      <c r="P244" s="8"/>
      <c r="Q244" s="8"/>
      <c r="R244" s="8"/>
      <c r="S244" s="8"/>
      <c r="T244" s="8"/>
      <c r="U244" s="8"/>
      <c r="V244" s="8"/>
      <c r="W244" s="8"/>
      <c r="X244" s="8"/>
      <c r="Y244" s="8"/>
      <c r="Z244" s="8"/>
    </row>
    <row r="245" ht="18.0" customHeight="1">
      <c r="A245" s="8"/>
      <c r="B245" s="8"/>
      <c r="C245" s="8"/>
      <c r="D245" s="25"/>
      <c r="E245" s="25"/>
      <c r="F245" s="8"/>
      <c r="G245" s="8"/>
      <c r="H245" s="8"/>
      <c r="I245" s="8"/>
      <c r="J245" s="30" t="str">
        <f t="shared" si="8"/>
        <v/>
      </c>
      <c r="K245" s="30" t="str">
        <f t="shared" si="9"/>
        <v/>
      </c>
      <c r="L245" s="30" t="str">
        <f t="shared" si="10"/>
        <v/>
      </c>
      <c r="M245" s="30" t="str">
        <f t="shared" si="11"/>
        <v/>
      </c>
      <c r="N245" s="30" t="str">
        <f t="shared" si="7"/>
        <v/>
      </c>
      <c r="O245" s="8"/>
      <c r="P245" s="8"/>
      <c r="Q245" s="8"/>
      <c r="R245" s="8"/>
      <c r="S245" s="8"/>
      <c r="T245" s="8"/>
      <c r="U245" s="8"/>
      <c r="V245" s="8"/>
      <c r="W245" s="8"/>
      <c r="X245" s="8"/>
      <c r="Y245" s="8"/>
      <c r="Z245" s="8"/>
    </row>
    <row r="246" ht="18.0" customHeight="1">
      <c r="A246" s="8"/>
      <c r="B246" s="8"/>
      <c r="C246" s="8"/>
      <c r="D246" s="25"/>
      <c r="E246" s="25"/>
      <c r="F246" s="8"/>
      <c r="G246" s="8"/>
      <c r="H246" s="8"/>
      <c r="I246" s="8"/>
      <c r="J246" s="30" t="str">
        <f t="shared" si="8"/>
        <v/>
      </c>
      <c r="K246" s="30" t="str">
        <f t="shared" si="9"/>
        <v/>
      </c>
      <c r="L246" s="30" t="str">
        <f t="shared" si="10"/>
        <v/>
      </c>
      <c r="M246" s="30" t="str">
        <f t="shared" si="11"/>
        <v/>
      </c>
      <c r="N246" s="30" t="str">
        <f t="shared" si="7"/>
        <v/>
      </c>
      <c r="O246" s="8"/>
      <c r="P246" s="8"/>
      <c r="Q246" s="8"/>
      <c r="R246" s="8"/>
      <c r="S246" s="8"/>
      <c r="T246" s="8"/>
      <c r="U246" s="8"/>
      <c r="V246" s="8"/>
      <c r="W246" s="8"/>
      <c r="X246" s="8"/>
      <c r="Y246" s="8"/>
      <c r="Z246" s="8"/>
    </row>
    <row r="247" ht="18.0" customHeight="1">
      <c r="A247" s="8"/>
      <c r="B247" s="8"/>
      <c r="C247" s="8"/>
      <c r="D247" s="25"/>
      <c r="E247" s="25"/>
      <c r="F247" s="8"/>
      <c r="G247" s="8"/>
      <c r="H247" s="8"/>
      <c r="I247" s="8"/>
      <c r="J247" s="30" t="str">
        <f t="shared" si="8"/>
        <v/>
      </c>
      <c r="K247" s="30" t="str">
        <f t="shared" si="9"/>
        <v/>
      </c>
      <c r="L247" s="30" t="str">
        <f t="shared" si="10"/>
        <v/>
      </c>
      <c r="M247" s="30" t="str">
        <f t="shared" si="11"/>
        <v/>
      </c>
      <c r="N247" s="30" t="str">
        <f t="shared" si="7"/>
        <v/>
      </c>
      <c r="O247" s="8"/>
      <c r="P247" s="8"/>
      <c r="Q247" s="8"/>
      <c r="R247" s="8"/>
      <c r="S247" s="8"/>
      <c r="T247" s="8"/>
      <c r="U247" s="8"/>
      <c r="V247" s="8"/>
      <c r="W247" s="8"/>
      <c r="X247" s="8"/>
      <c r="Y247" s="8"/>
      <c r="Z247" s="8"/>
    </row>
    <row r="248" ht="18.0" customHeight="1">
      <c r="A248" s="8"/>
      <c r="B248" s="8"/>
      <c r="C248" s="8"/>
      <c r="D248" s="25"/>
      <c r="E248" s="25"/>
      <c r="F248" s="8"/>
      <c r="G248" s="8"/>
      <c r="H248" s="8"/>
      <c r="I248" s="8"/>
      <c r="J248" s="30" t="str">
        <f t="shared" si="8"/>
        <v/>
      </c>
      <c r="K248" s="30" t="str">
        <f t="shared" si="9"/>
        <v/>
      </c>
      <c r="L248" s="30" t="str">
        <f t="shared" si="10"/>
        <v/>
      </c>
      <c r="M248" s="30" t="str">
        <f t="shared" si="11"/>
        <v/>
      </c>
      <c r="N248" s="30" t="str">
        <f t="shared" si="7"/>
        <v/>
      </c>
      <c r="O248" s="8"/>
      <c r="P248" s="8"/>
      <c r="Q248" s="8"/>
      <c r="R248" s="8"/>
      <c r="S248" s="8"/>
      <c r="T248" s="8"/>
      <c r="U248" s="8"/>
      <c r="V248" s="8"/>
      <c r="W248" s="8"/>
      <c r="X248" s="8"/>
      <c r="Y248" s="8"/>
      <c r="Z248" s="8"/>
    </row>
    <row r="249" ht="18.0" customHeight="1">
      <c r="A249" s="8"/>
      <c r="B249" s="8"/>
      <c r="C249" s="8"/>
      <c r="D249" s="25"/>
      <c r="E249" s="25"/>
      <c r="F249" s="8"/>
      <c r="G249" s="8"/>
      <c r="H249" s="8"/>
      <c r="I249" s="8"/>
      <c r="J249" s="30" t="str">
        <f t="shared" si="8"/>
        <v/>
      </c>
      <c r="K249" s="30" t="str">
        <f t="shared" si="9"/>
        <v/>
      </c>
      <c r="L249" s="30" t="str">
        <f t="shared" si="10"/>
        <v/>
      </c>
      <c r="M249" s="30" t="str">
        <f t="shared" si="11"/>
        <v/>
      </c>
      <c r="N249" s="30" t="str">
        <f t="shared" si="7"/>
        <v/>
      </c>
      <c r="O249" s="8"/>
      <c r="P249" s="8"/>
      <c r="Q249" s="8"/>
      <c r="R249" s="8"/>
      <c r="S249" s="8"/>
      <c r="T249" s="8"/>
      <c r="U249" s="8"/>
      <c r="V249" s="8"/>
      <c r="W249" s="8"/>
      <c r="X249" s="8"/>
      <c r="Y249" s="8"/>
      <c r="Z249" s="8"/>
    </row>
    <row r="250" ht="18.0" customHeight="1">
      <c r="A250" s="8"/>
      <c r="B250" s="8"/>
      <c r="C250" s="8"/>
      <c r="D250" s="25"/>
      <c r="E250" s="25"/>
      <c r="F250" s="8"/>
      <c r="G250" s="8"/>
      <c r="H250" s="8"/>
      <c r="I250" s="8"/>
      <c r="J250" s="30" t="str">
        <f t="shared" si="8"/>
        <v/>
      </c>
      <c r="K250" s="30" t="str">
        <f t="shared" si="9"/>
        <v/>
      </c>
      <c r="L250" s="30" t="str">
        <f t="shared" si="10"/>
        <v/>
      </c>
      <c r="M250" s="30" t="str">
        <f t="shared" si="11"/>
        <v/>
      </c>
      <c r="N250" s="30" t="str">
        <f t="shared" si="7"/>
        <v/>
      </c>
      <c r="O250" s="8"/>
      <c r="P250" s="8"/>
      <c r="Q250" s="8"/>
      <c r="R250" s="8"/>
      <c r="S250" s="8"/>
      <c r="T250" s="8"/>
      <c r="U250" s="8"/>
      <c r="V250" s="8"/>
      <c r="W250" s="8"/>
      <c r="X250" s="8"/>
      <c r="Y250" s="8"/>
      <c r="Z250" s="8"/>
    </row>
    <row r="251" ht="18.0" customHeight="1">
      <c r="A251" s="8"/>
      <c r="B251" s="8"/>
      <c r="C251" s="8"/>
      <c r="D251" s="25"/>
      <c r="E251" s="25"/>
      <c r="F251" s="8"/>
      <c r="G251" s="8"/>
      <c r="H251" s="8"/>
      <c r="I251" s="8"/>
      <c r="J251" s="30" t="str">
        <f t="shared" si="8"/>
        <v/>
      </c>
      <c r="K251" s="30" t="str">
        <f t="shared" si="9"/>
        <v/>
      </c>
      <c r="L251" s="30" t="str">
        <f t="shared" si="10"/>
        <v/>
      </c>
      <c r="M251" s="30" t="str">
        <f t="shared" si="11"/>
        <v/>
      </c>
      <c r="N251" s="30" t="str">
        <f t="shared" si="7"/>
        <v/>
      </c>
      <c r="O251" s="8"/>
      <c r="P251" s="8"/>
      <c r="Q251" s="8"/>
      <c r="R251" s="8"/>
      <c r="S251" s="8"/>
      <c r="T251" s="8"/>
      <c r="U251" s="8"/>
      <c r="V251" s="8"/>
      <c r="W251" s="8"/>
      <c r="X251" s="8"/>
      <c r="Y251" s="8"/>
      <c r="Z251" s="8"/>
    </row>
    <row r="252" ht="18.0" customHeight="1">
      <c r="A252" s="8"/>
      <c r="B252" s="8"/>
      <c r="C252" s="8"/>
      <c r="D252" s="25"/>
      <c r="E252" s="25"/>
      <c r="F252" s="8"/>
      <c r="G252" s="8"/>
      <c r="H252" s="8"/>
      <c r="I252" s="8"/>
      <c r="J252" s="30" t="str">
        <f t="shared" si="8"/>
        <v/>
      </c>
      <c r="K252" s="30" t="str">
        <f t="shared" si="9"/>
        <v/>
      </c>
      <c r="L252" s="30" t="str">
        <f t="shared" si="10"/>
        <v/>
      </c>
      <c r="M252" s="30" t="str">
        <f t="shared" si="11"/>
        <v/>
      </c>
      <c r="N252" s="30" t="str">
        <f t="shared" si="7"/>
        <v/>
      </c>
      <c r="O252" s="8"/>
      <c r="P252" s="8"/>
      <c r="Q252" s="8"/>
      <c r="R252" s="8"/>
      <c r="S252" s="8"/>
      <c r="T252" s="8"/>
      <c r="U252" s="8"/>
      <c r="V252" s="8"/>
      <c r="W252" s="8"/>
      <c r="X252" s="8"/>
      <c r="Y252" s="8"/>
      <c r="Z252" s="8"/>
    </row>
    <row r="253" ht="18.0" customHeight="1">
      <c r="A253" s="8"/>
      <c r="B253" s="8"/>
      <c r="C253" s="8"/>
      <c r="D253" s="25"/>
      <c r="E253" s="25"/>
      <c r="F253" s="8"/>
      <c r="G253" s="8"/>
      <c r="H253" s="8"/>
      <c r="I253" s="8"/>
      <c r="J253" s="30" t="str">
        <f t="shared" si="8"/>
        <v/>
      </c>
      <c r="K253" s="30" t="str">
        <f t="shared" si="9"/>
        <v/>
      </c>
      <c r="L253" s="30" t="str">
        <f t="shared" si="10"/>
        <v/>
      </c>
      <c r="M253" s="30" t="str">
        <f t="shared" si="11"/>
        <v/>
      </c>
      <c r="N253" s="30" t="str">
        <f t="shared" si="7"/>
        <v/>
      </c>
      <c r="O253" s="8"/>
      <c r="P253" s="8"/>
      <c r="Q253" s="8"/>
      <c r="R253" s="8"/>
      <c r="S253" s="8"/>
      <c r="T253" s="8"/>
      <c r="U253" s="8"/>
      <c r="V253" s="8"/>
      <c r="W253" s="8"/>
      <c r="X253" s="8"/>
      <c r="Y253" s="8"/>
      <c r="Z253" s="8"/>
    </row>
    <row r="254" ht="18.0" customHeight="1">
      <c r="A254" s="8"/>
      <c r="B254" s="8"/>
      <c r="C254" s="8"/>
      <c r="D254" s="25"/>
      <c r="E254" s="25"/>
      <c r="F254" s="8"/>
      <c r="G254" s="8"/>
      <c r="H254" s="8"/>
      <c r="I254" s="8"/>
      <c r="J254" s="30" t="str">
        <f t="shared" si="8"/>
        <v/>
      </c>
      <c r="K254" s="30" t="str">
        <f t="shared" si="9"/>
        <v/>
      </c>
      <c r="L254" s="30" t="str">
        <f t="shared" si="10"/>
        <v/>
      </c>
      <c r="M254" s="30" t="str">
        <f t="shared" si="11"/>
        <v/>
      </c>
      <c r="N254" s="30" t="str">
        <f t="shared" si="7"/>
        <v/>
      </c>
      <c r="O254" s="8"/>
      <c r="P254" s="8"/>
      <c r="Q254" s="8"/>
      <c r="R254" s="8"/>
      <c r="S254" s="8"/>
      <c r="T254" s="8"/>
      <c r="U254" s="8"/>
      <c r="V254" s="8"/>
      <c r="W254" s="8"/>
      <c r="X254" s="8"/>
      <c r="Y254" s="8"/>
      <c r="Z254" s="8"/>
    </row>
    <row r="255" ht="18.0" customHeight="1">
      <c r="A255" s="8"/>
      <c r="B255" s="8"/>
      <c r="C255" s="8"/>
      <c r="D255" s="25"/>
      <c r="E255" s="25"/>
      <c r="F255" s="8"/>
      <c r="G255" s="8"/>
      <c r="H255" s="8"/>
      <c r="I255" s="8"/>
      <c r="J255" s="30" t="str">
        <f t="shared" si="8"/>
        <v/>
      </c>
      <c r="K255" s="30" t="str">
        <f t="shared" si="9"/>
        <v/>
      </c>
      <c r="L255" s="30" t="str">
        <f t="shared" si="10"/>
        <v/>
      </c>
      <c r="M255" s="30" t="str">
        <f t="shared" si="11"/>
        <v/>
      </c>
      <c r="N255" s="30" t="str">
        <f t="shared" si="7"/>
        <v/>
      </c>
      <c r="O255" s="8"/>
      <c r="P255" s="8"/>
      <c r="Q255" s="8"/>
      <c r="R255" s="8"/>
      <c r="S255" s="8"/>
      <c r="T255" s="8"/>
      <c r="U255" s="8"/>
      <c r="V255" s="8"/>
      <c r="W255" s="8"/>
      <c r="X255" s="8"/>
      <c r="Y255" s="8"/>
      <c r="Z255" s="8"/>
    </row>
    <row r="256" ht="18.0" customHeight="1">
      <c r="A256" s="8"/>
      <c r="B256" s="8"/>
      <c r="C256" s="8"/>
      <c r="D256" s="25"/>
      <c r="E256" s="25"/>
      <c r="F256" s="8"/>
      <c r="G256" s="8"/>
      <c r="H256" s="8"/>
      <c r="I256" s="8"/>
      <c r="J256" s="30" t="str">
        <f t="shared" si="8"/>
        <v/>
      </c>
      <c r="K256" s="30" t="str">
        <f t="shared" si="9"/>
        <v/>
      </c>
      <c r="L256" s="30" t="str">
        <f t="shared" si="10"/>
        <v/>
      </c>
      <c r="M256" s="30" t="str">
        <f t="shared" si="11"/>
        <v/>
      </c>
      <c r="N256" s="30" t="str">
        <f t="shared" si="7"/>
        <v/>
      </c>
      <c r="O256" s="8"/>
      <c r="P256" s="8"/>
      <c r="Q256" s="8"/>
      <c r="R256" s="8"/>
      <c r="S256" s="8"/>
      <c r="T256" s="8"/>
      <c r="U256" s="8"/>
      <c r="V256" s="8"/>
      <c r="W256" s="8"/>
      <c r="X256" s="8"/>
      <c r="Y256" s="8"/>
      <c r="Z256" s="8"/>
    </row>
    <row r="257" ht="18.0" customHeight="1">
      <c r="A257" s="8"/>
      <c r="B257" s="8"/>
      <c r="C257" s="8"/>
      <c r="D257" s="25"/>
      <c r="E257" s="25"/>
      <c r="F257" s="8"/>
      <c r="G257" s="8"/>
      <c r="H257" s="8"/>
      <c r="I257" s="8"/>
      <c r="J257" s="30" t="str">
        <f t="shared" si="8"/>
        <v/>
      </c>
      <c r="K257" s="30" t="str">
        <f t="shared" si="9"/>
        <v/>
      </c>
      <c r="L257" s="30" t="str">
        <f t="shared" si="10"/>
        <v/>
      </c>
      <c r="M257" s="30" t="str">
        <f t="shared" si="11"/>
        <v/>
      </c>
      <c r="N257" s="30" t="str">
        <f t="shared" si="7"/>
        <v/>
      </c>
      <c r="O257" s="8"/>
      <c r="P257" s="8"/>
      <c r="Q257" s="8"/>
      <c r="R257" s="8"/>
      <c r="S257" s="8"/>
      <c r="T257" s="8"/>
      <c r="U257" s="8"/>
      <c r="V257" s="8"/>
      <c r="W257" s="8"/>
      <c r="X257" s="8"/>
      <c r="Y257" s="8"/>
      <c r="Z257" s="8"/>
    </row>
    <row r="258" ht="18.0" customHeight="1">
      <c r="A258" s="8"/>
      <c r="B258" s="8"/>
      <c r="C258" s="8"/>
      <c r="D258" s="25"/>
      <c r="E258" s="25"/>
      <c r="F258" s="8"/>
      <c r="G258" s="8"/>
      <c r="H258" s="8"/>
      <c r="I258" s="8"/>
      <c r="J258" s="30" t="str">
        <f t="shared" si="8"/>
        <v/>
      </c>
      <c r="K258" s="30" t="str">
        <f t="shared" si="9"/>
        <v/>
      </c>
      <c r="L258" s="30" t="str">
        <f t="shared" si="10"/>
        <v/>
      </c>
      <c r="M258" s="30" t="str">
        <f t="shared" si="11"/>
        <v/>
      </c>
      <c r="N258" s="30" t="str">
        <f t="shared" si="7"/>
        <v/>
      </c>
      <c r="O258" s="8"/>
      <c r="P258" s="8"/>
      <c r="Q258" s="8"/>
      <c r="R258" s="8"/>
      <c r="S258" s="8"/>
      <c r="T258" s="8"/>
      <c r="U258" s="8"/>
      <c r="V258" s="8"/>
      <c r="W258" s="8"/>
      <c r="X258" s="8"/>
      <c r="Y258" s="8"/>
      <c r="Z258" s="8"/>
    </row>
    <row r="259" ht="18.0" customHeight="1">
      <c r="A259" s="8"/>
      <c r="B259" s="8"/>
      <c r="C259" s="8"/>
      <c r="D259" s="25"/>
      <c r="E259" s="25"/>
      <c r="F259" s="8"/>
      <c r="G259" s="8"/>
      <c r="H259" s="8"/>
      <c r="I259" s="8"/>
      <c r="J259" s="30" t="str">
        <f t="shared" si="8"/>
        <v/>
      </c>
      <c r="K259" s="30" t="str">
        <f t="shared" si="9"/>
        <v/>
      </c>
      <c r="L259" s="30" t="str">
        <f t="shared" si="10"/>
        <v/>
      </c>
      <c r="M259" s="30" t="str">
        <f t="shared" si="11"/>
        <v/>
      </c>
      <c r="N259" s="30" t="str">
        <f t="shared" si="7"/>
        <v/>
      </c>
      <c r="O259" s="8"/>
      <c r="P259" s="8"/>
      <c r="Q259" s="8"/>
      <c r="R259" s="8"/>
      <c r="S259" s="8"/>
      <c r="T259" s="8"/>
      <c r="U259" s="8"/>
      <c r="V259" s="8"/>
      <c r="W259" s="8"/>
      <c r="X259" s="8"/>
      <c r="Y259" s="8"/>
      <c r="Z259" s="8"/>
    </row>
    <row r="260" ht="18.0" customHeight="1">
      <c r="A260" s="8"/>
      <c r="B260" s="8"/>
      <c r="C260" s="8"/>
      <c r="D260" s="25"/>
      <c r="E260" s="25"/>
      <c r="F260" s="8"/>
      <c r="G260" s="8"/>
      <c r="H260" s="8"/>
      <c r="I260" s="8"/>
      <c r="J260" s="30" t="str">
        <f t="shared" si="8"/>
        <v/>
      </c>
      <c r="K260" s="30" t="str">
        <f t="shared" si="9"/>
        <v/>
      </c>
      <c r="L260" s="30" t="str">
        <f t="shared" si="10"/>
        <v/>
      </c>
      <c r="M260" s="30" t="str">
        <f t="shared" si="11"/>
        <v/>
      </c>
      <c r="N260" s="30" t="str">
        <f t="shared" si="7"/>
        <v/>
      </c>
      <c r="O260" s="8"/>
      <c r="P260" s="8"/>
      <c r="Q260" s="8"/>
      <c r="R260" s="8"/>
      <c r="S260" s="8"/>
      <c r="T260" s="8"/>
      <c r="U260" s="8"/>
      <c r="V260" s="8"/>
      <c r="W260" s="8"/>
      <c r="X260" s="8"/>
      <c r="Y260" s="8"/>
      <c r="Z260" s="8"/>
    </row>
    <row r="261" ht="18.0" customHeight="1">
      <c r="A261" s="8"/>
      <c r="B261" s="8"/>
      <c r="C261" s="8"/>
      <c r="D261" s="25"/>
      <c r="E261" s="25"/>
      <c r="F261" s="8"/>
      <c r="G261" s="8"/>
      <c r="H261" s="8"/>
      <c r="I261" s="8"/>
      <c r="J261" s="30" t="str">
        <f t="shared" si="8"/>
        <v/>
      </c>
      <c r="K261" s="30" t="str">
        <f t="shared" si="9"/>
        <v/>
      </c>
      <c r="L261" s="30" t="str">
        <f t="shared" si="10"/>
        <v/>
      </c>
      <c r="M261" s="30" t="str">
        <f t="shared" si="11"/>
        <v/>
      </c>
      <c r="N261" s="30" t="str">
        <f t="shared" si="7"/>
        <v/>
      </c>
      <c r="O261" s="8"/>
      <c r="P261" s="8"/>
      <c r="Q261" s="8"/>
      <c r="R261" s="8"/>
      <c r="S261" s="8"/>
      <c r="T261" s="8"/>
      <c r="U261" s="8"/>
      <c r="V261" s="8"/>
      <c r="W261" s="8"/>
      <c r="X261" s="8"/>
      <c r="Y261" s="8"/>
      <c r="Z261" s="8"/>
    </row>
    <row r="262" ht="18.0" customHeight="1">
      <c r="A262" s="8"/>
      <c r="B262" s="8"/>
      <c r="C262" s="8"/>
      <c r="D262" s="25"/>
      <c r="E262" s="25"/>
      <c r="F262" s="8"/>
      <c r="G262" s="8"/>
      <c r="H262" s="8"/>
      <c r="I262" s="8"/>
      <c r="J262" s="30" t="str">
        <f t="shared" si="8"/>
        <v/>
      </c>
      <c r="K262" s="30" t="str">
        <f t="shared" si="9"/>
        <v/>
      </c>
      <c r="L262" s="30" t="str">
        <f t="shared" si="10"/>
        <v/>
      </c>
      <c r="M262" s="30" t="str">
        <f t="shared" si="11"/>
        <v/>
      </c>
      <c r="N262" s="30" t="str">
        <f t="shared" si="7"/>
        <v/>
      </c>
      <c r="O262" s="8"/>
      <c r="P262" s="8"/>
      <c r="Q262" s="8"/>
      <c r="R262" s="8"/>
      <c r="S262" s="8"/>
      <c r="T262" s="8"/>
      <c r="U262" s="8"/>
      <c r="V262" s="8"/>
      <c r="W262" s="8"/>
      <c r="X262" s="8"/>
      <c r="Y262" s="8"/>
      <c r="Z262" s="8"/>
    </row>
    <row r="263" ht="18.0" customHeight="1">
      <c r="A263" s="8"/>
      <c r="B263" s="8"/>
      <c r="C263" s="8"/>
      <c r="D263" s="25"/>
      <c r="E263" s="25"/>
      <c r="F263" s="8"/>
      <c r="G263" s="8"/>
      <c r="H263" s="8"/>
      <c r="I263" s="8"/>
      <c r="J263" s="30" t="str">
        <f t="shared" si="8"/>
        <v/>
      </c>
      <c r="K263" s="30" t="str">
        <f t="shared" si="9"/>
        <v/>
      </c>
      <c r="L263" s="30" t="str">
        <f t="shared" si="10"/>
        <v/>
      </c>
      <c r="M263" s="30" t="str">
        <f t="shared" si="11"/>
        <v/>
      </c>
      <c r="N263" s="30" t="str">
        <f t="shared" si="7"/>
        <v/>
      </c>
      <c r="O263" s="8"/>
      <c r="P263" s="8"/>
      <c r="Q263" s="8"/>
      <c r="R263" s="8"/>
      <c r="S263" s="8"/>
      <c r="T263" s="8"/>
      <c r="U263" s="8"/>
      <c r="V263" s="8"/>
      <c r="W263" s="8"/>
      <c r="X263" s="8"/>
      <c r="Y263" s="8"/>
      <c r="Z263" s="8"/>
    </row>
    <row r="264" ht="18.0" customHeight="1">
      <c r="A264" s="8"/>
      <c r="B264" s="8"/>
      <c r="C264" s="8"/>
      <c r="D264" s="25"/>
      <c r="E264" s="25"/>
      <c r="F264" s="8"/>
      <c r="G264" s="8"/>
      <c r="H264" s="8"/>
      <c r="I264" s="8"/>
      <c r="J264" s="30" t="str">
        <f t="shared" si="8"/>
        <v/>
      </c>
      <c r="K264" s="30" t="str">
        <f t="shared" si="9"/>
        <v/>
      </c>
      <c r="L264" s="30" t="str">
        <f t="shared" si="10"/>
        <v/>
      </c>
      <c r="M264" s="30" t="str">
        <f t="shared" si="11"/>
        <v/>
      </c>
      <c r="N264" s="30" t="str">
        <f t="shared" si="7"/>
        <v/>
      </c>
      <c r="O264" s="8"/>
      <c r="P264" s="8"/>
      <c r="Q264" s="8"/>
      <c r="R264" s="8"/>
      <c r="S264" s="8"/>
      <c r="T264" s="8"/>
      <c r="U264" s="8"/>
      <c r="V264" s="8"/>
      <c r="W264" s="8"/>
      <c r="X264" s="8"/>
      <c r="Y264" s="8"/>
      <c r="Z264" s="8"/>
    </row>
    <row r="265" ht="18.0" customHeight="1">
      <c r="A265" s="8"/>
      <c r="B265" s="8"/>
      <c r="C265" s="8"/>
      <c r="D265" s="25"/>
      <c r="E265" s="25"/>
      <c r="F265" s="8"/>
      <c r="G265" s="8"/>
      <c r="H265" s="8"/>
      <c r="I265" s="8"/>
      <c r="J265" s="30" t="str">
        <f t="shared" si="8"/>
        <v/>
      </c>
      <c r="K265" s="30" t="str">
        <f t="shared" si="9"/>
        <v/>
      </c>
      <c r="L265" s="30" t="str">
        <f t="shared" si="10"/>
        <v/>
      </c>
      <c r="M265" s="30" t="str">
        <f t="shared" si="11"/>
        <v/>
      </c>
      <c r="N265" s="30" t="str">
        <f t="shared" si="7"/>
        <v/>
      </c>
      <c r="O265" s="8"/>
      <c r="P265" s="8"/>
      <c r="Q265" s="8"/>
      <c r="R265" s="8"/>
      <c r="S265" s="8"/>
      <c r="T265" s="8"/>
      <c r="U265" s="8"/>
      <c r="V265" s="8"/>
      <c r="W265" s="8"/>
      <c r="X265" s="8"/>
      <c r="Y265" s="8"/>
      <c r="Z265" s="8"/>
    </row>
    <row r="266" ht="18.0" customHeight="1">
      <c r="A266" s="8"/>
      <c r="B266" s="8"/>
      <c r="C266" s="8"/>
      <c r="D266" s="25"/>
      <c r="E266" s="25"/>
      <c r="F266" s="8"/>
      <c r="G266" s="8"/>
      <c r="H266" s="8"/>
      <c r="I266" s="8"/>
      <c r="J266" s="30" t="str">
        <f t="shared" si="8"/>
        <v/>
      </c>
      <c r="K266" s="30" t="str">
        <f t="shared" si="9"/>
        <v/>
      </c>
      <c r="L266" s="30" t="str">
        <f t="shared" si="10"/>
        <v/>
      </c>
      <c r="M266" s="30" t="str">
        <f t="shared" si="11"/>
        <v/>
      </c>
      <c r="N266" s="30" t="str">
        <f t="shared" si="7"/>
        <v/>
      </c>
      <c r="O266" s="8"/>
      <c r="P266" s="8"/>
      <c r="Q266" s="8"/>
      <c r="R266" s="8"/>
      <c r="S266" s="8"/>
      <c r="T266" s="8"/>
      <c r="U266" s="8"/>
      <c r="V266" s="8"/>
      <c r="W266" s="8"/>
      <c r="X266" s="8"/>
      <c r="Y266" s="8"/>
      <c r="Z266" s="8"/>
    </row>
    <row r="267" ht="18.0" customHeight="1">
      <c r="A267" s="8"/>
      <c r="B267" s="8"/>
      <c r="C267" s="8"/>
      <c r="D267" s="25"/>
      <c r="E267" s="25"/>
      <c r="F267" s="8"/>
      <c r="G267" s="8"/>
      <c r="H267" s="8"/>
      <c r="I267" s="8"/>
      <c r="J267" s="30" t="str">
        <f t="shared" si="8"/>
        <v/>
      </c>
      <c r="K267" s="30" t="str">
        <f t="shared" si="9"/>
        <v/>
      </c>
      <c r="L267" s="30" t="str">
        <f t="shared" si="10"/>
        <v/>
      </c>
      <c r="M267" s="30" t="str">
        <f t="shared" si="11"/>
        <v/>
      </c>
      <c r="N267" s="30" t="str">
        <f t="shared" si="7"/>
        <v/>
      </c>
      <c r="O267" s="8"/>
      <c r="P267" s="8"/>
      <c r="Q267" s="8"/>
      <c r="R267" s="8"/>
      <c r="S267" s="8"/>
      <c r="T267" s="8"/>
      <c r="U267" s="8"/>
      <c r="V267" s="8"/>
      <c r="W267" s="8"/>
      <c r="X267" s="8"/>
      <c r="Y267" s="8"/>
      <c r="Z267" s="8"/>
    </row>
    <row r="268" ht="18.0" customHeight="1">
      <c r="A268" s="8"/>
      <c r="B268" s="8"/>
      <c r="C268" s="8"/>
      <c r="D268" s="25"/>
      <c r="E268" s="25"/>
      <c r="F268" s="8"/>
      <c r="G268" s="8"/>
      <c r="H268" s="8"/>
      <c r="I268" s="8"/>
      <c r="J268" s="30" t="str">
        <f t="shared" si="8"/>
        <v/>
      </c>
      <c r="K268" s="30" t="str">
        <f t="shared" si="9"/>
        <v/>
      </c>
      <c r="L268" s="30" t="str">
        <f t="shared" si="10"/>
        <v/>
      </c>
      <c r="M268" s="30" t="str">
        <f t="shared" si="11"/>
        <v/>
      </c>
      <c r="N268" s="30" t="str">
        <f t="shared" si="7"/>
        <v/>
      </c>
      <c r="O268" s="8"/>
      <c r="P268" s="8"/>
      <c r="Q268" s="8"/>
      <c r="R268" s="8"/>
      <c r="S268" s="8"/>
      <c r="T268" s="8"/>
      <c r="U268" s="8"/>
      <c r="V268" s="8"/>
      <c r="W268" s="8"/>
      <c r="X268" s="8"/>
      <c r="Y268" s="8"/>
      <c r="Z268" s="8"/>
    </row>
    <row r="269" ht="18.0" customHeight="1">
      <c r="A269" s="8"/>
      <c r="B269" s="8"/>
      <c r="C269" s="8"/>
      <c r="D269" s="25"/>
      <c r="E269" s="25"/>
      <c r="F269" s="8"/>
      <c r="G269" s="8"/>
      <c r="H269" s="8"/>
      <c r="I269" s="8"/>
      <c r="J269" s="30" t="str">
        <f t="shared" si="8"/>
        <v/>
      </c>
      <c r="K269" s="30" t="str">
        <f t="shared" si="9"/>
        <v/>
      </c>
      <c r="L269" s="30" t="str">
        <f t="shared" si="10"/>
        <v/>
      </c>
      <c r="M269" s="30" t="str">
        <f t="shared" si="11"/>
        <v/>
      </c>
      <c r="N269" s="30" t="str">
        <f t="shared" si="7"/>
        <v/>
      </c>
      <c r="O269" s="8"/>
      <c r="P269" s="8"/>
      <c r="Q269" s="8"/>
      <c r="R269" s="8"/>
      <c r="S269" s="8"/>
      <c r="T269" s="8"/>
      <c r="U269" s="8"/>
      <c r="V269" s="8"/>
      <c r="W269" s="8"/>
      <c r="X269" s="8"/>
      <c r="Y269" s="8"/>
      <c r="Z269" s="8"/>
    </row>
    <row r="270" ht="18.0" customHeight="1">
      <c r="A270" s="8"/>
      <c r="B270" s="8"/>
      <c r="C270" s="8"/>
      <c r="D270" s="25"/>
      <c r="E270" s="25"/>
      <c r="F270" s="8"/>
      <c r="G270" s="8"/>
      <c r="H270" s="8"/>
      <c r="I270" s="8"/>
      <c r="J270" s="30" t="str">
        <f t="shared" si="8"/>
        <v/>
      </c>
      <c r="K270" s="30" t="str">
        <f t="shared" si="9"/>
        <v/>
      </c>
      <c r="L270" s="30" t="str">
        <f t="shared" si="10"/>
        <v/>
      </c>
      <c r="M270" s="30" t="str">
        <f t="shared" si="11"/>
        <v/>
      </c>
      <c r="N270" s="30" t="str">
        <f t="shared" si="7"/>
        <v/>
      </c>
      <c r="O270" s="8"/>
      <c r="P270" s="8"/>
      <c r="Q270" s="8"/>
      <c r="R270" s="8"/>
      <c r="S270" s="8"/>
      <c r="T270" s="8"/>
      <c r="U270" s="8"/>
      <c r="V270" s="8"/>
      <c r="W270" s="8"/>
      <c r="X270" s="8"/>
      <c r="Y270" s="8"/>
      <c r="Z270" s="8"/>
    </row>
    <row r="271" ht="18.0" customHeight="1">
      <c r="A271" s="8"/>
      <c r="B271" s="8"/>
      <c r="C271" s="8"/>
      <c r="D271" s="25"/>
      <c r="E271" s="25"/>
      <c r="F271" s="8"/>
      <c r="G271" s="8"/>
      <c r="H271" s="8"/>
      <c r="I271" s="8"/>
      <c r="J271" s="30" t="str">
        <f t="shared" si="8"/>
        <v/>
      </c>
      <c r="K271" s="30" t="str">
        <f t="shared" si="9"/>
        <v/>
      </c>
      <c r="L271" s="30" t="str">
        <f t="shared" si="10"/>
        <v/>
      </c>
      <c r="M271" s="30" t="str">
        <f t="shared" si="11"/>
        <v/>
      </c>
      <c r="N271" s="30" t="str">
        <f t="shared" si="7"/>
        <v/>
      </c>
      <c r="O271" s="8"/>
      <c r="P271" s="8"/>
      <c r="Q271" s="8"/>
      <c r="R271" s="8"/>
      <c r="S271" s="8"/>
      <c r="T271" s="8"/>
      <c r="U271" s="8"/>
      <c r="V271" s="8"/>
      <c r="W271" s="8"/>
      <c r="X271" s="8"/>
      <c r="Y271" s="8"/>
      <c r="Z271" s="8"/>
    </row>
    <row r="272" ht="18.0" customHeight="1">
      <c r="A272" s="8"/>
      <c r="B272" s="8"/>
      <c r="C272" s="8"/>
      <c r="D272" s="25"/>
      <c r="E272" s="25"/>
      <c r="F272" s="8"/>
      <c r="G272" s="8"/>
      <c r="H272" s="8"/>
      <c r="I272" s="8"/>
      <c r="J272" s="30" t="str">
        <f t="shared" si="8"/>
        <v/>
      </c>
      <c r="K272" s="30" t="str">
        <f t="shared" si="9"/>
        <v/>
      </c>
      <c r="L272" s="30" t="str">
        <f t="shared" si="10"/>
        <v/>
      </c>
      <c r="M272" s="30" t="str">
        <f t="shared" si="11"/>
        <v/>
      </c>
      <c r="N272" s="30" t="str">
        <f t="shared" si="7"/>
        <v/>
      </c>
      <c r="O272" s="8"/>
      <c r="P272" s="8"/>
      <c r="Q272" s="8"/>
      <c r="R272" s="8"/>
      <c r="S272" s="8"/>
      <c r="T272" s="8"/>
      <c r="U272" s="8"/>
      <c r="V272" s="8"/>
      <c r="W272" s="8"/>
      <c r="X272" s="8"/>
      <c r="Y272" s="8"/>
      <c r="Z272" s="8"/>
    </row>
    <row r="273" ht="18.0" customHeight="1">
      <c r="A273" s="8"/>
      <c r="B273" s="8"/>
      <c r="C273" s="8"/>
      <c r="D273" s="25"/>
      <c r="E273" s="25"/>
      <c r="F273" s="8"/>
      <c r="G273" s="8"/>
      <c r="H273" s="8"/>
      <c r="I273" s="8"/>
      <c r="J273" s="30" t="str">
        <f t="shared" si="8"/>
        <v/>
      </c>
      <c r="K273" s="30" t="str">
        <f t="shared" si="9"/>
        <v/>
      </c>
      <c r="L273" s="30" t="str">
        <f t="shared" si="10"/>
        <v/>
      </c>
      <c r="M273" s="30" t="str">
        <f t="shared" si="11"/>
        <v/>
      </c>
      <c r="N273" s="30" t="str">
        <f t="shared" si="7"/>
        <v/>
      </c>
      <c r="O273" s="8"/>
      <c r="P273" s="8"/>
      <c r="Q273" s="8"/>
      <c r="R273" s="8"/>
      <c r="S273" s="8"/>
      <c r="T273" s="8"/>
      <c r="U273" s="8"/>
      <c r="V273" s="8"/>
      <c r="W273" s="8"/>
      <c r="X273" s="8"/>
      <c r="Y273" s="8"/>
      <c r="Z273" s="8"/>
    </row>
    <row r="274" ht="18.0" customHeight="1">
      <c r="A274" s="8"/>
      <c r="B274" s="8"/>
      <c r="C274" s="8"/>
      <c r="D274" s="25"/>
      <c r="E274" s="25"/>
      <c r="F274" s="8"/>
      <c r="G274" s="8"/>
      <c r="H274" s="8"/>
      <c r="I274" s="8"/>
      <c r="J274" s="30" t="str">
        <f t="shared" si="8"/>
        <v/>
      </c>
      <c r="K274" s="30" t="str">
        <f t="shared" si="9"/>
        <v/>
      </c>
      <c r="L274" s="30" t="str">
        <f t="shared" si="10"/>
        <v/>
      </c>
      <c r="M274" s="30" t="str">
        <f t="shared" si="11"/>
        <v/>
      </c>
      <c r="N274" s="30" t="str">
        <f t="shared" si="7"/>
        <v/>
      </c>
      <c r="O274" s="8"/>
      <c r="P274" s="8"/>
      <c r="Q274" s="8"/>
      <c r="R274" s="8"/>
      <c r="S274" s="8"/>
      <c r="T274" s="8"/>
      <c r="U274" s="8"/>
      <c r="V274" s="8"/>
      <c r="W274" s="8"/>
      <c r="X274" s="8"/>
      <c r="Y274" s="8"/>
      <c r="Z274" s="8"/>
    </row>
    <row r="275" ht="18.0" customHeight="1">
      <c r="A275" s="8"/>
      <c r="B275" s="8"/>
      <c r="C275" s="8"/>
      <c r="D275" s="25"/>
      <c r="E275" s="25"/>
      <c r="F275" s="8"/>
      <c r="G275" s="8"/>
      <c r="H275" s="8"/>
      <c r="I275" s="8"/>
      <c r="J275" s="30" t="str">
        <f t="shared" si="8"/>
        <v/>
      </c>
      <c r="K275" s="30" t="str">
        <f t="shared" si="9"/>
        <v/>
      </c>
      <c r="L275" s="30" t="str">
        <f t="shared" si="10"/>
        <v/>
      </c>
      <c r="M275" s="30" t="str">
        <f t="shared" si="11"/>
        <v/>
      </c>
      <c r="N275" s="30" t="str">
        <f t="shared" si="7"/>
        <v/>
      </c>
      <c r="O275" s="8"/>
      <c r="P275" s="8"/>
      <c r="Q275" s="8"/>
      <c r="R275" s="8"/>
      <c r="S275" s="8"/>
      <c r="T275" s="8"/>
      <c r="U275" s="8"/>
      <c r="V275" s="8"/>
      <c r="W275" s="8"/>
      <c r="X275" s="8"/>
      <c r="Y275" s="8"/>
      <c r="Z275" s="8"/>
    </row>
    <row r="276" ht="18.0" customHeight="1">
      <c r="A276" s="8"/>
      <c r="B276" s="8"/>
      <c r="C276" s="8"/>
      <c r="D276" s="25"/>
      <c r="E276" s="25"/>
      <c r="F276" s="8"/>
      <c r="G276" s="8"/>
      <c r="H276" s="8"/>
      <c r="I276" s="8"/>
      <c r="J276" s="30" t="str">
        <f t="shared" si="8"/>
        <v/>
      </c>
      <c r="K276" s="30" t="str">
        <f t="shared" si="9"/>
        <v/>
      </c>
      <c r="L276" s="30" t="str">
        <f t="shared" si="10"/>
        <v/>
      </c>
      <c r="M276" s="30" t="str">
        <f t="shared" si="11"/>
        <v/>
      </c>
      <c r="N276" s="30" t="str">
        <f t="shared" si="7"/>
        <v/>
      </c>
      <c r="O276" s="8"/>
      <c r="P276" s="8"/>
      <c r="Q276" s="8"/>
      <c r="R276" s="8"/>
      <c r="S276" s="8"/>
      <c r="T276" s="8"/>
      <c r="U276" s="8"/>
      <c r="V276" s="8"/>
      <c r="W276" s="8"/>
      <c r="X276" s="8"/>
      <c r="Y276" s="8"/>
      <c r="Z276" s="8"/>
    </row>
    <row r="277" ht="18.0" customHeight="1">
      <c r="A277" s="8"/>
      <c r="B277" s="8"/>
      <c r="C277" s="8"/>
      <c r="D277" s="25"/>
      <c r="E277" s="25"/>
      <c r="F277" s="8"/>
      <c r="G277" s="8"/>
      <c r="H277" s="8"/>
      <c r="I277" s="8"/>
      <c r="J277" s="30" t="str">
        <f t="shared" si="8"/>
        <v/>
      </c>
      <c r="K277" s="30" t="str">
        <f t="shared" si="9"/>
        <v/>
      </c>
      <c r="L277" s="30" t="str">
        <f t="shared" si="10"/>
        <v/>
      </c>
      <c r="M277" s="30" t="str">
        <f t="shared" si="11"/>
        <v/>
      </c>
      <c r="N277" s="30" t="str">
        <f t="shared" si="7"/>
        <v/>
      </c>
      <c r="O277" s="8"/>
      <c r="P277" s="8"/>
      <c r="Q277" s="8"/>
      <c r="R277" s="8"/>
      <c r="S277" s="8"/>
      <c r="T277" s="8"/>
      <c r="U277" s="8"/>
      <c r="V277" s="8"/>
      <c r="W277" s="8"/>
      <c r="X277" s="8"/>
      <c r="Y277" s="8"/>
      <c r="Z277" s="8"/>
    </row>
    <row r="278" ht="18.0" customHeight="1">
      <c r="A278" s="8"/>
      <c r="B278" s="8"/>
      <c r="C278" s="8"/>
      <c r="D278" s="25"/>
      <c r="E278" s="25"/>
      <c r="F278" s="8"/>
      <c r="G278" s="8"/>
      <c r="H278" s="8"/>
      <c r="I278" s="8"/>
      <c r="J278" s="30" t="str">
        <f t="shared" si="8"/>
        <v/>
      </c>
      <c r="K278" s="30" t="str">
        <f t="shared" si="9"/>
        <v/>
      </c>
      <c r="L278" s="30" t="str">
        <f t="shared" si="10"/>
        <v/>
      </c>
      <c r="M278" s="30" t="str">
        <f t="shared" si="11"/>
        <v/>
      </c>
      <c r="N278" s="30" t="str">
        <f t="shared" si="7"/>
        <v/>
      </c>
      <c r="O278" s="8"/>
      <c r="P278" s="8"/>
      <c r="Q278" s="8"/>
      <c r="R278" s="8"/>
      <c r="S278" s="8"/>
      <c r="T278" s="8"/>
      <c r="U278" s="8"/>
      <c r="V278" s="8"/>
      <c r="W278" s="8"/>
      <c r="X278" s="8"/>
      <c r="Y278" s="8"/>
      <c r="Z278" s="8"/>
    </row>
    <row r="279" ht="18.0" customHeight="1">
      <c r="A279" s="8"/>
      <c r="B279" s="8"/>
      <c r="C279" s="8"/>
      <c r="D279" s="25"/>
      <c r="E279" s="25"/>
      <c r="F279" s="8"/>
      <c r="G279" s="8"/>
      <c r="H279" s="8"/>
      <c r="I279" s="8"/>
      <c r="J279" s="30" t="str">
        <f t="shared" si="8"/>
        <v/>
      </c>
      <c r="K279" s="30" t="str">
        <f t="shared" si="9"/>
        <v/>
      </c>
      <c r="L279" s="30" t="str">
        <f t="shared" si="10"/>
        <v/>
      </c>
      <c r="M279" s="30" t="str">
        <f t="shared" si="11"/>
        <v/>
      </c>
      <c r="N279" s="30" t="str">
        <f t="shared" si="7"/>
        <v/>
      </c>
      <c r="O279" s="8"/>
      <c r="P279" s="8"/>
      <c r="Q279" s="8"/>
      <c r="R279" s="8"/>
      <c r="S279" s="8"/>
      <c r="T279" s="8"/>
      <c r="U279" s="8"/>
      <c r="V279" s="8"/>
      <c r="W279" s="8"/>
      <c r="X279" s="8"/>
      <c r="Y279" s="8"/>
      <c r="Z279" s="8"/>
    </row>
    <row r="280" ht="18.0" customHeight="1">
      <c r="A280" s="8"/>
      <c r="B280" s="8"/>
      <c r="C280" s="8"/>
      <c r="D280" s="25"/>
      <c r="E280" s="25"/>
      <c r="F280" s="8"/>
      <c r="G280" s="8"/>
      <c r="H280" s="8"/>
      <c r="I280" s="8"/>
      <c r="J280" s="30" t="str">
        <f t="shared" si="8"/>
        <v/>
      </c>
      <c r="K280" s="30" t="str">
        <f t="shared" si="9"/>
        <v/>
      </c>
      <c r="L280" s="30" t="str">
        <f t="shared" si="10"/>
        <v/>
      </c>
      <c r="M280" s="30" t="str">
        <f t="shared" si="11"/>
        <v/>
      </c>
      <c r="N280" s="30" t="str">
        <f t="shared" si="7"/>
        <v/>
      </c>
      <c r="O280" s="8"/>
      <c r="P280" s="8"/>
      <c r="Q280" s="8"/>
      <c r="R280" s="8"/>
      <c r="S280" s="8"/>
      <c r="T280" s="8"/>
      <c r="U280" s="8"/>
      <c r="V280" s="8"/>
      <c r="W280" s="8"/>
      <c r="X280" s="8"/>
      <c r="Y280" s="8"/>
      <c r="Z280" s="8"/>
    </row>
    <row r="281" ht="18.0" customHeight="1">
      <c r="A281" s="8"/>
      <c r="B281" s="8"/>
      <c r="C281" s="8"/>
      <c r="D281" s="25"/>
      <c r="E281" s="25"/>
      <c r="F281" s="8"/>
      <c r="G281" s="8"/>
      <c r="H281" s="8"/>
      <c r="I281" s="8"/>
      <c r="J281" s="30" t="str">
        <f t="shared" si="8"/>
        <v/>
      </c>
      <c r="K281" s="30" t="str">
        <f t="shared" si="9"/>
        <v/>
      </c>
      <c r="L281" s="30" t="str">
        <f t="shared" si="10"/>
        <v/>
      </c>
      <c r="M281" s="30" t="str">
        <f t="shared" si="11"/>
        <v/>
      </c>
      <c r="N281" s="30" t="str">
        <f t="shared" si="7"/>
        <v/>
      </c>
      <c r="O281" s="8"/>
      <c r="P281" s="8"/>
      <c r="Q281" s="8"/>
      <c r="R281" s="8"/>
      <c r="S281" s="8"/>
      <c r="T281" s="8"/>
      <c r="U281" s="8"/>
      <c r="V281" s="8"/>
      <c r="W281" s="8"/>
      <c r="X281" s="8"/>
      <c r="Y281" s="8"/>
      <c r="Z281" s="8"/>
    </row>
    <row r="282" ht="18.0" customHeight="1">
      <c r="A282" s="8"/>
      <c r="B282" s="8"/>
      <c r="C282" s="8"/>
      <c r="D282" s="25"/>
      <c r="E282" s="25"/>
      <c r="F282" s="8"/>
      <c r="G282" s="8"/>
      <c r="H282" s="8"/>
      <c r="I282" s="8"/>
      <c r="J282" s="30" t="str">
        <f t="shared" si="8"/>
        <v/>
      </c>
      <c r="K282" s="30" t="str">
        <f t="shared" si="9"/>
        <v/>
      </c>
      <c r="L282" s="30" t="str">
        <f t="shared" si="10"/>
        <v/>
      </c>
      <c r="M282" s="30" t="str">
        <f t="shared" si="11"/>
        <v/>
      </c>
      <c r="N282" s="30" t="str">
        <f t="shared" si="7"/>
        <v/>
      </c>
      <c r="O282" s="8"/>
      <c r="P282" s="8"/>
      <c r="Q282" s="8"/>
      <c r="R282" s="8"/>
      <c r="S282" s="8"/>
      <c r="T282" s="8"/>
      <c r="U282" s="8"/>
      <c r="V282" s="8"/>
      <c r="W282" s="8"/>
      <c r="X282" s="8"/>
      <c r="Y282" s="8"/>
      <c r="Z282" s="8"/>
    </row>
    <row r="283" ht="18.0" customHeight="1">
      <c r="A283" s="8"/>
      <c r="B283" s="8"/>
      <c r="C283" s="8"/>
      <c r="D283" s="25"/>
      <c r="E283" s="25"/>
      <c r="F283" s="8"/>
      <c r="G283" s="8"/>
      <c r="H283" s="8"/>
      <c r="I283" s="8"/>
      <c r="J283" s="30" t="str">
        <f t="shared" si="8"/>
        <v/>
      </c>
      <c r="K283" s="30" t="str">
        <f t="shared" si="9"/>
        <v/>
      </c>
      <c r="L283" s="30" t="str">
        <f t="shared" si="10"/>
        <v/>
      </c>
      <c r="M283" s="30" t="str">
        <f t="shared" si="11"/>
        <v/>
      </c>
      <c r="N283" s="30" t="str">
        <f t="shared" si="7"/>
        <v/>
      </c>
      <c r="O283" s="8"/>
      <c r="P283" s="8"/>
      <c r="Q283" s="8"/>
      <c r="R283" s="8"/>
      <c r="S283" s="8"/>
      <c r="T283" s="8"/>
      <c r="U283" s="8"/>
      <c r="V283" s="8"/>
      <c r="W283" s="8"/>
      <c r="X283" s="8"/>
      <c r="Y283" s="8"/>
      <c r="Z283" s="8"/>
    </row>
    <row r="284" ht="18.0" customHeight="1">
      <c r="A284" s="8"/>
      <c r="B284" s="8"/>
      <c r="C284" s="8"/>
      <c r="D284" s="25"/>
      <c r="E284" s="25"/>
      <c r="F284" s="8"/>
      <c r="G284" s="8"/>
      <c r="H284" s="8"/>
      <c r="I284" s="8"/>
      <c r="J284" s="30" t="str">
        <f t="shared" si="8"/>
        <v/>
      </c>
      <c r="K284" s="30" t="str">
        <f t="shared" si="9"/>
        <v/>
      </c>
      <c r="L284" s="30" t="str">
        <f t="shared" si="10"/>
        <v/>
      </c>
      <c r="M284" s="30" t="str">
        <f t="shared" si="11"/>
        <v/>
      </c>
      <c r="N284" s="30" t="str">
        <f t="shared" si="7"/>
        <v/>
      </c>
      <c r="O284" s="8"/>
      <c r="P284" s="8"/>
      <c r="Q284" s="8"/>
      <c r="R284" s="8"/>
      <c r="S284" s="8"/>
      <c r="T284" s="8"/>
      <c r="U284" s="8"/>
      <c r="V284" s="8"/>
      <c r="W284" s="8"/>
      <c r="X284" s="8"/>
      <c r="Y284" s="8"/>
      <c r="Z284" s="8"/>
    </row>
    <row r="285" ht="18.0" customHeight="1">
      <c r="A285" s="8"/>
      <c r="B285" s="8"/>
      <c r="C285" s="8"/>
      <c r="D285" s="25"/>
      <c r="E285" s="25"/>
      <c r="F285" s="8"/>
      <c r="G285" s="8"/>
      <c r="H285" s="8"/>
      <c r="I285" s="8"/>
      <c r="J285" s="30" t="str">
        <f t="shared" si="8"/>
        <v/>
      </c>
      <c r="K285" s="30" t="str">
        <f t="shared" si="9"/>
        <v/>
      </c>
      <c r="L285" s="30" t="str">
        <f t="shared" si="10"/>
        <v/>
      </c>
      <c r="M285" s="30" t="str">
        <f t="shared" si="11"/>
        <v/>
      </c>
      <c r="N285" s="30" t="str">
        <f t="shared" si="7"/>
        <v/>
      </c>
      <c r="O285" s="8"/>
      <c r="P285" s="8"/>
      <c r="Q285" s="8"/>
      <c r="R285" s="8"/>
      <c r="S285" s="8"/>
      <c r="T285" s="8"/>
      <c r="U285" s="8"/>
      <c r="V285" s="8"/>
      <c r="W285" s="8"/>
      <c r="X285" s="8"/>
      <c r="Y285" s="8"/>
      <c r="Z285" s="8"/>
    </row>
    <row r="286" ht="18.0" customHeight="1">
      <c r="A286" s="8"/>
      <c r="B286" s="8"/>
      <c r="C286" s="8"/>
      <c r="D286" s="25"/>
      <c r="E286" s="25"/>
      <c r="F286" s="8"/>
      <c r="G286" s="8"/>
      <c r="H286" s="8"/>
      <c r="I286" s="8"/>
      <c r="J286" s="30" t="str">
        <f t="shared" si="8"/>
        <v/>
      </c>
      <c r="K286" s="30" t="str">
        <f t="shared" si="9"/>
        <v/>
      </c>
      <c r="L286" s="30" t="str">
        <f t="shared" si="10"/>
        <v/>
      </c>
      <c r="M286" s="30" t="str">
        <f t="shared" si="11"/>
        <v/>
      </c>
      <c r="N286" s="30" t="str">
        <f t="shared" si="7"/>
        <v/>
      </c>
      <c r="O286" s="8"/>
      <c r="P286" s="8"/>
      <c r="Q286" s="8"/>
      <c r="R286" s="8"/>
      <c r="S286" s="8"/>
      <c r="T286" s="8"/>
      <c r="U286" s="8"/>
      <c r="V286" s="8"/>
      <c r="W286" s="8"/>
      <c r="X286" s="8"/>
      <c r="Y286" s="8"/>
      <c r="Z286" s="8"/>
    </row>
    <row r="287" ht="18.0" customHeight="1">
      <c r="A287" s="8"/>
      <c r="B287" s="8"/>
      <c r="C287" s="8"/>
      <c r="D287" s="25"/>
      <c r="E287" s="25"/>
      <c r="F287" s="8"/>
      <c r="G287" s="8"/>
      <c r="H287" s="8"/>
      <c r="I287" s="8"/>
      <c r="J287" s="30" t="str">
        <f t="shared" si="8"/>
        <v/>
      </c>
      <c r="K287" s="30" t="str">
        <f t="shared" si="9"/>
        <v/>
      </c>
      <c r="L287" s="30" t="str">
        <f t="shared" si="10"/>
        <v/>
      </c>
      <c r="M287" s="30" t="str">
        <f t="shared" si="11"/>
        <v/>
      </c>
      <c r="N287" s="30" t="str">
        <f t="shared" si="7"/>
        <v/>
      </c>
      <c r="O287" s="8"/>
      <c r="P287" s="8"/>
      <c r="Q287" s="8"/>
      <c r="R287" s="8"/>
      <c r="S287" s="8"/>
      <c r="T287" s="8"/>
      <c r="U287" s="8"/>
      <c r="V287" s="8"/>
      <c r="W287" s="8"/>
      <c r="X287" s="8"/>
      <c r="Y287" s="8"/>
      <c r="Z287" s="8"/>
    </row>
    <row r="288" ht="18.0" customHeight="1">
      <c r="A288" s="8"/>
      <c r="B288" s="8"/>
      <c r="C288" s="8"/>
      <c r="D288" s="25"/>
      <c r="E288" s="25"/>
      <c r="F288" s="8"/>
      <c r="G288" s="8"/>
      <c r="H288" s="8"/>
      <c r="I288" s="8"/>
      <c r="J288" s="30" t="str">
        <f t="shared" si="8"/>
        <v/>
      </c>
      <c r="K288" s="30" t="str">
        <f t="shared" si="9"/>
        <v/>
      </c>
      <c r="L288" s="30" t="str">
        <f t="shared" si="10"/>
        <v/>
      </c>
      <c r="M288" s="30" t="str">
        <f t="shared" si="11"/>
        <v/>
      </c>
      <c r="N288" s="30" t="str">
        <f t="shared" si="7"/>
        <v/>
      </c>
      <c r="O288" s="8"/>
      <c r="P288" s="8"/>
      <c r="Q288" s="8"/>
      <c r="R288" s="8"/>
      <c r="S288" s="8"/>
      <c r="T288" s="8"/>
      <c r="U288" s="8"/>
      <c r="V288" s="8"/>
      <c r="W288" s="8"/>
      <c r="X288" s="8"/>
      <c r="Y288" s="8"/>
      <c r="Z288" s="8"/>
    </row>
    <row r="289" ht="18.0" customHeight="1">
      <c r="A289" s="8"/>
      <c r="B289" s="8"/>
      <c r="C289" s="8"/>
      <c r="D289" s="25"/>
      <c r="E289" s="25"/>
      <c r="F289" s="8"/>
      <c r="G289" s="8"/>
      <c r="H289" s="8"/>
      <c r="I289" s="8"/>
      <c r="J289" s="30" t="str">
        <f t="shared" si="8"/>
        <v/>
      </c>
      <c r="K289" s="30" t="str">
        <f t="shared" si="9"/>
        <v/>
      </c>
      <c r="L289" s="30" t="str">
        <f t="shared" si="10"/>
        <v/>
      </c>
      <c r="M289" s="30" t="str">
        <f t="shared" si="11"/>
        <v/>
      </c>
      <c r="N289" s="30" t="str">
        <f t="shared" si="7"/>
        <v/>
      </c>
      <c r="O289" s="8"/>
      <c r="P289" s="8"/>
      <c r="Q289" s="8"/>
      <c r="R289" s="8"/>
      <c r="S289" s="8"/>
      <c r="T289" s="8"/>
      <c r="U289" s="8"/>
      <c r="V289" s="8"/>
      <c r="W289" s="8"/>
      <c r="X289" s="8"/>
      <c r="Y289" s="8"/>
      <c r="Z289" s="8"/>
    </row>
    <row r="290" ht="18.0" customHeight="1">
      <c r="A290" s="8"/>
      <c r="B290" s="8"/>
      <c r="C290" s="8"/>
      <c r="D290" s="25"/>
      <c r="E290" s="25"/>
      <c r="F290" s="8"/>
      <c r="G290" s="8"/>
      <c r="H290" s="8"/>
      <c r="I290" s="8"/>
      <c r="J290" s="30" t="str">
        <f t="shared" si="8"/>
        <v/>
      </c>
      <c r="K290" s="30" t="str">
        <f t="shared" si="9"/>
        <v/>
      </c>
      <c r="L290" s="30" t="str">
        <f t="shared" si="10"/>
        <v/>
      </c>
      <c r="M290" s="30" t="str">
        <f t="shared" si="11"/>
        <v/>
      </c>
      <c r="N290" s="30" t="str">
        <f t="shared" si="7"/>
        <v/>
      </c>
      <c r="O290" s="8"/>
      <c r="P290" s="8"/>
      <c r="Q290" s="8"/>
      <c r="R290" s="8"/>
      <c r="S290" s="8"/>
      <c r="T290" s="8"/>
      <c r="U290" s="8"/>
      <c r="V290" s="8"/>
      <c r="W290" s="8"/>
      <c r="X290" s="8"/>
      <c r="Y290" s="8"/>
      <c r="Z290" s="8"/>
    </row>
    <row r="291" ht="18.0" customHeight="1">
      <c r="A291" s="8"/>
      <c r="B291" s="8"/>
      <c r="C291" s="8"/>
      <c r="D291" s="25"/>
      <c r="E291" s="25"/>
      <c r="F291" s="8"/>
      <c r="G291" s="8"/>
      <c r="H291" s="8"/>
      <c r="I291" s="8"/>
      <c r="J291" s="30" t="str">
        <f t="shared" si="8"/>
        <v/>
      </c>
      <c r="K291" s="30" t="str">
        <f t="shared" si="9"/>
        <v/>
      </c>
      <c r="L291" s="30" t="str">
        <f t="shared" si="10"/>
        <v/>
      </c>
      <c r="M291" s="30" t="str">
        <f t="shared" si="11"/>
        <v/>
      </c>
      <c r="N291" s="30" t="str">
        <f t="shared" si="7"/>
        <v/>
      </c>
      <c r="O291" s="8"/>
      <c r="P291" s="8"/>
      <c r="Q291" s="8"/>
      <c r="R291" s="8"/>
      <c r="S291" s="8"/>
      <c r="T291" s="8"/>
      <c r="U291" s="8"/>
      <c r="V291" s="8"/>
      <c r="W291" s="8"/>
      <c r="X291" s="8"/>
      <c r="Y291" s="8"/>
      <c r="Z291" s="8"/>
    </row>
    <row r="292" ht="18.0" customHeight="1">
      <c r="A292" s="8"/>
      <c r="B292" s="8"/>
      <c r="C292" s="8"/>
      <c r="D292" s="25"/>
      <c r="E292" s="25"/>
      <c r="F292" s="8"/>
      <c r="G292" s="8"/>
      <c r="H292" s="8"/>
      <c r="I292" s="8"/>
      <c r="J292" s="30" t="str">
        <f t="shared" si="8"/>
        <v/>
      </c>
      <c r="K292" s="30" t="str">
        <f t="shared" si="9"/>
        <v/>
      </c>
      <c r="L292" s="30" t="str">
        <f t="shared" si="10"/>
        <v/>
      </c>
      <c r="M292" s="30" t="str">
        <f t="shared" si="11"/>
        <v/>
      </c>
      <c r="N292" s="30" t="str">
        <f t="shared" si="7"/>
        <v/>
      </c>
      <c r="O292" s="8"/>
      <c r="P292" s="8"/>
      <c r="Q292" s="8"/>
      <c r="R292" s="8"/>
      <c r="S292" s="8"/>
      <c r="T292" s="8"/>
      <c r="U292" s="8"/>
      <c r="V292" s="8"/>
      <c r="W292" s="8"/>
      <c r="X292" s="8"/>
      <c r="Y292" s="8"/>
      <c r="Z292" s="8"/>
    </row>
    <row r="293" ht="18.0" customHeight="1">
      <c r="A293" s="8"/>
      <c r="B293" s="8"/>
      <c r="C293" s="8"/>
      <c r="D293" s="25"/>
      <c r="E293" s="25"/>
      <c r="F293" s="8"/>
      <c r="G293" s="8"/>
      <c r="H293" s="8"/>
      <c r="I293" s="8"/>
      <c r="J293" s="30" t="str">
        <f t="shared" si="8"/>
        <v/>
      </c>
      <c r="K293" s="30" t="str">
        <f t="shared" si="9"/>
        <v/>
      </c>
      <c r="L293" s="30" t="str">
        <f t="shared" si="10"/>
        <v/>
      </c>
      <c r="M293" s="30" t="str">
        <f t="shared" si="11"/>
        <v/>
      </c>
      <c r="N293" s="30" t="str">
        <f t="shared" si="7"/>
        <v/>
      </c>
      <c r="O293" s="8"/>
      <c r="P293" s="8"/>
      <c r="Q293" s="8"/>
      <c r="R293" s="8"/>
      <c r="S293" s="8"/>
      <c r="T293" s="8"/>
      <c r="U293" s="8"/>
      <c r="V293" s="8"/>
      <c r="W293" s="8"/>
      <c r="X293" s="8"/>
      <c r="Y293" s="8"/>
      <c r="Z293" s="8"/>
    </row>
    <row r="294" ht="18.0" customHeight="1">
      <c r="A294" s="8"/>
      <c r="B294" s="8"/>
      <c r="C294" s="8"/>
      <c r="D294" s="25"/>
      <c r="E294" s="25"/>
      <c r="F294" s="8"/>
      <c r="G294" s="8"/>
      <c r="H294" s="8"/>
      <c r="I294" s="8"/>
      <c r="J294" s="30" t="str">
        <f t="shared" si="8"/>
        <v/>
      </c>
      <c r="K294" s="30" t="str">
        <f t="shared" si="9"/>
        <v/>
      </c>
      <c r="L294" s="30" t="str">
        <f t="shared" si="10"/>
        <v/>
      </c>
      <c r="M294" s="30" t="str">
        <f t="shared" si="11"/>
        <v/>
      </c>
      <c r="N294" s="30" t="str">
        <f t="shared" si="7"/>
        <v/>
      </c>
      <c r="O294" s="8"/>
      <c r="P294" s="8"/>
      <c r="Q294" s="8"/>
      <c r="R294" s="8"/>
      <c r="S294" s="8"/>
      <c r="T294" s="8"/>
      <c r="U294" s="8"/>
      <c r="V294" s="8"/>
      <c r="W294" s="8"/>
      <c r="X294" s="8"/>
      <c r="Y294" s="8"/>
      <c r="Z294" s="8"/>
    </row>
    <row r="295" ht="18.0" customHeight="1">
      <c r="A295" s="8"/>
      <c r="B295" s="8"/>
      <c r="C295" s="8"/>
      <c r="D295" s="25"/>
      <c r="E295" s="25"/>
      <c r="F295" s="8"/>
      <c r="G295" s="8"/>
      <c r="H295" s="8"/>
      <c r="I295" s="8"/>
      <c r="J295" s="30" t="str">
        <f t="shared" si="8"/>
        <v/>
      </c>
      <c r="K295" s="30" t="str">
        <f t="shared" si="9"/>
        <v/>
      </c>
      <c r="L295" s="30" t="str">
        <f t="shared" si="10"/>
        <v/>
      </c>
      <c r="M295" s="30" t="str">
        <f t="shared" si="11"/>
        <v/>
      </c>
      <c r="N295" s="30" t="str">
        <f t="shared" si="7"/>
        <v/>
      </c>
      <c r="O295" s="8"/>
      <c r="P295" s="8"/>
      <c r="Q295" s="8"/>
      <c r="R295" s="8"/>
      <c r="S295" s="8"/>
      <c r="T295" s="8"/>
      <c r="U295" s="8"/>
      <c r="V295" s="8"/>
      <c r="W295" s="8"/>
      <c r="X295" s="8"/>
      <c r="Y295" s="8"/>
      <c r="Z295" s="8"/>
    </row>
    <row r="296" ht="18.0" customHeight="1">
      <c r="A296" s="8"/>
      <c r="B296" s="8"/>
      <c r="C296" s="8"/>
      <c r="D296" s="25"/>
      <c r="E296" s="25"/>
      <c r="F296" s="8"/>
      <c r="G296" s="8"/>
      <c r="H296" s="8"/>
      <c r="I296" s="8"/>
      <c r="J296" s="30" t="str">
        <f t="shared" si="8"/>
        <v/>
      </c>
      <c r="K296" s="30" t="str">
        <f t="shared" si="9"/>
        <v/>
      </c>
      <c r="L296" s="30" t="str">
        <f t="shared" si="10"/>
        <v/>
      </c>
      <c r="M296" s="30" t="str">
        <f t="shared" si="11"/>
        <v/>
      </c>
      <c r="N296" s="30" t="str">
        <f t="shared" si="7"/>
        <v/>
      </c>
      <c r="O296" s="8"/>
      <c r="P296" s="8"/>
      <c r="Q296" s="8"/>
      <c r="R296" s="8"/>
      <c r="S296" s="8"/>
      <c r="T296" s="8"/>
      <c r="U296" s="8"/>
      <c r="V296" s="8"/>
      <c r="W296" s="8"/>
      <c r="X296" s="8"/>
      <c r="Y296" s="8"/>
      <c r="Z296" s="8"/>
    </row>
    <row r="297" ht="18.0" customHeight="1">
      <c r="A297" s="8"/>
      <c r="B297" s="8"/>
      <c r="C297" s="8"/>
      <c r="D297" s="25"/>
      <c r="E297" s="25"/>
      <c r="F297" s="8"/>
      <c r="G297" s="8"/>
      <c r="H297" s="8"/>
      <c r="I297" s="8"/>
      <c r="J297" s="30" t="str">
        <f t="shared" si="8"/>
        <v/>
      </c>
      <c r="K297" s="30" t="str">
        <f t="shared" si="9"/>
        <v/>
      </c>
      <c r="L297" s="30" t="str">
        <f t="shared" si="10"/>
        <v/>
      </c>
      <c r="M297" s="30" t="str">
        <f t="shared" si="11"/>
        <v/>
      </c>
      <c r="N297" s="30" t="str">
        <f t="shared" si="7"/>
        <v/>
      </c>
      <c r="O297" s="8"/>
      <c r="P297" s="8"/>
      <c r="Q297" s="8"/>
      <c r="R297" s="8"/>
      <c r="S297" s="8"/>
      <c r="T297" s="8"/>
      <c r="U297" s="8"/>
      <c r="V297" s="8"/>
      <c r="W297" s="8"/>
      <c r="X297" s="8"/>
      <c r="Y297" s="8"/>
      <c r="Z297" s="8"/>
    </row>
    <row r="298" ht="18.0" customHeight="1">
      <c r="A298" s="8"/>
      <c r="B298" s="8"/>
      <c r="C298" s="8"/>
      <c r="D298" s="25"/>
      <c r="E298" s="25"/>
      <c r="F298" s="8"/>
      <c r="G298" s="8"/>
      <c r="H298" s="8"/>
      <c r="I298" s="8"/>
      <c r="J298" s="30" t="str">
        <f t="shared" si="8"/>
        <v/>
      </c>
      <c r="K298" s="30" t="str">
        <f t="shared" si="9"/>
        <v/>
      </c>
      <c r="L298" s="30" t="str">
        <f t="shared" si="10"/>
        <v/>
      </c>
      <c r="M298" s="30" t="str">
        <f t="shared" si="11"/>
        <v/>
      </c>
      <c r="N298" s="30" t="str">
        <f t="shared" si="7"/>
        <v/>
      </c>
      <c r="O298" s="8"/>
      <c r="P298" s="8"/>
      <c r="Q298" s="8"/>
      <c r="R298" s="8"/>
      <c r="S298" s="8"/>
      <c r="T298" s="8"/>
      <c r="U298" s="8"/>
      <c r="V298" s="8"/>
      <c r="W298" s="8"/>
      <c r="X298" s="8"/>
      <c r="Y298" s="8"/>
      <c r="Z298" s="8"/>
    </row>
    <row r="299" ht="18.0" customHeight="1">
      <c r="A299" s="8"/>
      <c r="B299" s="8"/>
      <c r="C299" s="8"/>
      <c r="D299" s="25"/>
      <c r="E299" s="25"/>
      <c r="F299" s="8"/>
      <c r="G299" s="8"/>
      <c r="H299" s="8"/>
      <c r="I299" s="8"/>
      <c r="J299" s="30" t="str">
        <f t="shared" si="8"/>
        <v/>
      </c>
      <c r="K299" s="30" t="str">
        <f t="shared" si="9"/>
        <v/>
      </c>
      <c r="L299" s="30" t="str">
        <f t="shared" si="10"/>
        <v/>
      </c>
      <c r="M299" s="30" t="str">
        <f t="shared" si="11"/>
        <v/>
      </c>
      <c r="N299" s="30" t="str">
        <f t="shared" si="7"/>
        <v/>
      </c>
      <c r="O299" s="8"/>
      <c r="P299" s="8"/>
      <c r="Q299" s="8"/>
      <c r="R299" s="8"/>
      <c r="S299" s="8"/>
      <c r="T299" s="8"/>
      <c r="U299" s="8"/>
      <c r="V299" s="8"/>
      <c r="W299" s="8"/>
      <c r="X299" s="8"/>
      <c r="Y299" s="8"/>
      <c r="Z299" s="8"/>
    </row>
    <row r="300" ht="18.0" customHeight="1">
      <c r="A300" s="8"/>
      <c r="B300" s="8"/>
      <c r="C300" s="8"/>
      <c r="D300" s="25"/>
      <c r="E300" s="25"/>
      <c r="F300" s="8"/>
      <c r="G300" s="8"/>
      <c r="H300" s="8"/>
      <c r="I300" s="8"/>
      <c r="J300" s="30" t="str">
        <f t="shared" si="8"/>
        <v/>
      </c>
      <c r="K300" s="30" t="str">
        <f t="shared" si="9"/>
        <v/>
      </c>
      <c r="L300" s="30" t="str">
        <f t="shared" si="10"/>
        <v/>
      </c>
      <c r="M300" s="30" t="str">
        <f t="shared" si="11"/>
        <v/>
      </c>
      <c r="N300" s="30" t="str">
        <f t="shared" si="7"/>
        <v/>
      </c>
      <c r="O300" s="8"/>
      <c r="P300" s="8"/>
      <c r="Q300" s="8"/>
      <c r="R300" s="8"/>
      <c r="S300" s="8"/>
      <c r="T300" s="8"/>
      <c r="U300" s="8"/>
      <c r="V300" s="8"/>
      <c r="W300" s="8"/>
      <c r="X300" s="8"/>
      <c r="Y300" s="8"/>
      <c r="Z300" s="8"/>
    </row>
    <row r="301" ht="18.0" customHeight="1">
      <c r="A301" s="8"/>
      <c r="B301" s="8"/>
      <c r="C301" s="8"/>
      <c r="D301" s="25"/>
      <c r="E301" s="25"/>
      <c r="F301" s="8"/>
      <c r="G301" s="8"/>
      <c r="H301" s="8"/>
      <c r="I301" s="8"/>
      <c r="J301" s="30" t="str">
        <f t="shared" si="8"/>
        <v/>
      </c>
      <c r="K301" s="30" t="str">
        <f t="shared" si="9"/>
        <v/>
      </c>
      <c r="L301" s="30" t="str">
        <f t="shared" si="10"/>
        <v/>
      </c>
      <c r="M301" s="30" t="str">
        <f t="shared" si="11"/>
        <v/>
      </c>
      <c r="N301" s="30" t="str">
        <f t="shared" si="7"/>
        <v/>
      </c>
      <c r="O301" s="8"/>
      <c r="P301" s="8"/>
      <c r="Q301" s="8"/>
      <c r="R301" s="8"/>
      <c r="S301" s="8"/>
      <c r="T301" s="8"/>
      <c r="U301" s="8"/>
      <c r="V301" s="8"/>
      <c r="W301" s="8"/>
      <c r="X301" s="8"/>
      <c r="Y301" s="8"/>
      <c r="Z301" s="8"/>
    </row>
    <row r="302" ht="18.0" customHeight="1">
      <c r="A302" s="8"/>
      <c r="B302" s="8"/>
      <c r="C302" s="8"/>
      <c r="D302" s="25"/>
      <c r="E302" s="25"/>
      <c r="F302" s="8"/>
      <c r="G302" s="8"/>
      <c r="H302" s="8"/>
      <c r="I302" s="8"/>
      <c r="J302" s="30" t="str">
        <f t="shared" si="8"/>
        <v/>
      </c>
      <c r="K302" s="30" t="str">
        <f t="shared" si="9"/>
        <v/>
      </c>
      <c r="L302" s="30" t="str">
        <f t="shared" si="10"/>
        <v/>
      </c>
      <c r="M302" s="30" t="str">
        <f t="shared" si="11"/>
        <v/>
      </c>
      <c r="N302" s="30" t="str">
        <f t="shared" si="7"/>
        <v/>
      </c>
      <c r="O302" s="8"/>
      <c r="P302" s="8"/>
      <c r="Q302" s="8"/>
      <c r="R302" s="8"/>
      <c r="S302" s="8"/>
      <c r="T302" s="8"/>
      <c r="U302" s="8"/>
      <c r="V302" s="8"/>
      <c r="W302" s="8"/>
      <c r="X302" s="8"/>
      <c r="Y302" s="8"/>
      <c r="Z302" s="8"/>
    </row>
    <row r="303" ht="18.0" customHeight="1">
      <c r="A303" s="8"/>
      <c r="B303" s="8"/>
      <c r="C303" s="8"/>
      <c r="D303" s="25"/>
      <c r="E303" s="25"/>
      <c r="F303" s="8"/>
      <c r="G303" s="8"/>
      <c r="H303" s="8"/>
      <c r="I303" s="8"/>
      <c r="J303" s="30" t="str">
        <f t="shared" si="8"/>
        <v/>
      </c>
      <c r="K303" s="30" t="str">
        <f t="shared" si="9"/>
        <v/>
      </c>
      <c r="L303" s="30" t="str">
        <f t="shared" si="10"/>
        <v/>
      </c>
      <c r="M303" s="30" t="str">
        <f t="shared" si="11"/>
        <v/>
      </c>
      <c r="N303" s="30" t="str">
        <f t="shared" si="7"/>
        <v/>
      </c>
      <c r="O303" s="8"/>
      <c r="P303" s="8"/>
      <c r="Q303" s="8"/>
      <c r="R303" s="8"/>
      <c r="S303" s="8"/>
      <c r="T303" s="8"/>
      <c r="U303" s="8"/>
      <c r="V303" s="8"/>
      <c r="W303" s="8"/>
      <c r="X303" s="8"/>
      <c r="Y303" s="8"/>
      <c r="Z303" s="8"/>
    </row>
    <row r="304" ht="18.0" customHeight="1">
      <c r="A304" s="8"/>
      <c r="B304" s="8"/>
      <c r="C304" s="8"/>
      <c r="D304" s="25"/>
      <c r="E304" s="25"/>
      <c r="F304" s="8"/>
      <c r="G304" s="8"/>
      <c r="H304" s="8"/>
      <c r="I304" s="8"/>
      <c r="J304" s="30" t="str">
        <f t="shared" si="8"/>
        <v/>
      </c>
      <c r="K304" s="30" t="str">
        <f t="shared" si="9"/>
        <v/>
      </c>
      <c r="L304" s="30" t="str">
        <f t="shared" si="10"/>
        <v/>
      </c>
      <c r="M304" s="30" t="str">
        <f t="shared" si="11"/>
        <v/>
      </c>
      <c r="N304" s="30" t="str">
        <f t="shared" si="7"/>
        <v/>
      </c>
      <c r="O304" s="8"/>
      <c r="P304" s="8"/>
      <c r="Q304" s="8"/>
      <c r="R304" s="8"/>
      <c r="S304" s="8"/>
      <c r="T304" s="8"/>
      <c r="U304" s="8"/>
      <c r="V304" s="8"/>
      <c r="W304" s="8"/>
      <c r="X304" s="8"/>
      <c r="Y304" s="8"/>
      <c r="Z304" s="8"/>
    </row>
    <row r="305" ht="18.0" customHeight="1">
      <c r="A305" s="8"/>
      <c r="B305" s="8"/>
      <c r="C305" s="8"/>
      <c r="D305" s="25"/>
      <c r="E305" s="25"/>
      <c r="F305" s="8"/>
      <c r="G305" s="8"/>
      <c r="H305" s="8"/>
      <c r="I305" s="8"/>
      <c r="J305" s="30" t="str">
        <f t="shared" si="8"/>
        <v/>
      </c>
      <c r="K305" s="30" t="str">
        <f t="shared" si="9"/>
        <v/>
      </c>
      <c r="L305" s="30" t="str">
        <f t="shared" si="10"/>
        <v/>
      </c>
      <c r="M305" s="30" t="str">
        <f t="shared" si="11"/>
        <v/>
      </c>
      <c r="N305" s="30" t="str">
        <f t="shared" si="7"/>
        <v/>
      </c>
      <c r="O305" s="8"/>
      <c r="P305" s="8"/>
      <c r="Q305" s="8"/>
      <c r="R305" s="8"/>
      <c r="S305" s="8"/>
      <c r="T305" s="8"/>
      <c r="U305" s="8"/>
      <c r="V305" s="8"/>
      <c r="W305" s="8"/>
      <c r="X305" s="8"/>
      <c r="Y305" s="8"/>
      <c r="Z305" s="8"/>
    </row>
    <row r="306" ht="18.0" customHeight="1">
      <c r="A306" s="8"/>
      <c r="B306" s="8"/>
      <c r="C306" s="8"/>
      <c r="D306" s="25"/>
      <c r="E306" s="25"/>
      <c r="F306" s="8"/>
      <c r="G306" s="8"/>
      <c r="H306" s="8"/>
      <c r="I306" s="8"/>
      <c r="J306" s="30" t="str">
        <f t="shared" si="8"/>
        <v/>
      </c>
      <c r="K306" s="30" t="str">
        <f t="shared" si="9"/>
        <v/>
      </c>
      <c r="L306" s="30" t="str">
        <f t="shared" si="10"/>
        <v/>
      </c>
      <c r="M306" s="30" t="str">
        <f t="shared" si="11"/>
        <v/>
      </c>
      <c r="N306" s="30" t="str">
        <f t="shared" si="7"/>
        <v/>
      </c>
      <c r="O306" s="8"/>
      <c r="P306" s="8"/>
      <c r="Q306" s="8"/>
      <c r="R306" s="8"/>
      <c r="S306" s="8"/>
      <c r="T306" s="8"/>
      <c r="U306" s="8"/>
      <c r="V306" s="8"/>
      <c r="W306" s="8"/>
      <c r="X306" s="8"/>
      <c r="Y306" s="8"/>
      <c r="Z306" s="8"/>
    </row>
    <row r="307" ht="18.0" customHeight="1">
      <c r="A307" s="8"/>
      <c r="B307" s="8"/>
      <c r="C307" s="8"/>
      <c r="D307" s="25"/>
      <c r="E307" s="25"/>
      <c r="F307" s="8"/>
      <c r="G307" s="8"/>
      <c r="H307" s="8"/>
      <c r="I307" s="8"/>
      <c r="J307" s="30" t="str">
        <f t="shared" si="8"/>
        <v/>
      </c>
      <c r="K307" s="30" t="str">
        <f t="shared" si="9"/>
        <v/>
      </c>
      <c r="L307" s="30" t="str">
        <f t="shared" si="10"/>
        <v/>
      </c>
      <c r="M307" s="30" t="str">
        <f t="shared" si="11"/>
        <v/>
      </c>
      <c r="N307" s="30" t="str">
        <f t="shared" si="7"/>
        <v/>
      </c>
      <c r="O307" s="8"/>
      <c r="P307" s="8"/>
      <c r="Q307" s="8"/>
      <c r="R307" s="8"/>
      <c r="S307" s="8"/>
      <c r="T307" s="8"/>
      <c r="U307" s="8"/>
      <c r="V307" s="8"/>
      <c r="W307" s="8"/>
      <c r="X307" s="8"/>
      <c r="Y307" s="8"/>
      <c r="Z307" s="8"/>
    </row>
    <row r="308" ht="18.0" customHeight="1">
      <c r="A308" s="8"/>
      <c r="B308" s="8"/>
      <c r="C308" s="8"/>
      <c r="D308" s="25"/>
      <c r="E308" s="25"/>
      <c r="F308" s="8"/>
      <c r="G308" s="8"/>
      <c r="H308" s="8"/>
      <c r="I308" s="8"/>
      <c r="J308" s="30" t="str">
        <f t="shared" si="8"/>
        <v/>
      </c>
      <c r="K308" s="30" t="str">
        <f t="shared" si="9"/>
        <v/>
      </c>
      <c r="L308" s="30" t="str">
        <f t="shared" si="10"/>
        <v/>
      </c>
      <c r="M308" s="30" t="str">
        <f t="shared" si="11"/>
        <v/>
      </c>
      <c r="N308" s="30" t="str">
        <f t="shared" si="7"/>
        <v/>
      </c>
      <c r="O308" s="8"/>
      <c r="P308" s="8"/>
      <c r="Q308" s="8"/>
      <c r="R308" s="8"/>
      <c r="S308" s="8"/>
      <c r="T308" s="8"/>
      <c r="U308" s="8"/>
      <c r="V308" s="8"/>
      <c r="W308" s="8"/>
      <c r="X308" s="8"/>
      <c r="Y308" s="8"/>
      <c r="Z308" s="8"/>
    </row>
    <row r="309" ht="18.0" customHeight="1">
      <c r="A309" s="8"/>
      <c r="B309" s="8"/>
      <c r="C309" s="8"/>
      <c r="D309" s="25"/>
      <c r="E309" s="25"/>
      <c r="F309" s="8"/>
      <c r="G309" s="8"/>
      <c r="H309" s="8"/>
      <c r="I309" s="8"/>
      <c r="J309" s="30" t="str">
        <f t="shared" si="8"/>
        <v/>
      </c>
      <c r="K309" s="30" t="str">
        <f t="shared" si="9"/>
        <v/>
      </c>
      <c r="L309" s="30" t="str">
        <f t="shared" si="10"/>
        <v/>
      </c>
      <c r="M309" s="30" t="str">
        <f t="shared" si="11"/>
        <v/>
      </c>
      <c r="N309" s="30" t="str">
        <f t="shared" si="7"/>
        <v/>
      </c>
      <c r="O309" s="8"/>
      <c r="P309" s="8"/>
      <c r="Q309" s="8"/>
      <c r="R309" s="8"/>
      <c r="S309" s="8"/>
      <c r="T309" s="8"/>
      <c r="U309" s="8"/>
      <c r="V309" s="8"/>
      <c r="W309" s="8"/>
      <c r="X309" s="8"/>
      <c r="Y309" s="8"/>
      <c r="Z309" s="8"/>
    </row>
    <row r="310" ht="18.0" customHeight="1">
      <c r="A310" s="8"/>
      <c r="B310" s="8"/>
      <c r="C310" s="8"/>
      <c r="D310" s="25"/>
      <c r="E310" s="25"/>
      <c r="F310" s="8"/>
      <c r="G310" s="8"/>
      <c r="H310" s="8"/>
      <c r="I310" s="8"/>
      <c r="J310" s="30" t="str">
        <f t="shared" si="8"/>
        <v/>
      </c>
      <c r="K310" s="30" t="str">
        <f t="shared" si="9"/>
        <v/>
      </c>
      <c r="L310" s="30" t="str">
        <f t="shared" si="10"/>
        <v/>
      </c>
      <c r="M310" s="30" t="str">
        <f t="shared" si="11"/>
        <v/>
      </c>
      <c r="N310" s="30" t="str">
        <f t="shared" si="7"/>
        <v/>
      </c>
      <c r="O310" s="8"/>
      <c r="P310" s="8"/>
      <c r="Q310" s="8"/>
      <c r="R310" s="8"/>
      <c r="S310" s="8"/>
      <c r="T310" s="8"/>
      <c r="U310" s="8"/>
      <c r="V310" s="8"/>
      <c r="W310" s="8"/>
      <c r="X310" s="8"/>
      <c r="Y310" s="8"/>
      <c r="Z310" s="8"/>
    </row>
    <row r="311" ht="18.0" customHeight="1">
      <c r="A311" s="8"/>
      <c r="B311" s="8"/>
      <c r="C311" s="8"/>
      <c r="D311" s="25"/>
      <c r="E311" s="25"/>
      <c r="F311" s="8"/>
      <c r="G311" s="8"/>
      <c r="H311" s="8"/>
      <c r="I311" s="8"/>
      <c r="J311" s="30" t="str">
        <f t="shared" si="8"/>
        <v/>
      </c>
      <c r="K311" s="30" t="str">
        <f t="shared" si="9"/>
        <v/>
      </c>
      <c r="L311" s="30" t="str">
        <f t="shared" si="10"/>
        <v/>
      </c>
      <c r="M311" s="30" t="str">
        <f t="shared" si="11"/>
        <v/>
      </c>
      <c r="N311" s="30" t="str">
        <f t="shared" si="7"/>
        <v/>
      </c>
      <c r="O311" s="8"/>
      <c r="P311" s="8"/>
      <c r="Q311" s="8"/>
      <c r="R311" s="8"/>
      <c r="S311" s="8"/>
      <c r="T311" s="8"/>
      <c r="U311" s="8"/>
      <c r="V311" s="8"/>
      <c r="W311" s="8"/>
      <c r="X311" s="8"/>
      <c r="Y311" s="8"/>
      <c r="Z311" s="8"/>
    </row>
    <row r="312" ht="18.0" customHeight="1">
      <c r="A312" s="8"/>
      <c r="B312" s="8"/>
      <c r="C312" s="8"/>
      <c r="D312" s="25"/>
      <c r="E312" s="25"/>
      <c r="F312" s="8"/>
      <c r="G312" s="8"/>
      <c r="H312" s="8"/>
      <c r="I312" s="8"/>
      <c r="J312" s="30" t="str">
        <f t="shared" si="8"/>
        <v/>
      </c>
      <c r="K312" s="30" t="str">
        <f t="shared" si="9"/>
        <v/>
      </c>
      <c r="L312" s="30" t="str">
        <f t="shared" si="10"/>
        <v/>
      </c>
      <c r="M312" s="30" t="str">
        <f t="shared" si="11"/>
        <v/>
      </c>
      <c r="N312" s="30" t="str">
        <f t="shared" si="7"/>
        <v/>
      </c>
      <c r="O312" s="8"/>
      <c r="P312" s="8"/>
      <c r="Q312" s="8"/>
      <c r="R312" s="8"/>
      <c r="S312" s="8"/>
      <c r="T312" s="8"/>
      <c r="U312" s="8"/>
      <c r="V312" s="8"/>
      <c r="W312" s="8"/>
      <c r="X312" s="8"/>
      <c r="Y312" s="8"/>
      <c r="Z312" s="8"/>
    </row>
    <row r="313" ht="18.0" customHeight="1">
      <c r="A313" s="8"/>
      <c r="B313" s="8"/>
      <c r="C313" s="8"/>
      <c r="D313" s="25"/>
      <c r="E313" s="25"/>
      <c r="F313" s="8"/>
      <c r="G313" s="8"/>
      <c r="H313" s="8"/>
      <c r="I313" s="8"/>
      <c r="J313" s="30" t="str">
        <f t="shared" si="8"/>
        <v/>
      </c>
      <c r="K313" s="30" t="str">
        <f t="shared" si="9"/>
        <v/>
      </c>
      <c r="L313" s="30" t="str">
        <f t="shared" si="10"/>
        <v/>
      </c>
      <c r="M313" s="30" t="str">
        <f t="shared" si="11"/>
        <v/>
      </c>
      <c r="N313" s="30" t="str">
        <f t="shared" si="7"/>
        <v/>
      </c>
      <c r="O313" s="8"/>
      <c r="P313" s="8"/>
      <c r="Q313" s="8"/>
      <c r="R313" s="8"/>
      <c r="S313" s="8"/>
      <c r="T313" s="8"/>
      <c r="U313" s="8"/>
      <c r="V313" s="8"/>
      <c r="W313" s="8"/>
      <c r="X313" s="8"/>
      <c r="Y313" s="8"/>
      <c r="Z313" s="8"/>
    </row>
    <row r="314" ht="18.0" customHeight="1">
      <c r="A314" s="8"/>
      <c r="B314" s="8"/>
      <c r="C314" s="8"/>
      <c r="D314" s="25"/>
      <c r="E314" s="25"/>
      <c r="F314" s="8"/>
      <c r="G314" s="8"/>
      <c r="H314" s="8"/>
      <c r="I314" s="8"/>
      <c r="J314" s="30" t="str">
        <f t="shared" si="8"/>
        <v/>
      </c>
      <c r="K314" s="30" t="str">
        <f t="shared" si="9"/>
        <v/>
      </c>
      <c r="L314" s="30" t="str">
        <f t="shared" si="10"/>
        <v/>
      </c>
      <c r="M314" s="30" t="str">
        <f t="shared" si="11"/>
        <v/>
      </c>
      <c r="N314" s="30" t="str">
        <f t="shared" si="7"/>
        <v/>
      </c>
      <c r="O314" s="8"/>
      <c r="P314" s="8"/>
      <c r="Q314" s="8"/>
      <c r="R314" s="8"/>
      <c r="S314" s="8"/>
      <c r="T314" s="8"/>
      <c r="U314" s="8"/>
      <c r="V314" s="8"/>
      <c r="W314" s="8"/>
      <c r="X314" s="8"/>
      <c r="Y314" s="8"/>
      <c r="Z314" s="8"/>
    </row>
    <row r="315" ht="18.0" customHeight="1">
      <c r="A315" s="8"/>
      <c r="B315" s="8"/>
      <c r="C315" s="8"/>
      <c r="D315" s="25"/>
      <c r="E315" s="25"/>
      <c r="F315" s="8"/>
      <c r="G315" s="8"/>
      <c r="H315" s="8"/>
      <c r="I315" s="8"/>
      <c r="J315" s="30" t="str">
        <f t="shared" si="8"/>
        <v/>
      </c>
      <c r="K315" s="30" t="str">
        <f t="shared" si="9"/>
        <v/>
      </c>
      <c r="L315" s="30" t="str">
        <f t="shared" si="10"/>
        <v/>
      </c>
      <c r="M315" s="30" t="str">
        <f t="shared" si="11"/>
        <v/>
      </c>
      <c r="N315" s="30" t="str">
        <f t="shared" si="7"/>
        <v/>
      </c>
      <c r="O315" s="8"/>
      <c r="P315" s="8"/>
      <c r="Q315" s="8"/>
      <c r="R315" s="8"/>
      <c r="S315" s="8"/>
      <c r="T315" s="8"/>
      <c r="U315" s="8"/>
      <c r="V315" s="8"/>
      <c r="W315" s="8"/>
      <c r="X315" s="8"/>
      <c r="Y315" s="8"/>
      <c r="Z315" s="8"/>
    </row>
    <row r="316" ht="18.0" customHeight="1">
      <c r="A316" s="8"/>
      <c r="B316" s="8"/>
      <c r="C316" s="8"/>
      <c r="D316" s="25"/>
      <c r="E316" s="25"/>
      <c r="F316" s="8"/>
      <c r="G316" s="8"/>
      <c r="H316" s="8"/>
      <c r="I316" s="8"/>
      <c r="J316" s="30" t="str">
        <f t="shared" si="8"/>
        <v/>
      </c>
      <c r="K316" s="30" t="str">
        <f t="shared" si="9"/>
        <v/>
      </c>
      <c r="L316" s="30" t="str">
        <f t="shared" si="10"/>
        <v/>
      </c>
      <c r="M316" s="30" t="str">
        <f t="shared" si="11"/>
        <v/>
      </c>
      <c r="N316" s="30" t="str">
        <f t="shared" si="7"/>
        <v/>
      </c>
      <c r="O316" s="8"/>
      <c r="P316" s="8"/>
      <c r="Q316" s="8"/>
      <c r="R316" s="8"/>
      <c r="S316" s="8"/>
      <c r="T316" s="8"/>
      <c r="U316" s="8"/>
      <c r="V316" s="8"/>
      <c r="W316" s="8"/>
      <c r="X316" s="8"/>
      <c r="Y316" s="8"/>
      <c r="Z316" s="8"/>
    </row>
    <row r="317" ht="18.0" customHeight="1">
      <c r="A317" s="8"/>
      <c r="B317" s="8"/>
      <c r="C317" s="8"/>
      <c r="D317" s="25"/>
      <c r="E317" s="25"/>
      <c r="F317" s="8"/>
      <c r="G317" s="8"/>
      <c r="H317" s="8"/>
      <c r="I317" s="8"/>
      <c r="J317" s="30" t="str">
        <f t="shared" si="8"/>
        <v/>
      </c>
      <c r="K317" s="30" t="str">
        <f t="shared" si="9"/>
        <v/>
      </c>
      <c r="L317" s="30" t="str">
        <f t="shared" si="10"/>
        <v/>
      </c>
      <c r="M317" s="30" t="str">
        <f t="shared" si="11"/>
        <v/>
      </c>
      <c r="N317" s="30" t="str">
        <f t="shared" si="7"/>
        <v/>
      </c>
      <c r="O317" s="8"/>
      <c r="P317" s="8"/>
      <c r="Q317" s="8"/>
      <c r="R317" s="8"/>
      <c r="S317" s="8"/>
      <c r="T317" s="8"/>
      <c r="U317" s="8"/>
      <c r="V317" s="8"/>
      <c r="W317" s="8"/>
      <c r="X317" s="8"/>
      <c r="Y317" s="8"/>
      <c r="Z317" s="8"/>
    </row>
    <row r="318" ht="18.0" customHeight="1">
      <c r="A318" s="8"/>
      <c r="B318" s="8"/>
      <c r="C318" s="8"/>
      <c r="D318" s="25"/>
      <c r="E318" s="25"/>
      <c r="F318" s="8"/>
      <c r="G318" s="8"/>
      <c r="H318" s="8"/>
      <c r="I318" s="8"/>
      <c r="J318" s="30" t="str">
        <f t="shared" si="8"/>
        <v/>
      </c>
      <c r="K318" s="30" t="str">
        <f t="shared" si="9"/>
        <v/>
      </c>
      <c r="L318" s="30" t="str">
        <f t="shared" si="10"/>
        <v/>
      </c>
      <c r="M318" s="30" t="str">
        <f t="shared" si="11"/>
        <v/>
      </c>
      <c r="N318" s="30" t="str">
        <f t="shared" si="7"/>
        <v/>
      </c>
      <c r="O318" s="8"/>
      <c r="P318" s="8"/>
      <c r="Q318" s="8"/>
      <c r="R318" s="8"/>
      <c r="S318" s="8"/>
      <c r="T318" s="8"/>
      <c r="U318" s="8"/>
      <c r="V318" s="8"/>
      <c r="W318" s="8"/>
      <c r="X318" s="8"/>
      <c r="Y318" s="8"/>
      <c r="Z318" s="8"/>
    </row>
    <row r="319" ht="18.0" customHeight="1">
      <c r="A319" s="8"/>
      <c r="B319" s="8"/>
      <c r="C319" s="8"/>
      <c r="D319" s="25"/>
      <c r="E319" s="25"/>
      <c r="F319" s="8"/>
      <c r="G319" s="8"/>
      <c r="H319" s="8"/>
      <c r="I319" s="8"/>
      <c r="J319" s="30" t="str">
        <f t="shared" si="8"/>
        <v/>
      </c>
      <c r="K319" s="30" t="str">
        <f t="shared" si="9"/>
        <v/>
      </c>
      <c r="L319" s="30" t="str">
        <f t="shared" si="10"/>
        <v/>
      </c>
      <c r="M319" s="30" t="str">
        <f t="shared" si="11"/>
        <v/>
      </c>
      <c r="N319" s="30" t="str">
        <f t="shared" si="7"/>
        <v/>
      </c>
      <c r="O319" s="8"/>
      <c r="P319" s="8"/>
      <c r="Q319" s="8"/>
      <c r="R319" s="8"/>
      <c r="S319" s="8"/>
      <c r="T319" s="8"/>
      <c r="U319" s="8"/>
      <c r="V319" s="8"/>
      <c r="W319" s="8"/>
      <c r="X319" s="8"/>
      <c r="Y319" s="8"/>
      <c r="Z319" s="8"/>
    </row>
    <row r="320" ht="18.0" customHeight="1">
      <c r="A320" s="8"/>
      <c r="B320" s="8"/>
      <c r="C320" s="8"/>
      <c r="D320" s="25"/>
      <c r="E320" s="25"/>
      <c r="F320" s="8"/>
      <c r="G320" s="8"/>
      <c r="H320" s="8"/>
      <c r="I320" s="8"/>
      <c r="J320" s="30" t="str">
        <f t="shared" si="8"/>
        <v/>
      </c>
      <c r="K320" s="30" t="str">
        <f t="shared" si="9"/>
        <v/>
      </c>
      <c r="L320" s="30" t="str">
        <f t="shared" si="10"/>
        <v/>
      </c>
      <c r="M320" s="30" t="str">
        <f t="shared" si="11"/>
        <v/>
      </c>
      <c r="N320" s="30" t="str">
        <f t="shared" si="7"/>
        <v/>
      </c>
      <c r="O320" s="8"/>
      <c r="P320" s="8"/>
      <c r="Q320" s="8"/>
      <c r="R320" s="8"/>
      <c r="S320" s="8"/>
      <c r="T320" s="8"/>
      <c r="U320" s="8"/>
      <c r="V320" s="8"/>
      <c r="W320" s="8"/>
      <c r="X320" s="8"/>
      <c r="Y320" s="8"/>
      <c r="Z320" s="8"/>
    </row>
    <row r="321" ht="18.0" customHeight="1">
      <c r="A321" s="8"/>
      <c r="B321" s="8"/>
      <c r="C321" s="8"/>
      <c r="D321" s="25"/>
      <c r="E321" s="25"/>
      <c r="F321" s="8"/>
      <c r="G321" s="8"/>
      <c r="H321" s="8"/>
      <c r="I321" s="8"/>
      <c r="J321" s="30" t="str">
        <f t="shared" si="8"/>
        <v/>
      </c>
      <c r="K321" s="30" t="str">
        <f t="shared" si="9"/>
        <v/>
      </c>
      <c r="L321" s="30" t="str">
        <f t="shared" si="10"/>
        <v/>
      </c>
      <c r="M321" s="30" t="str">
        <f t="shared" si="11"/>
        <v/>
      </c>
      <c r="N321" s="30" t="str">
        <f t="shared" si="7"/>
        <v/>
      </c>
      <c r="O321" s="8"/>
      <c r="P321" s="8"/>
      <c r="Q321" s="8"/>
      <c r="R321" s="8"/>
      <c r="S321" s="8"/>
      <c r="T321" s="8"/>
      <c r="U321" s="8"/>
      <c r="V321" s="8"/>
      <c r="W321" s="8"/>
      <c r="X321" s="8"/>
      <c r="Y321" s="8"/>
      <c r="Z321" s="8"/>
    </row>
    <row r="322" ht="18.0" customHeight="1">
      <c r="A322" s="8"/>
      <c r="B322" s="8"/>
      <c r="C322" s="8"/>
      <c r="D322" s="25"/>
      <c r="E322" s="25"/>
      <c r="F322" s="8"/>
      <c r="G322" s="8"/>
      <c r="H322" s="8"/>
      <c r="I322" s="8"/>
      <c r="J322" s="30" t="str">
        <f t="shared" si="8"/>
        <v/>
      </c>
      <c r="K322" s="30" t="str">
        <f t="shared" si="9"/>
        <v/>
      </c>
      <c r="L322" s="30" t="str">
        <f t="shared" si="10"/>
        <v/>
      </c>
      <c r="M322" s="30" t="str">
        <f t="shared" si="11"/>
        <v/>
      </c>
      <c r="N322" s="30" t="str">
        <f t="shared" si="7"/>
        <v/>
      </c>
      <c r="O322" s="8"/>
      <c r="P322" s="8"/>
      <c r="Q322" s="8"/>
      <c r="R322" s="8"/>
      <c r="S322" s="8"/>
      <c r="T322" s="8"/>
      <c r="U322" s="8"/>
      <c r="V322" s="8"/>
      <c r="W322" s="8"/>
      <c r="X322" s="8"/>
      <c r="Y322" s="8"/>
      <c r="Z322" s="8"/>
    </row>
    <row r="323" ht="18.0" customHeight="1">
      <c r="A323" s="8"/>
      <c r="B323" s="8"/>
      <c r="C323" s="8"/>
      <c r="D323" s="25"/>
      <c r="E323" s="25"/>
      <c r="F323" s="8"/>
      <c r="G323" s="8"/>
      <c r="H323" s="8"/>
      <c r="I323" s="8"/>
      <c r="J323" s="30" t="str">
        <f t="shared" si="8"/>
        <v/>
      </c>
      <c r="K323" s="30" t="str">
        <f t="shared" si="9"/>
        <v/>
      </c>
      <c r="L323" s="30" t="str">
        <f t="shared" si="10"/>
        <v/>
      </c>
      <c r="M323" s="30" t="str">
        <f t="shared" si="11"/>
        <v/>
      </c>
      <c r="N323" s="30" t="str">
        <f t="shared" si="7"/>
        <v/>
      </c>
      <c r="O323" s="8"/>
      <c r="P323" s="8"/>
      <c r="Q323" s="8"/>
      <c r="R323" s="8"/>
      <c r="S323" s="8"/>
      <c r="T323" s="8"/>
      <c r="U323" s="8"/>
      <c r="V323" s="8"/>
      <c r="W323" s="8"/>
      <c r="X323" s="8"/>
      <c r="Y323" s="8"/>
      <c r="Z323" s="8"/>
    </row>
    <row r="324" ht="18.0" customHeight="1">
      <c r="A324" s="8"/>
      <c r="B324" s="8"/>
      <c r="C324" s="8"/>
      <c r="D324" s="25"/>
      <c r="E324" s="25"/>
      <c r="F324" s="8"/>
      <c r="G324" s="8"/>
      <c r="H324" s="8"/>
      <c r="I324" s="8"/>
      <c r="J324" s="30" t="str">
        <f t="shared" si="8"/>
        <v/>
      </c>
      <c r="K324" s="30" t="str">
        <f t="shared" si="9"/>
        <v/>
      </c>
      <c r="L324" s="30" t="str">
        <f t="shared" si="10"/>
        <v/>
      </c>
      <c r="M324" s="30" t="str">
        <f t="shared" si="11"/>
        <v/>
      </c>
      <c r="N324" s="30" t="str">
        <f t="shared" si="7"/>
        <v/>
      </c>
      <c r="O324" s="8"/>
      <c r="P324" s="8"/>
      <c r="Q324" s="8"/>
      <c r="R324" s="8"/>
      <c r="S324" s="8"/>
      <c r="T324" s="8"/>
      <c r="U324" s="8"/>
      <c r="V324" s="8"/>
      <c r="W324" s="8"/>
      <c r="X324" s="8"/>
      <c r="Y324" s="8"/>
      <c r="Z324" s="8"/>
    </row>
    <row r="325" ht="18.0" customHeight="1">
      <c r="A325" s="8"/>
      <c r="B325" s="8"/>
      <c r="C325" s="8"/>
      <c r="D325" s="25"/>
      <c r="E325" s="25"/>
      <c r="F325" s="8"/>
      <c r="G325" s="8"/>
      <c r="H325" s="8"/>
      <c r="I325" s="8"/>
      <c r="J325" s="30" t="str">
        <f t="shared" si="8"/>
        <v/>
      </c>
      <c r="K325" s="30" t="str">
        <f t="shared" si="9"/>
        <v/>
      </c>
      <c r="L325" s="30" t="str">
        <f t="shared" si="10"/>
        <v/>
      </c>
      <c r="M325" s="30" t="str">
        <f t="shared" si="11"/>
        <v/>
      </c>
      <c r="N325" s="30" t="str">
        <f t="shared" si="7"/>
        <v/>
      </c>
      <c r="O325" s="8"/>
      <c r="P325" s="8"/>
      <c r="Q325" s="8"/>
      <c r="R325" s="8"/>
      <c r="S325" s="8"/>
      <c r="T325" s="8"/>
      <c r="U325" s="8"/>
      <c r="V325" s="8"/>
      <c r="W325" s="8"/>
      <c r="X325" s="8"/>
      <c r="Y325" s="8"/>
      <c r="Z325" s="8"/>
    </row>
    <row r="326" ht="18.0" customHeight="1">
      <c r="A326" s="8"/>
      <c r="B326" s="8"/>
      <c r="C326" s="8"/>
      <c r="D326" s="25"/>
      <c r="E326" s="25"/>
      <c r="F326" s="8"/>
      <c r="G326" s="8"/>
      <c r="H326" s="8"/>
      <c r="I326" s="8"/>
      <c r="J326" s="30" t="str">
        <f t="shared" si="8"/>
        <v/>
      </c>
      <c r="K326" s="30" t="str">
        <f t="shared" si="9"/>
        <v/>
      </c>
      <c r="L326" s="30" t="str">
        <f t="shared" si="10"/>
        <v/>
      </c>
      <c r="M326" s="30" t="str">
        <f t="shared" si="11"/>
        <v/>
      </c>
      <c r="N326" s="30" t="str">
        <f t="shared" si="7"/>
        <v/>
      </c>
      <c r="O326" s="8"/>
      <c r="P326" s="8"/>
      <c r="Q326" s="8"/>
      <c r="R326" s="8"/>
      <c r="S326" s="8"/>
      <c r="T326" s="8"/>
      <c r="U326" s="8"/>
      <c r="V326" s="8"/>
      <c r="W326" s="8"/>
      <c r="X326" s="8"/>
      <c r="Y326" s="8"/>
      <c r="Z326" s="8"/>
    </row>
    <row r="327" ht="18.0" customHeight="1">
      <c r="A327" s="8"/>
      <c r="B327" s="8"/>
      <c r="C327" s="8"/>
      <c r="D327" s="25"/>
      <c r="E327" s="25"/>
      <c r="F327" s="8"/>
      <c r="G327" s="8"/>
      <c r="H327" s="8"/>
      <c r="I327" s="8"/>
      <c r="J327" s="30" t="str">
        <f t="shared" si="8"/>
        <v/>
      </c>
      <c r="K327" s="30" t="str">
        <f t="shared" si="9"/>
        <v/>
      </c>
      <c r="L327" s="30" t="str">
        <f t="shared" si="10"/>
        <v/>
      </c>
      <c r="M327" s="30" t="str">
        <f t="shared" si="11"/>
        <v/>
      </c>
      <c r="N327" s="30" t="str">
        <f t="shared" si="7"/>
        <v/>
      </c>
      <c r="O327" s="8"/>
      <c r="P327" s="8"/>
      <c r="Q327" s="8"/>
      <c r="R327" s="8"/>
      <c r="S327" s="8"/>
      <c r="T327" s="8"/>
      <c r="U327" s="8"/>
      <c r="V327" s="8"/>
      <c r="W327" s="8"/>
      <c r="X327" s="8"/>
      <c r="Y327" s="8"/>
      <c r="Z327" s="8"/>
    </row>
    <row r="328" ht="18.0" customHeight="1">
      <c r="A328" s="8"/>
      <c r="B328" s="8"/>
      <c r="C328" s="8"/>
      <c r="D328" s="25"/>
      <c r="E328" s="25"/>
      <c r="F328" s="8"/>
      <c r="G328" s="8"/>
      <c r="H328" s="8"/>
      <c r="I328" s="8"/>
      <c r="J328" s="30" t="str">
        <f t="shared" si="8"/>
        <v/>
      </c>
      <c r="K328" s="30" t="str">
        <f t="shared" si="9"/>
        <v/>
      </c>
      <c r="L328" s="30" t="str">
        <f t="shared" si="10"/>
        <v/>
      </c>
      <c r="M328" s="30" t="str">
        <f t="shared" si="11"/>
        <v/>
      </c>
      <c r="N328" s="30" t="str">
        <f t="shared" si="7"/>
        <v/>
      </c>
      <c r="O328" s="8"/>
      <c r="P328" s="8"/>
      <c r="Q328" s="8"/>
      <c r="R328" s="8"/>
      <c r="S328" s="8"/>
      <c r="T328" s="8"/>
      <c r="U328" s="8"/>
      <c r="V328" s="8"/>
      <c r="W328" s="8"/>
      <c r="X328" s="8"/>
      <c r="Y328" s="8"/>
      <c r="Z328" s="8"/>
    </row>
    <row r="329" ht="18.0" customHeight="1">
      <c r="A329" s="8"/>
      <c r="B329" s="8"/>
      <c r="C329" s="8"/>
      <c r="D329" s="25"/>
      <c r="E329" s="25"/>
      <c r="F329" s="8"/>
      <c r="G329" s="8"/>
      <c r="H329" s="8"/>
      <c r="I329" s="8"/>
      <c r="J329" s="30" t="str">
        <f t="shared" si="8"/>
        <v/>
      </c>
      <c r="K329" s="30" t="str">
        <f t="shared" si="9"/>
        <v/>
      </c>
      <c r="L329" s="30" t="str">
        <f t="shared" si="10"/>
        <v/>
      </c>
      <c r="M329" s="30" t="str">
        <f t="shared" si="11"/>
        <v/>
      </c>
      <c r="N329" s="30" t="str">
        <f t="shared" si="7"/>
        <v/>
      </c>
      <c r="O329" s="8"/>
      <c r="P329" s="8"/>
      <c r="Q329" s="8"/>
      <c r="R329" s="8"/>
      <c r="S329" s="8"/>
      <c r="T329" s="8"/>
      <c r="U329" s="8"/>
      <c r="V329" s="8"/>
      <c r="W329" s="8"/>
      <c r="X329" s="8"/>
      <c r="Y329" s="8"/>
      <c r="Z329" s="8"/>
    </row>
    <row r="330" ht="18.0" customHeight="1">
      <c r="A330" s="8"/>
      <c r="B330" s="8"/>
      <c r="C330" s="8"/>
      <c r="D330" s="25"/>
      <c r="E330" s="25"/>
      <c r="F330" s="8"/>
      <c r="G330" s="8"/>
      <c r="H330" s="8"/>
      <c r="I330" s="8"/>
      <c r="J330" s="30" t="str">
        <f t="shared" si="8"/>
        <v/>
      </c>
      <c r="K330" s="30" t="str">
        <f t="shared" si="9"/>
        <v/>
      </c>
      <c r="L330" s="30" t="str">
        <f t="shared" si="10"/>
        <v/>
      </c>
      <c r="M330" s="30" t="str">
        <f t="shared" si="11"/>
        <v/>
      </c>
      <c r="N330" s="30" t="str">
        <f t="shared" si="7"/>
        <v/>
      </c>
      <c r="O330" s="8"/>
      <c r="P330" s="8"/>
      <c r="Q330" s="8"/>
      <c r="R330" s="8"/>
      <c r="S330" s="8"/>
      <c r="T330" s="8"/>
      <c r="U330" s="8"/>
      <c r="V330" s="8"/>
      <c r="W330" s="8"/>
      <c r="X330" s="8"/>
      <c r="Y330" s="8"/>
      <c r="Z330" s="8"/>
    </row>
    <row r="331" ht="18.0" customHeight="1">
      <c r="A331" s="8"/>
      <c r="B331" s="8"/>
      <c r="C331" s="8"/>
      <c r="D331" s="25"/>
      <c r="E331" s="25"/>
      <c r="F331" s="8"/>
      <c r="G331" s="8"/>
      <c r="H331" s="8"/>
      <c r="I331" s="8"/>
      <c r="J331" s="30" t="str">
        <f t="shared" si="8"/>
        <v/>
      </c>
      <c r="K331" s="30" t="str">
        <f t="shared" si="9"/>
        <v/>
      </c>
      <c r="L331" s="30" t="str">
        <f t="shared" si="10"/>
        <v/>
      </c>
      <c r="M331" s="30" t="str">
        <f t="shared" si="11"/>
        <v/>
      </c>
      <c r="N331" s="30" t="str">
        <f t="shared" si="7"/>
        <v/>
      </c>
      <c r="O331" s="8"/>
      <c r="P331" s="8"/>
      <c r="Q331" s="8"/>
      <c r="R331" s="8"/>
      <c r="S331" s="8"/>
      <c r="T331" s="8"/>
      <c r="U331" s="8"/>
      <c r="V331" s="8"/>
      <c r="W331" s="8"/>
      <c r="X331" s="8"/>
      <c r="Y331" s="8"/>
      <c r="Z331" s="8"/>
    </row>
    <row r="332" ht="18.0" customHeight="1">
      <c r="A332" s="8"/>
      <c r="B332" s="8"/>
      <c r="C332" s="8"/>
      <c r="D332" s="25"/>
      <c r="E332" s="25"/>
      <c r="F332" s="8"/>
      <c r="G332" s="8"/>
      <c r="H332" s="8"/>
      <c r="I332" s="8"/>
      <c r="J332" s="30" t="str">
        <f t="shared" si="8"/>
        <v/>
      </c>
      <c r="K332" s="30" t="str">
        <f t="shared" si="9"/>
        <v/>
      </c>
      <c r="L332" s="30" t="str">
        <f t="shared" si="10"/>
        <v/>
      </c>
      <c r="M332" s="30" t="str">
        <f t="shared" si="11"/>
        <v/>
      </c>
      <c r="N332" s="30" t="str">
        <f t="shared" si="7"/>
        <v/>
      </c>
      <c r="O332" s="8"/>
      <c r="P332" s="8"/>
      <c r="Q332" s="8"/>
      <c r="R332" s="8"/>
      <c r="S332" s="8"/>
      <c r="T332" s="8"/>
      <c r="U332" s="8"/>
      <c r="V332" s="8"/>
      <c r="W332" s="8"/>
      <c r="X332" s="8"/>
      <c r="Y332" s="8"/>
      <c r="Z332" s="8"/>
    </row>
    <row r="333" ht="18.0" customHeight="1">
      <c r="A333" s="8"/>
      <c r="B333" s="8"/>
      <c r="C333" s="8"/>
      <c r="D333" s="25"/>
      <c r="E333" s="25"/>
      <c r="F333" s="8"/>
      <c r="G333" s="8"/>
      <c r="H333" s="8"/>
      <c r="I333" s="8"/>
      <c r="J333" s="30" t="str">
        <f t="shared" si="8"/>
        <v/>
      </c>
      <c r="K333" s="30" t="str">
        <f t="shared" si="9"/>
        <v/>
      </c>
      <c r="L333" s="30" t="str">
        <f t="shared" si="10"/>
        <v/>
      </c>
      <c r="M333" s="30" t="str">
        <f t="shared" si="11"/>
        <v/>
      </c>
      <c r="N333" s="30" t="str">
        <f t="shared" si="7"/>
        <v/>
      </c>
      <c r="O333" s="8"/>
      <c r="P333" s="8"/>
      <c r="Q333" s="8"/>
      <c r="R333" s="8"/>
      <c r="S333" s="8"/>
      <c r="T333" s="8"/>
      <c r="U333" s="8"/>
      <c r="V333" s="8"/>
      <c r="W333" s="8"/>
      <c r="X333" s="8"/>
      <c r="Y333" s="8"/>
      <c r="Z333" s="8"/>
    </row>
    <row r="334" ht="18.0" customHeight="1">
      <c r="A334" s="8"/>
      <c r="B334" s="8"/>
      <c r="C334" s="8"/>
      <c r="D334" s="25"/>
      <c r="E334" s="25"/>
      <c r="F334" s="8"/>
      <c r="G334" s="8"/>
      <c r="H334" s="8"/>
      <c r="I334" s="8"/>
      <c r="J334" s="30" t="str">
        <f t="shared" si="8"/>
        <v/>
      </c>
      <c r="K334" s="30" t="str">
        <f t="shared" si="9"/>
        <v/>
      </c>
      <c r="L334" s="30" t="str">
        <f t="shared" si="10"/>
        <v/>
      </c>
      <c r="M334" s="30" t="str">
        <f t="shared" si="11"/>
        <v/>
      </c>
      <c r="N334" s="30" t="str">
        <f t="shared" si="7"/>
        <v/>
      </c>
      <c r="O334" s="8"/>
      <c r="P334" s="8"/>
      <c r="Q334" s="8"/>
      <c r="R334" s="8"/>
      <c r="S334" s="8"/>
      <c r="T334" s="8"/>
      <c r="U334" s="8"/>
      <c r="V334" s="8"/>
      <c r="W334" s="8"/>
      <c r="X334" s="8"/>
      <c r="Y334" s="8"/>
      <c r="Z334" s="8"/>
    </row>
    <row r="335" ht="18.0" customHeight="1">
      <c r="A335" s="8"/>
      <c r="B335" s="8"/>
      <c r="C335" s="8"/>
      <c r="D335" s="25"/>
      <c r="E335" s="25"/>
      <c r="F335" s="8"/>
      <c r="G335" s="8"/>
      <c r="H335" s="8"/>
      <c r="I335" s="8"/>
      <c r="J335" s="30" t="str">
        <f t="shared" si="8"/>
        <v/>
      </c>
      <c r="K335" s="30" t="str">
        <f t="shared" si="9"/>
        <v/>
      </c>
      <c r="L335" s="30" t="str">
        <f t="shared" si="10"/>
        <v/>
      </c>
      <c r="M335" s="30" t="str">
        <f t="shared" si="11"/>
        <v/>
      </c>
      <c r="N335" s="30" t="str">
        <f t="shared" si="7"/>
        <v/>
      </c>
      <c r="O335" s="8"/>
      <c r="P335" s="8"/>
      <c r="Q335" s="8"/>
      <c r="R335" s="8"/>
      <c r="S335" s="8"/>
      <c r="T335" s="8"/>
      <c r="U335" s="8"/>
      <c r="V335" s="8"/>
      <c r="W335" s="8"/>
      <c r="X335" s="8"/>
      <c r="Y335" s="8"/>
      <c r="Z335" s="8"/>
    </row>
    <row r="336" ht="18.0" customHeight="1">
      <c r="A336" s="8"/>
      <c r="B336" s="8"/>
      <c r="C336" s="8"/>
      <c r="D336" s="25"/>
      <c r="E336" s="25"/>
      <c r="F336" s="8"/>
      <c r="G336" s="8"/>
      <c r="H336" s="8"/>
      <c r="I336" s="8"/>
      <c r="J336" s="30" t="str">
        <f t="shared" si="8"/>
        <v/>
      </c>
      <c r="K336" s="30" t="str">
        <f t="shared" si="9"/>
        <v/>
      </c>
      <c r="L336" s="30" t="str">
        <f t="shared" si="10"/>
        <v/>
      </c>
      <c r="M336" s="30" t="str">
        <f t="shared" si="11"/>
        <v/>
      </c>
      <c r="N336" s="30" t="str">
        <f t="shared" si="7"/>
        <v/>
      </c>
      <c r="O336" s="8"/>
      <c r="P336" s="8"/>
      <c r="Q336" s="8"/>
      <c r="R336" s="8"/>
      <c r="S336" s="8"/>
      <c r="T336" s="8"/>
      <c r="U336" s="8"/>
      <c r="V336" s="8"/>
      <c r="W336" s="8"/>
      <c r="X336" s="8"/>
      <c r="Y336" s="8"/>
      <c r="Z336" s="8"/>
    </row>
    <row r="337" ht="18.0" customHeight="1">
      <c r="A337" s="8"/>
      <c r="B337" s="8"/>
      <c r="C337" s="8"/>
      <c r="D337" s="25"/>
      <c r="E337" s="25"/>
      <c r="F337" s="8"/>
      <c r="G337" s="8"/>
      <c r="H337" s="8"/>
      <c r="I337" s="8"/>
      <c r="J337" s="30" t="str">
        <f t="shared" si="8"/>
        <v/>
      </c>
      <c r="K337" s="30" t="str">
        <f t="shared" si="9"/>
        <v/>
      </c>
      <c r="L337" s="30" t="str">
        <f t="shared" si="10"/>
        <v/>
      </c>
      <c r="M337" s="30" t="str">
        <f t="shared" si="11"/>
        <v/>
      </c>
      <c r="N337" s="30" t="str">
        <f t="shared" si="7"/>
        <v/>
      </c>
      <c r="O337" s="8"/>
      <c r="P337" s="8"/>
      <c r="Q337" s="8"/>
      <c r="R337" s="8"/>
      <c r="S337" s="8"/>
      <c r="T337" s="8"/>
      <c r="U337" s="8"/>
      <c r="V337" s="8"/>
      <c r="W337" s="8"/>
      <c r="X337" s="8"/>
      <c r="Y337" s="8"/>
      <c r="Z337" s="8"/>
    </row>
    <row r="338" ht="18.0" customHeight="1">
      <c r="A338" s="8"/>
      <c r="B338" s="8"/>
      <c r="C338" s="8"/>
      <c r="D338" s="25"/>
      <c r="E338" s="25"/>
      <c r="F338" s="8"/>
      <c r="G338" s="8"/>
      <c r="H338" s="8"/>
      <c r="I338" s="8"/>
      <c r="J338" s="30" t="str">
        <f t="shared" si="8"/>
        <v/>
      </c>
      <c r="K338" s="30" t="str">
        <f t="shared" si="9"/>
        <v/>
      </c>
      <c r="L338" s="30" t="str">
        <f t="shared" si="10"/>
        <v/>
      </c>
      <c r="M338" s="30" t="str">
        <f t="shared" si="11"/>
        <v/>
      </c>
      <c r="N338" s="30" t="str">
        <f t="shared" si="7"/>
        <v/>
      </c>
      <c r="O338" s="8"/>
      <c r="P338" s="8"/>
      <c r="Q338" s="8"/>
      <c r="R338" s="8"/>
      <c r="S338" s="8"/>
      <c r="T338" s="8"/>
      <c r="U338" s="8"/>
      <c r="V338" s="8"/>
      <c r="W338" s="8"/>
      <c r="X338" s="8"/>
      <c r="Y338" s="8"/>
      <c r="Z338" s="8"/>
    </row>
    <row r="339" ht="18.0" customHeight="1">
      <c r="A339" s="8"/>
      <c r="B339" s="8"/>
      <c r="C339" s="8"/>
      <c r="D339" s="25"/>
      <c r="E339" s="25"/>
      <c r="F339" s="8"/>
      <c r="G339" s="8"/>
      <c r="H339" s="8"/>
      <c r="I339" s="8"/>
      <c r="J339" s="30" t="str">
        <f t="shared" si="8"/>
        <v/>
      </c>
      <c r="K339" s="30" t="str">
        <f t="shared" si="9"/>
        <v/>
      </c>
      <c r="L339" s="30" t="str">
        <f t="shared" si="10"/>
        <v/>
      </c>
      <c r="M339" s="30" t="str">
        <f t="shared" si="11"/>
        <v/>
      </c>
      <c r="N339" s="30" t="str">
        <f t="shared" si="7"/>
        <v/>
      </c>
      <c r="O339" s="8"/>
      <c r="P339" s="8"/>
      <c r="Q339" s="8"/>
      <c r="R339" s="8"/>
      <c r="S339" s="8"/>
      <c r="T339" s="8"/>
      <c r="U339" s="8"/>
      <c r="V339" s="8"/>
      <c r="W339" s="8"/>
      <c r="X339" s="8"/>
      <c r="Y339" s="8"/>
      <c r="Z339" s="8"/>
    </row>
    <row r="340" ht="18.0" customHeight="1">
      <c r="A340" s="8"/>
      <c r="B340" s="8"/>
      <c r="C340" s="8"/>
      <c r="D340" s="25"/>
      <c r="E340" s="25"/>
      <c r="F340" s="8"/>
      <c r="G340" s="8"/>
      <c r="H340" s="8"/>
      <c r="I340" s="8"/>
      <c r="J340" s="30" t="str">
        <f t="shared" si="8"/>
        <v/>
      </c>
      <c r="K340" s="30" t="str">
        <f t="shared" si="9"/>
        <v/>
      </c>
      <c r="L340" s="30" t="str">
        <f t="shared" si="10"/>
        <v/>
      </c>
      <c r="M340" s="30" t="str">
        <f t="shared" si="11"/>
        <v/>
      </c>
      <c r="N340" s="30" t="str">
        <f t="shared" si="7"/>
        <v/>
      </c>
      <c r="O340" s="8"/>
      <c r="P340" s="8"/>
      <c r="Q340" s="8"/>
      <c r="R340" s="8"/>
      <c r="S340" s="8"/>
      <c r="T340" s="8"/>
      <c r="U340" s="8"/>
      <c r="V340" s="8"/>
      <c r="W340" s="8"/>
      <c r="X340" s="8"/>
      <c r="Y340" s="8"/>
      <c r="Z340" s="8"/>
    </row>
    <row r="341" ht="18.0" customHeight="1">
      <c r="A341" s="8"/>
      <c r="B341" s="8"/>
      <c r="C341" s="8"/>
      <c r="D341" s="25"/>
      <c r="E341" s="25"/>
      <c r="F341" s="8"/>
      <c r="G341" s="8"/>
      <c r="H341" s="8"/>
      <c r="I341" s="8"/>
      <c r="J341" s="30" t="str">
        <f t="shared" si="8"/>
        <v/>
      </c>
      <c r="K341" s="30" t="str">
        <f t="shared" si="9"/>
        <v/>
      </c>
      <c r="L341" s="30" t="str">
        <f t="shared" si="10"/>
        <v/>
      </c>
      <c r="M341" s="30" t="str">
        <f t="shared" si="11"/>
        <v/>
      </c>
      <c r="N341" s="30" t="str">
        <f t="shared" si="7"/>
        <v/>
      </c>
      <c r="O341" s="8"/>
      <c r="P341" s="8"/>
      <c r="Q341" s="8"/>
      <c r="R341" s="8"/>
      <c r="S341" s="8"/>
      <c r="T341" s="8"/>
      <c r="U341" s="8"/>
      <c r="V341" s="8"/>
      <c r="W341" s="8"/>
      <c r="X341" s="8"/>
      <c r="Y341" s="8"/>
      <c r="Z341" s="8"/>
    </row>
    <row r="342" ht="18.0" customHeight="1">
      <c r="A342" s="8"/>
      <c r="B342" s="8"/>
      <c r="C342" s="8"/>
      <c r="D342" s="25"/>
      <c r="E342" s="25"/>
      <c r="F342" s="8"/>
      <c r="G342" s="8"/>
      <c r="H342" s="8"/>
      <c r="I342" s="8"/>
      <c r="J342" s="30" t="str">
        <f t="shared" si="8"/>
        <v/>
      </c>
      <c r="K342" s="30" t="str">
        <f t="shared" si="9"/>
        <v/>
      </c>
      <c r="L342" s="30" t="str">
        <f t="shared" si="10"/>
        <v/>
      </c>
      <c r="M342" s="30" t="str">
        <f t="shared" si="11"/>
        <v/>
      </c>
      <c r="N342" s="30" t="str">
        <f t="shared" si="7"/>
        <v/>
      </c>
      <c r="O342" s="8"/>
      <c r="P342" s="8"/>
      <c r="Q342" s="8"/>
      <c r="R342" s="8"/>
      <c r="S342" s="8"/>
      <c r="T342" s="8"/>
      <c r="U342" s="8"/>
      <c r="V342" s="8"/>
      <c r="W342" s="8"/>
      <c r="X342" s="8"/>
      <c r="Y342" s="8"/>
      <c r="Z342" s="8"/>
    </row>
    <row r="343" ht="18.0" customHeight="1">
      <c r="A343" s="8"/>
      <c r="B343" s="8"/>
      <c r="C343" s="8"/>
      <c r="D343" s="25"/>
      <c r="E343" s="25"/>
      <c r="F343" s="8"/>
      <c r="G343" s="8"/>
      <c r="H343" s="8"/>
      <c r="I343" s="8"/>
      <c r="J343" s="30" t="str">
        <f t="shared" si="8"/>
        <v/>
      </c>
      <c r="K343" s="30" t="str">
        <f t="shared" si="9"/>
        <v/>
      </c>
      <c r="L343" s="30" t="str">
        <f t="shared" si="10"/>
        <v/>
      </c>
      <c r="M343" s="30" t="str">
        <f t="shared" si="11"/>
        <v/>
      </c>
      <c r="N343" s="30" t="str">
        <f t="shared" si="7"/>
        <v/>
      </c>
      <c r="O343" s="8"/>
      <c r="P343" s="8"/>
      <c r="Q343" s="8"/>
      <c r="R343" s="8"/>
      <c r="S343" s="8"/>
      <c r="T343" s="8"/>
      <c r="U343" s="8"/>
      <c r="V343" s="8"/>
      <c r="W343" s="8"/>
      <c r="X343" s="8"/>
      <c r="Y343" s="8"/>
      <c r="Z343" s="8"/>
    </row>
    <row r="344" ht="18.0" customHeight="1">
      <c r="A344" s="8"/>
      <c r="B344" s="8"/>
      <c r="C344" s="8"/>
      <c r="D344" s="25"/>
      <c r="E344" s="25"/>
      <c r="F344" s="8"/>
      <c r="G344" s="8"/>
      <c r="H344" s="8"/>
      <c r="I344" s="8"/>
      <c r="J344" s="30" t="str">
        <f t="shared" si="8"/>
        <v/>
      </c>
      <c r="K344" s="30" t="str">
        <f t="shared" si="9"/>
        <v/>
      </c>
      <c r="L344" s="30" t="str">
        <f t="shared" si="10"/>
        <v/>
      </c>
      <c r="M344" s="30" t="str">
        <f t="shared" si="11"/>
        <v/>
      </c>
      <c r="N344" s="30" t="str">
        <f t="shared" si="7"/>
        <v/>
      </c>
      <c r="O344" s="8"/>
      <c r="P344" s="8"/>
      <c r="Q344" s="8"/>
      <c r="R344" s="8"/>
      <c r="S344" s="8"/>
      <c r="T344" s="8"/>
      <c r="U344" s="8"/>
      <c r="V344" s="8"/>
      <c r="W344" s="8"/>
      <c r="X344" s="8"/>
      <c r="Y344" s="8"/>
      <c r="Z344" s="8"/>
    </row>
    <row r="345" ht="18.0" customHeight="1">
      <c r="A345" s="8"/>
      <c r="B345" s="8"/>
      <c r="C345" s="8"/>
      <c r="D345" s="25"/>
      <c r="E345" s="25"/>
      <c r="F345" s="8"/>
      <c r="G345" s="8"/>
      <c r="H345" s="8"/>
      <c r="I345" s="8"/>
      <c r="J345" s="30" t="str">
        <f t="shared" si="8"/>
        <v/>
      </c>
      <c r="K345" s="30" t="str">
        <f t="shared" si="9"/>
        <v/>
      </c>
      <c r="L345" s="30" t="str">
        <f t="shared" si="10"/>
        <v/>
      </c>
      <c r="M345" s="30" t="str">
        <f t="shared" si="11"/>
        <v/>
      </c>
      <c r="N345" s="30" t="str">
        <f t="shared" si="7"/>
        <v/>
      </c>
      <c r="O345" s="8"/>
      <c r="P345" s="8"/>
      <c r="Q345" s="8"/>
      <c r="R345" s="8"/>
      <c r="S345" s="8"/>
      <c r="T345" s="8"/>
      <c r="U345" s="8"/>
      <c r="V345" s="8"/>
      <c r="W345" s="8"/>
      <c r="X345" s="8"/>
      <c r="Y345" s="8"/>
      <c r="Z345" s="8"/>
    </row>
    <row r="346" ht="18.0" customHeight="1">
      <c r="A346" s="8"/>
      <c r="B346" s="8"/>
      <c r="C346" s="8"/>
      <c r="D346" s="25"/>
      <c r="E346" s="25"/>
      <c r="F346" s="8"/>
      <c r="G346" s="8"/>
      <c r="H346" s="8"/>
      <c r="I346" s="8"/>
      <c r="J346" s="30" t="str">
        <f t="shared" si="8"/>
        <v/>
      </c>
      <c r="K346" s="30" t="str">
        <f t="shared" si="9"/>
        <v/>
      </c>
      <c r="L346" s="30" t="str">
        <f t="shared" si="10"/>
        <v/>
      </c>
      <c r="M346" s="30" t="str">
        <f t="shared" si="11"/>
        <v/>
      </c>
      <c r="N346" s="30" t="str">
        <f t="shared" si="7"/>
        <v/>
      </c>
      <c r="O346" s="8"/>
      <c r="P346" s="8"/>
      <c r="Q346" s="8"/>
      <c r="R346" s="8"/>
      <c r="S346" s="8"/>
      <c r="T346" s="8"/>
      <c r="U346" s="8"/>
      <c r="V346" s="8"/>
      <c r="W346" s="8"/>
      <c r="X346" s="8"/>
      <c r="Y346" s="8"/>
      <c r="Z346" s="8"/>
    </row>
    <row r="347" ht="18.0" customHeight="1">
      <c r="A347" s="8"/>
      <c r="B347" s="8"/>
      <c r="C347" s="8"/>
      <c r="D347" s="25"/>
      <c r="E347" s="25"/>
      <c r="F347" s="8"/>
      <c r="G347" s="8"/>
      <c r="H347" s="8"/>
      <c r="I347" s="8"/>
      <c r="J347" s="30" t="str">
        <f t="shared" si="8"/>
        <v/>
      </c>
      <c r="K347" s="30" t="str">
        <f t="shared" si="9"/>
        <v/>
      </c>
      <c r="L347" s="30" t="str">
        <f t="shared" si="10"/>
        <v/>
      </c>
      <c r="M347" s="30" t="str">
        <f t="shared" si="11"/>
        <v/>
      </c>
      <c r="N347" s="30" t="str">
        <f t="shared" si="7"/>
        <v/>
      </c>
      <c r="O347" s="8"/>
      <c r="P347" s="8"/>
      <c r="Q347" s="8"/>
      <c r="R347" s="8"/>
      <c r="S347" s="8"/>
      <c r="T347" s="8"/>
      <c r="U347" s="8"/>
      <c r="V347" s="8"/>
      <c r="W347" s="8"/>
      <c r="X347" s="8"/>
      <c r="Y347" s="8"/>
      <c r="Z347" s="8"/>
    </row>
    <row r="348" ht="18.0" customHeight="1">
      <c r="A348" s="8"/>
      <c r="B348" s="8"/>
      <c r="C348" s="8"/>
      <c r="D348" s="25"/>
      <c r="E348" s="25"/>
      <c r="F348" s="8"/>
      <c r="G348" s="8"/>
      <c r="H348" s="8"/>
      <c r="I348" s="8"/>
      <c r="J348" s="30" t="str">
        <f t="shared" si="8"/>
        <v/>
      </c>
      <c r="K348" s="30" t="str">
        <f t="shared" si="9"/>
        <v/>
      </c>
      <c r="L348" s="30" t="str">
        <f t="shared" si="10"/>
        <v/>
      </c>
      <c r="M348" s="30" t="str">
        <f t="shared" si="11"/>
        <v/>
      </c>
      <c r="N348" s="30" t="str">
        <f t="shared" si="7"/>
        <v/>
      </c>
      <c r="O348" s="8"/>
      <c r="P348" s="8"/>
      <c r="Q348" s="8"/>
      <c r="R348" s="8"/>
      <c r="S348" s="8"/>
      <c r="T348" s="8"/>
      <c r="U348" s="8"/>
      <c r="V348" s="8"/>
      <c r="W348" s="8"/>
      <c r="X348" s="8"/>
      <c r="Y348" s="8"/>
      <c r="Z348" s="8"/>
    </row>
    <row r="349" ht="18.0" customHeight="1">
      <c r="A349" s="8"/>
      <c r="B349" s="8"/>
      <c r="C349" s="8"/>
      <c r="D349" s="25"/>
      <c r="E349" s="25"/>
      <c r="F349" s="8"/>
      <c r="G349" s="8"/>
      <c r="H349" s="8"/>
      <c r="I349" s="8"/>
      <c r="J349" s="30" t="str">
        <f t="shared" si="8"/>
        <v/>
      </c>
      <c r="K349" s="30" t="str">
        <f t="shared" si="9"/>
        <v/>
      </c>
      <c r="L349" s="30" t="str">
        <f t="shared" si="10"/>
        <v/>
      </c>
      <c r="M349" s="30" t="str">
        <f t="shared" si="11"/>
        <v/>
      </c>
      <c r="N349" s="30" t="str">
        <f t="shared" si="7"/>
        <v/>
      </c>
      <c r="O349" s="8"/>
      <c r="P349" s="8"/>
      <c r="Q349" s="8"/>
      <c r="R349" s="8"/>
      <c r="S349" s="8"/>
      <c r="T349" s="8"/>
      <c r="U349" s="8"/>
      <c r="V349" s="8"/>
      <c r="W349" s="8"/>
      <c r="X349" s="8"/>
      <c r="Y349" s="8"/>
      <c r="Z349" s="8"/>
    </row>
    <row r="350" ht="18.0" customHeight="1">
      <c r="A350" s="8"/>
      <c r="B350" s="8"/>
      <c r="C350" s="8"/>
      <c r="D350" s="25"/>
      <c r="E350" s="25"/>
      <c r="F350" s="8"/>
      <c r="G350" s="8"/>
      <c r="H350" s="8"/>
      <c r="I350" s="8"/>
      <c r="J350" s="30" t="str">
        <f t="shared" si="8"/>
        <v/>
      </c>
      <c r="K350" s="30" t="str">
        <f t="shared" si="9"/>
        <v/>
      </c>
      <c r="L350" s="30" t="str">
        <f t="shared" si="10"/>
        <v/>
      </c>
      <c r="M350" s="30" t="str">
        <f t="shared" si="11"/>
        <v/>
      </c>
      <c r="N350" s="30" t="str">
        <f t="shared" si="7"/>
        <v/>
      </c>
      <c r="O350" s="8"/>
      <c r="P350" s="8"/>
      <c r="Q350" s="8"/>
      <c r="R350" s="8"/>
      <c r="S350" s="8"/>
      <c r="T350" s="8"/>
      <c r="U350" s="8"/>
      <c r="V350" s="8"/>
      <c r="W350" s="8"/>
      <c r="X350" s="8"/>
      <c r="Y350" s="8"/>
      <c r="Z350" s="8"/>
    </row>
    <row r="351" ht="18.0" customHeight="1">
      <c r="A351" s="8"/>
      <c r="B351" s="8"/>
      <c r="C351" s="8"/>
      <c r="D351" s="25"/>
      <c r="E351" s="25"/>
      <c r="F351" s="8"/>
      <c r="G351" s="8"/>
      <c r="H351" s="8"/>
      <c r="I351" s="8"/>
      <c r="J351" s="30" t="str">
        <f t="shared" si="8"/>
        <v/>
      </c>
      <c r="K351" s="30" t="str">
        <f t="shared" si="9"/>
        <v/>
      </c>
      <c r="L351" s="30" t="str">
        <f t="shared" si="10"/>
        <v/>
      </c>
      <c r="M351" s="30" t="str">
        <f t="shared" si="11"/>
        <v/>
      </c>
      <c r="N351" s="30" t="str">
        <f t="shared" si="7"/>
        <v/>
      </c>
      <c r="O351" s="8"/>
      <c r="P351" s="8"/>
      <c r="Q351" s="8"/>
      <c r="R351" s="8"/>
      <c r="S351" s="8"/>
      <c r="T351" s="8"/>
      <c r="U351" s="8"/>
      <c r="V351" s="8"/>
      <c r="W351" s="8"/>
      <c r="X351" s="8"/>
      <c r="Y351" s="8"/>
      <c r="Z351" s="8"/>
    </row>
    <row r="352" ht="18.0" customHeight="1">
      <c r="A352" s="8"/>
      <c r="B352" s="8"/>
      <c r="C352" s="8"/>
      <c r="D352" s="25"/>
      <c r="E352" s="25"/>
      <c r="F352" s="8"/>
      <c r="G352" s="8"/>
      <c r="H352" s="8"/>
      <c r="I352" s="8"/>
      <c r="J352" s="30" t="str">
        <f t="shared" si="8"/>
        <v/>
      </c>
      <c r="K352" s="30" t="str">
        <f t="shared" si="9"/>
        <v/>
      </c>
      <c r="L352" s="30" t="str">
        <f t="shared" si="10"/>
        <v/>
      </c>
      <c r="M352" s="30" t="str">
        <f t="shared" si="11"/>
        <v/>
      </c>
      <c r="N352" s="30" t="str">
        <f t="shared" si="7"/>
        <v/>
      </c>
      <c r="O352" s="8"/>
      <c r="P352" s="8"/>
      <c r="Q352" s="8"/>
      <c r="R352" s="8"/>
      <c r="S352" s="8"/>
      <c r="T352" s="8"/>
      <c r="U352" s="8"/>
      <c r="V352" s="8"/>
      <c r="W352" s="8"/>
      <c r="X352" s="8"/>
      <c r="Y352" s="8"/>
      <c r="Z352" s="8"/>
    </row>
    <row r="353" ht="18.0" customHeight="1">
      <c r="A353" s="8"/>
      <c r="B353" s="8"/>
      <c r="C353" s="8"/>
      <c r="D353" s="25"/>
      <c r="E353" s="25"/>
      <c r="F353" s="8"/>
      <c r="G353" s="8"/>
      <c r="H353" s="8"/>
      <c r="I353" s="8"/>
      <c r="J353" s="30" t="str">
        <f t="shared" si="8"/>
        <v/>
      </c>
      <c r="K353" s="30" t="str">
        <f t="shared" si="9"/>
        <v/>
      </c>
      <c r="L353" s="30" t="str">
        <f t="shared" si="10"/>
        <v/>
      </c>
      <c r="M353" s="30" t="str">
        <f t="shared" si="11"/>
        <v/>
      </c>
      <c r="N353" s="30" t="str">
        <f t="shared" si="7"/>
        <v/>
      </c>
      <c r="O353" s="8"/>
      <c r="P353" s="8"/>
      <c r="Q353" s="8"/>
      <c r="R353" s="8"/>
      <c r="S353" s="8"/>
      <c r="T353" s="8"/>
      <c r="U353" s="8"/>
      <c r="V353" s="8"/>
      <c r="W353" s="8"/>
      <c r="X353" s="8"/>
      <c r="Y353" s="8"/>
      <c r="Z353" s="8"/>
    </row>
    <row r="354" ht="18.0" customHeight="1">
      <c r="A354" s="8"/>
      <c r="B354" s="8"/>
      <c r="C354" s="8"/>
      <c r="D354" s="25"/>
      <c r="E354" s="25"/>
      <c r="F354" s="8"/>
      <c r="G354" s="8"/>
      <c r="H354" s="8"/>
      <c r="I354" s="8"/>
      <c r="J354" s="30" t="str">
        <f t="shared" si="8"/>
        <v/>
      </c>
      <c r="K354" s="30" t="str">
        <f t="shared" si="9"/>
        <v/>
      </c>
      <c r="L354" s="30" t="str">
        <f t="shared" si="10"/>
        <v/>
      </c>
      <c r="M354" s="30" t="str">
        <f t="shared" si="11"/>
        <v/>
      </c>
      <c r="N354" s="30" t="str">
        <f t="shared" si="7"/>
        <v/>
      </c>
      <c r="O354" s="8"/>
      <c r="P354" s="8"/>
      <c r="Q354" s="8"/>
      <c r="R354" s="8"/>
      <c r="S354" s="8"/>
      <c r="T354" s="8"/>
      <c r="U354" s="8"/>
      <c r="V354" s="8"/>
      <c r="W354" s="8"/>
      <c r="X354" s="8"/>
      <c r="Y354" s="8"/>
      <c r="Z354" s="8"/>
    </row>
    <row r="355" ht="18.0" customHeight="1">
      <c r="A355" s="8"/>
      <c r="B355" s="8"/>
      <c r="C355" s="8"/>
      <c r="D355" s="25"/>
      <c r="E355" s="25"/>
      <c r="F355" s="8"/>
      <c r="G355" s="8"/>
      <c r="H355" s="8"/>
      <c r="I355" s="8"/>
      <c r="J355" s="30" t="str">
        <f t="shared" si="8"/>
        <v/>
      </c>
      <c r="K355" s="30" t="str">
        <f t="shared" si="9"/>
        <v/>
      </c>
      <c r="L355" s="30" t="str">
        <f t="shared" si="10"/>
        <v/>
      </c>
      <c r="M355" s="30" t="str">
        <f t="shared" si="11"/>
        <v/>
      </c>
      <c r="N355" s="30" t="str">
        <f t="shared" si="7"/>
        <v/>
      </c>
      <c r="O355" s="8"/>
      <c r="P355" s="8"/>
      <c r="Q355" s="8"/>
      <c r="R355" s="8"/>
      <c r="S355" s="8"/>
      <c r="T355" s="8"/>
      <c r="U355" s="8"/>
      <c r="V355" s="8"/>
      <c r="W355" s="8"/>
      <c r="X355" s="8"/>
      <c r="Y355" s="8"/>
      <c r="Z355" s="8"/>
    </row>
    <row r="356" ht="18.0" customHeight="1">
      <c r="A356" s="8"/>
      <c r="B356" s="8"/>
      <c r="C356" s="8"/>
      <c r="D356" s="25"/>
      <c r="E356" s="25"/>
      <c r="F356" s="8"/>
      <c r="G356" s="8"/>
      <c r="H356" s="8"/>
      <c r="I356" s="8"/>
      <c r="J356" s="30" t="str">
        <f t="shared" si="8"/>
        <v/>
      </c>
      <c r="K356" s="30" t="str">
        <f t="shared" si="9"/>
        <v/>
      </c>
      <c r="L356" s="30" t="str">
        <f t="shared" si="10"/>
        <v/>
      </c>
      <c r="M356" s="30" t="str">
        <f t="shared" si="11"/>
        <v/>
      </c>
      <c r="N356" s="30" t="str">
        <f t="shared" si="7"/>
        <v/>
      </c>
      <c r="O356" s="8"/>
      <c r="P356" s="8"/>
      <c r="Q356" s="8"/>
      <c r="R356" s="8"/>
      <c r="S356" s="8"/>
      <c r="T356" s="8"/>
      <c r="U356" s="8"/>
      <c r="V356" s="8"/>
      <c r="W356" s="8"/>
      <c r="X356" s="8"/>
      <c r="Y356" s="8"/>
      <c r="Z356" s="8"/>
    </row>
    <row r="357" ht="18.0" customHeight="1">
      <c r="A357" s="8"/>
      <c r="B357" s="8"/>
      <c r="C357" s="8"/>
      <c r="D357" s="25"/>
      <c r="E357" s="25"/>
      <c r="F357" s="8"/>
      <c r="G357" s="8"/>
      <c r="H357" s="8"/>
      <c r="I357" s="8"/>
      <c r="J357" s="30" t="str">
        <f t="shared" si="8"/>
        <v/>
      </c>
      <c r="K357" s="30" t="str">
        <f t="shared" si="9"/>
        <v/>
      </c>
      <c r="L357" s="30" t="str">
        <f t="shared" si="10"/>
        <v/>
      </c>
      <c r="M357" s="30" t="str">
        <f t="shared" si="11"/>
        <v/>
      </c>
      <c r="N357" s="30" t="str">
        <f t="shared" si="7"/>
        <v/>
      </c>
      <c r="O357" s="8"/>
      <c r="P357" s="8"/>
      <c r="Q357" s="8"/>
      <c r="R357" s="8"/>
      <c r="S357" s="8"/>
      <c r="T357" s="8"/>
      <c r="U357" s="8"/>
      <c r="V357" s="8"/>
      <c r="W357" s="8"/>
      <c r="X357" s="8"/>
      <c r="Y357" s="8"/>
      <c r="Z357" s="8"/>
    </row>
    <row r="358" ht="18.0" customHeight="1">
      <c r="A358" s="8"/>
      <c r="B358" s="8"/>
      <c r="C358" s="8"/>
      <c r="D358" s="25"/>
      <c r="E358" s="25"/>
      <c r="F358" s="8"/>
      <c r="G358" s="8"/>
      <c r="H358" s="8"/>
      <c r="I358" s="8"/>
      <c r="J358" s="30" t="str">
        <f t="shared" si="8"/>
        <v/>
      </c>
      <c r="K358" s="30" t="str">
        <f t="shared" si="9"/>
        <v/>
      </c>
      <c r="L358" s="30" t="str">
        <f t="shared" si="10"/>
        <v/>
      </c>
      <c r="M358" s="30" t="str">
        <f t="shared" si="11"/>
        <v/>
      </c>
      <c r="N358" s="30" t="str">
        <f t="shared" si="7"/>
        <v/>
      </c>
      <c r="O358" s="8"/>
      <c r="P358" s="8"/>
      <c r="Q358" s="8"/>
      <c r="R358" s="8"/>
      <c r="S358" s="8"/>
      <c r="T358" s="8"/>
      <c r="U358" s="8"/>
      <c r="V358" s="8"/>
      <c r="W358" s="8"/>
      <c r="X358" s="8"/>
      <c r="Y358" s="8"/>
      <c r="Z358" s="8"/>
    </row>
    <row r="359" ht="18.0" customHeight="1">
      <c r="A359" s="8"/>
      <c r="B359" s="8"/>
      <c r="C359" s="8"/>
      <c r="D359" s="25"/>
      <c r="E359" s="25"/>
      <c r="F359" s="8"/>
      <c r="G359" s="8"/>
      <c r="H359" s="8"/>
      <c r="I359" s="8"/>
      <c r="J359" s="30" t="str">
        <f t="shared" si="8"/>
        <v/>
      </c>
      <c r="K359" s="30" t="str">
        <f t="shared" si="9"/>
        <v/>
      </c>
      <c r="L359" s="30" t="str">
        <f t="shared" si="10"/>
        <v/>
      </c>
      <c r="M359" s="30" t="str">
        <f t="shared" si="11"/>
        <v/>
      </c>
      <c r="N359" s="30" t="str">
        <f t="shared" si="7"/>
        <v/>
      </c>
      <c r="O359" s="8"/>
      <c r="P359" s="8"/>
      <c r="Q359" s="8"/>
      <c r="R359" s="8"/>
      <c r="S359" s="8"/>
      <c r="T359" s="8"/>
      <c r="U359" s="8"/>
      <c r="V359" s="8"/>
      <c r="W359" s="8"/>
      <c r="X359" s="8"/>
      <c r="Y359" s="8"/>
      <c r="Z359" s="8"/>
    </row>
    <row r="360" ht="18.0" customHeight="1">
      <c r="A360" s="8"/>
      <c r="B360" s="8"/>
      <c r="C360" s="8"/>
      <c r="D360" s="25"/>
      <c r="E360" s="25"/>
      <c r="F360" s="8"/>
      <c r="G360" s="8"/>
      <c r="H360" s="8"/>
      <c r="I360" s="8"/>
      <c r="J360" s="30" t="str">
        <f t="shared" si="8"/>
        <v/>
      </c>
      <c r="K360" s="30" t="str">
        <f t="shared" si="9"/>
        <v/>
      </c>
      <c r="L360" s="30" t="str">
        <f t="shared" si="10"/>
        <v/>
      </c>
      <c r="M360" s="30" t="str">
        <f t="shared" si="11"/>
        <v/>
      </c>
      <c r="N360" s="30" t="str">
        <f t="shared" si="7"/>
        <v/>
      </c>
      <c r="O360" s="8"/>
      <c r="P360" s="8"/>
      <c r="Q360" s="8"/>
      <c r="R360" s="8"/>
      <c r="S360" s="8"/>
      <c r="T360" s="8"/>
      <c r="U360" s="8"/>
      <c r="V360" s="8"/>
      <c r="W360" s="8"/>
      <c r="X360" s="8"/>
      <c r="Y360" s="8"/>
      <c r="Z360" s="8"/>
    </row>
    <row r="361" ht="18.0" customHeight="1">
      <c r="A361" s="8"/>
      <c r="B361" s="8"/>
      <c r="C361" s="8"/>
      <c r="D361" s="25"/>
      <c r="E361" s="25"/>
      <c r="F361" s="8"/>
      <c r="G361" s="8"/>
      <c r="H361" s="8"/>
      <c r="I361" s="8"/>
      <c r="J361" s="30" t="str">
        <f t="shared" si="8"/>
        <v/>
      </c>
      <c r="K361" s="30" t="str">
        <f t="shared" si="9"/>
        <v/>
      </c>
      <c r="L361" s="30" t="str">
        <f t="shared" si="10"/>
        <v/>
      </c>
      <c r="M361" s="30" t="str">
        <f t="shared" si="11"/>
        <v/>
      </c>
      <c r="N361" s="30" t="str">
        <f t="shared" si="7"/>
        <v/>
      </c>
      <c r="O361" s="8"/>
      <c r="P361" s="8"/>
      <c r="Q361" s="8"/>
      <c r="R361" s="8"/>
      <c r="S361" s="8"/>
      <c r="T361" s="8"/>
      <c r="U361" s="8"/>
      <c r="V361" s="8"/>
      <c r="W361" s="8"/>
      <c r="X361" s="8"/>
      <c r="Y361" s="8"/>
      <c r="Z361" s="8"/>
    </row>
    <row r="362" ht="18.0" customHeight="1">
      <c r="A362" s="8"/>
      <c r="B362" s="8"/>
      <c r="C362" s="8"/>
      <c r="D362" s="25"/>
      <c r="E362" s="25"/>
      <c r="F362" s="8"/>
      <c r="G362" s="8"/>
      <c r="H362" s="8"/>
      <c r="I362" s="8"/>
      <c r="J362" s="30" t="str">
        <f t="shared" si="8"/>
        <v/>
      </c>
      <c r="K362" s="30" t="str">
        <f t="shared" si="9"/>
        <v/>
      </c>
      <c r="L362" s="30" t="str">
        <f t="shared" si="10"/>
        <v/>
      </c>
      <c r="M362" s="30" t="str">
        <f t="shared" si="11"/>
        <v/>
      </c>
      <c r="N362" s="30" t="str">
        <f t="shared" si="7"/>
        <v/>
      </c>
      <c r="O362" s="8"/>
      <c r="P362" s="8"/>
      <c r="Q362" s="8"/>
      <c r="R362" s="8"/>
      <c r="S362" s="8"/>
      <c r="T362" s="8"/>
      <c r="U362" s="8"/>
      <c r="V362" s="8"/>
      <c r="W362" s="8"/>
      <c r="X362" s="8"/>
      <c r="Y362" s="8"/>
      <c r="Z362" s="8"/>
    </row>
    <row r="363" ht="18.0" customHeight="1">
      <c r="A363" s="8"/>
      <c r="B363" s="8"/>
      <c r="C363" s="8"/>
      <c r="D363" s="25"/>
      <c r="E363" s="25"/>
      <c r="F363" s="8"/>
      <c r="G363" s="8"/>
      <c r="H363" s="8"/>
      <c r="I363" s="8"/>
      <c r="J363" s="30" t="str">
        <f t="shared" si="8"/>
        <v/>
      </c>
      <c r="K363" s="30" t="str">
        <f t="shared" si="9"/>
        <v/>
      </c>
      <c r="L363" s="30" t="str">
        <f t="shared" si="10"/>
        <v/>
      </c>
      <c r="M363" s="30" t="str">
        <f t="shared" si="11"/>
        <v/>
      </c>
      <c r="N363" s="30" t="str">
        <f t="shared" si="7"/>
        <v/>
      </c>
      <c r="O363" s="8"/>
      <c r="P363" s="8"/>
      <c r="Q363" s="8"/>
      <c r="R363" s="8"/>
      <c r="S363" s="8"/>
      <c r="T363" s="8"/>
      <c r="U363" s="8"/>
      <c r="V363" s="8"/>
      <c r="W363" s="8"/>
      <c r="X363" s="8"/>
      <c r="Y363" s="8"/>
      <c r="Z363" s="8"/>
    </row>
    <row r="364" ht="18.0" customHeight="1">
      <c r="A364" s="8"/>
      <c r="B364" s="8"/>
      <c r="C364" s="8"/>
      <c r="D364" s="25"/>
      <c r="E364" s="25"/>
      <c r="F364" s="8"/>
      <c r="G364" s="8"/>
      <c r="H364" s="8"/>
      <c r="I364" s="8"/>
      <c r="J364" s="30" t="str">
        <f t="shared" si="8"/>
        <v/>
      </c>
      <c r="K364" s="30" t="str">
        <f t="shared" si="9"/>
        <v/>
      </c>
      <c r="L364" s="30" t="str">
        <f t="shared" si="10"/>
        <v/>
      </c>
      <c r="M364" s="30" t="str">
        <f t="shared" si="11"/>
        <v/>
      </c>
      <c r="N364" s="30" t="str">
        <f t="shared" si="7"/>
        <v/>
      </c>
      <c r="O364" s="8"/>
      <c r="P364" s="8"/>
      <c r="Q364" s="8"/>
      <c r="R364" s="8"/>
      <c r="S364" s="8"/>
      <c r="T364" s="8"/>
      <c r="U364" s="8"/>
      <c r="V364" s="8"/>
      <c r="W364" s="8"/>
      <c r="X364" s="8"/>
      <c r="Y364" s="8"/>
      <c r="Z364" s="8"/>
    </row>
    <row r="365" ht="18.0" customHeight="1">
      <c r="A365" s="8"/>
      <c r="B365" s="8"/>
      <c r="C365" s="8"/>
      <c r="D365" s="25"/>
      <c r="E365" s="25"/>
      <c r="F365" s="8"/>
      <c r="G365" s="8"/>
      <c r="H365" s="8"/>
      <c r="I365" s="8"/>
      <c r="J365" s="30" t="str">
        <f t="shared" si="8"/>
        <v/>
      </c>
      <c r="K365" s="30" t="str">
        <f t="shared" si="9"/>
        <v/>
      </c>
      <c r="L365" s="30" t="str">
        <f t="shared" si="10"/>
        <v/>
      </c>
      <c r="M365" s="30" t="str">
        <f t="shared" si="11"/>
        <v/>
      </c>
      <c r="N365" s="30" t="str">
        <f t="shared" si="7"/>
        <v/>
      </c>
      <c r="O365" s="8"/>
      <c r="P365" s="8"/>
      <c r="Q365" s="8"/>
      <c r="R365" s="8"/>
      <c r="S365" s="8"/>
      <c r="T365" s="8"/>
      <c r="U365" s="8"/>
      <c r="V365" s="8"/>
      <c r="W365" s="8"/>
      <c r="X365" s="8"/>
      <c r="Y365" s="8"/>
      <c r="Z365" s="8"/>
    </row>
    <row r="366" ht="18.0" customHeight="1">
      <c r="A366" s="8"/>
      <c r="B366" s="8"/>
      <c r="C366" s="8"/>
      <c r="D366" s="25"/>
      <c r="E366" s="25"/>
      <c r="F366" s="8"/>
      <c r="G366" s="8"/>
      <c r="H366" s="8"/>
      <c r="I366" s="8"/>
      <c r="J366" s="30" t="str">
        <f t="shared" si="8"/>
        <v/>
      </c>
      <c r="K366" s="30" t="str">
        <f t="shared" si="9"/>
        <v/>
      </c>
      <c r="L366" s="30" t="str">
        <f t="shared" si="10"/>
        <v/>
      </c>
      <c r="M366" s="30" t="str">
        <f t="shared" si="11"/>
        <v/>
      </c>
      <c r="N366" s="30" t="str">
        <f t="shared" si="7"/>
        <v/>
      </c>
      <c r="O366" s="8"/>
      <c r="P366" s="8"/>
      <c r="Q366" s="8"/>
      <c r="R366" s="8"/>
      <c r="S366" s="8"/>
      <c r="T366" s="8"/>
      <c r="U366" s="8"/>
      <c r="V366" s="8"/>
      <c r="W366" s="8"/>
      <c r="X366" s="8"/>
      <c r="Y366" s="8"/>
      <c r="Z366" s="8"/>
    </row>
    <row r="367" ht="18.0" customHeight="1">
      <c r="A367" s="8"/>
      <c r="B367" s="8"/>
      <c r="C367" s="8"/>
      <c r="D367" s="25"/>
      <c r="E367" s="25"/>
      <c r="F367" s="8"/>
      <c r="G367" s="8"/>
      <c r="H367" s="8"/>
      <c r="I367" s="8"/>
      <c r="J367" s="30" t="str">
        <f t="shared" si="8"/>
        <v/>
      </c>
      <c r="K367" s="30" t="str">
        <f t="shared" si="9"/>
        <v/>
      </c>
      <c r="L367" s="30" t="str">
        <f t="shared" si="10"/>
        <v/>
      </c>
      <c r="M367" s="30" t="str">
        <f t="shared" si="11"/>
        <v/>
      </c>
      <c r="N367" s="30" t="str">
        <f t="shared" si="7"/>
        <v/>
      </c>
      <c r="O367" s="8"/>
      <c r="P367" s="8"/>
      <c r="Q367" s="8"/>
      <c r="R367" s="8"/>
      <c r="S367" s="8"/>
      <c r="T367" s="8"/>
      <c r="U367" s="8"/>
      <c r="V367" s="8"/>
      <c r="W367" s="8"/>
      <c r="X367" s="8"/>
      <c r="Y367" s="8"/>
      <c r="Z367" s="8"/>
    </row>
    <row r="368" ht="18.0" customHeight="1">
      <c r="A368" s="8"/>
      <c r="B368" s="8"/>
      <c r="C368" s="8"/>
      <c r="D368" s="25"/>
      <c r="E368" s="25"/>
      <c r="F368" s="8"/>
      <c r="G368" s="8"/>
      <c r="H368" s="8"/>
      <c r="I368" s="8"/>
      <c r="J368" s="30" t="str">
        <f t="shared" si="8"/>
        <v/>
      </c>
      <c r="K368" s="30" t="str">
        <f t="shared" si="9"/>
        <v/>
      </c>
      <c r="L368" s="30" t="str">
        <f t="shared" si="10"/>
        <v/>
      </c>
      <c r="M368" s="30" t="str">
        <f t="shared" si="11"/>
        <v/>
      </c>
      <c r="N368" s="30" t="str">
        <f t="shared" si="7"/>
        <v/>
      </c>
      <c r="O368" s="8"/>
      <c r="P368" s="8"/>
      <c r="Q368" s="8"/>
      <c r="R368" s="8"/>
      <c r="S368" s="8"/>
      <c r="T368" s="8"/>
      <c r="U368" s="8"/>
      <c r="V368" s="8"/>
      <c r="W368" s="8"/>
      <c r="X368" s="8"/>
      <c r="Y368" s="8"/>
      <c r="Z368" s="8"/>
    </row>
    <row r="369" ht="18.0" customHeight="1">
      <c r="A369" s="8"/>
      <c r="B369" s="8"/>
      <c r="C369" s="8"/>
      <c r="D369" s="25"/>
      <c r="E369" s="25"/>
      <c r="F369" s="8"/>
      <c r="G369" s="8"/>
      <c r="H369" s="8"/>
      <c r="I369" s="8"/>
      <c r="J369" s="30" t="str">
        <f t="shared" si="8"/>
        <v/>
      </c>
      <c r="K369" s="30" t="str">
        <f t="shared" si="9"/>
        <v/>
      </c>
      <c r="L369" s="30" t="str">
        <f t="shared" si="10"/>
        <v/>
      </c>
      <c r="M369" s="30" t="str">
        <f t="shared" si="11"/>
        <v/>
      </c>
      <c r="N369" s="30" t="str">
        <f t="shared" si="7"/>
        <v/>
      </c>
      <c r="O369" s="8"/>
      <c r="P369" s="8"/>
      <c r="Q369" s="8"/>
      <c r="R369" s="8"/>
      <c r="S369" s="8"/>
      <c r="T369" s="8"/>
      <c r="U369" s="8"/>
      <c r="V369" s="8"/>
      <c r="W369" s="8"/>
      <c r="X369" s="8"/>
      <c r="Y369" s="8"/>
      <c r="Z369" s="8"/>
    </row>
    <row r="370" ht="18.0" customHeight="1">
      <c r="A370" s="8"/>
      <c r="B370" s="8"/>
      <c r="C370" s="8"/>
      <c r="D370" s="25"/>
      <c r="E370" s="25"/>
      <c r="F370" s="8"/>
      <c r="G370" s="8"/>
      <c r="H370" s="8"/>
      <c r="I370" s="8"/>
      <c r="J370" s="30" t="str">
        <f t="shared" si="8"/>
        <v/>
      </c>
      <c r="K370" s="30" t="str">
        <f t="shared" si="9"/>
        <v/>
      </c>
      <c r="L370" s="30" t="str">
        <f t="shared" si="10"/>
        <v/>
      </c>
      <c r="M370" s="30" t="str">
        <f t="shared" si="11"/>
        <v/>
      </c>
      <c r="N370" s="30" t="str">
        <f t="shared" si="7"/>
        <v/>
      </c>
      <c r="O370" s="8"/>
      <c r="P370" s="8"/>
      <c r="Q370" s="8"/>
      <c r="R370" s="8"/>
      <c r="S370" s="8"/>
      <c r="T370" s="8"/>
      <c r="U370" s="8"/>
      <c r="V370" s="8"/>
      <c r="W370" s="8"/>
      <c r="X370" s="8"/>
      <c r="Y370" s="8"/>
      <c r="Z370" s="8"/>
    </row>
    <row r="371" ht="18.0" customHeight="1">
      <c r="A371" s="8"/>
      <c r="B371" s="8"/>
      <c r="C371" s="8"/>
      <c r="D371" s="25"/>
      <c r="E371" s="25"/>
      <c r="F371" s="8"/>
      <c r="G371" s="8"/>
      <c r="H371" s="8"/>
      <c r="I371" s="8"/>
      <c r="J371" s="30" t="str">
        <f t="shared" si="8"/>
        <v/>
      </c>
      <c r="K371" s="30" t="str">
        <f t="shared" si="9"/>
        <v/>
      </c>
      <c r="L371" s="30" t="str">
        <f t="shared" si="10"/>
        <v/>
      </c>
      <c r="M371" s="30" t="str">
        <f t="shared" si="11"/>
        <v/>
      </c>
      <c r="N371" s="30" t="str">
        <f t="shared" si="7"/>
        <v/>
      </c>
      <c r="O371" s="8"/>
      <c r="P371" s="8"/>
      <c r="Q371" s="8"/>
      <c r="R371" s="8"/>
      <c r="S371" s="8"/>
      <c r="T371" s="8"/>
      <c r="U371" s="8"/>
      <c r="V371" s="8"/>
      <c r="W371" s="8"/>
      <c r="X371" s="8"/>
      <c r="Y371" s="8"/>
      <c r="Z371" s="8"/>
    </row>
    <row r="372" ht="18.0" customHeight="1">
      <c r="A372" s="8"/>
      <c r="B372" s="8"/>
      <c r="C372" s="8"/>
      <c r="D372" s="25"/>
      <c r="E372" s="25"/>
      <c r="F372" s="8"/>
      <c r="G372" s="8"/>
      <c r="H372" s="8"/>
      <c r="I372" s="8"/>
      <c r="J372" s="30" t="str">
        <f t="shared" si="8"/>
        <v/>
      </c>
      <c r="K372" s="30" t="str">
        <f t="shared" si="9"/>
        <v/>
      </c>
      <c r="L372" s="30" t="str">
        <f t="shared" si="10"/>
        <v/>
      </c>
      <c r="M372" s="30" t="str">
        <f t="shared" si="11"/>
        <v/>
      </c>
      <c r="N372" s="30" t="str">
        <f t="shared" si="7"/>
        <v/>
      </c>
      <c r="O372" s="8"/>
      <c r="P372" s="8"/>
      <c r="Q372" s="8"/>
      <c r="R372" s="8"/>
      <c r="S372" s="8"/>
      <c r="T372" s="8"/>
      <c r="U372" s="8"/>
      <c r="V372" s="8"/>
      <c r="W372" s="8"/>
      <c r="X372" s="8"/>
      <c r="Y372" s="8"/>
      <c r="Z372" s="8"/>
    </row>
    <row r="373" ht="18.0" customHeight="1">
      <c r="A373" s="8"/>
      <c r="B373" s="8"/>
      <c r="C373" s="8"/>
      <c r="D373" s="25"/>
      <c r="E373" s="25"/>
      <c r="F373" s="8"/>
      <c r="G373" s="8"/>
      <c r="H373" s="8"/>
      <c r="I373" s="8"/>
      <c r="J373" s="30" t="str">
        <f t="shared" si="8"/>
        <v/>
      </c>
      <c r="K373" s="30" t="str">
        <f t="shared" si="9"/>
        <v/>
      </c>
      <c r="L373" s="30" t="str">
        <f t="shared" si="10"/>
        <v/>
      </c>
      <c r="M373" s="30" t="str">
        <f t="shared" si="11"/>
        <v/>
      </c>
      <c r="N373" s="30" t="str">
        <f t="shared" si="7"/>
        <v/>
      </c>
      <c r="O373" s="8"/>
      <c r="P373" s="8"/>
      <c r="Q373" s="8"/>
      <c r="R373" s="8"/>
      <c r="S373" s="8"/>
      <c r="T373" s="8"/>
      <c r="U373" s="8"/>
      <c r="V373" s="8"/>
      <c r="W373" s="8"/>
      <c r="X373" s="8"/>
      <c r="Y373" s="8"/>
      <c r="Z373" s="8"/>
    </row>
    <row r="374" ht="18.0" customHeight="1">
      <c r="A374" s="8"/>
      <c r="B374" s="8"/>
      <c r="C374" s="8"/>
      <c r="D374" s="25"/>
      <c r="E374" s="25"/>
      <c r="F374" s="8"/>
      <c r="G374" s="8"/>
      <c r="H374" s="8"/>
      <c r="I374" s="8"/>
      <c r="J374" s="30" t="str">
        <f t="shared" si="8"/>
        <v/>
      </c>
      <c r="K374" s="30" t="str">
        <f t="shared" si="9"/>
        <v/>
      </c>
      <c r="L374" s="30" t="str">
        <f t="shared" si="10"/>
        <v/>
      </c>
      <c r="M374" s="30" t="str">
        <f t="shared" si="11"/>
        <v/>
      </c>
      <c r="N374" s="30" t="str">
        <f t="shared" si="7"/>
        <v/>
      </c>
      <c r="O374" s="8"/>
      <c r="P374" s="8"/>
      <c r="Q374" s="8"/>
      <c r="R374" s="8"/>
      <c r="S374" s="8"/>
      <c r="T374" s="8"/>
      <c r="U374" s="8"/>
      <c r="V374" s="8"/>
      <c r="W374" s="8"/>
      <c r="X374" s="8"/>
      <c r="Y374" s="8"/>
      <c r="Z374" s="8"/>
    </row>
    <row r="375" ht="18.0" customHeight="1">
      <c r="A375" s="8"/>
      <c r="B375" s="8"/>
      <c r="C375" s="8"/>
      <c r="D375" s="25"/>
      <c r="E375" s="25"/>
      <c r="F375" s="8"/>
      <c r="G375" s="8"/>
      <c r="H375" s="8"/>
      <c r="I375" s="8"/>
      <c r="J375" s="30" t="str">
        <f t="shared" si="8"/>
        <v/>
      </c>
      <c r="K375" s="30" t="str">
        <f t="shared" si="9"/>
        <v/>
      </c>
      <c r="L375" s="30" t="str">
        <f t="shared" si="10"/>
        <v/>
      </c>
      <c r="M375" s="30" t="str">
        <f t="shared" si="11"/>
        <v/>
      </c>
      <c r="N375" s="30" t="str">
        <f t="shared" si="7"/>
        <v/>
      </c>
      <c r="O375" s="8"/>
      <c r="P375" s="8"/>
      <c r="Q375" s="8"/>
      <c r="R375" s="8"/>
      <c r="S375" s="8"/>
      <c r="T375" s="8"/>
      <c r="U375" s="8"/>
      <c r="V375" s="8"/>
      <c r="W375" s="8"/>
      <c r="X375" s="8"/>
      <c r="Y375" s="8"/>
      <c r="Z375" s="8"/>
    </row>
    <row r="376" ht="18.0" customHeight="1">
      <c r="A376" s="8"/>
      <c r="B376" s="8"/>
      <c r="C376" s="8"/>
      <c r="D376" s="25"/>
      <c r="E376" s="25"/>
      <c r="F376" s="8"/>
      <c r="G376" s="8"/>
      <c r="H376" s="8"/>
      <c r="I376" s="8"/>
      <c r="J376" s="30" t="str">
        <f t="shared" si="8"/>
        <v/>
      </c>
      <c r="K376" s="30" t="str">
        <f t="shared" si="9"/>
        <v/>
      </c>
      <c r="L376" s="30" t="str">
        <f t="shared" si="10"/>
        <v/>
      </c>
      <c r="M376" s="30" t="str">
        <f t="shared" si="11"/>
        <v/>
      </c>
      <c r="N376" s="30" t="str">
        <f t="shared" si="7"/>
        <v/>
      </c>
      <c r="O376" s="8"/>
      <c r="P376" s="8"/>
      <c r="Q376" s="8"/>
      <c r="R376" s="8"/>
      <c r="S376" s="8"/>
      <c r="T376" s="8"/>
      <c r="U376" s="8"/>
      <c r="V376" s="8"/>
      <c r="W376" s="8"/>
      <c r="X376" s="8"/>
      <c r="Y376" s="8"/>
      <c r="Z376" s="8"/>
    </row>
    <row r="377" ht="18.0" customHeight="1">
      <c r="A377" s="8"/>
      <c r="B377" s="8"/>
      <c r="C377" s="8"/>
      <c r="D377" s="25"/>
      <c r="E377" s="25"/>
      <c r="F377" s="8"/>
      <c r="G377" s="8"/>
      <c r="H377" s="8"/>
      <c r="I377" s="8"/>
      <c r="J377" s="30" t="str">
        <f t="shared" si="8"/>
        <v/>
      </c>
      <c r="K377" s="30" t="str">
        <f t="shared" si="9"/>
        <v/>
      </c>
      <c r="L377" s="30" t="str">
        <f t="shared" si="10"/>
        <v/>
      </c>
      <c r="M377" s="30" t="str">
        <f t="shared" si="11"/>
        <v/>
      </c>
      <c r="N377" s="30" t="str">
        <f t="shared" si="7"/>
        <v/>
      </c>
      <c r="O377" s="8"/>
      <c r="P377" s="8"/>
      <c r="Q377" s="8"/>
      <c r="R377" s="8"/>
      <c r="S377" s="8"/>
      <c r="T377" s="8"/>
      <c r="U377" s="8"/>
      <c r="V377" s="8"/>
      <c r="W377" s="8"/>
      <c r="X377" s="8"/>
      <c r="Y377" s="8"/>
      <c r="Z377" s="8"/>
    </row>
    <row r="378" ht="18.0" customHeight="1">
      <c r="A378" s="8"/>
      <c r="B378" s="8"/>
      <c r="C378" s="8"/>
      <c r="D378" s="25"/>
      <c r="E378" s="25"/>
      <c r="F378" s="8"/>
      <c r="G378" s="8"/>
      <c r="H378" s="8"/>
      <c r="I378" s="8"/>
      <c r="J378" s="30" t="str">
        <f t="shared" si="8"/>
        <v/>
      </c>
      <c r="K378" s="30" t="str">
        <f t="shared" si="9"/>
        <v/>
      </c>
      <c r="L378" s="30" t="str">
        <f t="shared" si="10"/>
        <v/>
      </c>
      <c r="M378" s="30" t="str">
        <f t="shared" si="11"/>
        <v/>
      </c>
      <c r="N378" s="30" t="str">
        <f t="shared" si="7"/>
        <v/>
      </c>
      <c r="O378" s="8"/>
      <c r="P378" s="8"/>
      <c r="Q378" s="8"/>
      <c r="R378" s="8"/>
      <c r="S378" s="8"/>
      <c r="T378" s="8"/>
      <c r="U378" s="8"/>
      <c r="V378" s="8"/>
      <c r="W378" s="8"/>
      <c r="X378" s="8"/>
      <c r="Y378" s="8"/>
      <c r="Z378" s="8"/>
    </row>
    <row r="379" ht="18.0" customHeight="1">
      <c r="A379" s="8"/>
      <c r="B379" s="8"/>
      <c r="C379" s="8"/>
      <c r="D379" s="25"/>
      <c r="E379" s="25"/>
      <c r="F379" s="8"/>
      <c r="G379" s="8"/>
      <c r="H379" s="8"/>
      <c r="I379" s="8"/>
      <c r="J379" s="30" t="str">
        <f t="shared" si="8"/>
        <v/>
      </c>
      <c r="K379" s="30" t="str">
        <f t="shared" si="9"/>
        <v/>
      </c>
      <c r="L379" s="30" t="str">
        <f t="shared" si="10"/>
        <v/>
      </c>
      <c r="M379" s="30" t="str">
        <f t="shared" si="11"/>
        <v/>
      </c>
      <c r="N379" s="30" t="str">
        <f t="shared" si="7"/>
        <v/>
      </c>
      <c r="O379" s="8"/>
      <c r="P379" s="8"/>
      <c r="Q379" s="8"/>
      <c r="R379" s="8"/>
      <c r="S379" s="8"/>
      <c r="T379" s="8"/>
      <c r="U379" s="8"/>
      <c r="V379" s="8"/>
      <c r="W379" s="8"/>
      <c r="X379" s="8"/>
      <c r="Y379" s="8"/>
      <c r="Z379" s="8"/>
    </row>
    <row r="380" ht="18.0" customHeight="1">
      <c r="A380" s="8"/>
      <c r="B380" s="8"/>
      <c r="C380" s="8"/>
      <c r="D380" s="25"/>
      <c r="E380" s="25"/>
      <c r="F380" s="8"/>
      <c r="G380" s="8"/>
      <c r="H380" s="8"/>
      <c r="I380" s="8"/>
      <c r="J380" s="30" t="str">
        <f t="shared" si="8"/>
        <v/>
      </c>
      <c r="K380" s="30" t="str">
        <f t="shared" si="9"/>
        <v/>
      </c>
      <c r="L380" s="30" t="str">
        <f t="shared" si="10"/>
        <v/>
      </c>
      <c r="M380" s="30" t="str">
        <f t="shared" si="11"/>
        <v/>
      </c>
      <c r="N380" s="30" t="str">
        <f t="shared" si="7"/>
        <v/>
      </c>
      <c r="O380" s="8"/>
      <c r="P380" s="8"/>
      <c r="Q380" s="8"/>
      <c r="R380" s="8"/>
      <c r="S380" s="8"/>
      <c r="T380" s="8"/>
      <c r="U380" s="8"/>
      <c r="V380" s="8"/>
      <c r="W380" s="8"/>
      <c r="X380" s="8"/>
      <c r="Y380" s="8"/>
      <c r="Z380" s="8"/>
    </row>
    <row r="381" ht="18.0" customHeight="1">
      <c r="A381" s="8"/>
      <c r="B381" s="8"/>
      <c r="C381" s="8"/>
      <c r="D381" s="25"/>
      <c r="E381" s="25"/>
      <c r="F381" s="8"/>
      <c r="G381" s="8"/>
      <c r="H381" s="8"/>
      <c r="I381" s="8"/>
      <c r="J381" s="30" t="str">
        <f t="shared" si="8"/>
        <v/>
      </c>
      <c r="K381" s="30" t="str">
        <f t="shared" si="9"/>
        <v/>
      </c>
      <c r="L381" s="30" t="str">
        <f t="shared" si="10"/>
        <v/>
      </c>
      <c r="M381" s="30" t="str">
        <f t="shared" si="11"/>
        <v/>
      </c>
      <c r="N381" s="30" t="str">
        <f t="shared" si="7"/>
        <v/>
      </c>
      <c r="O381" s="8"/>
      <c r="P381" s="8"/>
      <c r="Q381" s="8"/>
      <c r="R381" s="8"/>
      <c r="S381" s="8"/>
      <c r="T381" s="8"/>
      <c r="U381" s="8"/>
      <c r="V381" s="8"/>
      <c r="W381" s="8"/>
      <c r="X381" s="8"/>
      <c r="Y381" s="8"/>
      <c r="Z381" s="8"/>
    </row>
    <row r="382" ht="18.0" customHeight="1">
      <c r="A382" s="8"/>
      <c r="B382" s="8"/>
      <c r="C382" s="8"/>
      <c r="D382" s="25"/>
      <c r="E382" s="25"/>
      <c r="F382" s="8"/>
      <c r="G382" s="8"/>
      <c r="H382" s="8"/>
      <c r="I382" s="8"/>
      <c r="J382" s="30" t="str">
        <f t="shared" si="8"/>
        <v/>
      </c>
      <c r="K382" s="30" t="str">
        <f t="shared" si="9"/>
        <v/>
      </c>
      <c r="L382" s="30" t="str">
        <f t="shared" si="10"/>
        <v/>
      </c>
      <c r="M382" s="30" t="str">
        <f t="shared" si="11"/>
        <v/>
      </c>
      <c r="N382" s="30" t="str">
        <f t="shared" si="7"/>
        <v/>
      </c>
      <c r="O382" s="8"/>
      <c r="P382" s="8"/>
      <c r="Q382" s="8"/>
      <c r="R382" s="8"/>
      <c r="S382" s="8"/>
      <c r="T382" s="8"/>
      <c r="U382" s="8"/>
      <c r="V382" s="8"/>
      <c r="W382" s="8"/>
      <c r="X382" s="8"/>
      <c r="Y382" s="8"/>
      <c r="Z382" s="8"/>
    </row>
    <row r="383" ht="18.0" customHeight="1">
      <c r="A383" s="8"/>
      <c r="B383" s="8"/>
      <c r="C383" s="8"/>
      <c r="D383" s="25"/>
      <c r="E383" s="25"/>
      <c r="F383" s="8"/>
      <c r="G383" s="8"/>
      <c r="H383" s="8"/>
      <c r="I383" s="8"/>
      <c r="J383" s="30" t="str">
        <f t="shared" si="8"/>
        <v/>
      </c>
      <c r="K383" s="30" t="str">
        <f t="shared" si="9"/>
        <v/>
      </c>
      <c r="L383" s="30" t="str">
        <f t="shared" si="10"/>
        <v/>
      </c>
      <c r="M383" s="30" t="str">
        <f t="shared" si="11"/>
        <v/>
      </c>
      <c r="N383" s="30" t="str">
        <f t="shared" si="7"/>
        <v/>
      </c>
      <c r="O383" s="8"/>
      <c r="P383" s="8"/>
      <c r="Q383" s="8"/>
      <c r="R383" s="8"/>
      <c r="S383" s="8"/>
      <c r="T383" s="8"/>
      <c r="U383" s="8"/>
      <c r="V383" s="8"/>
      <c r="W383" s="8"/>
      <c r="X383" s="8"/>
      <c r="Y383" s="8"/>
      <c r="Z383" s="8"/>
    </row>
    <row r="384" ht="18.0" customHeight="1">
      <c r="A384" s="8"/>
      <c r="B384" s="8"/>
      <c r="C384" s="8"/>
      <c r="D384" s="25"/>
      <c r="E384" s="25"/>
      <c r="F384" s="8"/>
      <c r="G384" s="8"/>
      <c r="H384" s="8"/>
      <c r="I384" s="8"/>
      <c r="J384" s="30" t="str">
        <f t="shared" si="8"/>
        <v/>
      </c>
      <c r="K384" s="30" t="str">
        <f t="shared" si="9"/>
        <v/>
      </c>
      <c r="L384" s="30" t="str">
        <f t="shared" si="10"/>
        <v/>
      </c>
      <c r="M384" s="30" t="str">
        <f t="shared" si="11"/>
        <v/>
      </c>
      <c r="N384" s="30" t="str">
        <f t="shared" si="7"/>
        <v/>
      </c>
      <c r="O384" s="8"/>
      <c r="P384" s="8"/>
      <c r="Q384" s="8"/>
      <c r="R384" s="8"/>
      <c r="S384" s="8"/>
      <c r="T384" s="8"/>
      <c r="U384" s="8"/>
      <c r="V384" s="8"/>
      <c r="W384" s="8"/>
      <c r="X384" s="8"/>
      <c r="Y384" s="8"/>
      <c r="Z384" s="8"/>
    </row>
    <row r="385" ht="18.0" customHeight="1">
      <c r="A385" s="8"/>
      <c r="B385" s="8"/>
      <c r="C385" s="8"/>
      <c r="D385" s="25"/>
      <c r="E385" s="25"/>
      <c r="F385" s="8"/>
      <c r="G385" s="8"/>
      <c r="H385" s="8"/>
      <c r="I385" s="8"/>
      <c r="J385" s="30" t="str">
        <f t="shared" si="8"/>
        <v/>
      </c>
      <c r="K385" s="30" t="str">
        <f t="shared" si="9"/>
        <v/>
      </c>
      <c r="L385" s="30" t="str">
        <f t="shared" si="10"/>
        <v/>
      </c>
      <c r="M385" s="30" t="str">
        <f t="shared" si="11"/>
        <v/>
      </c>
      <c r="N385" s="30" t="str">
        <f t="shared" si="7"/>
        <v/>
      </c>
      <c r="O385" s="8"/>
      <c r="P385" s="8"/>
      <c r="Q385" s="8"/>
      <c r="R385" s="8"/>
      <c r="S385" s="8"/>
      <c r="T385" s="8"/>
      <c r="U385" s="8"/>
      <c r="V385" s="8"/>
      <c r="W385" s="8"/>
      <c r="X385" s="8"/>
      <c r="Y385" s="8"/>
      <c r="Z385" s="8"/>
    </row>
    <row r="386" ht="18.0" customHeight="1">
      <c r="A386" s="8"/>
      <c r="B386" s="8"/>
      <c r="C386" s="8"/>
      <c r="D386" s="25"/>
      <c r="E386" s="25"/>
      <c r="F386" s="8"/>
      <c r="G386" s="8"/>
      <c r="H386" s="8"/>
      <c r="I386" s="8"/>
      <c r="J386" s="30" t="str">
        <f t="shared" si="8"/>
        <v/>
      </c>
      <c r="K386" s="30" t="str">
        <f t="shared" si="9"/>
        <v/>
      </c>
      <c r="L386" s="30" t="str">
        <f t="shared" si="10"/>
        <v/>
      </c>
      <c r="M386" s="30" t="str">
        <f t="shared" si="11"/>
        <v/>
      </c>
      <c r="N386" s="30" t="str">
        <f t="shared" si="7"/>
        <v/>
      </c>
      <c r="O386" s="8"/>
      <c r="P386" s="8"/>
      <c r="Q386" s="8"/>
      <c r="R386" s="8"/>
      <c r="S386" s="8"/>
      <c r="T386" s="8"/>
      <c r="U386" s="8"/>
      <c r="V386" s="8"/>
      <c r="W386" s="8"/>
      <c r="X386" s="8"/>
      <c r="Y386" s="8"/>
      <c r="Z386" s="8"/>
    </row>
    <row r="387" ht="18.0" customHeight="1">
      <c r="A387" s="8"/>
      <c r="B387" s="8"/>
      <c r="C387" s="8"/>
      <c r="D387" s="25"/>
      <c r="E387" s="25"/>
      <c r="F387" s="8"/>
      <c r="G387" s="8"/>
      <c r="H387" s="8"/>
      <c r="I387" s="8"/>
      <c r="J387" s="30" t="str">
        <f t="shared" si="8"/>
        <v/>
      </c>
      <c r="K387" s="30" t="str">
        <f t="shared" si="9"/>
        <v/>
      </c>
      <c r="L387" s="30" t="str">
        <f t="shared" si="10"/>
        <v/>
      </c>
      <c r="M387" s="30" t="str">
        <f t="shared" si="11"/>
        <v/>
      </c>
      <c r="N387" s="30" t="str">
        <f t="shared" si="7"/>
        <v/>
      </c>
      <c r="O387" s="8"/>
      <c r="P387" s="8"/>
      <c r="Q387" s="8"/>
      <c r="R387" s="8"/>
      <c r="S387" s="8"/>
      <c r="T387" s="8"/>
      <c r="U387" s="8"/>
      <c r="V387" s="8"/>
      <c r="W387" s="8"/>
      <c r="X387" s="8"/>
      <c r="Y387" s="8"/>
      <c r="Z387" s="8"/>
    </row>
    <row r="388" ht="18.0" customHeight="1">
      <c r="A388" s="8"/>
      <c r="B388" s="8"/>
      <c r="C388" s="8"/>
      <c r="D388" s="25"/>
      <c r="E388" s="25"/>
      <c r="F388" s="8"/>
      <c r="G388" s="8"/>
      <c r="H388" s="8"/>
      <c r="I388" s="8"/>
      <c r="J388" s="30" t="str">
        <f t="shared" si="8"/>
        <v/>
      </c>
      <c r="K388" s="30" t="str">
        <f t="shared" si="9"/>
        <v/>
      </c>
      <c r="L388" s="30" t="str">
        <f t="shared" si="10"/>
        <v/>
      </c>
      <c r="M388" s="30" t="str">
        <f t="shared" si="11"/>
        <v/>
      </c>
      <c r="N388" s="30" t="str">
        <f t="shared" si="7"/>
        <v/>
      </c>
      <c r="O388" s="8"/>
      <c r="P388" s="8"/>
      <c r="Q388" s="8"/>
      <c r="R388" s="8"/>
      <c r="S388" s="8"/>
      <c r="T388" s="8"/>
      <c r="U388" s="8"/>
      <c r="V388" s="8"/>
      <c r="W388" s="8"/>
      <c r="X388" s="8"/>
      <c r="Y388" s="8"/>
      <c r="Z388" s="8"/>
    </row>
    <row r="389" ht="18.0" customHeight="1">
      <c r="A389" s="8"/>
      <c r="B389" s="8"/>
      <c r="C389" s="8"/>
      <c r="D389" s="25"/>
      <c r="E389" s="25"/>
      <c r="F389" s="8"/>
      <c r="G389" s="8"/>
      <c r="H389" s="8"/>
      <c r="I389" s="8"/>
      <c r="J389" s="30" t="str">
        <f t="shared" si="8"/>
        <v/>
      </c>
      <c r="K389" s="30" t="str">
        <f t="shared" si="9"/>
        <v/>
      </c>
      <c r="L389" s="30" t="str">
        <f t="shared" si="10"/>
        <v/>
      </c>
      <c r="M389" s="30" t="str">
        <f t="shared" si="11"/>
        <v/>
      </c>
      <c r="N389" s="30" t="str">
        <f t="shared" si="7"/>
        <v/>
      </c>
      <c r="O389" s="8"/>
      <c r="P389" s="8"/>
      <c r="Q389" s="8"/>
      <c r="R389" s="8"/>
      <c r="S389" s="8"/>
      <c r="T389" s="8"/>
      <c r="U389" s="8"/>
      <c r="V389" s="8"/>
      <c r="W389" s="8"/>
      <c r="X389" s="8"/>
      <c r="Y389" s="8"/>
      <c r="Z389" s="8"/>
    </row>
    <row r="390" ht="18.0" customHeight="1">
      <c r="A390" s="8"/>
      <c r="B390" s="8"/>
      <c r="C390" s="8"/>
      <c r="D390" s="25"/>
      <c r="E390" s="25"/>
      <c r="F390" s="8"/>
      <c r="G390" s="8"/>
      <c r="H390" s="8"/>
      <c r="I390" s="8"/>
      <c r="J390" s="30" t="str">
        <f t="shared" si="8"/>
        <v/>
      </c>
      <c r="K390" s="30" t="str">
        <f t="shared" si="9"/>
        <v/>
      </c>
      <c r="L390" s="30" t="str">
        <f t="shared" si="10"/>
        <v/>
      </c>
      <c r="M390" s="30" t="str">
        <f t="shared" si="11"/>
        <v/>
      </c>
      <c r="N390" s="30" t="str">
        <f t="shared" si="7"/>
        <v/>
      </c>
      <c r="O390" s="8"/>
      <c r="P390" s="8"/>
      <c r="Q390" s="8"/>
      <c r="R390" s="8"/>
      <c r="S390" s="8"/>
      <c r="T390" s="8"/>
      <c r="U390" s="8"/>
      <c r="V390" s="8"/>
      <c r="W390" s="8"/>
      <c r="X390" s="8"/>
      <c r="Y390" s="8"/>
      <c r="Z390" s="8"/>
    </row>
    <row r="391" ht="18.0" customHeight="1">
      <c r="A391" s="8"/>
      <c r="B391" s="8"/>
      <c r="C391" s="8"/>
      <c r="D391" s="25"/>
      <c r="E391" s="25"/>
      <c r="F391" s="8"/>
      <c r="G391" s="8"/>
      <c r="H391" s="8"/>
      <c r="I391" s="8"/>
      <c r="J391" s="30" t="str">
        <f t="shared" si="8"/>
        <v/>
      </c>
      <c r="K391" s="30" t="str">
        <f t="shared" si="9"/>
        <v/>
      </c>
      <c r="L391" s="30" t="str">
        <f t="shared" si="10"/>
        <v/>
      </c>
      <c r="M391" s="30" t="str">
        <f t="shared" si="11"/>
        <v/>
      </c>
      <c r="N391" s="30" t="str">
        <f t="shared" si="7"/>
        <v/>
      </c>
      <c r="O391" s="8"/>
      <c r="P391" s="8"/>
      <c r="Q391" s="8"/>
      <c r="R391" s="8"/>
      <c r="S391" s="8"/>
      <c r="T391" s="8"/>
      <c r="U391" s="8"/>
      <c r="V391" s="8"/>
      <c r="W391" s="8"/>
      <c r="X391" s="8"/>
      <c r="Y391" s="8"/>
      <c r="Z391" s="8"/>
    </row>
    <row r="392" ht="18.0" customHeight="1">
      <c r="A392" s="8"/>
      <c r="B392" s="8"/>
      <c r="C392" s="8"/>
      <c r="D392" s="25"/>
      <c r="E392" s="25"/>
      <c r="F392" s="8"/>
      <c r="G392" s="8"/>
      <c r="H392" s="8"/>
      <c r="I392" s="8"/>
      <c r="J392" s="30" t="str">
        <f t="shared" si="8"/>
        <v/>
      </c>
      <c r="K392" s="30" t="str">
        <f t="shared" si="9"/>
        <v/>
      </c>
      <c r="L392" s="30" t="str">
        <f t="shared" si="10"/>
        <v/>
      </c>
      <c r="M392" s="30" t="str">
        <f t="shared" si="11"/>
        <v/>
      </c>
      <c r="N392" s="30" t="str">
        <f t="shared" si="7"/>
        <v/>
      </c>
      <c r="O392" s="8"/>
      <c r="P392" s="8"/>
      <c r="Q392" s="8"/>
      <c r="R392" s="8"/>
      <c r="S392" s="8"/>
      <c r="T392" s="8"/>
      <c r="U392" s="8"/>
      <c r="V392" s="8"/>
      <c r="W392" s="8"/>
      <c r="X392" s="8"/>
      <c r="Y392" s="8"/>
      <c r="Z392" s="8"/>
    </row>
    <row r="393" ht="18.0" customHeight="1">
      <c r="A393" s="8"/>
      <c r="B393" s="8"/>
      <c r="C393" s="8"/>
      <c r="D393" s="25"/>
      <c r="E393" s="25"/>
      <c r="F393" s="8"/>
      <c r="G393" s="8"/>
      <c r="H393" s="8"/>
      <c r="I393" s="8"/>
      <c r="J393" s="30" t="str">
        <f t="shared" si="8"/>
        <v/>
      </c>
      <c r="K393" s="30" t="str">
        <f t="shared" si="9"/>
        <v/>
      </c>
      <c r="L393" s="30" t="str">
        <f t="shared" si="10"/>
        <v/>
      </c>
      <c r="M393" s="30" t="str">
        <f t="shared" si="11"/>
        <v/>
      </c>
      <c r="N393" s="30" t="str">
        <f t="shared" si="7"/>
        <v/>
      </c>
      <c r="O393" s="8"/>
      <c r="P393" s="8"/>
      <c r="Q393" s="8"/>
      <c r="R393" s="8"/>
      <c r="S393" s="8"/>
      <c r="T393" s="8"/>
      <c r="U393" s="8"/>
      <c r="V393" s="8"/>
      <c r="W393" s="8"/>
      <c r="X393" s="8"/>
      <c r="Y393" s="8"/>
      <c r="Z393" s="8"/>
    </row>
    <row r="394" ht="18.0" customHeight="1">
      <c r="A394" s="8"/>
      <c r="B394" s="8"/>
      <c r="C394" s="8"/>
      <c r="D394" s="25"/>
      <c r="E394" s="25"/>
      <c r="F394" s="8"/>
      <c r="G394" s="8"/>
      <c r="H394" s="8"/>
      <c r="I394" s="8"/>
      <c r="J394" s="30" t="str">
        <f t="shared" si="8"/>
        <v/>
      </c>
      <c r="K394" s="30" t="str">
        <f t="shared" si="9"/>
        <v/>
      </c>
      <c r="L394" s="30" t="str">
        <f t="shared" si="10"/>
        <v/>
      </c>
      <c r="M394" s="30" t="str">
        <f t="shared" si="11"/>
        <v/>
      </c>
      <c r="N394" s="30" t="str">
        <f t="shared" si="7"/>
        <v/>
      </c>
      <c r="O394" s="8"/>
      <c r="P394" s="8"/>
      <c r="Q394" s="8"/>
      <c r="R394" s="8"/>
      <c r="S394" s="8"/>
      <c r="T394" s="8"/>
      <c r="U394" s="8"/>
      <c r="V394" s="8"/>
      <c r="W394" s="8"/>
      <c r="X394" s="8"/>
      <c r="Y394" s="8"/>
      <c r="Z394" s="8"/>
    </row>
    <row r="395" ht="18.0" customHeight="1">
      <c r="A395" s="8"/>
      <c r="B395" s="8"/>
      <c r="C395" s="8"/>
      <c r="D395" s="25"/>
      <c r="E395" s="25"/>
      <c r="F395" s="8"/>
      <c r="G395" s="8"/>
      <c r="H395" s="8"/>
      <c r="I395" s="8"/>
      <c r="J395" s="30" t="str">
        <f t="shared" si="8"/>
        <v/>
      </c>
      <c r="K395" s="30" t="str">
        <f t="shared" si="9"/>
        <v/>
      </c>
      <c r="L395" s="30" t="str">
        <f t="shared" si="10"/>
        <v/>
      </c>
      <c r="M395" s="30" t="str">
        <f t="shared" si="11"/>
        <v/>
      </c>
      <c r="N395" s="30" t="str">
        <f t="shared" si="7"/>
        <v/>
      </c>
      <c r="O395" s="8"/>
      <c r="P395" s="8"/>
      <c r="Q395" s="8"/>
      <c r="R395" s="8"/>
      <c r="S395" s="8"/>
      <c r="T395" s="8"/>
      <c r="U395" s="8"/>
      <c r="V395" s="8"/>
      <c r="W395" s="8"/>
      <c r="X395" s="8"/>
      <c r="Y395" s="8"/>
      <c r="Z395" s="8"/>
    </row>
    <row r="396" ht="18.0" customHeight="1">
      <c r="A396" s="8"/>
      <c r="B396" s="8"/>
      <c r="C396" s="8"/>
      <c r="D396" s="25"/>
      <c r="E396" s="25"/>
      <c r="F396" s="8"/>
      <c r="G396" s="8"/>
      <c r="H396" s="8"/>
      <c r="I396" s="8"/>
      <c r="J396" s="30" t="str">
        <f t="shared" si="8"/>
        <v/>
      </c>
      <c r="K396" s="30" t="str">
        <f t="shared" si="9"/>
        <v/>
      </c>
      <c r="L396" s="30" t="str">
        <f t="shared" si="10"/>
        <v/>
      </c>
      <c r="M396" s="30" t="str">
        <f t="shared" si="11"/>
        <v/>
      </c>
      <c r="N396" s="30" t="str">
        <f t="shared" si="7"/>
        <v/>
      </c>
      <c r="O396" s="8"/>
      <c r="P396" s="8"/>
      <c r="Q396" s="8"/>
      <c r="R396" s="8"/>
      <c r="S396" s="8"/>
      <c r="T396" s="8"/>
      <c r="U396" s="8"/>
      <c r="V396" s="8"/>
      <c r="W396" s="8"/>
      <c r="X396" s="8"/>
      <c r="Y396" s="8"/>
      <c r="Z396" s="8"/>
    </row>
    <row r="397" ht="18.0" customHeight="1">
      <c r="A397" s="8"/>
      <c r="B397" s="8"/>
      <c r="C397" s="8"/>
      <c r="D397" s="25"/>
      <c r="E397" s="25"/>
      <c r="F397" s="8"/>
      <c r="G397" s="8"/>
      <c r="H397" s="8"/>
      <c r="I397" s="8"/>
      <c r="J397" s="30" t="str">
        <f t="shared" si="8"/>
        <v/>
      </c>
      <c r="K397" s="30" t="str">
        <f t="shared" si="9"/>
        <v/>
      </c>
      <c r="L397" s="30" t="str">
        <f t="shared" si="10"/>
        <v/>
      </c>
      <c r="M397" s="30" t="str">
        <f t="shared" si="11"/>
        <v/>
      </c>
      <c r="N397" s="30" t="str">
        <f t="shared" si="7"/>
        <v/>
      </c>
      <c r="O397" s="8"/>
      <c r="P397" s="8"/>
      <c r="Q397" s="8"/>
      <c r="R397" s="8"/>
      <c r="S397" s="8"/>
      <c r="T397" s="8"/>
      <c r="U397" s="8"/>
      <c r="V397" s="8"/>
      <c r="W397" s="8"/>
      <c r="X397" s="8"/>
      <c r="Y397" s="8"/>
      <c r="Z397" s="8"/>
    </row>
    <row r="398" ht="18.0" customHeight="1">
      <c r="A398" s="8"/>
      <c r="B398" s="8"/>
      <c r="C398" s="8"/>
      <c r="D398" s="25"/>
      <c r="E398" s="25"/>
      <c r="F398" s="8"/>
      <c r="G398" s="8"/>
      <c r="H398" s="8"/>
      <c r="I398" s="8"/>
      <c r="J398" s="30" t="str">
        <f t="shared" si="8"/>
        <v/>
      </c>
      <c r="K398" s="30" t="str">
        <f t="shared" si="9"/>
        <v/>
      </c>
      <c r="L398" s="30" t="str">
        <f t="shared" si="10"/>
        <v/>
      </c>
      <c r="M398" s="30" t="str">
        <f t="shared" si="11"/>
        <v/>
      </c>
      <c r="N398" s="30" t="str">
        <f t="shared" si="7"/>
        <v/>
      </c>
      <c r="O398" s="8"/>
      <c r="P398" s="8"/>
      <c r="Q398" s="8"/>
      <c r="R398" s="8"/>
      <c r="S398" s="8"/>
      <c r="T398" s="8"/>
      <c r="U398" s="8"/>
      <c r="V398" s="8"/>
      <c r="W398" s="8"/>
      <c r="X398" s="8"/>
      <c r="Y398" s="8"/>
      <c r="Z398" s="8"/>
    </row>
    <row r="399" ht="18.0" customHeight="1">
      <c r="A399" s="8"/>
      <c r="B399" s="8"/>
      <c r="C399" s="8"/>
      <c r="D399" s="25"/>
      <c r="E399" s="25"/>
      <c r="F399" s="8"/>
      <c r="G399" s="8"/>
      <c r="H399" s="8"/>
      <c r="I399" s="8"/>
      <c r="J399" s="30" t="str">
        <f t="shared" si="8"/>
        <v/>
      </c>
      <c r="K399" s="30" t="str">
        <f t="shared" si="9"/>
        <v/>
      </c>
      <c r="L399" s="30" t="str">
        <f t="shared" si="10"/>
        <v/>
      </c>
      <c r="M399" s="30" t="str">
        <f t="shared" si="11"/>
        <v/>
      </c>
      <c r="N399" s="30" t="str">
        <f t="shared" si="7"/>
        <v/>
      </c>
      <c r="O399" s="8"/>
      <c r="P399" s="8"/>
      <c r="Q399" s="8"/>
      <c r="R399" s="8"/>
      <c r="S399" s="8"/>
      <c r="T399" s="8"/>
      <c r="U399" s="8"/>
      <c r="V399" s="8"/>
      <c r="W399" s="8"/>
      <c r="X399" s="8"/>
      <c r="Y399" s="8"/>
      <c r="Z399" s="8"/>
    </row>
    <row r="400" ht="18.0" customHeight="1">
      <c r="A400" s="8"/>
      <c r="B400" s="8"/>
      <c r="C400" s="8"/>
      <c r="D400" s="25"/>
      <c r="E400" s="25"/>
      <c r="F400" s="8"/>
      <c r="G400" s="8"/>
      <c r="H400" s="8"/>
      <c r="I400" s="8"/>
      <c r="J400" s="30" t="str">
        <f t="shared" si="8"/>
        <v/>
      </c>
      <c r="K400" s="30" t="str">
        <f t="shared" si="9"/>
        <v/>
      </c>
      <c r="L400" s="30" t="str">
        <f t="shared" si="10"/>
        <v/>
      </c>
      <c r="M400" s="30" t="str">
        <f t="shared" si="11"/>
        <v/>
      </c>
      <c r="N400" s="30" t="str">
        <f t="shared" si="7"/>
        <v/>
      </c>
      <c r="O400" s="8"/>
      <c r="P400" s="8"/>
      <c r="Q400" s="8"/>
      <c r="R400" s="8"/>
      <c r="S400" s="8"/>
      <c r="T400" s="8"/>
      <c r="U400" s="8"/>
      <c r="V400" s="8"/>
      <c r="W400" s="8"/>
      <c r="X400" s="8"/>
      <c r="Y400" s="8"/>
      <c r="Z400" s="8"/>
    </row>
    <row r="401" ht="18.0" customHeight="1">
      <c r="A401" s="8"/>
      <c r="B401" s="8"/>
      <c r="C401" s="8"/>
      <c r="D401" s="25"/>
      <c r="E401" s="25"/>
      <c r="F401" s="8"/>
      <c r="G401" s="8"/>
      <c r="H401" s="8"/>
      <c r="I401" s="8"/>
      <c r="J401" s="30" t="str">
        <f t="shared" si="8"/>
        <v/>
      </c>
      <c r="K401" s="30" t="str">
        <f t="shared" si="9"/>
        <v/>
      </c>
      <c r="L401" s="30" t="str">
        <f t="shared" si="10"/>
        <v/>
      </c>
      <c r="M401" s="30" t="str">
        <f t="shared" si="11"/>
        <v/>
      </c>
      <c r="N401" s="30" t="str">
        <f t="shared" si="7"/>
        <v/>
      </c>
      <c r="O401" s="8"/>
      <c r="P401" s="8"/>
      <c r="Q401" s="8"/>
      <c r="R401" s="8"/>
      <c r="S401" s="8"/>
      <c r="T401" s="8"/>
      <c r="U401" s="8"/>
      <c r="V401" s="8"/>
      <c r="W401" s="8"/>
      <c r="X401" s="8"/>
      <c r="Y401" s="8"/>
      <c r="Z401" s="8"/>
    </row>
    <row r="402" ht="18.0" customHeight="1">
      <c r="A402" s="8"/>
      <c r="B402" s="8"/>
      <c r="C402" s="8"/>
      <c r="D402" s="25"/>
      <c r="E402" s="25"/>
      <c r="F402" s="8"/>
      <c r="G402" s="8"/>
      <c r="H402" s="8"/>
      <c r="I402" s="8"/>
      <c r="J402" s="8"/>
      <c r="K402" s="8"/>
      <c r="L402" s="8"/>
      <c r="M402" s="8"/>
      <c r="N402" s="8"/>
      <c r="O402" s="8"/>
      <c r="P402" s="8"/>
      <c r="Q402" s="8"/>
      <c r="R402" s="8"/>
      <c r="S402" s="8"/>
      <c r="T402" s="8"/>
      <c r="U402" s="8"/>
      <c r="V402" s="8"/>
      <c r="W402" s="8"/>
      <c r="X402" s="8"/>
      <c r="Y402" s="8"/>
      <c r="Z402" s="8"/>
    </row>
    <row r="403" ht="18.0" customHeight="1">
      <c r="A403" s="8"/>
      <c r="B403" s="8"/>
      <c r="C403" s="8"/>
      <c r="D403" s="25"/>
      <c r="E403" s="25"/>
      <c r="F403" s="8"/>
      <c r="G403" s="8"/>
      <c r="H403" s="8"/>
      <c r="I403" s="8"/>
      <c r="J403" s="8"/>
      <c r="K403" s="8"/>
      <c r="L403" s="8"/>
      <c r="M403" s="8"/>
      <c r="N403" s="8"/>
      <c r="O403" s="8"/>
      <c r="P403" s="8"/>
      <c r="Q403" s="8"/>
      <c r="R403" s="8"/>
      <c r="S403" s="8"/>
      <c r="T403" s="8"/>
      <c r="U403" s="8"/>
      <c r="V403" s="8"/>
      <c r="W403" s="8"/>
      <c r="X403" s="8"/>
      <c r="Y403" s="8"/>
      <c r="Z403" s="8"/>
    </row>
    <row r="404" ht="18.0" customHeight="1">
      <c r="A404" s="8"/>
      <c r="B404" s="8"/>
      <c r="C404" s="8"/>
      <c r="D404" s="25"/>
      <c r="E404" s="25"/>
      <c r="F404" s="8"/>
      <c r="G404" s="8"/>
      <c r="H404" s="8"/>
      <c r="I404" s="8"/>
      <c r="J404" s="8"/>
      <c r="K404" s="8"/>
      <c r="L404" s="8"/>
      <c r="M404" s="8"/>
      <c r="N404" s="8"/>
      <c r="O404" s="8"/>
      <c r="P404" s="8"/>
      <c r="Q404" s="8"/>
      <c r="R404" s="8"/>
      <c r="S404" s="8"/>
      <c r="T404" s="8"/>
      <c r="U404" s="8"/>
      <c r="V404" s="8"/>
      <c r="W404" s="8"/>
      <c r="X404" s="8"/>
      <c r="Y404" s="8"/>
      <c r="Z404" s="8"/>
    </row>
    <row r="405" ht="18.0" customHeight="1">
      <c r="A405" s="8"/>
      <c r="B405" s="8"/>
      <c r="C405" s="8"/>
      <c r="D405" s="25"/>
      <c r="E405" s="25"/>
      <c r="F405" s="8"/>
      <c r="G405" s="8"/>
      <c r="H405" s="8"/>
      <c r="I405" s="8"/>
      <c r="J405" s="8"/>
      <c r="K405" s="8"/>
      <c r="L405" s="8"/>
      <c r="M405" s="8"/>
      <c r="N405" s="8"/>
      <c r="O405" s="8"/>
      <c r="P405" s="8"/>
      <c r="Q405" s="8"/>
      <c r="R405" s="8"/>
      <c r="S405" s="8"/>
      <c r="T405" s="8"/>
      <c r="U405" s="8"/>
      <c r="V405" s="8"/>
      <c r="W405" s="8"/>
      <c r="X405" s="8"/>
      <c r="Y405" s="8"/>
      <c r="Z405" s="8"/>
    </row>
    <row r="406" ht="18.0" customHeight="1">
      <c r="A406" s="8"/>
      <c r="B406" s="8"/>
      <c r="C406" s="8"/>
      <c r="D406" s="25"/>
      <c r="E406" s="25"/>
      <c r="F406" s="8"/>
      <c r="G406" s="8"/>
      <c r="H406" s="8"/>
      <c r="I406" s="8"/>
      <c r="J406" s="8"/>
      <c r="K406" s="8"/>
      <c r="L406" s="8"/>
      <c r="M406" s="8"/>
      <c r="N406" s="8"/>
      <c r="O406" s="8"/>
      <c r="P406" s="8"/>
      <c r="Q406" s="8"/>
      <c r="R406" s="8"/>
      <c r="S406" s="8"/>
      <c r="T406" s="8"/>
      <c r="U406" s="8"/>
      <c r="V406" s="8"/>
      <c r="W406" s="8"/>
      <c r="X406" s="8"/>
      <c r="Y406" s="8"/>
      <c r="Z406" s="8"/>
    </row>
    <row r="407" ht="18.0" customHeight="1">
      <c r="A407" s="8"/>
      <c r="B407" s="8"/>
      <c r="C407" s="8"/>
      <c r="D407" s="25"/>
      <c r="E407" s="25"/>
      <c r="F407" s="8"/>
      <c r="G407" s="8"/>
      <c r="H407" s="8"/>
      <c r="I407" s="8"/>
      <c r="J407" s="8"/>
      <c r="K407" s="8"/>
      <c r="L407" s="8"/>
      <c r="M407" s="8"/>
      <c r="N407" s="8"/>
      <c r="O407" s="8"/>
      <c r="P407" s="8"/>
      <c r="Q407" s="8"/>
      <c r="R407" s="8"/>
      <c r="S407" s="8"/>
      <c r="T407" s="8"/>
      <c r="U407" s="8"/>
      <c r="V407" s="8"/>
      <c r="W407" s="8"/>
      <c r="X407" s="8"/>
      <c r="Y407" s="8"/>
      <c r="Z407" s="8"/>
    </row>
    <row r="408" ht="18.0" customHeight="1">
      <c r="A408" s="8"/>
      <c r="B408" s="8"/>
      <c r="C408" s="8"/>
      <c r="D408" s="25"/>
      <c r="E408" s="25"/>
      <c r="F408" s="8"/>
      <c r="G408" s="8"/>
      <c r="H408" s="8"/>
      <c r="I408" s="8"/>
      <c r="J408" s="8"/>
      <c r="K408" s="8"/>
      <c r="L408" s="8"/>
      <c r="M408" s="8"/>
      <c r="N408" s="8"/>
      <c r="O408" s="8"/>
      <c r="P408" s="8"/>
      <c r="Q408" s="8"/>
      <c r="R408" s="8"/>
      <c r="S408" s="8"/>
      <c r="T408" s="8"/>
      <c r="U408" s="8"/>
      <c r="V408" s="8"/>
      <c r="W408" s="8"/>
      <c r="X408" s="8"/>
      <c r="Y408" s="8"/>
      <c r="Z408" s="8"/>
    </row>
    <row r="409" ht="18.0" customHeight="1">
      <c r="A409" s="8"/>
      <c r="B409" s="8"/>
      <c r="C409" s="8"/>
      <c r="D409" s="25"/>
      <c r="E409" s="25"/>
      <c r="F409" s="8"/>
      <c r="G409" s="8"/>
      <c r="H409" s="8"/>
      <c r="I409" s="8"/>
      <c r="J409" s="8"/>
      <c r="K409" s="8"/>
      <c r="L409" s="8"/>
      <c r="M409" s="8"/>
      <c r="N409" s="8"/>
      <c r="O409" s="8"/>
      <c r="P409" s="8"/>
      <c r="Q409" s="8"/>
      <c r="R409" s="8"/>
      <c r="S409" s="8"/>
      <c r="T409" s="8"/>
      <c r="U409" s="8"/>
      <c r="V409" s="8"/>
      <c r="W409" s="8"/>
      <c r="X409" s="8"/>
      <c r="Y409" s="8"/>
      <c r="Z409" s="8"/>
    </row>
    <row r="410" ht="18.0" customHeight="1">
      <c r="A410" s="8"/>
      <c r="B410" s="8"/>
      <c r="C410" s="8"/>
      <c r="D410" s="25"/>
      <c r="E410" s="25"/>
      <c r="F410" s="8"/>
      <c r="G410" s="8"/>
      <c r="H410" s="8"/>
      <c r="I410" s="8"/>
      <c r="J410" s="8"/>
      <c r="K410" s="8"/>
      <c r="L410" s="8"/>
      <c r="M410" s="8"/>
      <c r="N410" s="8"/>
      <c r="O410" s="8"/>
      <c r="P410" s="8"/>
      <c r="Q410" s="8"/>
      <c r="R410" s="8"/>
      <c r="S410" s="8"/>
      <c r="T410" s="8"/>
      <c r="U410" s="8"/>
      <c r="V410" s="8"/>
      <c r="W410" s="8"/>
      <c r="X410" s="8"/>
      <c r="Y410" s="8"/>
      <c r="Z410" s="8"/>
    </row>
    <row r="411" ht="18.0" customHeight="1">
      <c r="A411" s="8"/>
      <c r="B411" s="8"/>
      <c r="C411" s="8"/>
      <c r="D411" s="25"/>
      <c r="E411" s="25"/>
      <c r="F411" s="8"/>
      <c r="G411" s="8"/>
      <c r="H411" s="8"/>
      <c r="I411" s="8"/>
      <c r="J411" s="8"/>
      <c r="K411" s="8"/>
      <c r="L411" s="8"/>
      <c r="M411" s="8"/>
      <c r="N411" s="8"/>
      <c r="O411" s="8"/>
      <c r="P411" s="8"/>
      <c r="Q411" s="8"/>
      <c r="R411" s="8"/>
      <c r="S411" s="8"/>
      <c r="T411" s="8"/>
      <c r="U411" s="8"/>
      <c r="V411" s="8"/>
      <c r="W411" s="8"/>
      <c r="X411" s="8"/>
      <c r="Y411" s="8"/>
      <c r="Z411" s="8"/>
    </row>
    <row r="412" ht="18.0" customHeight="1">
      <c r="A412" s="8"/>
      <c r="B412" s="8"/>
      <c r="C412" s="8"/>
      <c r="D412" s="25"/>
      <c r="E412" s="25"/>
      <c r="F412" s="8"/>
      <c r="G412" s="8"/>
      <c r="H412" s="8"/>
      <c r="I412" s="8"/>
      <c r="J412" s="8"/>
      <c r="K412" s="8"/>
      <c r="L412" s="8"/>
      <c r="M412" s="8"/>
      <c r="N412" s="8"/>
      <c r="O412" s="8"/>
      <c r="P412" s="8"/>
      <c r="Q412" s="8"/>
      <c r="R412" s="8"/>
      <c r="S412" s="8"/>
      <c r="T412" s="8"/>
      <c r="U412" s="8"/>
      <c r="V412" s="8"/>
      <c r="W412" s="8"/>
      <c r="X412" s="8"/>
      <c r="Y412" s="8"/>
      <c r="Z412" s="8"/>
    </row>
    <row r="413" ht="18.0" customHeight="1">
      <c r="A413" s="8"/>
      <c r="B413" s="8"/>
      <c r="C413" s="8"/>
      <c r="D413" s="25"/>
      <c r="E413" s="25"/>
      <c r="F413" s="8"/>
      <c r="G413" s="8"/>
      <c r="H413" s="8"/>
      <c r="I413" s="8"/>
      <c r="J413" s="8"/>
      <c r="K413" s="8"/>
      <c r="L413" s="8"/>
      <c r="M413" s="8"/>
      <c r="N413" s="8"/>
      <c r="O413" s="8"/>
      <c r="P413" s="8"/>
      <c r="Q413" s="8"/>
      <c r="R413" s="8"/>
      <c r="S413" s="8"/>
      <c r="T413" s="8"/>
      <c r="U413" s="8"/>
      <c r="V413" s="8"/>
      <c r="W413" s="8"/>
      <c r="X413" s="8"/>
      <c r="Y413" s="8"/>
      <c r="Z413" s="8"/>
    </row>
    <row r="414" ht="18.0" customHeight="1">
      <c r="A414" s="8"/>
      <c r="B414" s="8"/>
      <c r="C414" s="8"/>
      <c r="D414" s="25"/>
      <c r="E414" s="25"/>
      <c r="F414" s="8"/>
      <c r="G414" s="8"/>
      <c r="H414" s="8"/>
      <c r="I414" s="8"/>
      <c r="J414" s="8"/>
      <c r="K414" s="8"/>
      <c r="L414" s="8"/>
      <c r="M414" s="8"/>
      <c r="N414" s="8"/>
      <c r="O414" s="8"/>
      <c r="P414" s="8"/>
      <c r="Q414" s="8"/>
      <c r="R414" s="8"/>
      <c r="S414" s="8"/>
      <c r="T414" s="8"/>
      <c r="U414" s="8"/>
      <c r="V414" s="8"/>
      <c r="W414" s="8"/>
      <c r="X414" s="8"/>
      <c r="Y414" s="8"/>
      <c r="Z414" s="8"/>
    </row>
    <row r="415" ht="18.0" customHeight="1">
      <c r="A415" s="8"/>
      <c r="B415" s="8"/>
      <c r="C415" s="8"/>
      <c r="D415" s="25"/>
      <c r="E415" s="25"/>
      <c r="F415" s="8"/>
      <c r="G415" s="8"/>
      <c r="H415" s="8"/>
      <c r="I415" s="8"/>
      <c r="J415" s="8"/>
      <c r="K415" s="8"/>
      <c r="L415" s="8"/>
      <c r="M415" s="8"/>
      <c r="N415" s="8"/>
      <c r="O415" s="8"/>
      <c r="P415" s="8"/>
      <c r="Q415" s="8"/>
      <c r="R415" s="8"/>
      <c r="S415" s="8"/>
      <c r="T415" s="8"/>
      <c r="U415" s="8"/>
      <c r="V415" s="8"/>
      <c r="W415" s="8"/>
      <c r="X415" s="8"/>
      <c r="Y415" s="8"/>
      <c r="Z415" s="8"/>
    </row>
    <row r="416" ht="18.0" customHeight="1">
      <c r="A416" s="8"/>
      <c r="B416" s="8"/>
      <c r="C416" s="8"/>
      <c r="D416" s="25"/>
      <c r="E416" s="25"/>
      <c r="F416" s="8"/>
      <c r="G416" s="8"/>
      <c r="H416" s="8"/>
      <c r="I416" s="8"/>
      <c r="J416" s="8"/>
      <c r="K416" s="8"/>
      <c r="L416" s="8"/>
      <c r="M416" s="8"/>
      <c r="N416" s="8"/>
      <c r="O416" s="8"/>
      <c r="P416" s="8"/>
      <c r="Q416" s="8"/>
      <c r="R416" s="8"/>
      <c r="S416" s="8"/>
      <c r="T416" s="8"/>
      <c r="U416" s="8"/>
      <c r="V416" s="8"/>
      <c r="W416" s="8"/>
      <c r="X416" s="8"/>
      <c r="Y416" s="8"/>
      <c r="Z416" s="8"/>
    </row>
    <row r="417" ht="18.0" customHeight="1">
      <c r="A417" s="8"/>
      <c r="B417" s="8"/>
      <c r="C417" s="8"/>
      <c r="D417" s="25"/>
      <c r="E417" s="25"/>
      <c r="F417" s="8"/>
      <c r="G417" s="8"/>
      <c r="H417" s="8"/>
      <c r="I417" s="8"/>
      <c r="J417" s="8"/>
      <c r="K417" s="8"/>
      <c r="L417" s="8"/>
      <c r="M417" s="8"/>
      <c r="N417" s="8"/>
      <c r="O417" s="8"/>
      <c r="P417" s="8"/>
      <c r="Q417" s="8"/>
      <c r="R417" s="8"/>
      <c r="S417" s="8"/>
      <c r="T417" s="8"/>
      <c r="U417" s="8"/>
      <c r="V417" s="8"/>
      <c r="W417" s="8"/>
      <c r="X417" s="8"/>
      <c r="Y417" s="8"/>
      <c r="Z417" s="8"/>
    </row>
    <row r="418" ht="18.0" customHeight="1">
      <c r="A418" s="8"/>
      <c r="B418" s="8"/>
      <c r="C418" s="8"/>
      <c r="D418" s="25"/>
      <c r="E418" s="25"/>
      <c r="F418" s="8"/>
      <c r="G418" s="8"/>
      <c r="H418" s="8"/>
      <c r="I418" s="8"/>
      <c r="J418" s="8"/>
      <c r="K418" s="8"/>
      <c r="L418" s="8"/>
      <c r="M418" s="8"/>
      <c r="N418" s="8"/>
      <c r="O418" s="8"/>
      <c r="P418" s="8"/>
      <c r="Q418" s="8"/>
      <c r="R418" s="8"/>
      <c r="S418" s="8"/>
      <c r="T418" s="8"/>
      <c r="U418" s="8"/>
      <c r="V418" s="8"/>
      <c r="W418" s="8"/>
      <c r="X418" s="8"/>
      <c r="Y418" s="8"/>
      <c r="Z418" s="8"/>
    </row>
    <row r="419" ht="18.0" customHeight="1">
      <c r="A419" s="8"/>
      <c r="B419" s="8"/>
      <c r="C419" s="8"/>
      <c r="D419" s="25"/>
      <c r="E419" s="25"/>
      <c r="F419" s="8"/>
      <c r="G419" s="8"/>
      <c r="H419" s="8"/>
      <c r="I419" s="8"/>
      <c r="J419" s="8"/>
      <c r="K419" s="8"/>
      <c r="L419" s="8"/>
      <c r="M419" s="8"/>
      <c r="N419" s="8"/>
      <c r="O419" s="8"/>
      <c r="P419" s="8"/>
      <c r="Q419" s="8"/>
      <c r="R419" s="8"/>
      <c r="S419" s="8"/>
      <c r="T419" s="8"/>
      <c r="U419" s="8"/>
      <c r="V419" s="8"/>
      <c r="W419" s="8"/>
      <c r="X419" s="8"/>
      <c r="Y419" s="8"/>
      <c r="Z419" s="8"/>
    </row>
    <row r="420" ht="18.0" customHeight="1">
      <c r="A420" s="8"/>
      <c r="B420" s="8"/>
      <c r="C420" s="8"/>
      <c r="D420" s="25"/>
      <c r="E420" s="25"/>
      <c r="F420" s="8"/>
      <c r="G420" s="8"/>
      <c r="H420" s="8"/>
      <c r="I420" s="8"/>
      <c r="J420" s="8"/>
      <c r="K420" s="8"/>
      <c r="L420" s="8"/>
      <c r="M420" s="8"/>
      <c r="N420" s="8"/>
      <c r="O420" s="8"/>
      <c r="P420" s="8"/>
      <c r="Q420" s="8"/>
      <c r="R420" s="8"/>
      <c r="S420" s="8"/>
      <c r="T420" s="8"/>
      <c r="U420" s="8"/>
      <c r="V420" s="8"/>
      <c r="W420" s="8"/>
      <c r="X420" s="8"/>
      <c r="Y420" s="8"/>
      <c r="Z420" s="8"/>
    </row>
    <row r="421" ht="18.0" customHeight="1">
      <c r="A421" s="8"/>
      <c r="B421" s="8"/>
      <c r="C421" s="8"/>
      <c r="D421" s="25"/>
      <c r="E421" s="25"/>
      <c r="F421" s="8"/>
      <c r="G421" s="8"/>
      <c r="H421" s="8"/>
      <c r="I421" s="8"/>
      <c r="J421" s="8"/>
      <c r="K421" s="8"/>
      <c r="L421" s="8"/>
      <c r="M421" s="8"/>
      <c r="N421" s="8"/>
      <c r="O421" s="8"/>
      <c r="P421" s="8"/>
      <c r="Q421" s="8"/>
      <c r="R421" s="8"/>
      <c r="S421" s="8"/>
      <c r="T421" s="8"/>
      <c r="U421" s="8"/>
      <c r="V421" s="8"/>
      <c r="W421" s="8"/>
      <c r="X421" s="8"/>
      <c r="Y421" s="8"/>
      <c r="Z421" s="8"/>
    </row>
    <row r="422" ht="18.0" customHeight="1">
      <c r="A422" s="8"/>
      <c r="B422" s="8"/>
      <c r="C422" s="8"/>
      <c r="D422" s="25"/>
      <c r="E422" s="25"/>
      <c r="F422" s="8"/>
      <c r="G422" s="8"/>
      <c r="H422" s="8"/>
      <c r="I422" s="8"/>
      <c r="J422" s="8"/>
      <c r="K422" s="8"/>
      <c r="L422" s="8"/>
      <c r="M422" s="8"/>
      <c r="N422" s="8"/>
      <c r="O422" s="8"/>
      <c r="P422" s="8"/>
      <c r="Q422" s="8"/>
      <c r="R422" s="8"/>
      <c r="S422" s="8"/>
      <c r="T422" s="8"/>
      <c r="U422" s="8"/>
      <c r="V422" s="8"/>
      <c r="W422" s="8"/>
      <c r="X422" s="8"/>
      <c r="Y422" s="8"/>
      <c r="Z422" s="8"/>
    </row>
    <row r="423" ht="18.0" customHeight="1">
      <c r="A423" s="8"/>
      <c r="B423" s="8"/>
      <c r="C423" s="8"/>
      <c r="D423" s="25"/>
      <c r="E423" s="25"/>
      <c r="F423" s="8"/>
      <c r="G423" s="8"/>
      <c r="H423" s="8"/>
      <c r="I423" s="8"/>
      <c r="J423" s="8"/>
      <c r="K423" s="8"/>
      <c r="L423" s="8"/>
      <c r="M423" s="8"/>
      <c r="N423" s="8"/>
      <c r="O423" s="8"/>
      <c r="P423" s="8"/>
      <c r="Q423" s="8"/>
      <c r="R423" s="8"/>
      <c r="S423" s="8"/>
      <c r="T423" s="8"/>
      <c r="U423" s="8"/>
      <c r="V423" s="8"/>
      <c r="W423" s="8"/>
      <c r="X423" s="8"/>
      <c r="Y423" s="8"/>
      <c r="Z423" s="8"/>
    </row>
    <row r="424" ht="18.0" customHeight="1">
      <c r="A424" s="8"/>
      <c r="B424" s="8"/>
      <c r="C424" s="8"/>
      <c r="D424" s="25"/>
      <c r="E424" s="25"/>
      <c r="F424" s="8"/>
      <c r="G424" s="8"/>
      <c r="H424" s="8"/>
      <c r="I424" s="8"/>
      <c r="J424" s="8"/>
      <c r="K424" s="8"/>
      <c r="L424" s="8"/>
      <c r="M424" s="8"/>
      <c r="N424" s="8"/>
      <c r="O424" s="8"/>
      <c r="P424" s="8"/>
      <c r="Q424" s="8"/>
      <c r="R424" s="8"/>
      <c r="S424" s="8"/>
      <c r="T424" s="8"/>
      <c r="U424" s="8"/>
      <c r="V424" s="8"/>
      <c r="W424" s="8"/>
      <c r="X424" s="8"/>
      <c r="Y424" s="8"/>
      <c r="Z424" s="8"/>
    </row>
    <row r="425" ht="18.0" customHeight="1">
      <c r="A425" s="8"/>
      <c r="B425" s="8"/>
      <c r="C425" s="8"/>
      <c r="D425" s="25"/>
      <c r="E425" s="25"/>
      <c r="F425" s="8"/>
      <c r="G425" s="8"/>
      <c r="H425" s="8"/>
      <c r="I425" s="8"/>
      <c r="J425" s="8"/>
      <c r="K425" s="8"/>
      <c r="L425" s="8"/>
      <c r="M425" s="8"/>
      <c r="N425" s="8"/>
      <c r="O425" s="8"/>
      <c r="P425" s="8"/>
      <c r="Q425" s="8"/>
      <c r="R425" s="8"/>
      <c r="S425" s="8"/>
      <c r="T425" s="8"/>
      <c r="U425" s="8"/>
      <c r="V425" s="8"/>
      <c r="W425" s="8"/>
      <c r="X425" s="8"/>
      <c r="Y425" s="8"/>
      <c r="Z425" s="8"/>
    </row>
    <row r="426" ht="18.0" customHeight="1">
      <c r="A426" s="8"/>
      <c r="B426" s="8"/>
      <c r="C426" s="8"/>
      <c r="D426" s="25"/>
      <c r="E426" s="25"/>
      <c r="F426" s="8"/>
      <c r="G426" s="8"/>
      <c r="H426" s="8"/>
      <c r="I426" s="8"/>
      <c r="J426" s="8"/>
      <c r="K426" s="8"/>
      <c r="L426" s="8"/>
      <c r="M426" s="8"/>
      <c r="N426" s="8"/>
      <c r="O426" s="8"/>
      <c r="P426" s="8"/>
      <c r="Q426" s="8"/>
      <c r="R426" s="8"/>
      <c r="S426" s="8"/>
      <c r="T426" s="8"/>
      <c r="U426" s="8"/>
      <c r="V426" s="8"/>
      <c r="W426" s="8"/>
      <c r="X426" s="8"/>
      <c r="Y426" s="8"/>
      <c r="Z426" s="8"/>
    </row>
    <row r="427" ht="18.0" customHeight="1">
      <c r="A427" s="8"/>
      <c r="B427" s="8"/>
      <c r="C427" s="8"/>
      <c r="D427" s="25"/>
      <c r="E427" s="25"/>
      <c r="F427" s="8"/>
      <c r="G427" s="8"/>
      <c r="H427" s="8"/>
      <c r="I427" s="8"/>
      <c r="J427" s="8"/>
      <c r="K427" s="8"/>
      <c r="L427" s="8"/>
      <c r="M427" s="8"/>
      <c r="N427" s="8"/>
      <c r="O427" s="8"/>
      <c r="P427" s="8"/>
      <c r="Q427" s="8"/>
      <c r="R427" s="8"/>
      <c r="S427" s="8"/>
      <c r="T427" s="8"/>
      <c r="U427" s="8"/>
      <c r="V427" s="8"/>
      <c r="W427" s="8"/>
      <c r="X427" s="8"/>
      <c r="Y427" s="8"/>
      <c r="Z427" s="8"/>
    </row>
    <row r="428" ht="18.0" customHeight="1">
      <c r="A428" s="8"/>
      <c r="B428" s="8"/>
      <c r="C428" s="8"/>
      <c r="D428" s="25"/>
      <c r="E428" s="25"/>
      <c r="F428" s="8"/>
      <c r="G428" s="8"/>
      <c r="H428" s="8"/>
      <c r="I428" s="8"/>
      <c r="J428" s="8"/>
      <c r="K428" s="8"/>
      <c r="L428" s="8"/>
      <c r="M428" s="8"/>
      <c r="N428" s="8"/>
      <c r="O428" s="8"/>
      <c r="P428" s="8"/>
      <c r="Q428" s="8"/>
      <c r="R428" s="8"/>
      <c r="S428" s="8"/>
      <c r="T428" s="8"/>
      <c r="U428" s="8"/>
      <c r="V428" s="8"/>
      <c r="W428" s="8"/>
      <c r="X428" s="8"/>
      <c r="Y428" s="8"/>
      <c r="Z428" s="8"/>
    </row>
    <row r="429" ht="18.0" customHeight="1">
      <c r="A429" s="8"/>
      <c r="B429" s="8"/>
      <c r="C429" s="8"/>
      <c r="D429" s="25"/>
      <c r="E429" s="25"/>
      <c r="F429" s="8"/>
      <c r="G429" s="8"/>
      <c r="H429" s="8"/>
      <c r="I429" s="8"/>
      <c r="J429" s="8"/>
      <c r="K429" s="8"/>
      <c r="L429" s="8"/>
      <c r="M429" s="8"/>
      <c r="N429" s="8"/>
      <c r="O429" s="8"/>
      <c r="P429" s="8"/>
      <c r="Q429" s="8"/>
      <c r="R429" s="8"/>
      <c r="S429" s="8"/>
      <c r="T429" s="8"/>
      <c r="U429" s="8"/>
      <c r="V429" s="8"/>
      <c r="W429" s="8"/>
      <c r="X429" s="8"/>
      <c r="Y429" s="8"/>
      <c r="Z429" s="8"/>
    </row>
    <row r="430" ht="18.0" customHeight="1">
      <c r="A430" s="8"/>
      <c r="B430" s="8"/>
      <c r="C430" s="8"/>
      <c r="D430" s="25"/>
      <c r="E430" s="25"/>
      <c r="F430" s="8"/>
      <c r="G430" s="8"/>
      <c r="H430" s="8"/>
      <c r="I430" s="8"/>
      <c r="J430" s="8"/>
      <c r="K430" s="8"/>
      <c r="L430" s="8"/>
      <c r="M430" s="8"/>
      <c r="N430" s="8"/>
      <c r="O430" s="8"/>
      <c r="P430" s="8"/>
      <c r="Q430" s="8"/>
      <c r="R430" s="8"/>
      <c r="S430" s="8"/>
      <c r="T430" s="8"/>
      <c r="U430" s="8"/>
      <c r="V430" s="8"/>
      <c r="W430" s="8"/>
      <c r="X430" s="8"/>
      <c r="Y430" s="8"/>
      <c r="Z430" s="8"/>
    </row>
    <row r="431" ht="18.0" customHeight="1">
      <c r="A431" s="8"/>
      <c r="B431" s="8"/>
      <c r="C431" s="8"/>
      <c r="D431" s="25"/>
      <c r="E431" s="25"/>
      <c r="F431" s="8"/>
      <c r="G431" s="8"/>
      <c r="H431" s="8"/>
      <c r="I431" s="8"/>
      <c r="J431" s="8"/>
      <c r="K431" s="8"/>
      <c r="L431" s="8"/>
      <c r="M431" s="8"/>
      <c r="N431" s="8"/>
      <c r="O431" s="8"/>
      <c r="P431" s="8"/>
      <c r="Q431" s="8"/>
      <c r="R431" s="8"/>
      <c r="S431" s="8"/>
      <c r="T431" s="8"/>
      <c r="U431" s="8"/>
      <c r="V431" s="8"/>
      <c r="W431" s="8"/>
      <c r="X431" s="8"/>
      <c r="Y431" s="8"/>
      <c r="Z431" s="8"/>
    </row>
    <row r="432" ht="18.0" customHeight="1">
      <c r="A432" s="8"/>
      <c r="B432" s="8"/>
      <c r="C432" s="8"/>
      <c r="D432" s="25"/>
      <c r="E432" s="25"/>
      <c r="F432" s="8"/>
      <c r="G432" s="8"/>
      <c r="H432" s="8"/>
      <c r="I432" s="8"/>
      <c r="J432" s="8"/>
      <c r="K432" s="8"/>
      <c r="L432" s="8"/>
      <c r="M432" s="8"/>
      <c r="N432" s="8"/>
      <c r="O432" s="8"/>
      <c r="P432" s="8"/>
      <c r="Q432" s="8"/>
      <c r="R432" s="8"/>
      <c r="S432" s="8"/>
      <c r="T432" s="8"/>
      <c r="U432" s="8"/>
      <c r="V432" s="8"/>
      <c r="W432" s="8"/>
      <c r="X432" s="8"/>
      <c r="Y432" s="8"/>
      <c r="Z432" s="8"/>
    </row>
    <row r="433" ht="18.0" customHeight="1">
      <c r="A433" s="8"/>
      <c r="B433" s="8"/>
      <c r="C433" s="8"/>
      <c r="D433" s="25"/>
      <c r="E433" s="25"/>
      <c r="F433" s="8"/>
      <c r="G433" s="8"/>
      <c r="H433" s="8"/>
      <c r="I433" s="8"/>
      <c r="J433" s="8"/>
      <c r="K433" s="8"/>
      <c r="L433" s="8"/>
      <c r="M433" s="8"/>
      <c r="N433" s="8"/>
      <c r="O433" s="8"/>
      <c r="P433" s="8"/>
      <c r="Q433" s="8"/>
      <c r="R433" s="8"/>
      <c r="S433" s="8"/>
      <c r="T433" s="8"/>
      <c r="U433" s="8"/>
      <c r="V433" s="8"/>
      <c r="W433" s="8"/>
      <c r="X433" s="8"/>
      <c r="Y433" s="8"/>
      <c r="Z433" s="8"/>
    </row>
    <row r="434" ht="18.0" customHeight="1">
      <c r="A434" s="8"/>
      <c r="B434" s="8"/>
      <c r="C434" s="8"/>
      <c r="D434" s="25"/>
      <c r="E434" s="25"/>
      <c r="F434" s="8"/>
      <c r="G434" s="8"/>
      <c r="H434" s="8"/>
      <c r="I434" s="8"/>
      <c r="J434" s="8"/>
      <c r="K434" s="8"/>
      <c r="L434" s="8"/>
      <c r="M434" s="8"/>
      <c r="N434" s="8"/>
      <c r="O434" s="8"/>
      <c r="P434" s="8"/>
      <c r="Q434" s="8"/>
      <c r="R434" s="8"/>
      <c r="S434" s="8"/>
      <c r="T434" s="8"/>
      <c r="U434" s="8"/>
      <c r="V434" s="8"/>
      <c r="W434" s="8"/>
      <c r="X434" s="8"/>
      <c r="Y434" s="8"/>
      <c r="Z434" s="8"/>
    </row>
    <row r="435" ht="18.0" customHeight="1">
      <c r="A435" s="8"/>
      <c r="B435" s="8"/>
      <c r="C435" s="8"/>
      <c r="D435" s="25"/>
      <c r="E435" s="25"/>
      <c r="F435" s="8"/>
      <c r="G435" s="8"/>
      <c r="H435" s="8"/>
      <c r="I435" s="8"/>
      <c r="J435" s="8"/>
      <c r="K435" s="8"/>
      <c r="L435" s="8"/>
      <c r="M435" s="8"/>
      <c r="N435" s="8"/>
      <c r="O435" s="8"/>
      <c r="P435" s="8"/>
      <c r="Q435" s="8"/>
      <c r="R435" s="8"/>
      <c r="S435" s="8"/>
      <c r="T435" s="8"/>
      <c r="U435" s="8"/>
      <c r="V435" s="8"/>
      <c r="W435" s="8"/>
      <c r="X435" s="8"/>
      <c r="Y435" s="8"/>
      <c r="Z435" s="8"/>
    </row>
    <row r="436" ht="18.0" customHeight="1">
      <c r="A436" s="8"/>
      <c r="B436" s="8"/>
      <c r="C436" s="8"/>
      <c r="D436" s="25"/>
      <c r="E436" s="25"/>
      <c r="F436" s="8"/>
      <c r="G436" s="8"/>
      <c r="H436" s="8"/>
      <c r="I436" s="8"/>
      <c r="J436" s="8"/>
      <c r="K436" s="8"/>
      <c r="L436" s="8"/>
      <c r="M436" s="8"/>
      <c r="N436" s="8"/>
      <c r="O436" s="8"/>
      <c r="P436" s="8"/>
      <c r="Q436" s="8"/>
      <c r="R436" s="8"/>
      <c r="S436" s="8"/>
      <c r="T436" s="8"/>
      <c r="U436" s="8"/>
      <c r="V436" s="8"/>
      <c r="W436" s="8"/>
      <c r="X436" s="8"/>
      <c r="Y436" s="8"/>
      <c r="Z436" s="8"/>
    </row>
    <row r="437" ht="18.0" customHeight="1">
      <c r="A437" s="8"/>
      <c r="B437" s="8"/>
      <c r="C437" s="8"/>
      <c r="D437" s="25"/>
      <c r="E437" s="25"/>
      <c r="F437" s="8"/>
      <c r="G437" s="8"/>
      <c r="H437" s="8"/>
      <c r="I437" s="8"/>
      <c r="J437" s="8"/>
      <c r="K437" s="8"/>
      <c r="L437" s="8"/>
      <c r="M437" s="8"/>
      <c r="N437" s="8"/>
      <c r="O437" s="8"/>
      <c r="P437" s="8"/>
      <c r="Q437" s="8"/>
      <c r="R437" s="8"/>
      <c r="S437" s="8"/>
      <c r="T437" s="8"/>
      <c r="U437" s="8"/>
      <c r="V437" s="8"/>
      <c r="W437" s="8"/>
      <c r="X437" s="8"/>
      <c r="Y437" s="8"/>
      <c r="Z437" s="8"/>
    </row>
    <row r="438" ht="18.0" customHeight="1">
      <c r="A438" s="8"/>
      <c r="B438" s="8"/>
      <c r="C438" s="8"/>
      <c r="D438" s="25"/>
      <c r="E438" s="25"/>
      <c r="F438" s="8"/>
      <c r="G438" s="8"/>
      <c r="H438" s="8"/>
      <c r="I438" s="8"/>
      <c r="J438" s="8"/>
      <c r="K438" s="8"/>
      <c r="L438" s="8"/>
      <c r="M438" s="8"/>
      <c r="N438" s="8"/>
      <c r="O438" s="8"/>
      <c r="P438" s="8"/>
      <c r="Q438" s="8"/>
      <c r="R438" s="8"/>
      <c r="S438" s="8"/>
      <c r="T438" s="8"/>
      <c r="U438" s="8"/>
      <c r="V438" s="8"/>
      <c r="W438" s="8"/>
      <c r="X438" s="8"/>
      <c r="Y438" s="8"/>
      <c r="Z438" s="8"/>
    </row>
    <row r="439" ht="18.0" customHeight="1">
      <c r="A439" s="8"/>
      <c r="B439" s="8"/>
      <c r="C439" s="8"/>
      <c r="D439" s="25"/>
      <c r="E439" s="25"/>
      <c r="F439" s="8"/>
      <c r="G439" s="8"/>
      <c r="H439" s="8"/>
      <c r="I439" s="8"/>
      <c r="J439" s="8"/>
      <c r="K439" s="8"/>
      <c r="L439" s="8"/>
      <c r="M439" s="8"/>
      <c r="N439" s="8"/>
      <c r="O439" s="8"/>
      <c r="P439" s="8"/>
      <c r="Q439" s="8"/>
      <c r="R439" s="8"/>
      <c r="S439" s="8"/>
      <c r="T439" s="8"/>
      <c r="U439" s="8"/>
      <c r="V439" s="8"/>
      <c r="W439" s="8"/>
      <c r="X439" s="8"/>
      <c r="Y439" s="8"/>
      <c r="Z439" s="8"/>
    </row>
    <row r="440" ht="18.0" customHeight="1">
      <c r="A440" s="8"/>
      <c r="B440" s="8"/>
      <c r="C440" s="8"/>
      <c r="D440" s="25"/>
      <c r="E440" s="25"/>
      <c r="F440" s="8"/>
      <c r="G440" s="8"/>
      <c r="H440" s="8"/>
      <c r="I440" s="8"/>
      <c r="J440" s="8"/>
      <c r="K440" s="8"/>
      <c r="L440" s="8"/>
      <c r="M440" s="8"/>
      <c r="N440" s="8"/>
      <c r="O440" s="8"/>
      <c r="P440" s="8"/>
      <c r="Q440" s="8"/>
      <c r="R440" s="8"/>
      <c r="S440" s="8"/>
      <c r="T440" s="8"/>
      <c r="U440" s="8"/>
      <c r="V440" s="8"/>
      <c r="W440" s="8"/>
      <c r="X440" s="8"/>
      <c r="Y440" s="8"/>
      <c r="Z440" s="8"/>
    </row>
    <row r="441" ht="18.0" customHeight="1">
      <c r="A441" s="8"/>
      <c r="B441" s="8"/>
      <c r="C441" s="8"/>
      <c r="D441" s="25"/>
      <c r="E441" s="25"/>
      <c r="F441" s="8"/>
      <c r="G441" s="8"/>
      <c r="H441" s="8"/>
      <c r="I441" s="8"/>
      <c r="J441" s="8"/>
      <c r="K441" s="8"/>
      <c r="L441" s="8"/>
      <c r="M441" s="8"/>
      <c r="N441" s="8"/>
      <c r="O441" s="8"/>
      <c r="P441" s="8"/>
      <c r="Q441" s="8"/>
      <c r="R441" s="8"/>
      <c r="S441" s="8"/>
      <c r="T441" s="8"/>
      <c r="U441" s="8"/>
      <c r="V441" s="8"/>
      <c r="W441" s="8"/>
      <c r="X441" s="8"/>
      <c r="Y441" s="8"/>
      <c r="Z441" s="8"/>
    </row>
    <row r="442" ht="18.0" customHeight="1">
      <c r="A442" s="8"/>
      <c r="B442" s="8"/>
      <c r="C442" s="8"/>
      <c r="D442" s="25"/>
      <c r="E442" s="25"/>
      <c r="F442" s="8"/>
      <c r="G442" s="8"/>
      <c r="H442" s="8"/>
      <c r="I442" s="8"/>
      <c r="J442" s="8"/>
      <c r="K442" s="8"/>
      <c r="L442" s="8"/>
      <c r="M442" s="8"/>
      <c r="N442" s="8"/>
      <c r="O442" s="8"/>
      <c r="P442" s="8"/>
      <c r="Q442" s="8"/>
      <c r="R442" s="8"/>
      <c r="S442" s="8"/>
      <c r="T442" s="8"/>
      <c r="U442" s="8"/>
      <c r="V442" s="8"/>
      <c r="W442" s="8"/>
      <c r="X442" s="8"/>
      <c r="Y442" s="8"/>
      <c r="Z442" s="8"/>
    </row>
    <row r="443" ht="18.0" customHeight="1">
      <c r="A443" s="8"/>
      <c r="B443" s="8"/>
      <c r="C443" s="8"/>
      <c r="D443" s="25"/>
      <c r="E443" s="25"/>
      <c r="F443" s="8"/>
      <c r="G443" s="8"/>
      <c r="H443" s="8"/>
      <c r="I443" s="8"/>
      <c r="J443" s="8"/>
      <c r="K443" s="8"/>
      <c r="L443" s="8"/>
      <c r="M443" s="8"/>
      <c r="N443" s="8"/>
      <c r="O443" s="8"/>
      <c r="P443" s="8"/>
      <c r="Q443" s="8"/>
      <c r="R443" s="8"/>
      <c r="S443" s="8"/>
      <c r="T443" s="8"/>
      <c r="U443" s="8"/>
      <c r="V443" s="8"/>
      <c r="W443" s="8"/>
      <c r="X443" s="8"/>
      <c r="Y443" s="8"/>
      <c r="Z443" s="8"/>
    </row>
    <row r="444" ht="18.0" customHeight="1">
      <c r="A444" s="8"/>
      <c r="B444" s="8"/>
      <c r="C444" s="8"/>
      <c r="D444" s="25"/>
      <c r="E444" s="25"/>
      <c r="F444" s="8"/>
      <c r="G444" s="8"/>
      <c r="H444" s="8"/>
      <c r="I444" s="8"/>
      <c r="J444" s="8"/>
      <c r="K444" s="8"/>
      <c r="L444" s="8"/>
      <c r="M444" s="8"/>
      <c r="N444" s="8"/>
      <c r="O444" s="8"/>
      <c r="P444" s="8"/>
      <c r="Q444" s="8"/>
      <c r="R444" s="8"/>
      <c r="S444" s="8"/>
      <c r="T444" s="8"/>
      <c r="U444" s="8"/>
      <c r="V444" s="8"/>
      <c r="W444" s="8"/>
      <c r="X444" s="8"/>
      <c r="Y444" s="8"/>
      <c r="Z444" s="8"/>
    </row>
    <row r="445" ht="18.0" customHeight="1">
      <c r="A445" s="8"/>
      <c r="B445" s="8"/>
      <c r="C445" s="8"/>
      <c r="D445" s="25"/>
      <c r="E445" s="25"/>
      <c r="F445" s="8"/>
      <c r="G445" s="8"/>
      <c r="H445" s="8"/>
      <c r="I445" s="8"/>
      <c r="J445" s="8"/>
      <c r="K445" s="8"/>
      <c r="L445" s="8"/>
      <c r="M445" s="8"/>
      <c r="N445" s="8"/>
      <c r="O445" s="8"/>
      <c r="P445" s="8"/>
      <c r="Q445" s="8"/>
      <c r="R445" s="8"/>
      <c r="S445" s="8"/>
      <c r="T445" s="8"/>
      <c r="U445" s="8"/>
      <c r="V445" s="8"/>
      <c r="W445" s="8"/>
      <c r="X445" s="8"/>
      <c r="Y445" s="8"/>
      <c r="Z445" s="8"/>
    </row>
    <row r="446" ht="18.0" customHeight="1">
      <c r="A446" s="8"/>
      <c r="B446" s="8"/>
      <c r="C446" s="8"/>
      <c r="D446" s="25"/>
      <c r="E446" s="25"/>
      <c r="F446" s="8"/>
      <c r="G446" s="8"/>
      <c r="H446" s="8"/>
      <c r="I446" s="8"/>
      <c r="J446" s="8"/>
      <c r="K446" s="8"/>
      <c r="L446" s="8"/>
      <c r="M446" s="8"/>
      <c r="N446" s="8"/>
      <c r="O446" s="8"/>
      <c r="P446" s="8"/>
      <c r="Q446" s="8"/>
      <c r="R446" s="8"/>
      <c r="S446" s="8"/>
      <c r="T446" s="8"/>
      <c r="U446" s="8"/>
      <c r="V446" s="8"/>
      <c r="W446" s="8"/>
      <c r="X446" s="8"/>
      <c r="Y446" s="8"/>
      <c r="Z446" s="8"/>
    </row>
    <row r="447" ht="18.0" customHeight="1">
      <c r="A447" s="8"/>
      <c r="B447" s="8"/>
      <c r="C447" s="8"/>
      <c r="D447" s="25"/>
      <c r="E447" s="25"/>
      <c r="F447" s="8"/>
      <c r="G447" s="8"/>
      <c r="H447" s="8"/>
      <c r="I447" s="8"/>
      <c r="J447" s="8"/>
      <c r="K447" s="8"/>
      <c r="L447" s="8"/>
      <c r="M447" s="8"/>
      <c r="N447" s="8"/>
      <c r="O447" s="8"/>
      <c r="P447" s="8"/>
      <c r="Q447" s="8"/>
      <c r="R447" s="8"/>
      <c r="S447" s="8"/>
      <c r="T447" s="8"/>
      <c r="U447" s="8"/>
      <c r="V447" s="8"/>
      <c r="W447" s="8"/>
      <c r="X447" s="8"/>
      <c r="Y447" s="8"/>
      <c r="Z447" s="8"/>
    </row>
    <row r="448" ht="18.0" customHeight="1">
      <c r="A448" s="8"/>
      <c r="B448" s="8"/>
      <c r="C448" s="8"/>
      <c r="D448" s="25"/>
      <c r="E448" s="25"/>
      <c r="F448" s="8"/>
      <c r="G448" s="8"/>
      <c r="H448" s="8"/>
      <c r="I448" s="8"/>
      <c r="J448" s="8"/>
      <c r="K448" s="8"/>
      <c r="L448" s="8"/>
      <c r="M448" s="8"/>
      <c r="N448" s="8"/>
      <c r="O448" s="8"/>
      <c r="P448" s="8"/>
      <c r="Q448" s="8"/>
      <c r="R448" s="8"/>
      <c r="S448" s="8"/>
      <c r="T448" s="8"/>
      <c r="U448" s="8"/>
      <c r="V448" s="8"/>
      <c r="W448" s="8"/>
      <c r="X448" s="8"/>
      <c r="Y448" s="8"/>
      <c r="Z448" s="8"/>
    </row>
    <row r="449" ht="18.0" customHeight="1">
      <c r="A449" s="8"/>
      <c r="B449" s="8"/>
      <c r="C449" s="8"/>
      <c r="D449" s="25"/>
      <c r="E449" s="25"/>
      <c r="F449" s="8"/>
      <c r="G449" s="8"/>
      <c r="H449" s="8"/>
      <c r="I449" s="8"/>
      <c r="J449" s="8"/>
      <c r="K449" s="8"/>
      <c r="L449" s="8"/>
      <c r="M449" s="8"/>
      <c r="N449" s="8"/>
      <c r="O449" s="8"/>
      <c r="P449" s="8"/>
      <c r="Q449" s="8"/>
      <c r="R449" s="8"/>
      <c r="S449" s="8"/>
      <c r="T449" s="8"/>
      <c r="U449" s="8"/>
      <c r="V449" s="8"/>
      <c r="W449" s="8"/>
      <c r="X449" s="8"/>
      <c r="Y449" s="8"/>
      <c r="Z449" s="8"/>
    </row>
    <row r="450" ht="18.0" customHeight="1">
      <c r="A450" s="8"/>
      <c r="B450" s="8"/>
      <c r="C450" s="8"/>
      <c r="D450" s="25"/>
      <c r="E450" s="25"/>
      <c r="F450" s="8"/>
      <c r="G450" s="8"/>
      <c r="H450" s="8"/>
      <c r="I450" s="8"/>
      <c r="J450" s="8"/>
      <c r="K450" s="8"/>
      <c r="L450" s="8"/>
      <c r="M450" s="8"/>
      <c r="N450" s="8"/>
      <c r="O450" s="8"/>
      <c r="P450" s="8"/>
      <c r="Q450" s="8"/>
      <c r="R450" s="8"/>
      <c r="S450" s="8"/>
      <c r="T450" s="8"/>
      <c r="U450" s="8"/>
      <c r="V450" s="8"/>
      <c r="W450" s="8"/>
      <c r="X450" s="8"/>
      <c r="Y450" s="8"/>
      <c r="Z450" s="8"/>
    </row>
    <row r="451" ht="18.0" customHeight="1">
      <c r="A451" s="8"/>
      <c r="B451" s="8"/>
      <c r="C451" s="8"/>
      <c r="D451" s="25"/>
      <c r="E451" s="25"/>
      <c r="F451" s="8"/>
      <c r="G451" s="8"/>
      <c r="H451" s="8"/>
      <c r="I451" s="8"/>
      <c r="J451" s="8"/>
      <c r="K451" s="8"/>
      <c r="L451" s="8"/>
      <c r="M451" s="8"/>
      <c r="N451" s="8"/>
      <c r="O451" s="8"/>
      <c r="P451" s="8"/>
      <c r="Q451" s="8"/>
      <c r="R451" s="8"/>
      <c r="S451" s="8"/>
      <c r="T451" s="8"/>
      <c r="U451" s="8"/>
      <c r="V451" s="8"/>
      <c r="W451" s="8"/>
      <c r="X451" s="8"/>
      <c r="Y451" s="8"/>
      <c r="Z451" s="8"/>
    </row>
    <row r="452" ht="18.0" customHeight="1">
      <c r="A452" s="8"/>
      <c r="B452" s="8"/>
      <c r="C452" s="8"/>
      <c r="D452" s="25"/>
      <c r="E452" s="25"/>
      <c r="F452" s="8"/>
      <c r="G452" s="8"/>
      <c r="H452" s="8"/>
      <c r="I452" s="8"/>
      <c r="J452" s="8"/>
      <c r="K452" s="8"/>
      <c r="L452" s="8"/>
      <c r="M452" s="8"/>
      <c r="N452" s="8"/>
      <c r="O452" s="8"/>
      <c r="P452" s="8"/>
      <c r="Q452" s="8"/>
      <c r="R452" s="8"/>
      <c r="S452" s="8"/>
      <c r="T452" s="8"/>
      <c r="U452" s="8"/>
      <c r="V452" s="8"/>
      <c r="W452" s="8"/>
      <c r="X452" s="8"/>
      <c r="Y452" s="8"/>
      <c r="Z452" s="8"/>
    </row>
    <row r="453" ht="18.0" customHeight="1">
      <c r="A453" s="8"/>
      <c r="B453" s="8"/>
      <c r="C453" s="8"/>
      <c r="D453" s="25"/>
      <c r="E453" s="25"/>
      <c r="F453" s="8"/>
      <c r="G453" s="8"/>
      <c r="H453" s="8"/>
      <c r="I453" s="8"/>
      <c r="J453" s="8"/>
      <c r="K453" s="8"/>
      <c r="L453" s="8"/>
      <c r="M453" s="8"/>
      <c r="N453" s="8"/>
      <c r="O453" s="8"/>
      <c r="P453" s="8"/>
      <c r="Q453" s="8"/>
      <c r="R453" s="8"/>
      <c r="S453" s="8"/>
      <c r="T453" s="8"/>
      <c r="U453" s="8"/>
      <c r="V453" s="8"/>
      <c r="W453" s="8"/>
      <c r="X453" s="8"/>
      <c r="Y453" s="8"/>
      <c r="Z453" s="8"/>
    </row>
    <row r="454" ht="18.0" customHeight="1">
      <c r="A454" s="8"/>
      <c r="B454" s="8"/>
      <c r="C454" s="8"/>
      <c r="D454" s="25"/>
      <c r="E454" s="25"/>
      <c r="F454" s="8"/>
      <c r="G454" s="8"/>
      <c r="H454" s="8"/>
      <c r="I454" s="8"/>
      <c r="J454" s="8"/>
      <c r="K454" s="8"/>
      <c r="L454" s="8"/>
      <c r="M454" s="8"/>
      <c r="N454" s="8"/>
      <c r="O454" s="8"/>
      <c r="P454" s="8"/>
      <c r="Q454" s="8"/>
      <c r="R454" s="8"/>
      <c r="S454" s="8"/>
      <c r="T454" s="8"/>
      <c r="U454" s="8"/>
      <c r="V454" s="8"/>
      <c r="W454" s="8"/>
      <c r="X454" s="8"/>
      <c r="Y454" s="8"/>
      <c r="Z454" s="8"/>
    </row>
    <row r="455" ht="18.0" customHeight="1">
      <c r="A455" s="8"/>
      <c r="B455" s="8"/>
      <c r="C455" s="8"/>
      <c r="D455" s="25"/>
      <c r="E455" s="25"/>
      <c r="F455" s="8"/>
      <c r="G455" s="8"/>
      <c r="H455" s="8"/>
      <c r="I455" s="8"/>
      <c r="J455" s="8"/>
      <c r="K455" s="8"/>
      <c r="L455" s="8"/>
      <c r="M455" s="8"/>
      <c r="N455" s="8"/>
      <c r="O455" s="8"/>
      <c r="P455" s="8"/>
      <c r="Q455" s="8"/>
      <c r="R455" s="8"/>
      <c r="S455" s="8"/>
      <c r="T455" s="8"/>
      <c r="U455" s="8"/>
      <c r="V455" s="8"/>
      <c r="W455" s="8"/>
      <c r="X455" s="8"/>
      <c r="Y455" s="8"/>
      <c r="Z455" s="8"/>
    </row>
    <row r="456" ht="18.0" customHeight="1">
      <c r="A456" s="8"/>
      <c r="B456" s="8"/>
      <c r="C456" s="8"/>
      <c r="D456" s="25"/>
      <c r="E456" s="25"/>
      <c r="F456" s="8"/>
      <c r="G456" s="8"/>
      <c r="H456" s="8"/>
      <c r="I456" s="8"/>
      <c r="J456" s="8"/>
      <c r="K456" s="8"/>
      <c r="L456" s="8"/>
      <c r="M456" s="8"/>
      <c r="N456" s="8"/>
      <c r="O456" s="8"/>
      <c r="P456" s="8"/>
      <c r="Q456" s="8"/>
      <c r="R456" s="8"/>
      <c r="S456" s="8"/>
      <c r="T456" s="8"/>
      <c r="U456" s="8"/>
      <c r="V456" s="8"/>
      <c r="W456" s="8"/>
      <c r="X456" s="8"/>
      <c r="Y456" s="8"/>
      <c r="Z456" s="8"/>
    </row>
    <row r="457" ht="18.0" customHeight="1">
      <c r="A457" s="8"/>
      <c r="B457" s="8"/>
      <c r="C457" s="8"/>
      <c r="D457" s="25"/>
      <c r="E457" s="25"/>
      <c r="F457" s="8"/>
      <c r="G457" s="8"/>
      <c r="H457" s="8"/>
      <c r="I457" s="8"/>
      <c r="J457" s="8"/>
      <c r="K457" s="8"/>
      <c r="L457" s="8"/>
      <c r="M457" s="8"/>
      <c r="N457" s="8"/>
      <c r="O457" s="8"/>
      <c r="P457" s="8"/>
      <c r="Q457" s="8"/>
      <c r="R457" s="8"/>
      <c r="S457" s="8"/>
      <c r="T457" s="8"/>
      <c r="U457" s="8"/>
      <c r="V457" s="8"/>
      <c r="W457" s="8"/>
      <c r="X457" s="8"/>
      <c r="Y457" s="8"/>
      <c r="Z457" s="8"/>
    </row>
    <row r="458" ht="18.0" customHeight="1">
      <c r="A458" s="8"/>
      <c r="B458" s="8"/>
      <c r="C458" s="8"/>
      <c r="D458" s="25"/>
      <c r="E458" s="25"/>
      <c r="F458" s="8"/>
      <c r="G458" s="8"/>
      <c r="H458" s="8"/>
      <c r="I458" s="8"/>
      <c r="J458" s="8"/>
      <c r="K458" s="8"/>
      <c r="L458" s="8"/>
      <c r="M458" s="8"/>
      <c r="N458" s="8"/>
      <c r="O458" s="8"/>
      <c r="P458" s="8"/>
      <c r="Q458" s="8"/>
      <c r="R458" s="8"/>
      <c r="S458" s="8"/>
      <c r="T458" s="8"/>
      <c r="U458" s="8"/>
      <c r="V458" s="8"/>
      <c r="W458" s="8"/>
      <c r="X458" s="8"/>
      <c r="Y458" s="8"/>
      <c r="Z458" s="8"/>
    </row>
    <row r="459" ht="18.0" customHeight="1">
      <c r="A459" s="8"/>
      <c r="B459" s="8"/>
      <c r="C459" s="8"/>
      <c r="D459" s="25"/>
      <c r="E459" s="25"/>
      <c r="F459" s="8"/>
      <c r="G459" s="8"/>
      <c r="H459" s="8"/>
      <c r="I459" s="8"/>
      <c r="J459" s="8"/>
      <c r="K459" s="8"/>
      <c r="L459" s="8"/>
      <c r="M459" s="8"/>
      <c r="N459" s="8"/>
      <c r="O459" s="8"/>
      <c r="P459" s="8"/>
      <c r="Q459" s="8"/>
      <c r="R459" s="8"/>
      <c r="S459" s="8"/>
      <c r="T459" s="8"/>
      <c r="U459" s="8"/>
      <c r="V459" s="8"/>
      <c r="W459" s="8"/>
      <c r="X459" s="8"/>
      <c r="Y459" s="8"/>
      <c r="Z459" s="8"/>
    </row>
    <row r="460" ht="18.0" customHeight="1">
      <c r="A460" s="8"/>
      <c r="B460" s="8"/>
      <c r="C460" s="8"/>
      <c r="D460" s="25"/>
      <c r="E460" s="25"/>
      <c r="F460" s="8"/>
      <c r="G460" s="8"/>
      <c r="H460" s="8"/>
      <c r="I460" s="8"/>
      <c r="J460" s="8"/>
      <c r="K460" s="8"/>
      <c r="L460" s="8"/>
      <c r="M460" s="8"/>
      <c r="N460" s="8"/>
      <c r="O460" s="8"/>
      <c r="P460" s="8"/>
      <c r="Q460" s="8"/>
      <c r="R460" s="8"/>
      <c r="S460" s="8"/>
      <c r="T460" s="8"/>
      <c r="U460" s="8"/>
      <c r="V460" s="8"/>
      <c r="W460" s="8"/>
      <c r="X460" s="8"/>
      <c r="Y460" s="8"/>
      <c r="Z460" s="8"/>
    </row>
    <row r="461" ht="18.0" customHeight="1">
      <c r="A461" s="8"/>
      <c r="B461" s="8"/>
      <c r="C461" s="8"/>
      <c r="D461" s="25"/>
      <c r="E461" s="25"/>
      <c r="F461" s="8"/>
      <c r="G461" s="8"/>
      <c r="H461" s="8"/>
      <c r="I461" s="8"/>
      <c r="J461" s="8"/>
      <c r="K461" s="8"/>
      <c r="L461" s="8"/>
      <c r="M461" s="8"/>
      <c r="N461" s="8"/>
      <c r="O461" s="8"/>
      <c r="P461" s="8"/>
      <c r="Q461" s="8"/>
      <c r="R461" s="8"/>
      <c r="S461" s="8"/>
      <c r="T461" s="8"/>
      <c r="U461" s="8"/>
      <c r="V461" s="8"/>
      <c r="W461" s="8"/>
      <c r="X461" s="8"/>
      <c r="Y461" s="8"/>
      <c r="Z461" s="8"/>
    </row>
    <row r="462" ht="18.0" customHeight="1">
      <c r="A462" s="8"/>
      <c r="B462" s="8"/>
      <c r="C462" s="8"/>
      <c r="D462" s="25"/>
      <c r="E462" s="25"/>
      <c r="F462" s="8"/>
      <c r="G462" s="8"/>
      <c r="H462" s="8"/>
      <c r="I462" s="8"/>
      <c r="J462" s="8"/>
      <c r="K462" s="8"/>
      <c r="L462" s="8"/>
      <c r="M462" s="8"/>
      <c r="N462" s="8"/>
      <c r="O462" s="8"/>
      <c r="P462" s="8"/>
      <c r="Q462" s="8"/>
      <c r="R462" s="8"/>
      <c r="S462" s="8"/>
      <c r="T462" s="8"/>
      <c r="U462" s="8"/>
      <c r="V462" s="8"/>
      <c r="W462" s="8"/>
      <c r="X462" s="8"/>
      <c r="Y462" s="8"/>
      <c r="Z462" s="8"/>
    </row>
    <row r="463" ht="18.0" customHeight="1">
      <c r="A463" s="8"/>
      <c r="B463" s="8"/>
      <c r="C463" s="8"/>
      <c r="D463" s="25"/>
      <c r="E463" s="25"/>
      <c r="F463" s="8"/>
      <c r="G463" s="8"/>
      <c r="H463" s="8"/>
      <c r="I463" s="8"/>
      <c r="J463" s="8"/>
      <c r="K463" s="8"/>
      <c r="L463" s="8"/>
      <c r="M463" s="8"/>
      <c r="N463" s="8"/>
      <c r="O463" s="8"/>
      <c r="P463" s="8"/>
      <c r="Q463" s="8"/>
      <c r="R463" s="8"/>
      <c r="S463" s="8"/>
      <c r="T463" s="8"/>
      <c r="U463" s="8"/>
      <c r="V463" s="8"/>
      <c r="W463" s="8"/>
      <c r="X463" s="8"/>
      <c r="Y463" s="8"/>
      <c r="Z463" s="8"/>
    </row>
    <row r="464" ht="18.0" customHeight="1">
      <c r="A464" s="8"/>
      <c r="B464" s="8"/>
      <c r="C464" s="8"/>
      <c r="D464" s="25"/>
      <c r="E464" s="25"/>
      <c r="F464" s="8"/>
      <c r="G464" s="8"/>
      <c r="H464" s="8"/>
      <c r="I464" s="8"/>
      <c r="J464" s="8"/>
      <c r="K464" s="8"/>
      <c r="L464" s="8"/>
      <c r="M464" s="8"/>
      <c r="N464" s="8"/>
      <c r="O464" s="8"/>
      <c r="P464" s="8"/>
      <c r="Q464" s="8"/>
      <c r="R464" s="8"/>
      <c r="S464" s="8"/>
      <c r="T464" s="8"/>
      <c r="U464" s="8"/>
      <c r="V464" s="8"/>
      <c r="W464" s="8"/>
      <c r="X464" s="8"/>
      <c r="Y464" s="8"/>
      <c r="Z464" s="8"/>
    </row>
    <row r="465" ht="18.0" customHeight="1">
      <c r="A465" s="8"/>
      <c r="B465" s="8"/>
      <c r="C465" s="8"/>
      <c r="D465" s="25"/>
      <c r="E465" s="25"/>
      <c r="F465" s="8"/>
      <c r="G465" s="8"/>
      <c r="H465" s="8"/>
      <c r="I465" s="8"/>
      <c r="J465" s="8"/>
      <c r="K465" s="8"/>
      <c r="L465" s="8"/>
      <c r="M465" s="8"/>
      <c r="N465" s="8"/>
      <c r="O465" s="8"/>
      <c r="P465" s="8"/>
      <c r="Q465" s="8"/>
      <c r="R465" s="8"/>
      <c r="S465" s="8"/>
      <c r="T465" s="8"/>
      <c r="U465" s="8"/>
      <c r="V465" s="8"/>
      <c r="W465" s="8"/>
      <c r="X465" s="8"/>
      <c r="Y465" s="8"/>
      <c r="Z465" s="8"/>
    </row>
    <row r="466" ht="18.0" customHeight="1">
      <c r="A466" s="8"/>
      <c r="B466" s="8"/>
      <c r="C466" s="8"/>
      <c r="D466" s="25"/>
      <c r="E466" s="25"/>
      <c r="F466" s="8"/>
      <c r="G466" s="8"/>
      <c r="H466" s="8"/>
      <c r="I466" s="8"/>
      <c r="J466" s="8"/>
      <c r="K466" s="8"/>
      <c r="L466" s="8"/>
      <c r="M466" s="8"/>
      <c r="N466" s="8"/>
      <c r="O466" s="8"/>
      <c r="P466" s="8"/>
      <c r="Q466" s="8"/>
      <c r="R466" s="8"/>
      <c r="S466" s="8"/>
      <c r="T466" s="8"/>
      <c r="U466" s="8"/>
      <c r="V466" s="8"/>
      <c r="W466" s="8"/>
      <c r="X466" s="8"/>
      <c r="Y466" s="8"/>
      <c r="Z466" s="8"/>
    </row>
    <row r="467" ht="18.0" customHeight="1">
      <c r="A467" s="8"/>
      <c r="B467" s="8"/>
      <c r="C467" s="8"/>
      <c r="D467" s="25"/>
      <c r="E467" s="25"/>
      <c r="F467" s="8"/>
      <c r="G467" s="8"/>
      <c r="H467" s="8"/>
      <c r="I467" s="8"/>
      <c r="J467" s="8"/>
      <c r="K467" s="8"/>
      <c r="L467" s="8"/>
      <c r="M467" s="8"/>
      <c r="N467" s="8"/>
      <c r="O467" s="8"/>
      <c r="P467" s="8"/>
      <c r="Q467" s="8"/>
      <c r="R467" s="8"/>
      <c r="S467" s="8"/>
      <c r="T467" s="8"/>
      <c r="U467" s="8"/>
      <c r="V467" s="8"/>
      <c r="W467" s="8"/>
      <c r="X467" s="8"/>
      <c r="Y467" s="8"/>
      <c r="Z467" s="8"/>
    </row>
    <row r="468" ht="18.0" customHeight="1">
      <c r="A468" s="8"/>
      <c r="B468" s="8"/>
      <c r="C468" s="8"/>
      <c r="D468" s="25"/>
      <c r="E468" s="25"/>
      <c r="F468" s="8"/>
      <c r="G468" s="8"/>
      <c r="H468" s="8"/>
      <c r="I468" s="8"/>
      <c r="J468" s="8"/>
      <c r="K468" s="8"/>
      <c r="L468" s="8"/>
      <c r="M468" s="8"/>
      <c r="N468" s="8"/>
      <c r="O468" s="8"/>
      <c r="P468" s="8"/>
      <c r="Q468" s="8"/>
      <c r="R468" s="8"/>
      <c r="S468" s="8"/>
      <c r="T468" s="8"/>
      <c r="U468" s="8"/>
      <c r="V468" s="8"/>
      <c r="W468" s="8"/>
      <c r="X468" s="8"/>
      <c r="Y468" s="8"/>
      <c r="Z468" s="8"/>
    </row>
    <row r="469" ht="18.0" customHeight="1">
      <c r="A469" s="8"/>
      <c r="B469" s="8"/>
      <c r="C469" s="8"/>
      <c r="D469" s="25"/>
      <c r="E469" s="25"/>
      <c r="F469" s="8"/>
      <c r="G469" s="8"/>
      <c r="H469" s="8"/>
      <c r="I469" s="8"/>
      <c r="J469" s="8"/>
      <c r="K469" s="8"/>
      <c r="L469" s="8"/>
      <c r="M469" s="8"/>
      <c r="N469" s="8"/>
      <c r="O469" s="8"/>
      <c r="P469" s="8"/>
      <c r="Q469" s="8"/>
      <c r="R469" s="8"/>
      <c r="S469" s="8"/>
      <c r="T469" s="8"/>
      <c r="U469" s="8"/>
      <c r="V469" s="8"/>
      <c r="W469" s="8"/>
      <c r="X469" s="8"/>
      <c r="Y469" s="8"/>
      <c r="Z469" s="8"/>
    </row>
    <row r="470" ht="18.0" customHeight="1">
      <c r="A470" s="8"/>
      <c r="B470" s="8"/>
      <c r="C470" s="8"/>
      <c r="D470" s="25"/>
      <c r="E470" s="25"/>
      <c r="F470" s="8"/>
      <c r="G470" s="8"/>
      <c r="H470" s="8"/>
      <c r="I470" s="8"/>
      <c r="J470" s="8"/>
      <c r="K470" s="8"/>
      <c r="L470" s="8"/>
      <c r="M470" s="8"/>
      <c r="N470" s="8"/>
      <c r="O470" s="8"/>
      <c r="P470" s="8"/>
      <c r="Q470" s="8"/>
      <c r="R470" s="8"/>
      <c r="S470" s="8"/>
      <c r="T470" s="8"/>
      <c r="U470" s="8"/>
      <c r="V470" s="8"/>
      <c r="W470" s="8"/>
      <c r="X470" s="8"/>
      <c r="Y470" s="8"/>
      <c r="Z470" s="8"/>
    </row>
    <row r="471" ht="18.0" customHeight="1">
      <c r="A471" s="8"/>
      <c r="B471" s="8"/>
      <c r="C471" s="8"/>
      <c r="D471" s="25"/>
      <c r="E471" s="25"/>
      <c r="F471" s="8"/>
      <c r="G471" s="8"/>
      <c r="H471" s="8"/>
      <c r="I471" s="8"/>
      <c r="J471" s="8"/>
      <c r="K471" s="8"/>
      <c r="L471" s="8"/>
      <c r="M471" s="8"/>
      <c r="N471" s="8"/>
      <c r="O471" s="8"/>
      <c r="P471" s="8"/>
      <c r="Q471" s="8"/>
      <c r="R471" s="8"/>
      <c r="S471" s="8"/>
      <c r="T471" s="8"/>
      <c r="U471" s="8"/>
      <c r="V471" s="8"/>
      <c r="W471" s="8"/>
      <c r="X471" s="8"/>
      <c r="Y471" s="8"/>
      <c r="Z471" s="8"/>
    </row>
    <row r="472" ht="18.0" customHeight="1">
      <c r="A472" s="8"/>
      <c r="B472" s="8"/>
      <c r="C472" s="8"/>
      <c r="D472" s="25"/>
      <c r="E472" s="25"/>
      <c r="F472" s="8"/>
      <c r="G472" s="8"/>
      <c r="H472" s="8"/>
      <c r="I472" s="8"/>
      <c r="J472" s="8"/>
      <c r="K472" s="8"/>
      <c r="L472" s="8"/>
      <c r="M472" s="8"/>
      <c r="N472" s="8"/>
      <c r="O472" s="8"/>
      <c r="P472" s="8"/>
      <c r="Q472" s="8"/>
      <c r="R472" s="8"/>
      <c r="S472" s="8"/>
      <c r="T472" s="8"/>
      <c r="U472" s="8"/>
      <c r="V472" s="8"/>
      <c r="W472" s="8"/>
      <c r="X472" s="8"/>
      <c r="Y472" s="8"/>
      <c r="Z472" s="8"/>
    </row>
    <row r="473" ht="18.0" customHeight="1">
      <c r="A473" s="8"/>
      <c r="B473" s="8"/>
      <c r="C473" s="8"/>
      <c r="D473" s="25"/>
      <c r="E473" s="25"/>
      <c r="F473" s="8"/>
      <c r="G473" s="8"/>
      <c r="H473" s="8"/>
      <c r="I473" s="8"/>
      <c r="J473" s="8"/>
      <c r="K473" s="8"/>
      <c r="L473" s="8"/>
      <c r="M473" s="8"/>
      <c r="N473" s="8"/>
      <c r="O473" s="8"/>
      <c r="P473" s="8"/>
      <c r="Q473" s="8"/>
      <c r="R473" s="8"/>
      <c r="S473" s="8"/>
      <c r="T473" s="8"/>
      <c r="U473" s="8"/>
      <c r="V473" s="8"/>
      <c r="W473" s="8"/>
      <c r="X473" s="8"/>
      <c r="Y473" s="8"/>
      <c r="Z473" s="8"/>
    </row>
    <row r="474" ht="18.0" customHeight="1">
      <c r="A474" s="8"/>
      <c r="B474" s="8"/>
      <c r="C474" s="8"/>
      <c r="D474" s="25"/>
      <c r="E474" s="25"/>
      <c r="F474" s="8"/>
      <c r="G474" s="8"/>
      <c r="H474" s="8"/>
      <c r="I474" s="8"/>
      <c r="J474" s="8"/>
      <c r="K474" s="8"/>
      <c r="L474" s="8"/>
      <c r="M474" s="8"/>
      <c r="N474" s="8"/>
      <c r="O474" s="8"/>
      <c r="P474" s="8"/>
      <c r="Q474" s="8"/>
      <c r="R474" s="8"/>
      <c r="S474" s="8"/>
      <c r="T474" s="8"/>
      <c r="U474" s="8"/>
      <c r="V474" s="8"/>
      <c r="W474" s="8"/>
      <c r="X474" s="8"/>
      <c r="Y474" s="8"/>
      <c r="Z474" s="8"/>
    </row>
    <row r="475" ht="18.0" customHeight="1">
      <c r="A475" s="8"/>
      <c r="B475" s="8"/>
      <c r="C475" s="8"/>
      <c r="D475" s="25"/>
      <c r="E475" s="25"/>
      <c r="F475" s="8"/>
      <c r="G475" s="8"/>
      <c r="H475" s="8"/>
      <c r="I475" s="8"/>
      <c r="J475" s="8"/>
      <c r="K475" s="8"/>
      <c r="L475" s="8"/>
      <c r="M475" s="8"/>
      <c r="N475" s="8"/>
      <c r="O475" s="8"/>
      <c r="P475" s="8"/>
      <c r="Q475" s="8"/>
      <c r="R475" s="8"/>
      <c r="S475" s="8"/>
      <c r="T475" s="8"/>
      <c r="U475" s="8"/>
      <c r="V475" s="8"/>
      <c r="W475" s="8"/>
      <c r="X475" s="8"/>
      <c r="Y475" s="8"/>
      <c r="Z475" s="8"/>
    </row>
    <row r="476" ht="18.0" customHeight="1">
      <c r="A476" s="8"/>
      <c r="B476" s="8"/>
      <c r="C476" s="8"/>
      <c r="D476" s="25"/>
      <c r="E476" s="25"/>
      <c r="F476" s="8"/>
      <c r="G476" s="8"/>
      <c r="H476" s="8"/>
      <c r="I476" s="8"/>
      <c r="J476" s="8"/>
      <c r="K476" s="8"/>
      <c r="L476" s="8"/>
      <c r="M476" s="8"/>
      <c r="N476" s="8"/>
      <c r="O476" s="8"/>
      <c r="P476" s="8"/>
      <c r="Q476" s="8"/>
      <c r="R476" s="8"/>
      <c r="S476" s="8"/>
      <c r="T476" s="8"/>
      <c r="U476" s="8"/>
      <c r="V476" s="8"/>
      <c r="W476" s="8"/>
      <c r="X476" s="8"/>
      <c r="Y476" s="8"/>
      <c r="Z476" s="8"/>
    </row>
    <row r="477" ht="18.0" customHeight="1">
      <c r="A477" s="8"/>
      <c r="B477" s="8"/>
      <c r="C477" s="8"/>
      <c r="D477" s="25"/>
      <c r="E477" s="25"/>
      <c r="F477" s="8"/>
      <c r="G477" s="8"/>
      <c r="H477" s="8"/>
      <c r="I477" s="8"/>
      <c r="J477" s="8"/>
      <c r="K477" s="8"/>
      <c r="L477" s="8"/>
      <c r="M477" s="8"/>
      <c r="N477" s="8"/>
      <c r="O477" s="8"/>
      <c r="P477" s="8"/>
      <c r="Q477" s="8"/>
      <c r="R477" s="8"/>
      <c r="S477" s="8"/>
      <c r="T477" s="8"/>
      <c r="U477" s="8"/>
      <c r="V477" s="8"/>
      <c r="W477" s="8"/>
      <c r="X477" s="8"/>
      <c r="Y477" s="8"/>
      <c r="Z477" s="8"/>
    </row>
    <row r="478" ht="18.0" customHeight="1">
      <c r="A478" s="8"/>
      <c r="B478" s="8"/>
      <c r="C478" s="8"/>
      <c r="D478" s="25"/>
      <c r="E478" s="25"/>
      <c r="F478" s="8"/>
      <c r="G478" s="8"/>
      <c r="H478" s="8"/>
      <c r="I478" s="8"/>
      <c r="J478" s="8"/>
      <c r="K478" s="8"/>
      <c r="L478" s="8"/>
      <c r="M478" s="8"/>
      <c r="N478" s="8"/>
      <c r="O478" s="8"/>
      <c r="P478" s="8"/>
      <c r="Q478" s="8"/>
      <c r="R478" s="8"/>
      <c r="S478" s="8"/>
      <c r="T478" s="8"/>
      <c r="U478" s="8"/>
      <c r="V478" s="8"/>
      <c r="W478" s="8"/>
      <c r="X478" s="8"/>
      <c r="Y478" s="8"/>
      <c r="Z478" s="8"/>
    </row>
    <row r="479" ht="18.0" customHeight="1">
      <c r="A479" s="8"/>
      <c r="B479" s="8"/>
      <c r="C479" s="8"/>
      <c r="D479" s="25"/>
      <c r="E479" s="25"/>
      <c r="F479" s="8"/>
      <c r="G479" s="8"/>
      <c r="H479" s="8"/>
      <c r="I479" s="8"/>
      <c r="J479" s="8"/>
      <c r="K479" s="8"/>
      <c r="L479" s="8"/>
      <c r="M479" s="8"/>
      <c r="N479" s="8"/>
      <c r="O479" s="8"/>
      <c r="P479" s="8"/>
      <c r="Q479" s="8"/>
      <c r="R479" s="8"/>
      <c r="S479" s="8"/>
      <c r="T479" s="8"/>
      <c r="U479" s="8"/>
      <c r="V479" s="8"/>
      <c r="W479" s="8"/>
      <c r="X479" s="8"/>
      <c r="Y479" s="8"/>
      <c r="Z479" s="8"/>
    </row>
    <row r="480" ht="18.0" customHeight="1">
      <c r="A480" s="8"/>
      <c r="B480" s="8"/>
      <c r="C480" s="8"/>
      <c r="D480" s="25"/>
      <c r="E480" s="25"/>
      <c r="F480" s="8"/>
      <c r="G480" s="8"/>
      <c r="H480" s="8"/>
      <c r="I480" s="8"/>
      <c r="J480" s="8"/>
      <c r="K480" s="8"/>
      <c r="L480" s="8"/>
      <c r="M480" s="8"/>
      <c r="N480" s="8"/>
      <c r="O480" s="8"/>
      <c r="P480" s="8"/>
      <c r="Q480" s="8"/>
      <c r="R480" s="8"/>
      <c r="S480" s="8"/>
      <c r="T480" s="8"/>
      <c r="U480" s="8"/>
      <c r="V480" s="8"/>
      <c r="W480" s="8"/>
      <c r="X480" s="8"/>
      <c r="Y480" s="8"/>
      <c r="Z480" s="8"/>
    </row>
    <row r="481" ht="18.0" customHeight="1">
      <c r="A481" s="8"/>
      <c r="B481" s="8"/>
      <c r="C481" s="8"/>
      <c r="D481" s="25"/>
      <c r="E481" s="25"/>
      <c r="F481" s="8"/>
      <c r="G481" s="8"/>
      <c r="H481" s="8"/>
      <c r="I481" s="8"/>
      <c r="J481" s="8"/>
      <c r="K481" s="8"/>
      <c r="L481" s="8"/>
      <c r="M481" s="8"/>
      <c r="N481" s="8"/>
      <c r="O481" s="8"/>
      <c r="P481" s="8"/>
      <c r="Q481" s="8"/>
      <c r="R481" s="8"/>
      <c r="S481" s="8"/>
      <c r="T481" s="8"/>
      <c r="U481" s="8"/>
      <c r="V481" s="8"/>
      <c r="W481" s="8"/>
      <c r="X481" s="8"/>
      <c r="Y481" s="8"/>
      <c r="Z481" s="8"/>
    </row>
    <row r="482" ht="18.0" customHeight="1">
      <c r="A482" s="8"/>
      <c r="B482" s="8"/>
      <c r="C482" s="8"/>
      <c r="D482" s="25"/>
      <c r="E482" s="25"/>
      <c r="F482" s="8"/>
      <c r="G482" s="8"/>
      <c r="H482" s="8"/>
      <c r="I482" s="8"/>
      <c r="J482" s="8"/>
      <c r="K482" s="8"/>
      <c r="L482" s="8"/>
      <c r="M482" s="8"/>
      <c r="N482" s="8"/>
      <c r="O482" s="8"/>
      <c r="P482" s="8"/>
      <c r="Q482" s="8"/>
      <c r="R482" s="8"/>
      <c r="S482" s="8"/>
      <c r="T482" s="8"/>
      <c r="U482" s="8"/>
      <c r="V482" s="8"/>
      <c r="W482" s="8"/>
      <c r="X482" s="8"/>
      <c r="Y482" s="8"/>
      <c r="Z482" s="8"/>
    </row>
    <row r="483" ht="18.0" customHeight="1">
      <c r="A483" s="8"/>
      <c r="B483" s="8"/>
      <c r="C483" s="8"/>
      <c r="D483" s="25"/>
      <c r="E483" s="25"/>
      <c r="F483" s="8"/>
      <c r="G483" s="8"/>
      <c r="H483" s="8"/>
      <c r="I483" s="8"/>
      <c r="J483" s="8"/>
      <c r="K483" s="8"/>
      <c r="L483" s="8"/>
      <c r="M483" s="8"/>
      <c r="N483" s="8"/>
      <c r="O483" s="8"/>
      <c r="P483" s="8"/>
      <c r="Q483" s="8"/>
      <c r="R483" s="8"/>
      <c r="S483" s="8"/>
      <c r="T483" s="8"/>
      <c r="U483" s="8"/>
      <c r="V483" s="8"/>
      <c r="W483" s="8"/>
      <c r="X483" s="8"/>
      <c r="Y483" s="8"/>
      <c r="Z483" s="8"/>
    </row>
    <row r="484" ht="18.0" customHeight="1">
      <c r="A484" s="8"/>
      <c r="B484" s="8"/>
      <c r="C484" s="8"/>
      <c r="D484" s="25"/>
      <c r="E484" s="25"/>
      <c r="F484" s="8"/>
      <c r="G484" s="8"/>
      <c r="H484" s="8"/>
      <c r="I484" s="8"/>
      <c r="J484" s="8"/>
      <c r="K484" s="8"/>
      <c r="L484" s="8"/>
      <c r="M484" s="8"/>
      <c r="N484" s="8"/>
      <c r="O484" s="8"/>
      <c r="P484" s="8"/>
      <c r="Q484" s="8"/>
      <c r="R484" s="8"/>
      <c r="S484" s="8"/>
      <c r="T484" s="8"/>
      <c r="U484" s="8"/>
      <c r="V484" s="8"/>
      <c r="W484" s="8"/>
      <c r="X484" s="8"/>
      <c r="Y484" s="8"/>
      <c r="Z484" s="8"/>
    </row>
    <row r="485" ht="18.0" customHeight="1">
      <c r="A485" s="8"/>
      <c r="B485" s="8"/>
      <c r="C485" s="8"/>
      <c r="D485" s="25"/>
      <c r="E485" s="25"/>
      <c r="F485" s="8"/>
      <c r="G485" s="8"/>
      <c r="H485" s="8"/>
      <c r="I485" s="8"/>
      <c r="J485" s="8"/>
      <c r="K485" s="8"/>
      <c r="L485" s="8"/>
      <c r="M485" s="8"/>
      <c r="N485" s="8"/>
      <c r="O485" s="8"/>
      <c r="P485" s="8"/>
      <c r="Q485" s="8"/>
      <c r="R485" s="8"/>
      <c r="S485" s="8"/>
      <c r="T485" s="8"/>
      <c r="U485" s="8"/>
      <c r="V485" s="8"/>
      <c r="W485" s="8"/>
      <c r="X485" s="8"/>
      <c r="Y485" s="8"/>
      <c r="Z485" s="8"/>
    </row>
    <row r="486" ht="18.0" customHeight="1">
      <c r="A486" s="8"/>
      <c r="B486" s="8"/>
      <c r="C486" s="8"/>
      <c r="D486" s="25"/>
      <c r="E486" s="25"/>
      <c r="F486" s="8"/>
      <c r="G486" s="8"/>
      <c r="H486" s="8"/>
      <c r="I486" s="8"/>
      <c r="J486" s="8"/>
      <c r="K486" s="8"/>
      <c r="L486" s="8"/>
      <c r="M486" s="8"/>
      <c r="N486" s="8"/>
      <c r="O486" s="8"/>
      <c r="P486" s="8"/>
      <c r="Q486" s="8"/>
      <c r="R486" s="8"/>
      <c r="S486" s="8"/>
      <c r="T486" s="8"/>
      <c r="U486" s="8"/>
      <c r="V486" s="8"/>
      <c r="W486" s="8"/>
      <c r="X486" s="8"/>
      <c r="Y486" s="8"/>
      <c r="Z486" s="8"/>
    </row>
    <row r="487" ht="18.0" customHeight="1">
      <c r="A487" s="8"/>
      <c r="B487" s="8"/>
      <c r="C487" s="8"/>
      <c r="D487" s="25"/>
      <c r="E487" s="25"/>
      <c r="F487" s="8"/>
      <c r="G487" s="8"/>
      <c r="H487" s="8"/>
      <c r="I487" s="8"/>
      <c r="J487" s="8"/>
      <c r="K487" s="8"/>
      <c r="L487" s="8"/>
      <c r="M487" s="8"/>
      <c r="N487" s="8"/>
      <c r="O487" s="8"/>
      <c r="P487" s="8"/>
      <c r="Q487" s="8"/>
      <c r="R487" s="8"/>
      <c r="S487" s="8"/>
      <c r="T487" s="8"/>
      <c r="U487" s="8"/>
      <c r="V487" s="8"/>
      <c r="W487" s="8"/>
      <c r="X487" s="8"/>
      <c r="Y487" s="8"/>
      <c r="Z487" s="8"/>
    </row>
    <row r="488" ht="18.0" customHeight="1">
      <c r="A488" s="8"/>
      <c r="B488" s="8"/>
      <c r="C488" s="8"/>
      <c r="D488" s="25"/>
      <c r="E488" s="25"/>
      <c r="F488" s="8"/>
      <c r="G488" s="8"/>
      <c r="H488" s="8"/>
      <c r="I488" s="8"/>
      <c r="J488" s="8"/>
      <c r="K488" s="8"/>
      <c r="L488" s="8"/>
      <c r="M488" s="8"/>
      <c r="N488" s="8"/>
      <c r="O488" s="8"/>
      <c r="P488" s="8"/>
      <c r="Q488" s="8"/>
      <c r="R488" s="8"/>
      <c r="S488" s="8"/>
      <c r="T488" s="8"/>
      <c r="U488" s="8"/>
      <c r="V488" s="8"/>
      <c r="W488" s="8"/>
      <c r="X488" s="8"/>
      <c r="Y488" s="8"/>
      <c r="Z488" s="8"/>
    </row>
    <row r="489" ht="18.0" customHeight="1">
      <c r="A489" s="8"/>
      <c r="B489" s="8"/>
      <c r="C489" s="8"/>
      <c r="D489" s="25"/>
      <c r="E489" s="25"/>
      <c r="F489" s="8"/>
      <c r="G489" s="8"/>
      <c r="H489" s="8"/>
      <c r="I489" s="8"/>
      <c r="J489" s="8"/>
      <c r="K489" s="8"/>
      <c r="L489" s="8"/>
      <c r="M489" s="8"/>
      <c r="N489" s="8"/>
      <c r="O489" s="8"/>
      <c r="P489" s="8"/>
      <c r="Q489" s="8"/>
      <c r="R489" s="8"/>
      <c r="S489" s="8"/>
      <c r="T489" s="8"/>
      <c r="U489" s="8"/>
      <c r="V489" s="8"/>
      <c r="W489" s="8"/>
      <c r="X489" s="8"/>
      <c r="Y489" s="8"/>
      <c r="Z489" s="8"/>
    </row>
    <row r="490" ht="18.0" customHeight="1">
      <c r="A490" s="8"/>
      <c r="B490" s="8"/>
      <c r="C490" s="8"/>
      <c r="D490" s="25"/>
      <c r="E490" s="25"/>
      <c r="F490" s="8"/>
      <c r="G490" s="8"/>
      <c r="H490" s="8"/>
      <c r="I490" s="8"/>
      <c r="J490" s="8"/>
      <c r="K490" s="8"/>
      <c r="L490" s="8"/>
      <c r="M490" s="8"/>
      <c r="N490" s="8"/>
      <c r="O490" s="8"/>
      <c r="P490" s="8"/>
      <c r="Q490" s="8"/>
      <c r="R490" s="8"/>
      <c r="S490" s="8"/>
      <c r="T490" s="8"/>
      <c r="U490" s="8"/>
      <c r="V490" s="8"/>
      <c r="W490" s="8"/>
      <c r="X490" s="8"/>
      <c r="Y490" s="8"/>
      <c r="Z490" s="8"/>
    </row>
    <row r="491" ht="18.0" customHeight="1">
      <c r="A491" s="8"/>
      <c r="B491" s="8"/>
      <c r="C491" s="8"/>
      <c r="D491" s="25"/>
      <c r="E491" s="25"/>
      <c r="F491" s="8"/>
      <c r="G491" s="8"/>
      <c r="H491" s="8"/>
      <c r="I491" s="8"/>
      <c r="J491" s="8"/>
      <c r="K491" s="8"/>
      <c r="L491" s="8"/>
      <c r="M491" s="8"/>
      <c r="N491" s="8"/>
      <c r="O491" s="8"/>
      <c r="P491" s="8"/>
      <c r="Q491" s="8"/>
      <c r="R491" s="8"/>
      <c r="S491" s="8"/>
      <c r="T491" s="8"/>
      <c r="U491" s="8"/>
      <c r="V491" s="8"/>
      <c r="W491" s="8"/>
      <c r="X491" s="8"/>
      <c r="Y491" s="8"/>
      <c r="Z491" s="8"/>
    </row>
    <row r="492" ht="18.0" customHeight="1">
      <c r="A492" s="8"/>
      <c r="B492" s="8"/>
      <c r="C492" s="8"/>
      <c r="D492" s="25"/>
      <c r="E492" s="25"/>
      <c r="F492" s="8"/>
      <c r="G492" s="8"/>
      <c r="H492" s="8"/>
      <c r="I492" s="8"/>
      <c r="J492" s="8"/>
      <c r="K492" s="8"/>
      <c r="L492" s="8"/>
      <c r="M492" s="8"/>
      <c r="N492" s="8"/>
      <c r="O492" s="8"/>
      <c r="P492" s="8"/>
      <c r="Q492" s="8"/>
      <c r="R492" s="8"/>
      <c r="S492" s="8"/>
      <c r="T492" s="8"/>
      <c r="U492" s="8"/>
      <c r="V492" s="8"/>
      <c r="W492" s="8"/>
      <c r="X492" s="8"/>
      <c r="Y492" s="8"/>
      <c r="Z492" s="8"/>
    </row>
    <row r="493" ht="18.0" customHeight="1">
      <c r="A493" s="8"/>
      <c r="B493" s="8"/>
      <c r="C493" s="8"/>
      <c r="D493" s="25"/>
      <c r="E493" s="25"/>
      <c r="F493" s="8"/>
      <c r="G493" s="8"/>
      <c r="H493" s="8"/>
      <c r="I493" s="8"/>
      <c r="J493" s="8"/>
      <c r="K493" s="8"/>
      <c r="L493" s="8"/>
      <c r="M493" s="8"/>
      <c r="N493" s="8"/>
      <c r="O493" s="8"/>
      <c r="P493" s="8"/>
      <c r="Q493" s="8"/>
      <c r="R493" s="8"/>
      <c r="S493" s="8"/>
      <c r="T493" s="8"/>
      <c r="U493" s="8"/>
      <c r="V493" s="8"/>
      <c r="W493" s="8"/>
      <c r="X493" s="8"/>
      <c r="Y493" s="8"/>
      <c r="Z493" s="8"/>
    </row>
    <row r="494" ht="18.0" customHeight="1">
      <c r="A494" s="8"/>
      <c r="B494" s="8"/>
      <c r="C494" s="8"/>
      <c r="D494" s="25"/>
      <c r="E494" s="25"/>
      <c r="F494" s="8"/>
      <c r="G494" s="8"/>
      <c r="H494" s="8"/>
      <c r="I494" s="8"/>
      <c r="J494" s="8"/>
      <c r="K494" s="8"/>
      <c r="L494" s="8"/>
      <c r="M494" s="8"/>
      <c r="N494" s="8"/>
      <c r="O494" s="8"/>
      <c r="P494" s="8"/>
      <c r="Q494" s="8"/>
      <c r="R494" s="8"/>
      <c r="S494" s="8"/>
      <c r="T494" s="8"/>
      <c r="U494" s="8"/>
      <c r="V494" s="8"/>
      <c r="W494" s="8"/>
      <c r="X494" s="8"/>
      <c r="Y494" s="8"/>
      <c r="Z494" s="8"/>
    </row>
    <row r="495" ht="18.0" customHeight="1">
      <c r="A495" s="8"/>
      <c r="B495" s="8"/>
      <c r="C495" s="8"/>
      <c r="D495" s="25"/>
      <c r="E495" s="25"/>
      <c r="F495" s="8"/>
      <c r="G495" s="8"/>
      <c r="H495" s="8"/>
      <c r="I495" s="8"/>
      <c r="J495" s="8"/>
      <c r="K495" s="8"/>
      <c r="L495" s="8"/>
      <c r="M495" s="8"/>
      <c r="N495" s="8"/>
      <c r="O495" s="8"/>
      <c r="P495" s="8"/>
      <c r="Q495" s="8"/>
      <c r="R495" s="8"/>
      <c r="S495" s="8"/>
      <c r="T495" s="8"/>
      <c r="U495" s="8"/>
      <c r="V495" s="8"/>
      <c r="W495" s="8"/>
      <c r="X495" s="8"/>
      <c r="Y495" s="8"/>
      <c r="Z495" s="8"/>
    </row>
    <row r="496" ht="18.0" customHeight="1">
      <c r="A496" s="8"/>
      <c r="B496" s="8"/>
      <c r="C496" s="8"/>
      <c r="D496" s="25"/>
      <c r="E496" s="25"/>
      <c r="F496" s="8"/>
      <c r="G496" s="8"/>
      <c r="H496" s="8"/>
      <c r="I496" s="8"/>
      <c r="J496" s="8"/>
      <c r="K496" s="8"/>
      <c r="L496" s="8"/>
      <c r="M496" s="8"/>
      <c r="N496" s="8"/>
      <c r="O496" s="8"/>
      <c r="P496" s="8"/>
      <c r="Q496" s="8"/>
      <c r="R496" s="8"/>
      <c r="S496" s="8"/>
      <c r="T496" s="8"/>
      <c r="U496" s="8"/>
      <c r="V496" s="8"/>
      <c r="W496" s="8"/>
      <c r="X496" s="8"/>
      <c r="Y496" s="8"/>
      <c r="Z496" s="8"/>
    </row>
    <row r="497" ht="18.0" customHeight="1">
      <c r="A497" s="8"/>
      <c r="B497" s="8"/>
      <c r="C497" s="8"/>
      <c r="D497" s="25"/>
      <c r="E497" s="25"/>
      <c r="F497" s="8"/>
      <c r="G497" s="8"/>
      <c r="H497" s="8"/>
      <c r="I497" s="8"/>
      <c r="J497" s="8"/>
      <c r="K497" s="8"/>
      <c r="L497" s="8"/>
      <c r="M497" s="8"/>
      <c r="N497" s="8"/>
      <c r="O497" s="8"/>
      <c r="P497" s="8"/>
      <c r="Q497" s="8"/>
      <c r="R497" s="8"/>
      <c r="S497" s="8"/>
      <c r="T497" s="8"/>
      <c r="U497" s="8"/>
      <c r="V497" s="8"/>
      <c r="W497" s="8"/>
      <c r="X497" s="8"/>
      <c r="Y497" s="8"/>
      <c r="Z497" s="8"/>
    </row>
    <row r="498" ht="18.0" customHeight="1">
      <c r="A498" s="8"/>
      <c r="B498" s="8"/>
      <c r="C498" s="8"/>
      <c r="D498" s="25"/>
      <c r="E498" s="25"/>
      <c r="F498" s="8"/>
      <c r="G498" s="8"/>
      <c r="H498" s="8"/>
      <c r="I498" s="8"/>
      <c r="J498" s="8"/>
      <c r="K498" s="8"/>
      <c r="L498" s="8"/>
      <c r="M498" s="8"/>
      <c r="N498" s="8"/>
      <c r="O498" s="8"/>
      <c r="P498" s="8"/>
      <c r="Q498" s="8"/>
      <c r="R498" s="8"/>
      <c r="S498" s="8"/>
      <c r="T498" s="8"/>
      <c r="U498" s="8"/>
      <c r="V498" s="8"/>
      <c r="W498" s="8"/>
      <c r="X498" s="8"/>
      <c r="Y498" s="8"/>
      <c r="Z498" s="8"/>
    </row>
    <row r="499" ht="18.0" customHeight="1">
      <c r="A499" s="8"/>
      <c r="B499" s="8"/>
      <c r="C499" s="8"/>
      <c r="D499" s="25"/>
      <c r="E499" s="25"/>
      <c r="F499" s="8"/>
      <c r="G499" s="8"/>
      <c r="H499" s="8"/>
      <c r="I499" s="8"/>
      <c r="J499" s="8"/>
      <c r="K499" s="8"/>
      <c r="L499" s="8"/>
      <c r="M499" s="8"/>
      <c r="N499" s="8"/>
      <c r="O499" s="8"/>
      <c r="P499" s="8"/>
      <c r="Q499" s="8"/>
      <c r="R499" s="8"/>
      <c r="S499" s="8"/>
      <c r="T499" s="8"/>
      <c r="U499" s="8"/>
      <c r="V499" s="8"/>
      <c r="W499" s="8"/>
      <c r="X499" s="8"/>
      <c r="Y499" s="8"/>
      <c r="Z499" s="8"/>
    </row>
    <row r="500" ht="18.0" customHeight="1">
      <c r="A500" s="8"/>
      <c r="B500" s="8"/>
      <c r="C500" s="8"/>
      <c r="D500" s="25"/>
      <c r="E500" s="25"/>
      <c r="F500" s="8"/>
      <c r="G500" s="8"/>
      <c r="H500" s="8"/>
      <c r="I500" s="8"/>
      <c r="J500" s="8"/>
      <c r="K500" s="8"/>
      <c r="L500" s="8"/>
      <c r="M500" s="8"/>
      <c r="N500" s="8"/>
      <c r="O500" s="8"/>
      <c r="P500" s="8"/>
      <c r="Q500" s="8"/>
      <c r="R500" s="8"/>
      <c r="S500" s="8"/>
      <c r="T500" s="8"/>
      <c r="U500" s="8"/>
      <c r="V500" s="8"/>
      <c r="W500" s="8"/>
      <c r="X500" s="8"/>
      <c r="Y500" s="8"/>
      <c r="Z500" s="8"/>
    </row>
    <row r="501" ht="18.0" customHeight="1">
      <c r="A501" s="8"/>
      <c r="B501" s="8"/>
      <c r="C501" s="8"/>
      <c r="D501" s="25"/>
      <c r="E501" s="25"/>
      <c r="F501" s="8"/>
      <c r="G501" s="8"/>
      <c r="H501" s="8"/>
      <c r="I501" s="8"/>
      <c r="J501" s="8"/>
      <c r="K501" s="8"/>
      <c r="L501" s="8"/>
      <c r="M501" s="8"/>
      <c r="N501" s="8"/>
      <c r="O501" s="8"/>
      <c r="P501" s="8"/>
      <c r="Q501" s="8"/>
      <c r="R501" s="8"/>
      <c r="S501" s="8"/>
      <c r="T501" s="8"/>
      <c r="U501" s="8"/>
      <c r="V501" s="8"/>
      <c r="W501" s="8"/>
      <c r="X501" s="8"/>
      <c r="Y501" s="8"/>
      <c r="Z501" s="8"/>
    </row>
    <row r="502" ht="18.0" customHeight="1">
      <c r="A502" s="8"/>
      <c r="B502" s="8"/>
      <c r="C502" s="8"/>
      <c r="D502" s="25"/>
      <c r="E502" s="25"/>
      <c r="F502" s="8"/>
      <c r="G502" s="8"/>
      <c r="H502" s="8"/>
      <c r="I502" s="8"/>
      <c r="J502" s="8"/>
      <c r="K502" s="8"/>
      <c r="L502" s="8"/>
      <c r="M502" s="8"/>
      <c r="N502" s="8"/>
      <c r="O502" s="8"/>
      <c r="P502" s="8"/>
      <c r="Q502" s="8"/>
      <c r="R502" s="8"/>
      <c r="S502" s="8"/>
      <c r="T502" s="8"/>
      <c r="U502" s="8"/>
      <c r="V502" s="8"/>
      <c r="W502" s="8"/>
      <c r="X502" s="8"/>
      <c r="Y502" s="8"/>
      <c r="Z502" s="8"/>
    </row>
    <row r="503" ht="18.0" customHeight="1">
      <c r="A503" s="8"/>
      <c r="B503" s="8"/>
      <c r="C503" s="8"/>
      <c r="D503" s="25"/>
      <c r="E503" s="25"/>
      <c r="F503" s="8"/>
      <c r="G503" s="8"/>
      <c r="H503" s="8"/>
      <c r="I503" s="8"/>
      <c r="J503" s="8"/>
      <c r="K503" s="8"/>
      <c r="L503" s="8"/>
      <c r="M503" s="8"/>
      <c r="N503" s="8"/>
      <c r="O503" s="8"/>
      <c r="P503" s="8"/>
      <c r="Q503" s="8"/>
      <c r="R503" s="8"/>
      <c r="S503" s="8"/>
      <c r="T503" s="8"/>
      <c r="U503" s="8"/>
      <c r="V503" s="8"/>
      <c r="W503" s="8"/>
      <c r="X503" s="8"/>
      <c r="Y503" s="8"/>
      <c r="Z503" s="8"/>
    </row>
    <row r="504" ht="18.0" customHeight="1">
      <c r="A504" s="8"/>
      <c r="B504" s="8"/>
      <c r="C504" s="8"/>
      <c r="D504" s="25"/>
      <c r="E504" s="25"/>
      <c r="F504" s="8"/>
      <c r="G504" s="8"/>
      <c r="H504" s="8"/>
      <c r="I504" s="8"/>
      <c r="J504" s="8"/>
      <c r="K504" s="8"/>
      <c r="L504" s="8"/>
      <c r="M504" s="8"/>
      <c r="N504" s="8"/>
      <c r="O504" s="8"/>
      <c r="P504" s="8"/>
      <c r="Q504" s="8"/>
      <c r="R504" s="8"/>
      <c r="S504" s="8"/>
      <c r="T504" s="8"/>
      <c r="U504" s="8"/>
      <c r="V504" s="8"/>
      <c r="W504" s="8"/>
      <c r="X504" s="8"/>
      <c r="Y504" s="8"/>
      <c r="Z504" s="8"/>
    </row>
    <row r="505" ht="18.0" customHeight="1">
      <c r="A505" s="8"/>
      <c r="B505" s="8"/>
      <c r="C505" s="8"/>
      <c r="D505" s="25"/>
      <c r="E505" s="25"/>
      <c r="F505" s="8"/>
      <c r="G505" s="8"/>
      <c r="H505" s="8"/>
      <c r="I505" s="8"/>
      <c r="J505" s="8"/>
      <c r="K505" s="8"/>
      <c r="L505" s="8"/>
      <c r="M505" s="8"/>
      <c r="N505" s="8"/>
      <c r="O505" s="8"/>
      <c r="P505" s="8"/>
      <c r="Q505" s="8"/>
      <c r="R505" s="8"/>
      <c r="S505" s="8"/>
      <c r="T505" s="8"/>
      <c r="U505" s="8"/>
      <c r="V505" s="8"/>
      <c r="W505" s="8"/>
      <c r="X505" s="8"/>
      <c r="Y505" s="8"/>
      <c r="Z505" s="8"/>
    </row>
    <row r="506" ht="18.0" customHeight="1">
      <c r="A506" s="8"/>
      <c r="B506" s="8"/>
      <c r="C506" s="8"/>
      <c r="D506" s="25"/>
      <c r="E506" s="25"/>
      <c r="F506" s="8"/>
      <c r="G506" s="8"/>
      <c r="H506" s="8"/>
      <c r="I506" s="8"/>
      <c r="J506" s="8"/>
      <c r="K506" s="8"/>
      <c r="L506" s="8"/>
      <c r="M506" s="8"/>
      <c r="N506" s="8"/>
      <c r="O506" s="8"/>
      <c r="P506" s="8"/>
      <c r="Q506" s="8"/>
      <c r="R506" s="8"/>
      <c r="S506" s="8"/>
      <c r="T506" s="8"/>
      <c r="U506" s="8"/>
      <c r="V506" s="8"/>
      <c r="W506" s="8"/>
      <c r="X506" s="8"/>
      <c r="Y506" s="8"/>
      <c r="Z506" s="8"/>
    </row>
    <row r="507" ht="18.0" customHeight="1">
      <c r="A507" s="8"/>
      <c r="B507" s="8"/>
      <c r="C507" s="8"/>
      <c r="D507" s="25"/>
      <c r="E507" s="25"/>
      <c r="F507" s="8"/>
      <c r="G507" s="8"/>
      <c r="H507" s="8"/>
      <c r="I507" s="8"/>
      <c r="J507" s="8"/>
      <c r="K507" s="8"/>
      <c r="L507" s="8"/>
      <c r="M507" s="8"/>
      <c r="N507" s="8"/>
      <c r="O507" s="8"/>
      <c r="P507" s="8"/>
      <c r="Q507" s="8"/>
      <c r="R507" s="8"/>
      <c r="S507" s="8"/>
      <c r="T507" s="8"/>
      <c r="U507" s="8"/>
      <c r="V507" s="8"/>
      <c r="W507" s="8"/>
      <c r="X507" s="8"/>
      <c r="Y507" s="8"/>
      <c r="Z507" s="8"/>
    </row>
    <row r="508" ht="18.0" customHeight="1">
      <c r="A508" s="8"/>
      <c r="B508" s="8"/>
      <c r="C508" s="8"/>
      <c r="D508" s="25"/>
      <c r="E508" s="25"/>
      <c r="F508" s="8"/>
      <c r="G508" s="8"/>
      <c r="H508" s="8"/>
      <c r="I508" s="8"/>
      <c r="J508" s="8"/>
      <c r="K508" s="8"/>
      <c r="L508" s="8"/>
      <c r="M508" s="8"/>
      <c r="N508" s="8"/>
      <c r="O508" s="8"/>
      <c r="P508" s="8"/>
      <c r="Q508" s="8"/>
      <c r="R508" s="8"/>
      <c r="S508" s="8"/>
      <c r="T508" s="8"/>
      <c r="U508" s="8"/>
      <c r="V508" s="8"/>
      <c r="W508" s="8"/>
      <c r="X508" s="8"/>
      <c r="Y508" s="8"/>
      <c r="Z508" s="8"/>
    </row>
    <row r="509" ht="18.0" customHeight="1">
      <c r="A509" s="8"/>
      <c r="B509" s="8"/>
      <c r="C509" s="8"/>
      <c r="D509" s="25"/>
      <c r="E509" s="25"/>
      <c r="F509" s="8"/>
      <c r="G509" s="8"/>
      <c r="H509" s="8"/>
      <c r="I509" s="8"/>
      <c r="J509" s="8"/>
      <c r="K509" s="8"/>
      <c r="L509" s="8"/>
      <c r="M509" s="8"/>
      <c r="N509" s="8"/>
      <c r="O509" s="8"/>
      <c r="P509" s="8"/>
      <c r="Q509" s="8"/>
      <c r="R509" s="8"/>
      <c r="S509" s="8"/>
      <c r="T509" s="8"/>
      <c r="U509" s="8"/>
      <c r="V509" s="8"/>
      <c r="W509" s="8"/>
      <c r="X509" s="8"/>
      <c r="Y509" s="8"/>
      <c r="Z509" s="8"/>
    </row>
    <row r="510" ht="18.0" customHeight="1">
      <c r="A510" s="8"/>
      <c r="B510" s="8"/>
      <c r="C510" s="8"/>
      <c r="D510" s="25"/>
      <c r="E510" s="25"/>
      <c r="F510" s="8"/>
      <c r="G510" s="8"/>
      <c r="H510" s="8"/>
      <c r="I510" s="8"/>
      <c r="J510" s="8"/>
      <c r="K510" s="8"/>
      <c r="L510" s="8"/>
      <c r="M510" s="8"/>
      <c r="N510" s="8"/>
      <c r="O510" s="8"/>
      <c r="P510" s="8"/>
      <c r="Q510" s="8"/>
      <c r="R510" s="8"/>
      <c r="S510" s="8"/>
      <c r="T510" s="8"/>
      <c r="U510" s="8"/>
      <c r="V510" s="8"/>
      <c r="W510" s="8"/>
      <c r="X510" s="8"/>
      <c r="Y510" s="8"/>
      <c r="Z510" s="8"/>
    </row>
    <row r="511" ht="18.0" customHeight="1">
      <c r="A511" s="8"/>
      <c r="B511" s="8"/>
      <c r="C511" s="8"/>
      <c r="D511" s="25"/>
      <c r="E511" s="25"/>
      <c r="F511" s="8"/>
      <c r="G511" s="8"/>
      <c r="H511" s="8"/>
      <c r="I511" s="8"/>
      <c r="J511" s="8"/>
      <c r="K511" s="8"/>
      <c r="L511" s="8"/>
      <c r="M511" s="8"/>
      <c r="N511" s="8"/>
      <c r="O511" s="8"/>
      <c r="P511" s="8"/>
      <c r="Q511" s="8"/>
      <c r="R511" s="8"/>
      <c r="S511" s="8"/>
      <c r="T511" s="8"/>
      <c r="U511" s="8"/>
      <c r="V511" s="8"/>
      <c r="W511" s="8"/>
      <c r="X511" s="8"/>
      <c r="Y511" s="8"/>
      <c r="Z511" s="8"/>
    </row>
    <row r="512" ht="18.0" customHeight="1">
      <c r="A512" s="8"/>
      <c r="B512" s="8"/>
      <c r="C512" s="8"/>
      <c r="D512" s="25"/>
      <c r="E512" s="25"/>
      <c r="F512" s="8"/>
      <c r="G512" s="8"/>
      <c r="H512" s="8"/>
      <c r="I512" s="8"/>
      <c r="J512" s="8"/>
      <c r="K512" s="8"/>
      <c r="L512" s="8"/>
      <c r="M512" s="8"/>
      <c r="N512" s="8"/>
      <c r="O512" s="8"/>
      <c r="P512" s="8"/>
      <c r="Q512" s="8"/>
      <c r="R512" s="8"/>
      <c r="S512" s="8"/>
      <c r="T512" s="8"/>
      <c r="U512" s="8"/>
      <c r="V512" s="8"/>
      <c r="W512" s="8"/>
      <c r="X512" s="8"/>
      <c r="Y512" s="8"/>
      <c r="Z512" s="8"/>
    </row>
    <row r="513" ht="18.0" customHeight="1">
      <c r="A513" s="8"/>
      <c r="B513" s="8"/>
      <c r="C513" s="8"/>
      <c r="D513" s="25"/>
      <c r="E513" s="25"/>
      <c r="F513" s="8"/>
      <c r="G513" s="8"/>
      <c r="H513" s="8"/>
      <c r="I513" s="8"/>
      <c r="J513" s="8"/>
      <c r="K513" s="8"/>
      <c r="L513" s="8"/>
      <c r="M513" s="8"/>
      <c r="N513" s="8"/>
      <c r="O513" s="8"/>
      <c r="P513" s="8"/>
      <c r="Q513" s="8"/>
      <c r="R513" s="8"/>
      <c r="S513" s="8"/>
      <c r="T513" s="8"/>
      <c r="U513" s="8"/>
      <c r="V513" s="8"/>
      <c r="W513" s="8"/>
      <c r="X513" s="8"/>
      <c r="Y513" s="8"/>
      <c r="Z513" s="8"/>
    </row>
    <row r="514" ht="18.0" customHeight="1">
      <c r="A514" s="8"/>
      <c r="B514" s="8"/>
      <c r="C514" s="8"/>
      <c r="D514" s="25"/>
      <c r="E514" s="25"/>
      <c r="F514" s="8"/>
      <c r="G514" s="8"/>
      <c r="H514" s="8"/>
      <c r="I514" s="8"/>
      <c r="J514" s="8"/>
      <c r="K514" s="8"/>
      <c r="L514" s="8"/>
      <c r="M514" s="8"/>
      <c r="N514" s="8"/>
      <c r="O514" s="8"/>
      <c r="P514" s="8"/>
      <c r="Q514" s="8"/>
      <c r="R514" s="8"/>
      <c r="S514" s="8"/>
      <c r="T514" s="8"/>
      <c r="U514" s="8"/>
      <c r="V514" s="8"/>
      <c r="W514" s="8"/>
      <c r="X514" s="8"/>
      <c r="Y514" s="8"/>
      <c r="Z514" s="8"/>
    </row>
    <row r="515" ht="18.0" customHeight="1">
      <c r="A515" s="8"/>
      <c r="B515" s="8"/>
      <c r="C515" s="8"/>
      <c r="D515" s="25"/>
      <c r="E515" s="25"/>
      <c r="F515" s="8"/>
      <c r="G515" s="8"/>
      <c r="H515" s="8"/>
      <c r="I515" s="8"/>
      <c r="J515" s="8"/>
      <c r="K515" s="8"/>
      <c r="L515" s="8"/>
      <c r="M515" s="8"/>
      <c r="N515" s="8"/>
      <c r="O515" s="8"/>
      <c r="P515" s="8"/>
      <c r="Q515" s="8"/>
      <c r="R515" s="8"/>
      <c r="S515" s="8"/>
      <c r="T515" s="8"/>
      <c r="U515" s="8"/>
      <c r="V515" s="8"/>
      <c r="W515" s="8"/>
      <c r="X515" s="8"/>
      <c r="Y515" s="8"/>
      <c r="Z515" s="8"/>
    </row>
    <row r="516" ht="18.0" customHeight="1">
      <c r="A516" s="8"/>
      <c r="B516" s="8"/>
      <c r="C516" s="8"/>
      <c r="D516" s="25"/>
      <c r="E516" s="25"/>
      <c r="F516" s="8"/>
      <c r="G516" s="8"/>
      <c r="H516" s="8"/>
      <c r="I516" s="8"/>
      <c r="J516" s="8"/>
      <c r="K516" s="8"/>
      <c r="L516" s="8"/>
      <c r="M516" s="8"/>
      <c r="N516" s="8"/>
      <c r="O516" s="8"/>
      <c r="P516" s="8"/>
      <c r="Q516" s="8"/>
      <c r="R516" s="8"/>
      <c r="S516" s="8"/>
      <c r="T516" s="8"/>
      <c r="U516" s="8"/>
      <c r="V516" s="8"/>
      <c r="W516" s="8"/>
      <c r="X516" s="8"/>
      <c r="Y516" s="8"/>
      <c r="Z516" s="8"/>
    </row>
    <row r="517" ht="18.0" customHeight="1">
      <c r="A517" s="8"/>
      <c r="B517" s="8"/>
      <c r="C517" s="8"/>
      <c r="D517" s="25"/>
      <c r="E517" s="25"/>
      <c r="F517" s="8"/>
      <c r="G517" s="8"/>
      <c r="H517" s="8"/>
      <c r="I517" s="8"/>
      <c r="J517" s="8"/>
      <c r="K517" s="8"/>
      <c r="L517" s="8"/>
      <c r="M517" s="8"/>
      <c r="N517" s="8"/>
      <c r="O517" s="8"/>
      <c r="P517" s="8"/>
      <c r="Q517" s="8"/>
      <c r="R517" s="8"/>
      <c r="S517" s="8"/>
      <c r="T517" s="8"/>
      <c r="U517" s="8"/>
      <c r="V517" s="8"/>
      <c r="W517" s="8"/>
      <c r="X517" s="8"/>
      <c r="Y517" s="8"/>
      <c r="Z517" s="8"/>
    </row>
    <row r="518" ht="18.0" customHeight="1">
      <c r="A518" s="8"/>
      <c r="B518" s="8"/>
      <c r="C518" s="8"/>
      <c r="D518" s="25"/>
      <c r="E518" s="25"/>
      <c r="F518" s="8"/>
      <c r="G518" s="8"/>
      <c r="H518" s="8"/>
      <c r="I518" s="8"/>
      <c r="J518" s="8"/>
      <c r="K518" s="8"/>
      <c r="L518" s="8"/>
      <c r="M518" s="8"/>
      <c r="N518" s="8"/>
      <c r="O518" s="8"/>
      <c r="P518" s="8"/>
      <c r="Q518" s="8"/>
      <c r="R518" s="8"/>
      <c r="S518" s="8"/>
      <c r="T518" s="8"/>
      <c r="U518" s="8"/>
      <c r="V518" s="8"/>
      <c r="W518" s="8"/>
      <c r="X518" s="8"/>
      <c r="Y518" s="8"/>
      <c r="Z518" s="8"/>
    </row>
    <row r="519" ht="18.0" customHeight="1">
      <c r="A519" s="8"/>
      <c r="B519" s="8"/>
      <c r="C519" s="8"/>
      <c r="D519" s="25"/>
      <c r="E519" s="25"/>
      <c r="F519" s="8"/>
      <c r="G519" s="8"/>
      <c r="H519" s="8"/>
      <c r="I519" s="8"/>
      <c r="J519" s="8"/>
      <c r="K519" s="8"/>
      <c r="L519" s="8"/>
      <c r="M519" s="8"/>
      <c r="N519" s="8"/>
      <c r="O519" s="8"/>
      <c r="P519" s="8"/>
      <c r="Q519" s="8"/>
      <c r="R519" s="8"/>
      <c r="S519" s="8"/>
      <c r="T519" s="8"/>
      <c r="U519" s="8"/>
      <c r="V519" s="8"/>
      <c r="W519" s="8"/>
      <c r="X519" s="8"/>
      <c r="Y519" s="8"/>
      <c r="Z519" s="8"/>
    </row>
    <row r="520" ht="18.0" customHeight="1">
      <c r="A520" s="8"/>
      <c r="B520" s="8"/>
      <c r="C520" s="8"/>
      <c r="D520" s="25"/>
      <c r="E520" s="25"/>
      <c r="F520" s="8"/>
      <c r="G520" s="8"/>
      <c r="H520" s="8"/>
      <c r="I520" s="8"/>
      <c r="J520" s="8"/>
      <c r="K520" s="8"/>
      <c r="L520" s="8"/>
      <c r="M520" s="8"/>
      <c r="N520" s="8"/>
      <c r="O520" s="8"/>
      <c r="P520" s="8"/>
      <c r="Q520" s="8"/>
      <c r="R520" s="8"/>
      <c r="S520" s="8"/>
      <c r="T520" s="8"/>
      <c r="U520" s="8"/>
      <c r="V520" s="8"/>
      <c r="W520" s="8"/>
      <c r="X520" s="8"/>
      <c r="Y520" s="8"/>
      <c r="Z520" s="8"/>
    </row>
    <row r="521" ht="18.0" customHeight="1">
      <c r="A521" s="8"/>
      <c r="B521" s="8"/>
      <c r="C521" s="8"/>
      <c r="D521" s="25"/>
      <c r="E521" s="25"/>
      <c r="F521" s="8"/>
      <c r="G521" s="8"/>
      <c r="H521" s="8"/>
      <c r="I521" s="8"/>
      <c r="J521" s="8"/>
      <c r="K521" s="8"/>
      <c r="L521" s="8"/>
      <c r="M521" s="8"/>
      <c r="N521" s="8"/>
      <c r="O521" s="8"/>
      <c r="P521" s="8"/>
      <c r="Q521" s="8"/>
      <c r="R521" s="8"/>
      <c r="S521" s="8"/>
      <c r="T521" s="8"/>
      <c r="U521" s="8"/>
      <c r="V521" s="8"/>
      <c r="W521" s="8"/>
      <c r="X521" s="8"/>
      <c r="Y521" s="8"/>
      <c r="Z521" s="8"/>
    </row>
    <row r="522" ht="18.0" customHeight="1">
      <c r="A522" s="8"/>
      <c r="B522" s="8"/>
      <c r="C522" s="8"/>
      <c r="D522" s="25"/>
      <c r="E522" s="25"/>
      <c r="F522" s="8"/>
      <c r="G522" s="8"/>
      <c r="H522" s="8"/>
      <c r="I522" s="8"/>
      <c r="J522" s="8"/>
      <c r="K522" s="8"/>
      <c r="L522" s="8"/>
      <c r="M522" s="8"/>
      <c r="N522" s="8"/>
      <c r="O522" s="8"/>
      <c r="P522" s="8"/>
      <c r="Q522" s="8"/>
      <c r="R522" s="8"/>
      <c r="S522" s="8"/>
      <c r="T522" s="8"/>
      <c r="U522" s="8"/>
      <c r="V522" s="8"/>
      <c r="W522" s="8"/>
      <c r="X522" s="8"/>
      <c r="Y522" s="8"/>
      <c r="Z522" s="8"/>
    </row>
    <row r="523" ht="18.0" customHeight="1">
      <c r="A523" s="8"/>
      <c r="B523" s="8"/>
      <c r="C523" s="8"/>
      <c r="D523" s="25"/>
      <c r="E523" s="25"/>
      <c r="F523" s="8"/>
      <c r="G523" s="8"/>
      <c r="H523" s="8"/>
      <c r="I523" s="8"/>
      <c r="J523" s="8"/>
      <c r="K523" s="8"/>
      <c r="L523" s="8"/>
      <c r="M523" s="8"/>
      <c r="N523" s="8"/>
      <c r="O523" s="8"/>
      <c r="P523" s="8"/>
      <c r="Q523" s="8"/>
      <c r="R523" s="8"/>
      <c r="S523" s="8"/>
      <c r="T523" s="8"/>
      <c r="U523" s="8"/>
      <c r="V523" s="8"/>
      <c r="W523" s="8"/>
      <c r="X523" s="8"/>
      <c r="Y523" s="8"/>
      <c r="Z523" s="8"/>
    </row>
    <row r="524" ht="18.0" customHeight="1">
      <c r="A524" s="8"/>
      <c r="B524" s="8"/>
      <c r="C524" s="8"/>
      <c r="D524" s="25"/>
      <c r="E524" s="25"/>
      <c r="F524" s="8"/>
      <c r="G524" s="8"/>
      <c r="H524" s="8"/>
      <c r="I524" s="8"/>
      <c r="J524" s="8"/>
      <c r="K524" s="8"/>
      <c r="L524" s="8"/>
      <c r="M524" s="8"/>
      <c r="N524" s="8"/>
      <c r="O524" s="8"/>
      <c r="P524" s="8"/>
      <c r="Q524" s="8"/>
      <c r="R524" s="8"/>
      <c r="S524" s="8"/>
      <c r="T524" s="8"/>
      <c r="U524" s="8"/>
      <c r="V524" s="8"/>
      <c r="W524" s="8"/>
      <c r="X524" s="8"/>
      <c r="Y524" s="8"/>
      <c r="Z524" s="8"/>
    </row>
    <row r="525" ht="18.0" customHeight="1">
      <c r="A525" s="8"/>
      <c r="B525" s="8"/>
      <c r="C525" s="8"/>
      <c r="D525" s="25"/>
      <c r="E525" s="25"/>
      <c r="F525" s="8"/>
      <c r="G525" s="8"/>
      <c r="H525" s="8"/>
      <c r="I525" s="8"/>
      <c r="J525" s="8"/>
      <c r="K525" s="8"/>
      <c r="L525" s="8"/>
      <c r="M525" s="8"/>
      <c r="N525" s="8"/>
      <c r="O525" s="8"/>
      <c r="P525" s="8"/>
      <c r="Q525" s="8"/>
      <c r="R525" s="8"/>
      <c r="S525" s="8"/>
      <c r="T525" s="8"/>
      <c r="U525" s="8"/>
      <c r="V525" s="8"/>
      <c r="W525" s="8"/>
      <c r="X525" s="8"/>
      <c r="Y525" s="8"/>
      <c r="Z525" s="8"/>
    </row>
    <row r="526" ht="18.0" customHeight="1">
      <c r="A526" s="8"/>
      <c r="B526" s="8"/>
      <c r="C526" s="8"/>
      <c r="D526" s="25"/>
      <c r="E526" s="25"/>
      <c r="F526" s="8"/>
      <c r="G526" s="8"/>
      <c r="H526" s="8"/>
      <c r="I526" s="8"/>
      <c r="J526" s="8"/>
      <c r="K526" s="8"/>
      <c r="L526" s="8"/>
      <c r="M526" s="8"/>
      <c r="N526" s="8"/>
      <c r="O526" s="8"/>
      <c r="P526" s="8"/>
      <c r="Q526" s="8"/>
      <c r="R526" s="8"/>
      <c r="S526" s="8"/>
      <c r="T526" s="8"/>
      <c r="U526" s="8"/>
      <c r="V526" s="8"/>
      <c r="W526" s="8"/>
      <c r="X526" s="8"/>
      <c r="Y526" s="8"/>
      <c r="Z526" s="8"/>
    </row>
    <row r="527" ht="18.0" customHeight="1">
      <c r="A527" s="8"/>
      <c r="B527" s="8"/>
      <c r="C527" s="8"/>
      <c r="D527" s="25"/>
      <c r="E527" s="25"/>
      <c r="F527" s="8"/>
      <c r="G527" s="8"/>
      <c r="H527" s="8"/>
      <c r="I527" s="8"/>
      <c r="J527" s="8"/>
      <c r="K527" s="8"/>
      <c r="L527" s="8"/>
      <c r="M527" s="8"/>
      <c r="N527" s="8"/>
      <c r="O527" s="8"/>
      <c r="P527" s="8"/>
      <c r="Q527" s="8"/>
      <c r="R527" s="8"/>
      <c r="S527" s="8"/>
      <c r="T527" s="8"/>
      <c r="U527" s="8"/>
      <c r="V527" s="8"/>
      <c r="W527" s="8"/>
      <c r="X527" s="8"/>
      <c r="Y527" s="8"/>
      <c r="Z527" s="8"/>
    </row>
    <row r="528" ht="18.0" customHeight="1">
      <c r="A528" s="8"/>
      <c r="B528" s="8"/>
      <c r="C528" s="8"/>
      <c r="D528" s="25"/>
      <c r="E528" s="25"/>
      <c r="F528" s="8"/>
      <c r="G528" s="8"/>
      <c r="H528" s="8"/>
      <c r="I528" s="8"/>
      <c r="J528" s="8"/>
      <c r="K528" s="8"/>
      <c r="L528" s="8"/>
      <c r="M528" s="8"/>
      <c r="N528" s="8"/>
      <c r="O528" s="8"/>
      <c r="P528" s="8"/>
      <c r="Q528" s="8"/>
      <c r="R528" s="8"/>
      <c r="S528" s="8"/>
      <c r="T528" s="8"/>
      <c r="U528" s="8"/>
      <c r="V528" s="8"/>
      <c r="W528" s="8"/>
      <c r="X528" s="8"/>
      <c r="Y528" s="8"/>
      <c r="Z528" s="8"/>
    </row>
    <row r="529" ht="18.0" customHeight="1">
      <c r="A529" s="8"/>
      <c r="B529" s="8"/>
      <c r="C529" s="8"/>
      <c r="D529" s="25"/>
      <c r="E529" s="25"/>
      <c r="F529" s="8"/>
      <c r="G529" s="8"/>
      <c r="H529" s="8"/>
      <c r="I529" s="8"/>
      <c r="J529" s="8"/>
      <c r="K529" s="8"/>
      <c r="L529" s="8"/>
      <c r="M529" s="8"/>
      <c r="N529" s="8"/>
      <c r="O529" s="8"/>
      <c r="P529" s="8"/>
      <c r="Q529" s="8"/>
      <c r="R529" s="8"/>
      <c r="S529" s="8"/>
      <c r="T529" s="8"/>
      <c r="U529" s="8"/>
      <c r="V529" s="8"/>
      <c r="W529" s="8"/>
      <c r="X529" s="8"/>
      <c r="Y529" s="8"/>
      <c r="Z529" s="8"/>
    </row>
    <row r="530" ht="18.0" customHeight="1">
      <c r="A530" s="8"/>
      <c r="B530" s="8"/>
      <c r="C530" s="8"/>
      <c r="D530" s="25"/>
      <c r="E530" s="25"/>
      <c r="F530" s="8"/>
      <c r="G530" s="8"/>
      <c r="H530" s="8"/>
      <c r="I530" s="8"/>
      <c r="J530" s="8"/>
      <c r="K530" s="8"/>
      <c r="L530" s="8"/>
      <c r="M530" s="8"/>
      <c r="N530" s="8"/>
      <c r="O530" s="8"/>
      <c r="P530" s="8"/>
      <c r="Q530" s="8"/>
      <c r="R530" s="8"/>
      <c r="S530" s="8"/>
      <c r="T530" s="8"/>
      <c r="U530" s="8"/>
      <c r="V530" s="8"/>
      <c r="W530" s="8"/>
      <c r="X530" s="8"/>
      <c r="Y530" s="8"/>
      <c r="Z530" s="8"/>
    </row>
    <row r="531" ht="18.0" customHeight="1">
      <c r="A531" s="8"/>
      <c r="B531" s="8"/>
      <c r="C531" s="8"/>
      <c r="D531" s="25"/>
      <c r="E531" s="25"/>
      <c r="F531" s="8"/>
      <c r="G531" s="8"/>
      <c r="H531" s="8"/>
      <c r="I531" s="8"/>
      <c r="J531" s="8"/>
      <c r="K531" s="8"/>
      <c r="L531" s="8"/>
      <c r="M531" s="8"/>
      <c r="N531" s="8"/>
      <c r="O531" s="8"/>
      <c r="P531" s="8"/>
      <c r="Q531" s="8"/>
      <c r="R531" s="8"/>
      <c r="S531" s="8"/>
      <c r="T531" s="8"/>
      <c r="U531" s="8"/>
      <c r="V531" s="8"/>
      <c r="W531" s="8"/>
      <c r="X531" s="8"/>
      <c r="Y531" s="8"/>
      <c r="Z531" s="8"/>
    </row>
    <row r="532" ht="18.0" customHeight="1">
      <c r="A532" s="8"/>
      <c r="B532" s="8"/>
      <c r="C532" s="8"/>
      <c r="D532" s="25"/>
      <c r="E532" s="25"/>
      <c r="F532" s="8"/>
      <c r="G532" s="8"/>
      <c r="H532" s="8"/>
      <c r="I532" s="8"/>
      <c r="J532" s="8"/>
      <c r="K532" s="8"/>
      <c r="L532" s="8"/>
      <c r="M532" s="8"/>
      <c r="N532" s="8"/>
      <c r="O532" s="8"/>
      <c r="P532" s="8"/>
      <c r="Q532" s="8"/>
      <c r="R532" s="8"/>
      <c r="S532" s="8"/>
      <c r="T532" s="8"/>
      <c r="U532" s="8"/>
      <c r="V532" s="8"/>
      <c r="W532" s="8"/>
      <c r="X532" s="8"/>
      <c r="Y532" s="8"/>
      <c r="Z532" s="8"/>
    </row>
    <row r="533" ht="18.0" customHeight="1">
      <c r="A533" s="8"/>
      <c r="B533" s="8"/>
      <c r="C533" s="8"/>
      <c r="D533" s="25"/>
      <c r="E533" s="25"/>
      <c r="F533" s="8"/>
      <c r="G533" s="8"/>
      <c r="H533" s="8"/>
      <c r="I533" s="8"/>
      <c r="J533" s="8"/>
      <c r="K533" s="8"/>
      <c r="L533" s="8"/>
      <c r="M533" s="8"/>
      <c r="N533" s="8"/>
      <c r="O533" s="8"/>
      <c r="P533" s="8"/>
      <c r="Q533" s="8"/>
      <c r="R533" s="8"/>
      <c r="S533" s="8"/>
      <c r="T533" s="8"/>
      <c r="U533" s="8"/>
      <c r="V533" s="8"/>
      <c r="W533" s="8"/>
      <c r="X533" s="8"/>
      <c r="Y533" s="8"/>
      <c r="Z533" s="8"/>
    </row>
    <row r="534" ht="18.0" customHeight="1">
      <c r="A534" s="8"/>
      <c r="B534" s="8"/>
      <c r="C534" s="8"/>
      <c r="D534" s="25"/>
      <c r="E534" s="25"/>
      <c r="F534" s="8"/>
      <c r="G534" s="8"/>
      <c r="H534" s="8"/>
      <c r="I534" s="8"/>
      <c r="J534" s="8"/>
      <c r="K534" s="8"/>
      <c r="L534" s="8"/>
      <c r="M534" s="8"/>
      <c r="N534" s="8"/>
      <c r="O534" s="8"/>
      <c r="P534" s="8"/>
      <c r="Q534" s="8"/>
      <c r="R534" s="8"/>
      <c r="S534" s="8"/>
      <c r="T534" s="8"/>
      <c r="U534" s="8"/>
      <c r="V534" s="8"/>
      <c r="W534" s="8"/>
      <c r="X534" s="8"/>
      <c r="Y534" s="8"/>
      <c r="Z534" s="8"/>
    </row>
    <row r="535" ht="18.0" customHeight="1">
      <c r="A535" s="8"/>
      <c r="B535" s="8"/>
      <c r="C535" s="8"/>
      <c r="D535" s="25"/>
      <c r="E535" s="25"/>
      <c r="F535" s="8"/>
      <c r="G535" s="8"/>
      <c r="H535" s="8"/>
      <c r="I535" s="8"/>
      <c r="J535" s="8"/>
      <c r="K535" s="8"/>
      <c r="L535" s="8"/>
      <c r="M535" s="8"/>
      <c r="N535" s="8"/>
      <c r="O535" s="8"/>
      <c r="P535" s="8"/>
      <c r="Q535" s="8"/>
      <c r="R535" s="8"/>
      <c r="S535" s="8"/>
      <c r="T535" s="8"/>
      <c r="U535" s="8"/>
      <c r="V535" s="8"/>
      <c r="W535" s="8"/>
      <c r="X535" s="8"/>
      <c r="Y535" s="8"/>
      <c r="Z535" s="8"/>
    </row>
    <row r="536" ht="18.0" customHeight="1">
      <c r="A536" s="8"/>
      <c r="B536" s="8"/>
      <c r="C536" s="8"/>
      <c r="D536" s="25"/>
      <c r="E536" s="25"/>
      <c r="F536" s="8"/>
      <c r="G536" s="8"/>
      <c r="H536" s="8"/>
      <c r="I536" s="8"/>
      <c r="J536" s="8"/>
      <c r="K536" s="8"/>
      <c r="L536" s="8"/>
      <c r="M536" s="8"/>
      <c r="N536" s="8"/>
      <c r="O536" s="8"/>
      <c r="P536" s="8"/>
      <c r="Q536" s="8"/>
      <c r="R536" s="8"/>
      <c r="S536" s="8"/>
      <c r="T536" s="8"/>
      <c r="U536" s="8"/>
      <c r="V536" s="8"/>
      <c r="W536" s="8"/>
      <c r="X536" s="8"/>
      <c r="Y536" s="8"/>
      <c r="Z536" s="8"/>
    </row>
    <row r="537" ht="18.0" customHeight="1">
      <c r="A537" s="8"/>
      <c r="B537" s="8"/>
      <c r="C537" s="8"/>
      <c r="D537" s="25"/>
      <c r="E537" s="25"/>
      <c r="F537" s="8"/>
      <c r="G537" s="8"/>
      <c r="H537" s="8"/>
      <c r="I537" s="8"/>
      <c r="J537" s="8"/>
      <c r="K537" s="8"/>
      <c r="L537" s="8"/>
      <c r="M537" s="8"/>
      <c r="N537" s="8"/>
      <c r="O537" s="8"/>
      <c r="P537" s="8"/>
      <c r="Q537" s="8"/>
      <c r="R537" s="8"/>
      <c r="S537" s="8"/>
      <c r="T537" s="8"/>
      <c r="U537" s="8"/>
      <c r="V537" s="8"/>
      <c r="W537" s="8"/>
      <c r="X537" s="8"/>
      <c r="Y537" s="8"/>
      <c r="Z537" s="8"/>
    </row>
    <row r="538" ht="18.0" customHeight="1">
      <c r="A538" s="8"/>
      <c r="B538" s="8"/>
      <c r="C538" s="8"/>
      <c r="D538" s="25"/>
      <c r="E538" s="25"/>
      <c r="F538" s="8"/>
      <c r="G538" s="8"/>
      <c r="H538" s="8"/>
      <c r="I538" s="8"/>
      <c r="J538" s="8"/>
      <c r="K538" s="8"/>
      <c r="L538" s="8"/>
      <c r="M538" s="8"/>
      <c r="N538" s="8"/>
      <c r="O538" s="8"/>
      <c r="P538" s="8"/>
      <c r="Q538" s="8"/>
      <c r="R538" s="8"/>
      <c r="S538" s="8"/>
      <c r="T538" s="8"/>
      <c r="U538" s="8"/>
      <c r="V538" s="8"/>
      <c r="W538" s="8"/>
      <c r="X538" s="8"/>
      <c r="Y538" s="8"/>
      <c r="Z538" s="8"/>
    </row>
    <row r="539" ht="18.0" customHeight="1">
      <c r="A539" s="8"/>
      <c r="B539" s="8"/>
      <c r="C539" s="8"/>
      <c r="D539" s="25"/>
      <c r="E539" s="25"/>
      <c r="F539" s="8"/>
      <c r="G539" s="8"/>
      <c r="H539" s="8"/>
      <c r="I539" s="8"/>
      <c r="J539" s="8"/>
      <c r="K539" s="8"/>
      <c r="L539" s="8"/>
      <c r="M539" s="8"/>
      <c r="N539" s="8"/>
      <c r="O539" s="8"/>
      <c r="P539" s="8"/>
      <c r="Q539" s="8"/>
      <c r="R539" s="8"/>
      <c r="S539" s="8"/>
      <c r="T539" s="8"/>
      <c r="U539" s="8"/>
      <c r="V539" s="8"/>
      <c r="W539" s="8"/>
      <c r="X539" s="8"/>
      <c r="Y539" s="8"/>
      <c r="Z539" s="8"/>
    </row>
    <row r="540" ht="18.0" customHeight="1">
      <c r="A540" s="8"/>
      <c r="B540" s="8"/>
      <c r="C540" s="8"/>
      <c r="D540" s="25"/>
      <c r="E540" s="25"/>
      <c r="F540" s="8"/>
      <c r="G540" s="8"/>
      <c r="H540" s="8"/>
      <c r="I540" s="8"/>
      <c r="J540" s="8"/>
      <c r="K540" s="8"/>
      <c r="L540" s="8"/>
      <c r="M540" s="8"/>
      <c r="N540" s="8"/>
      <c r="O540" s="8"/>
      <c r="P540" s="8"/>
      <c r="Q540" s="8"/>
      <c r="R540" s="8"/>
      <c r="S540" s="8"/>
      <c r="T540" s="8"/>
      <c r="U540" s="8"/>
      <c r="V540" s="8"/>
      <c r="W540" s="8"/>
      <c r="X540" s="8"/>
      <c r="Y540" s="8"/>
      <c r="Z540" s="8"/>
    </row>
    <row r="541" ht="18.0" customHeight="1">
      <c r="A541" s="8"/>
      <c r="B541" s="8"/>
      <c r="C541" s="8"/>
      <c r="D541" s="25"/>
      <c r="E541" s="25"/>
      <c r="F541" s="8"/>
      <c r="G541" s="8"/>
      <c r="H541" s="8"/>
      <c r="I541" s="8"/>
      <c r="J541" s="8"/>
      <c r="K541" s="8"/>
      <c r="L541" s="8"/>
      <c r="M541" s="8"/>
      <c r="N541" s="8"/>
      <c r="O541" s="8"/>
      <c r="P541" s="8"/>
      <c r="Q541" s="8"/>
      <c r="R541" s="8"/>
      <c r="S541" s="8"/>
      <c r="T541" s="8"/>
      <c r="U541" s="8"/>
      <c r="V541" s="8"/>
      <c r="W541" s="8"/>
      <c r="X541" s="8"/>
      <c r="Y541" s="8"/>
      <c r="Z541" s="8"/>
    </row>
    <row r="542" ht="18.0" customHeight="1">
      <c r="A542" s="8"/>
      <c r="B542" s="8"/>
      <c r="C542" s="8"/>
      <c r="D542" s="25"/>
      <c r="E542" s="25"/>
      <c r="F542" s="8"/>
      <c r="G542" s="8"/>
      <c r="H542" s="8"/>
      <c r="I542" s="8"/>
      <c r="J542" s="8"/>
      <c r="K542" s="8"/>
      <c r="L542" s="8"/>
      <c r="M542" s="8"/>
      <c r="N542" s="8"/>
      <c r="O542" s="8"/>
      <c r="P542" s="8"/>
      <c r="Q542" s="8"/>
      <c r="R542" s="8"/>
      <c r="S542" s="8"/>
      <c r="T542" s="8"/>
      <c r="U542" s="8"/>
      <c r="V542" s="8"/>
      <c r="W542" s="8"/>
      <c r="X542" s="8"/>
      <c r="Y542" s="8"/>
      <c r="Z542" s="8"/>
    </row>
    <row r="543" ht="18.0" customHeight="1">
      <c r="A543" s="8"/>
      <c r="B543" s="8"/>
      <c r="C543" s="8"/>
      <c r="D543" s="25"/>
      <c r="E543" s="25"/>
      <c r="F543" s="8"/>
      <c r="G543" s="8"/>
      <c r="H543" s="8"/>
      <c r="I543" s="8"/>
      <c r="J543" s="8"/>
      <c r="K543" s="8"/>
      <c r="L543" s="8"/>
      <c r="M543" s="8"/>
      <c r="N543" s="8"/>
      <c r="O543" s="8"/>
      <c r="P543" s="8"/>
      <c r="Q543" s="8"/>
      <c r="R543" s="8"/>
      <c r="S543" s="8"/>
      <c r="T543" s="8"/>
      <c r="U543" s="8"/>
      <c r="V543" s="8"/>
      <c r="W543" s="8"/>
      <c r="X543" s="8"/>
      <c r="Y543" s="8"/>
      <c r="Z543" s="8"/>
    </row>
    <row r="544" ht="18.0" customHeight="1">
      <c r="A544" s="8"/>
      <c r="B544" s="8"/>
      <c r="C544" s="8"/>
      <c r="D544" s="25"/>
      <c r="E544" s="25"/>
      <c r="F544" s="8"/>
      <c r="G544" s="8"/>
      <c r="H544" s="8"/>
      <c r="I544" s="8"/>
      <c r="J544" s="8"/>
      <c r="K544" s="8"/>
      <c r="L544" s="8"/>
      <c r="M544" s="8"/>
      <c r="N544" s="8"/>
      <c r="O544" s="8"/>
      <c r="P544" s="8"/>
      <c r="Q544" s="8"/>
      <c r="R544" s="8"/>
      <c r="S544" s="8"/>
      <c r="T544" s="8"/>
      <c r="U544" s="8"/>
      <c r="V544" s="8"/>
      <c r="W544" s="8"/>
      <c r="X544" s="8"/>
      <c r="Y544" s="8"/>
      <c r="Z544" s="8"/>
    </row>
    <row r="545" ht="18.0" customHeight="1">
      <c r="A545" s="8"/>
      <c r="B545" s="8"/>
      <c r="C545" s="8"/>
      <c r="D545" s="25"/>
      <c r="E545" s="25"/>
      <c r="F545" s="8"/>
      <c r="G545" s="8"/>
      <c r="H545" s="8"/>
      <c r="I545" s="8"/>
      <c r="J545" s="8"/>
      <c r="K545" s="8"/>
      <c r="L545" s="8"/>
      <c r="M545" s="8"/>
      <c r="N545" s="8"/>
      <c r="O545" s="8"/>
      <c r="P545" s="8"/>
      <c r="Q545" s="8"/>
      <c r="R545" s="8"/>
      <c r="S545" s="8"/>
      <c r="T545" s="8"/>
      <c r="U545" s="8"/>
      <c r="V545" s="8"/>
      <c r="W545" s="8"/>
      <c r="X545" s="8"/>
      <c r="Y545" s="8"/>
      <c r="Z545" s="8"/>
    </row>
    <row r="546" ht="18.0" customHeight="1">
      <c r="A546" s="8"/>
      <c r="B546" s="8"/>
      <c r="C546" s="8"/>
      <c r="D546" s="25"/>
      <c r="E546" s="25"/>
      <c r="F546" s="8"/>
      <c r="G546" s="8"/>
      <c r="H546" s="8"/>
      <c r="I546" s="8"/>
      <c r="J546" s="8"/>
      <c r="K546" s="8"/>
      <c r="L546" s="8"/>
      <c r="M546" s="8"/>
      <c r="N546" s="8"/>
      <c r="O546" s="8"/>
      <c r="P546" s="8"/>
      <c r="Q546" s="8"/>
      <c r="R546" s="8"/>
      <c r="S546" s="8"/>
      <c r="T546" s="8"/>
      <c r="U546" s="8"/>
      <c r="V546" s="8"/>
      <c r="W546" s="8"/>
      <c r="X546" s="8"/>
      <c r="Y546" s="8"/>
      <c r="Z546" s="8"/>
    </row>
    <row r="547" ht="18.0" customHeight="1">
      <c r="A547" s="8"/>
      <c r="B547" s="8"/>
      <c r="C547" s="8"/>
      <c r="D547" s="25"/>
      <c r="E547" s="25"/>
      <c r="F547" s="8"/>
      <c r="G547" s="8"/>
      <c r="H547" s="8"/>
      <c r="I547" s="8"/>
      <c r="J547" s="8"/>
      <c r="K547" s="8"/>
      <c r="L547" s="8"/>
      <c r="M547" s="8"/>
      <c r="N547" s="8"/>
      <c r="O547" s="8"/>
      <c r="P547" s="8"/>
      <c r="Q547" s="8"/>
      <c r="R547" s="8"/>
      <c r="S547" s="8"/>
      <c r="T547" s="8"/>
      <c r="U547" s="8"/>
      <c r="V547" s="8"/>
      <c r="W547" s="8"/>
      <c r="X547" s="8"/>
      <c r="Y547" s="8"/>
      <c r="Z547" s="8"/>
    </row>
    <row r="548" ht="18.0" customHeight="1">
      <c r="A548" s="8"/>
      <c r="B548" s="8"/>
      <c r="C548" s="8"/>
      <c r="D548" s="25"/>
      <c r="E548" s="25"/>
      <c r="F548" s="8"/>
      <c r="G548" s="8"/>
      <c r="H548" s="8"/>
      <c r="I548" s="8"/>
      <c r="J548" s="8"/>
      <c r="K548" s="8"/>
      <c r="L548" s="8"/>
      <c r="M548" s="8"/>
      <c r="N548" s="8"/>
      <c r="O548" s="8"/>
      <c r="P548" s="8"/>
      <c r="Q548" s="8"/>
      <c r="R548" s="8"/>
      <c r="S548" s="8"/>
      <c r="T548" s="8"/>
      <c r="U548" s="8"/>
      <c r="V548" s="8"/>
      <c r="W548" s="8"/>
      <c r="X548" s="8"/>
      <c r="Y548" s="8"/>
      <c r="Z548" s="8"/>
    </row>
    <row r="549" ht="18.0" customHeight="1">
      <c r="A549" s="8"/>
      <c r="B549" s="8"/>
      <c r="C549" s="8"/>
      <c r="D549" s="25"/>
      <c r="E549" s="25"/>
      <c r="F549" s="8"/>
      <c r="G549" s="8"/>
      <c r="H549" s="8"/>
      <c r="I549" s="8"/>
      <c r="J549" s="8"/>
      <c r="K549" s="8"/>
      <c r="L549" s="8"/>
      <c r="M549" s="8"/>
      <c r="N549" s="8"/>
      <c r="O549" s="8"/>
      <c r="P549" s="8"/>
      <c r="Q549" s="8"/>
      <c r="R549" s="8"/>
      <c r="S549" s="8"/>
      <c r="T549" s="8"/>
      <c r="U549" s="8"/>
      <c r="V549" s="8"/>
      <c r="W549" s="8"/>
      <c r="X549" s="8"/>
      <c r="Y549" s="8"/>
      <c r="Z549" s="8"/>
    </row>
    <row r="550" ht="18.0" customHeight="1">
      <c r="A550" s="8"/>
      <c r="B550" s="8"/>
      <c r="C550" s="8"/>
      <c r="D550" s="25"/>
      <c r="E550" s="25"/>
      <c r="F550" s="8"/>
      <c r="G550" s="8"/>
      <c r="H550" s="8"/>
      <c r="I550" s="8"/>
      <c r="J550" s="8"/>
      <c r="K550" s="8"/>
      <c r="L550" s="8"/>
      <c r="M550" s="8"/>
      <c r="N550" s="8"/>
      <c r="O550" s="8"/>
      <c r="P550" s="8"/>
      <c r="Q550" s="8"/>
      <c r="R550" s="8"/>
      <c r="S550" s="8"/>
      <c r="T550" s="8"/>
      <c r="U550" s="8"/>
      <c r="V550" s="8"/>
      <c r="W550" s="8"/>
      <c r="X550" s="8"/>
      <c r="Y550" s="8"/>
      <c r="Z550" s="8"/>
    </row>
    <row r="551" ht="18.0" customHeight="1">
      <c r="A551" s="8"/>
      <c r="B551" s="8"/>
      <c r="C551" s="8"/>
      <c r="D551" s="25"/>
      <c r="E551" s="25"/>
      <c r="F551" s="8"/>
      <c r="G551" s="8"/>
      <c r="H551" s="8"/>
      <c r="I551" s="8"/>
      <c r="J551" s="8"/>
      <c r="K551" s="8"/>
      <c r="L551" s="8"/>
      <c r="M551" s="8"/>
      <c r="N551" s="8"/>
      <c r="O551" s="8"/>
      <c r="P551" s="8"/>
      <c r="Q551" s="8"/>
      <c r="R551" s="8"/>
      <c r="S551" s="8"/>
      <c r="T551" s="8"/>
      <c r="U551" s="8"/>
      <c r="V551" s="8"/>
      <c r="W551" s="8"/>
      <c r="X551" s="8"/>
      <c r="Y551" s="8"/>
      <c r="Z551" s="8"/>
    </row>
    <row r="552" ht="18.0" customHeight="1">
      <c r="A552" s="8"/>
      <c r="B552" s="8"/>
      <c r="C552" s="8"/>
      <c r="D552" s="25"/>
      <c r="E552" s="25"/>
      <c r="F552" s="8"/>
      <c r="G552" s="8"/>
      <c r="H552" s="8"/>
      <c r="I552" s="8"/>
      <c r="J552" s="8"/>
      <c r="K552" s="8"/>
      <c r="L552" s="8"/>
      <c r="M552" s="8"/>
      <c r="N552" s="8"/>
      <c r="O552" s="8"/>
      <c r="P552" s="8"/>
      <c r="Q552" s="8"/>
      <c r="R552" s="8"/>
      <c r="S552" s="8"/>
      <c r="T552" s="8"/>
      <c r="U552" s="8"/>
      <c r="V552" s="8"/>
      <c r="W552" s="8"/>
      <c r="X552" s="8"/>
      <c r="Y552" s="8"/>
      <c r="Z552" s="8"/>
    </row>
    <row r="553" ht="18.0" customHeight="1">
      <c r="A553" s="8"/>
      <c r="B553" s="8"/>
      <c r="C553" s="8"/>
      <c r="D553" s="25"/>
      <c r="E553" s="25"/>
      <c r="F553" s="8"/>
      <c r="G553" s="8"/>
      <c r="H553" s="8"/>
      <c r="I553" s="8"/>
      <c r="J553" s="8"/>
      <c r="K553" s="8"/>
      <c r="L553" s="8"/>
      <c r="M553" s="8"/>
      <c r="N553" s="8"/>
      <c r="O553" s="8"/>
      <c r="P553" s="8"/>
      <c r="Q553" s="8"/>
      <c r="R553" s="8"/>
      <c r="S553" s="8"/>
      <c r="T553" s="8"/>
      <c r="U553" s="8"/>
      <c r="V553" s="8"/>
      <c r="W553" s="8"/>
      <c r="X553" s="8"/>
      <c r="Y553" s="8"/>
      <c r="Z553" s="8"/>
    </row>
    <row r="554" ht="18.0" customHeight="1">
      <c r="A554" s="8"/>
      <c r="B554" s="8"/>
      <c r="C554" s="8"/>
      <c r="D554" s="25"/>
      <c r="E554" s="25"/>
      <c r="F554" s="8"/>
      <c r="G554" s="8"/>
      <c r="H554" s="8"/>
      <c r="I554" s="8"/>
      <c r="J554" s="8"/>
      <c r="K554" s="8"/>
      <c r="L554" s="8"/>
      <c r="M554" s="8"/>
      <c r="N554" s="8"/>
      <c r="O554" s="8"/>
      <c r="P554" s="8"/>
      <c r="Q554" s="8"/>
      <c r="R554" s="8"/>
      <c r="S554" s="8"/>
      <c r="T554" s="8"/>
      <c r="U554" s="8"/>
      <c r="V554" s="8"/>
      <c r="W554" s="8"/>
      <c r="X554" s="8"/>
      <c r="Y554" s="8"/>
      <c r="Z554" s="8"/>
    </row>
    <row r="555" ht="18.0" customHeight="1">
      <c r="A555" s="8"/>
      <c r="B555" s="8"/>
      <c r="C555" s="8"/>
      <c r="D555" s="25"/>
      <c r="E555" s="25"/>
      <c r="F555" s="8"/>
      <c r="G555" s="8"/>
      <c r="H555" s="8"/>
      <c r="I555" s="8"/>
      <c r="J555" s="8"/>
      <c r="K555" s="8"/>
      <c r="L555" s="8"/>
      <c r="M555" s="8"/>
      <c r="N555" s="8"/>
      <c r="O555" s="8"/>
      <c r="P555" s="8"/>
      <c r="Q555" s="8"/>
      <c r="R555" s="8"/>
      <c r="S555" s="8"/>
      <c r="T555" s="8"/>
      <c r="U555" s="8"/>
      <c r="V555" s="8"/>
      <c r="W555" s="8"/>
      <c r="X555" s="8"/>
      <c r="Y555" s="8"/>
      <c r="Z555" s="8"/>
    </row>
    <row r="556" ht="18.0" customHeight="1">
      <c r="A556" s="8"/>
      <c r="B556" s="8"/>
      <c r="C556" s="8"/>
      <c r="D556" s="25"/>
      <c r="E556" s="25"/>
      <c r="F556" s="8"/>
      <c r="G556" s="8"/>
      <c r="H556" s="8"/>
      <c r="I556" s="8"/>
      <c r="J556" s="8"/>
      <c r="K556" s="8"/>
      <c r="L556" s="8"/>
      <c r="M556" s="8"/>
      <c r="N556" s="8"/>
      <c r="O556" s="8"/>
      <c r="P556" s="8"/>
      <c r="Q556" s="8"/>
      <c r="R556" s="8"/>
      <c r="S556" s="8"/>
      <c r="T556" s="8"/>
      <c r="U556" s="8"/>
      <c r="V556" s="8"/>
      <c r="W556" s="8"/>
      <c r="X556" s="8"/>
      <c r="Y556" s="8"/>
      <c r="Z556" s="8"/>
    </row>
    <row r="557" ht="18.0" customHeight="1">
      <c r="A557" s="8"/>
      <c r="B557" s="8"/>
      <c r="C557" s="8"/>
      <c r="D557" s="25"/>
      <c r="E557" s="25"/>
      <c r="F557" s="8"/>
      <c r="G557" s="8"/>
      <c r="H557" s="8"/>
      <c r="I557" s="8"/>
      <c r="J557" s="8"/>
      <c r="K557" s="8"/>
      <c r="L557" s="8"/>
      <c r="M557" s="8"/>
      <c r="N557" s="8"/>
      <c r="O557" s="8"/>
      <c r="P557" s="8"/>
      <c r="Q557" s="8"/>
      <c r="R557" s="8"/>
      <c r="S557" s="8"/>
      <c r="T557" s="8"/>
      <c r="U557" s="8"/>
      <c r="V557" s="8"/>
      <c r="W557" s="8"/>
      <c r="X557" s="8"/>
      <c r="Y557" s="8"/>
      <c r="Z557" s="8"/>
    </row>
    <row r="558" ht="18.0" customHeight="1">
      <c r="A558" s="8"/>
      <c r="B558" s="8"/>
      <c r="C558" s="8"/>
      <c r="D558" s="25"/>
      <c r="E558" s="25"/>
      <c r="F558" s="8"/>
      <c r="G558" s="8"/>
      <c r="H558" s="8"/>
      <c r="I558" s="8"/>
      <c r="J558" s="8"/>
      <c r="K558" s="8"/>
      <c r="L558" s="8"/>
      <c r="M558" s="8"/>
      <c r="N558" s="8"/>
      <c r="O558" s="8"/>
      <c r="P558" s="8"/>
      <c r="Q558" s="8"/>
      <c r="R558" s="8"/>
      <c r="S558" s="8"/>
      <c r="T558" s="8"/>
      <c r="U558" s="8"/>
      <c r="V558" s="8"/>
      <c r="W558" s="8"/>
      <c r="X558" s="8"/>
      <c r="Y558" s="8"/>
      <c r="Z558" s="8"/>
    </row>
    <row r="559" ht="18.0" customHeight="1">
      <c r="A559" s="8"/>
      <c r="B559" s="8"/>
      <c r="C559" s="8"/>
      <c r="D559" s="25"/>
      <c r="E559" s="25"/>
      <c r="F559" s="8"/>
      <c r="G559" s="8"/>
      <c r="H559" s="8"/>
      <c r="I559" s="8"/>
      <c r="J559" s="8"/>
      <c r="K559" s="8"/>
      <c r="L559" s="8"/>
      <c r="M559" s="8"/>
      <c r="N559" s="8"/>
      <c r="O559" s="8"/>
      <c r="P559" s="8"/>
      <c r="Q559" s="8"/>
      <c r="R559" s="8"/>
      <c r="S559" s="8"/>
      <c r="T559" s="8"/>
      <c r="U559" s="8"/>
      <c r="V559" s="8"/>
      <c r="W559" s="8"/>
      <c r="X559" s="8"/>
      <c r="Y559" s="8"/>
      <c r="Z559" s="8"/>
    </row>
    <row r="560" ht="18.0" customHeight="1">
      <c r="A560" s="8"/>
      <c r="B560" s="8"/>
      <c r="C560" s="8"/>
      <c r="D560" s="25"/>
      <c r="E560" s="25"/>
      <c r="F560" s="8"/>
      <c r="G560" s="8"/>
      <c r="H560" s="8"/>
      <c r="I560" s="8"/>
      <c r="J560" s="8"/>
      <c r="K560" s="8"/>
      <c r="L560" s="8"/>
      <c r="M560" s="8"/>
      <c r="N560" s="8"/>
      <c r="O560" s="8"/>
      <c r="P560" s="8"/>
      <c r="Q560" s="8"/>
      <c r="R560" s="8"/>
      <c r="S560" s="8"/>
      <c r="T560" s="8"/>
      <c r="U560" s="8"/>
      <c r="V560" s="8"/>
      <c r="W560" s="8"/>
      <c r="X560" s="8"/>
      <c r="Y560" s="8"/>
      <c r="Z560" s="8"/>
    </row>
    <row r="561" ht="18.0" customHeight="1">
      <c r="A561" s="8"/>
      <c r="B561" s="8"/>
      <c r="C561" s="8"/>
      <c r="D561" s="25"/>
      <c r="E561" s="25"/>
      <c r="F561" s="8"/>
      <c r="G561" s="8"/>
      <c r="H561" s="8"/>
      <c r="I561" s="8"/>
      <c r="J561" s="8"/>
      <c r="K561" s="8"/>
      <c r="L561" s="8"/>
      <c r="M561" s="8"/>
      <c r="N561" s="8"/>
      <c r="O561" s="8"/>
      <c r="P561" s="8"/>
      <c r="Q561" s="8"/>
      <c r="R561" s="8"/>
      <c r="S561" s="8"/>
      <c r="T561" s="8"/>
      <c r="U561" s="8"/>
      <c r="V561" s="8"/>
      <c r="W561" s="8"/>
      <c r="X561" s="8"/>
      <c r="Y561" s="8"/>
      <c r="Z561" s="8"/>
    </row>
    <row r="562" ht="18.0" customHeight="1">
      <c r="A562" s="8"/>
      <c r="B562" s="8"/>
      <c r="C562" s="8"/>
      <c r="D562" s="25"/>
      <c r="E562" s="25"/>
      <c r="F562" s="8"/>
      <c r="G562" s="8"/>
      <c r="H562" s="8"/>
      <c r="I562" s="8"/>
      <c r="J562" s="8"/>
      <c r="K562" s="8"/>
      <c r="L562" s="8"/>
      <c r="M562" s="8"/>
      <c r="N562" s="8"/>
      <c r="O562" s="8"/>
      <c r="P562" s="8"/>
      <c r="Q562" s="8"/>
      <c r="R562" s="8"/>
      <c r="S562" s="8"/>
      <c r="T562" s="8"/>
      <c r="U562" s="8"/>
      <c r="V562" s="8"/>
      <c r="W562" s="8"/>
      <c r="X562" s="8"/>
      <c r="Y562" s="8"/>
      <c r="Z562" s="8"/>
    </row>
    <row r="563" ht="18.0" customHeight="1">
      <c r="A563" s="8"/>
      <c r="B563" s="8"/>
      <c r="C563" s="8"/>
      <c r="D563" s="25"/>
      <c r="E563" s="25"/>
      <c r="F563" s="8"/>
      <c r="G563" s="8"/>
      <c r="H563" s="8"/>
      <c r="I563" s="8"/>
      <c r="J563" s="8"/>
      <c r="K563" s="8"/>
      <c r="L563" s="8"/>
      <c r="M563" s="8"/>
      <c r="N563" s="8"/>
      <c r="O563" s="8"/>
      <c r="P563" s="8"/>
      <c r="Q563" s="8"/>
      <c r="R563" s="8"/>
      <c r="S563" s="8"/>
      <c r="T563" s="8"/>
      <c r="U563" s="8"/>
      <c r="V563" s="8"/>
      <c r="W563" s="8"/>
      <c r="X563" s="8"/>
      <c r="Y563" s="8"/>
      <c r="Z563" s="8"/>
    </row>
    <row r="564" ht="18.0" customHeight="1">
      <c r="A564" s="8"/>
      <c r="B564" s="8"/>
      <c r="C564" s="8"/>
      <c r="D564" s="25"/>
      <c r="E564" s="25"/>
      <c r="F564" s="8"/>
      <c r="G564" s="8"/>
      <c r="H564" s="8"/>
      <c r="I564" s="8"/>
      <c r="J564" s="8"/>
      <c r="K564" s="8"/>
      <c r="L564" s="8"/>
      <c r="M564" s="8"/>
      <c r="N564" s="8"/>
      <c r="O564" s="8"/>
      <c r="P564" s="8"/>
      <c r="Q564" s="8"/>
      <c r="R564" s="8"/>
      <c r="S564" s="8"/>
      <c r="T564" s="8"/>
      <c r="U564" s="8"/>
      <c r="V564" s="8"/>
      <c r="W564" s="8"/>
      <c r="X564" s="8"/>
      <c r="Y564" s="8"/>
      <c r="Z564" s="8"/>
    </row>
    <row r="565" ht="18.0" customHeight="1">
      <c r="A565" s="8"/>
      <c r="B565" s="8"/>
      <c r="C565" s="8"/>
      <c r="D565" s="25"/>
      <c r="E565" s="25"/>
      <c r="F565" s="8"/>
      <c r="G565" s="8"/>
      <c r="H565" s="8"/>
      <c r="I565" s="8"/>
      <c r="J565" s="8"/>
      <c r="K565" s="8"/>
      <c r="L565" s="8"/>
      <c r="M565" s="8"/>
      <c r="N565" s="8"/>
      <c r="O565" s="8"/>
      <c r="P565" s="8"/>
      <c r="Q565" s="8"/>
      <c r="R565" s="8"/>
      <c r="S565" s="8"/>
      <c r="T565" s="8"/>
      <c r="U565" s="8"/>
      <c r="V565" s="8"/>
      <c r="W565" s="8"/>
      <c r="X565" s="8"/>
      <c r="Y565" s="8"/>
      <c r="Z565" s="8"/>
    </row>
    <row r="566" ht="18.0" customHeight="1">
      <c r="A566" s="8"/>
      <c r="B566" s="8"/>
      <c r="C566" s="8"/>
      <c r="D566" s="25"/>
      <c r="E566" s="25"/>
      <c r="F566" s="8"/>
      <c r="G566" s="8"/>
      <c r="H566" s="8"/>
      <c r="I566" s="8"/>
      <c r="J566" s="8"/>
      <c r="K566" s="8"/>
      <c r="L566" s="8"/>
      <c r="M566" s="8"/>
      <c r="N566" s="8"/>
      <c r="O566" s="8"/>
      <c r="P566" s="8"/>
      <c r="Q566" s="8"/>
      <c r="R566" s="8"/>
      <c r="S566" s="8"/>
      <c r="T566" s="8"/>
      <c r="U566" s="8"/>
      <c r="V566" s="8"/>
      <c r="W566" s="8"/>
      <c r="X566" s="8"/>
      <c r="Y566" s="8"/>
      <c r="Z566" s="8"/>
    </row>
    <row r="567" ht="18.0" customHeight="1">
      <c r="A567" s="8"/>
      <c r="B567" s="8"/>
      <c r="C567" s="8"/>
      <c r="D567" s="25"/>
      <c r="E567" s="25"/>
      <c r="F567" s="8"/>
      <c r="G567" s="8"/>
      <c r="H567" s="8"/>
      <c r="I567" s="8"/>
      <c r="J567" s="8"/>
      <c r="K567" s="8"/>
      <c r="L567" s="8"/>
      <c r="M567" s="8"/>
      <c r="N567" s="8"/>
      <c r="O567" s="8"/>
      <c r="P567" s="8"/>
      <c r="Q567" s="8"/>
      <c r="R567" s="8"/>
      <c r="S567" s="8"/>
      <c r="T567" s="8"/>
      <c r="U567" s="8"/>
      <c r="V567" s="8"/>
      <c r="W567" s="8"/>
      <c r="X567" s="8"/>
      <c r="Y567" s="8"/>
      <c r="Z567" s="8"/>
    </row>
    <row r="568" ht="18.0" customHeight="1">
      <c r="A568" s="8"/>
      <c r="B568" s="8"/>
      <c r="C568" s="8"/>
      <c r="D568" s="25"/>
      <c r="E568" s="25"/>
      <c r="F568" s="8"/>
      <c r="G568" s="8"/>
      <c r="H568" s="8"/>
      <c r="I568" s="8"/>
      <c r="J568" s="8"/>
      <c r="K568" s="8"/>
      <c r="L568" s="8"/>
      <c r="M568" s="8"/>
      <c r="N568" s="8"/>
      <c r="O568" s="8"/>
      <c r="P568" s="8"/>
      <c r="Q568" s="8"/>
      <c r="R568" s="8"/>
      <c r="S568" s="8"/>
      <c r="T568" s="8"/>
      <c r="U568" s="8"/>
      <c r="V568" s="8"/>
      <c r="W568" s="8"/>
      <c r="X568" s="8"/>
      <c r="Y568" s="8"/>
      <c r="Z568" s="8"/>
    </row>
    <row r="569" ht="18.0" customHeight="1">
      <c r="A569" s="8"/>
      <c r="B569" s="8"/>
      <c r="C569" s="8"/>
      <c r="D569" s="25"/>
      <c r="E569" s="25"/>
      <c r="F569" s="8"/>
      <c r="G569" s="8"/>
      <c r="H569" s="8"/>
      <c r="I569" s="8"/>
      <c r="J569" s="8"/>
      <c r="K569" s="8"/>
      <c r="L569" s="8"/>
      <c r="M569" s="8"/>
      <c r="N569" s="8"/>
      <c r="O569" s="8"/>
      <c r="P569" s="8"/>
      <c r="Q569" s="8"/>
      <c r="R569" s="8"/>
      <c r="S569" s="8"/>
      <c r="T569" s="8"/>
      <c r="U569" s="8"/>
      <c r="V569" s="8"/>
      <c r="W569" s="8"/>
      <c r="X569" s="8"/>
      <c r="Y569" s="8"/>
      <c r="Z569" s="8"/>
    </row>
    <row r="570" ht="18.0" customHeight="1">
      <c r="A570" s="8"/>
      <c r="B570" s="8"/>
      <c r="C570" s="8"/>
      <c r="D570" s="25"/>
      <c r="E570" s="25"/>
      <c r="F570" s="8"/>
      <c r="G570" s="8"/>
      <c r="H570" s="8"/>
      <c r="I570" s="8"/>
      <c r="J570" s="8"/>
      <c r="K570" s="8"/>
      <c r="L570" s="8"/>
      <c r="M570" s="8"/>
      <c r="N570" s="8"/>
      <c r="O570" s="8"/>
      <c r="P570" s="8"/>
      <c r="Q570" s="8"/>
      <c r="R570" s="8"/>
      <c r="S570" s="8"/>
      <c r="T570" s="8"/>
      <c r="U570" s="8"/>
      <c r="V570" s="8"/>
      <c r="W570" s="8"/>
      <c r="X570" s="8"/>
      <c r="Y570" s="8"/>
      <c r="Z570" s="8"/>
    </row>
    <row r="571" ht="18.0" customHeight="1">
      <c r="A571" s="8"/>
      <c r="B571" s="8"/>
      <c r="C571" s="8"/>
      <c r="D571" s="25"/>
      <c r="E571" s="25"/>
      <c r="F571" s="8"/>
      <c r="G571" s="8"/>
      <c r="H571" s="8"/>
      <c r="I571" s="8"/>
      <c r="J571" s="8"/>
      <c r="K571" s="8"/>
      <c r="L571" s="8"/>
      <c r="M571" s="8"/>
      <c r="N571" s="8"/>
      <c r="O571" s="8"/>
      <c r="P571" s="8"/>
      <c r="Q571" s="8"/>
      <c r="R571" s="8"/>
      <c r="S571" s="8"/>
      <c r="T571" s="8"/>
      <c r="U571" s="8"/>
      <c r="V571" s="8"/>
      <c r="W571" s="8"/>
      <c r="X571" s="8"/>
      <c r="Y571" s="8"/>
      <c r="Z571" s="8"/>
    </row>
    <row r="572" ht="18.0" customHeight="1">
      <c r="A572" s="8"/>
      <c r="B572" s="8"/>
      <c r="C572" s="8"/>
      <c r="D572" s="25"/>
      <c r="E572" s="25"/>
      <c r="F572" s="8"/>
      <c r="G572" s="8"/>
      <c r="H572" s="8"/>
      <c r="I572" s="8"/>
      <c r="J572" s="8"/>
      <c r="K572" s="8"/>
      <c r="L572" s="8"/>
      <c r="M572" s="8"/>
      <c r="N572" s="8"/>
      <c r="O572" s="8"/>
      <c r="P572" s="8"/>
      <c r="Q572" s="8"/>
      <c r="R572" s="8"/>
      <c r="S572" s="8"/>
      <c r="T572" s="8"/>
      <c r="U572" s="8"/>
      <c r="V572" s="8"/>
      <c r="W572" s="8"/>
      <c r="X572" s="8"/>
      <c r="Y572" s="8"/>
      <c r="Z572" s="8"/>
    </row>
    <row r="573" ht="18.0" customHeight="1">
      <c r="A573" s="8"/>
      <c r="B573" s="8"/>
      <c r="C573" s="8"/>
      <c r="D573" s="25"/>
      <c r="E573" s="25"/>
      <c r="F573" s="8"/>
      <c r="G573" s="8"/>
      <c r="H573" s="8"/>
      <c r="I573" s="8"/>
      <c r="J573" s="8"/>
      <c r="K573" s="8"/>
      <c r="L573" s="8"/>
      <c r="M573" s="8"/>
      <c r="N573" s="8"/>
      <c r="O573" s="8"/>
      <c r="P573" s="8"/>
      <c r="Q573" s="8"/>
      <c r="R573" s="8"/>
      <c r="S573" s="8"/>
      <c r="T573" s="8"/>
      <c r="U573" s="8"/>
      <c r="V573" s="8"/>
      <c r="W573" s="8"/>
      <c r="X573" s="8"/>
      <c r="Y573" s="8"/>
      <c r="Z573" s="8"/>
    </row>
    <row r="574" ht="18.0" customHeight="1">
      <c r="A574" s="8"/>
      <c r="B574" s="8"/>
      <c r="C574" s="8"/>
      <c r="D574" s="25"/>
      <c r="E574" s="25"/>
      <c r="F574" s="8"/>
      <c r="G574" s="8"/>
      <c r="H574" s="8"/>
      <c r="I574" s="8"/>
      <c r="J574" s="8"/>
      <c r="K574" s="8"/>
      <c r="L574" s="8"/>
      <c r="M574" s="8"/>
      <c r="N574" s="8"/>
      <c r="O574" s="8"/>
      <c r="P574" s="8"/>
      <c r="Q574" s="8"/>
      <c r="R574" s="8"/>
      <c r="S574" s="8"/>
      <c r="T574" s="8"/>
      <c r="U574" s="8"/>
      <c r="V574" s="8"/>
      <c r="W574" s="8"/>
      <c r="X574" s="8"/>
      <c r="Y574" s="8"/>
      <c r="Z574" s="8"/>
    </row>
    <row r="575" ht="18.0" customHeight="1">
      <c r="A575" s="8"/>
      <c r="B575" s="8"/>
      <c r="C575" s="8"/>
      <c r="D575" s="25"/>
      <c r="E575" s="25"/>
      <c r="F575" s="8"/>
      <c r="G575" s="8"/>
      <c r="H575" s="8"/>
      <c r="I575" s="8"/>
      <c r="J575" s="8"/>
      <c r="K575" s="8"/>
      <c r="L575" s="8"/>
      <c r="M575" s="8"/>
      <c r="N575" s="8"/>
      <c r="O575" s="8"/>
      <c r="P575" s="8"/>
      <c r="Q575" s="8"/>
      <c r="R575" s="8"/>
      <c r="S575" s="8"/>
      <c r="T575" s="8"/>
      <c r="U575" s="8"/>
      <c r="V575" s="8"/>
      <c r="W575" s="8"/>
      <c r="X575" s="8"/>
      <c r="Y575" s="8"/>
      <c r="Z575" s="8"/>
    </row>
    <row r="576" ht="18.0" customHeight="1">
      <c r="A576" s="8"/>
      <c r="B576" s="8"/>
      <c r="C576" s="8"/>
      <c r="D576" s="25"/>
      <c r="E576" s="25"/>
      <c r="F576" s="8"/>
      <c r="G576" s="8"/>
      <c r="H576" s="8"/>
      <c r="I576" s="8"/>
      <c r="J576" s="8"/>
      <c r="K576" s="8"/>
      <c r="L576" s="8"/>
      <c r="M576" s="8"/>
      <c r="N576" s="8"/>
      <c r="O576" s="8"/>
      <c r="P576" s="8"/>
      <c r="Q576" s="8"/>
      <c r="R576" s="8"/>
      <c r="S576" s="8"/>
      <c r="T576" s="8"/>
      <c r="U576" s="8"/>
      <c r="V576" s="8"/>
      <c r="W576" s="8"/>
      <c r="X576" s="8"/>
      <c r="Y576" s="8"/>
      <c r="Z576" s="8"/>
    </row>
    <row r="577" ht="18.0" customHeight="1">
      <c r="A577" s="8"/>
      <c r="B577" s="8"/>
      <c r="C577" s="8"/>
      <c r="D577" s="25"/>
      <c r="E577" s="25"/>
      <c r="F577" s="8"/>
      <c r="G577" s="8"/>
      <c r="H577" s="8"/>
      <c r="I577" s="8"/>
      <c r="J577" s="8"/>
      <c r="K577" s="8"/>
      <c r="L577" s="8"/>
      <c r="M577" s="8"/>
      <c r="N577" s="8"/>
      <c r="O577" s="8"/>
      <c r="P577" s="8"/>
      <c r="Q577" s="8"/>
      <c r="R577" s="8"/>
      <c r="S577" s="8"/>
      <c r="T577" s="8"/>
      <c r="U577" s="8"/>
      <c r="V577" s="8"/>
      <c r="W577" s="8"/>
      <c r="X577" s="8"/>
      <c r="Y577" s="8"/>
      <c r="Z577" s="8"/>
    </row>
    <row r="578" ht="18.0" customHeight="1">
      <c r="A578" s="8"/>
      <c r="B578" s="8"/>
      <c r="C578" s="8"/>
      <c r="D578" s="25"/>
      <c r="E578" s="25"/>
      <c r="F578" s="8"/>
      <c r="G578" s="8"/>
      <c r="H578" s="8"/>
      <c r="I578" s="8"/>
      <c r="J578" s="8"/>
      <c r="K578" s="8"/>
      <c r="L578" s="8"/>
      <c r="M578" s="8"/>
      <c r="N578" s="8"/>
      <c r="O578" s="8"/>
      <c r="P578" s="8"/>
      <c r="Q578" s="8"/>
      <c r="R578" s="8"/>
      <c r="S578" s="8"/>
      <c r="T578" s="8"/>
      <c r="U578" s="8"/>
      <c r="V578" s="8"/>
      <c r="W578" s="8"/>
      <c r="X578" s="8"/>
      <c r="Y578" s="8"/>
      <c r="Z578" s="8"/>
    </row>
    <row r="579" ht="18.0" customHeight="1">
      <c r="A579" s="8"/>
      <c r="B579" s="8"/>
      <c r="C579" s="8"/>
      <c r="D579" s="25"/>
      <c r="E579" s="25"/>
      <c r="F579" s="8"/>
      <c r="G579" s="8"/>
      <c r="H579" s="8"/>
      <c r="I579" s="8"/>
      <c r="J579" s="8"/>
      <c r="K579" s="8"/>
      <c r="L579" s="8"/>
      <c r="M579" s="8"/>
      <c r="N579" s="8"/>
      <c r="O579" s="8"/>
      <c r="P579" s="8"/>
      <c r="Q579" s="8"/>
      <c r="R579" s="8"/>
      <c r="S579" s="8"/>
      <c r="T579" s="8"/>
      <c r="U579" s="8"/>
      <c r="V579" s="8"/>
      <c r="W579" s="8"/>
      <c r="X579" s="8"/>
      <c r="Y579" s="8"/>
      <c r="Z579" s="8"/>
    </row>
    <row r="580" ht="18.0" customHeight="1">
      <c r="A580" s="8"/>
      <c r="B580" s="8"/>
      <c r="C580" s="8"/>
      <c r="D580" s="25"/>
      <c r="E580" s="25"/>
      <c r="F580" s="8"/>
      <c r="G580" s="8"/>
      <c r="H580" s="8"/>
      <c r="I580" s="8"/>
      <c r="J580" s="8"/>
      <c r="K580" s="8"/>
      <c r="L580" s="8"/>
      <c r="M580" s="8"/>
      <c r="N580" s="8"/>
      <c r="O580" s="8"/>
      <c r="P580" s="8"/>
      <c r="Q580" s="8"/>
      <c r="R580" s="8"/>
      <c r="S580" s="8"/>
      <c r="T580" s="8"/>
      <c r="U580" s="8"/>
      <c r="V580" s="8"/>
      <c r="W580" s="8"/>
      <c r="X580" s="8"/>
      <c r="Y580" s="8"/>
      <c r="Z580" s="8"/>
    </row>
    <row r="581" ht="18.0" customHeight="1">
      <c r="A581" s="8"/>
      <c r="B581" s="8"/>
      <c r="C581" s="8"/>
      <c r="D581" s="25"/>
      <c r="E581" s="25"/>
      <c r="F581" s="8"/>
      <c r="G581" s="8"/>
      <c r="H581" s="8"/>
      <c r="I581" s="8"/>
      <c r="J581" s="8"/>
      <c r="K581" s="8"/>
      <c r="L581" s="8"/>
      <c r="M581" s="8"/>
      <c r="N581" s="8"/>
      <c r="O581" s="8"/>
      <c r="P581" s="8"/>
      <c r="Q581" s="8"/>
      <c r="R581" s="8"/>
      <c r="S581" s="8"/>
      <c r="T581" s="8"/>
      <c r="U581" s="8"/>
      <c r="V581" s="8"/>
      <c r="W581" s="8"/>
      <c r="X581" s="8"/>
      <c r="Y581" s="8"/>
      <c r="Z581" s="8"/>
    </row>
    <row r="582" ht="18.0" customHeight="1">
      <c r="A582" s="8"/>
      <c r="B582" s="8"/>
      <c r="C582" s="8"/>
      <c r="D582" s="25"/>
      <c r="E582" s="25"/>
      <c r="F582" s="8"/>
      <c r="G582" s="8"/>
      <c r="H582" s="8"/>
      <c r="I582" s="8"/>
      <c r="J582" s="8"/>
      <c r="K582" s="8"/>
      <c r="L582" s="8"/>
      <c r="M582" s="8"/>
      <c r="N582" s="8"/>
      <c r="O582" s="8"/>
      <c r="P582" s="8"/>
      <c r="Q582" s="8"/>
      <c r="R582" s="8"/>
      <c r="S582" s="8"/>
      <c r="T582" s="8"/>
      <c r="U582" s="8"/>
      <c r="V582" s="8"/>
      <c r="W582" s="8"/>
      <c r="X582" s="8"/>
      <c r="Y582" s="8"/>
      <c r="Z582" s="8"/>
    </row>
    <row r="583" ht="18.0" customHeight="1">
      <c r="A583" s="8"/>
      <c r="B583" s="8"/>
      <c r="C583" s="8"/>
      <c r="D583" s="25"/>
      <c r="E583" s="25"/>
      <c r="F583" s="8"/>
      <c r="G583" s="8"/>
      <c r="H583" s="8"/>
      <c r="I583" s="8"/>
      <c r="J583" s="8"/>
      <c r="K583" s="8"/>
      <c r="L583" s="8"/>
      <c r="M583" s="8"/>
      <c r="N583" s="8"/>
      <c r="O583" s="8"/>
      <c r="P583" s="8"/>
      <c r="Q583" s="8"/>
      <c r="R583" s="8"/>
      <c r="S583" s="8"/>
      <c r="T583" s="8"/>
      <c r="U583" s="8"/>
      <c r="V583" s="8"/>
      <c r="W583" s="8"/>
      <c r="X583" s="8"/>
      <c r="Y583" s="8"/>
      <c r="Z583" s="8"/>
    </row>
    <row r="584" ht="18.0" customHeight="1">
      <c r="A584" s="8"/>
      <c r="B584" s="8"/>
      <c r="C584" s="8"/>
      <c r="D584" s="25"/>
      <c r="E584" s="25"/>
      <c r="F584" s="8"/>
      <c r="G584" s="8"/>
      <c r="H584" s="8"/>
      <c r="I584" s="8"/>
      <c r="J584" s="8"/>
      <c r="K584" s="8"/>
      <c r="L584" s="8"/>
      <c r="M584" s="8"/>
      <c r="N584" s="8"/>
      <c r="O584" s="8"/>
      <c r="P584" s="8"/>
      <c r="Q584" s="8"/>
      <c r="R584" s="8"/>
      <c r="S584" s="8"/>
      <c r="T584" s="8"/>
      <c r="U584" s="8"/>
      <c r="V584" s="8"/>
      <c r="W584" s="8"/>
      <c r="X584" s="8"/>
      <c r="Y584" s="8"/>
      <c r="Z584" s="8"/>
    </row>
    <row r="585" ht="18.0" customHeight="1">
      <c r="A585" s="8"/>
      <c r="B585" s="8"/>
      <c r="C585" s="8"/>
      <c r="D585" s="25"/>
      <c r="E585" s="25"/>
      <c r="F585" s="8"/>
      <c r="G585" s="8"/>
      <c r="H585" s="8"/>
      <c r="I585" s="8"/>
      <c r="J585" s="8"/>
      <c r="K585" s="8"/>
      <c r="L585" s="8"/>
      <c r="M585" s="8"/>
      <c r="N585" s="8"/>
      <c r="O585" s="8"/>
      <c r="P585" s="8"/>
      <c r="Q585" s="8"/>
      <c r="R585" s="8"/>
      <c r="S585" s="8"/>
      <c r="T585" s="8"/>
      <c r="U585" s="8"/>
      <c r="V585" s="8"/>
      <c r="W585" s="8"/>
      <c r="X585" s="8"/>
      <c r="Y585" s="8"/>
      <c r="Z585" s="8"/>
    </row>
    <row r="586" ht="18.0" customHeight="1">
      <c r="A586" s="8"/>
      <c r="B586" s="8"/>
      <c r="C586" s="8"/>
      <c r="D586" s="25"/>
      <c r="E586" s="25"/>
      <c r="F586" s="8"/>
      <c r="G586" s="8"/>
      <c r="H586" s="8"/>
      <c r="I586" s="8"/>
      <c r="J586" s="8"/>
      <c r="K586" s="8"/>
      <c r="L586" s="8"/>
      <c r="M586" s="8"/>
      <c r="N586" s="8"/>
      <c r="O586" s="8"/>
      <c r="P586" s="8"/>
      <c r="Q586" s="8"/>
      <c r="R586" s="8"/>
      <c r="S586" s="8"/>
      <c r="T586" s="8"/>
      <c r="U586" s="8"/>
      <c r="V586" s="8"/>
      <c r="W586" s="8"/>
      <c r="X586" s="8"/>
      <c r="Y586" s="8"/>
      <c r="Z586" s="8"/>
    </row>
    <row r="587" ht="18.0" customHeight="1">
      <c r="A587" s="8"/>
      <c r="B587" s="8"/>
      <c r="C587" s="8"/>
      <c r="D587" s="25"/>
      <c r="E587" s="25"/>
      <c r="F587" s="8"/>
      <c r="G587" s="8"/>
      <c r="H587" s="8"/>
      <c r="I587" s="8"/>
      <c r="J587" s="8"/>
      <c r="K587" s="8"/>
      <c r="L587" s="8"/>
      <c r="M587" s="8"/>
      <c r="N587" s="8"/>
      <c r="O587" s="8"/>
      <c r="P587" s="8"/>
      <c r="Q587" s="8"/>
      <c r="R587" s="8"/>
      <c r="S587" s="8"/>
      <c r="T587" s="8"/>
      <c r="U587" s="8"/>
      <c r="V587" s="8"/>
      <c r="W587" s="8"/>
      <c r="X587" s="8"/>
      <c r="Y587" s="8"/>
      <c r="Z587" s="8"/>
    </row>
    <row r="588" ht="18.0" customHeight="1">
      <c r="A588" s="8"/>
      <c r="B588" s="8"/>
      <c r="C588" s="8"/>
      <c r="D588" s="25"/>
      <c r="E588" s="25"/>
      <c r="F588" s="8"/>
      <c r="G588" s="8"/>
      <c r="H588" s="8"/>
      <c r="I588" s="8"/>
      <c r="J588" s="8"/>
      <c r="K588" s="8"/>
      <c r="L588" s="8"/>
      <c r="M588" s="8"/>
      <c r="N588" s="8"/>
      <c r="O588" s="8"/>
      <c r="P588" s="8"/>
      <c r="Q588" s="8"/>
      <c r="R588" s="8"/>
      <c r="S588" s="8"/>
      <c r="T588" s="8"/>
      <c r="U588" s="8"/>
      <c r="V588" s="8"/>
      <c r="W588" s="8"/>
      <c r="X588" s="8"/>
      <c r="Y588" s="8"/>
      <c r="Z588" s="8"/>
    </row>
    <row r="589" ht="18.0" customHeight="1">
      <c r="A589" s="8"/>
      <c r="B589" s="8"/>
      <c r="C589" s="8"/>
      <c r="D589" s="25"/>
      <c r="E589" s="25"/>
      <c r="F589" s="8"/>
      <c r="G589" s="8"/>
      <c r="H589" s="8"/>
      <c r="I589" s="8"/>
      <c r="J589" s="8"/>
      <c r="K589" s="8"/>
      <c r="L589" s="8"/>
      <c r="M589" s="8"/>
      <c r="N589" s="8"/>
      <c r="O589" s="8"/>
      <c r="P589" s="8"/>
      <c r="Q589" s="8"/>
      <c r="R589" s="8"/>
      <c r="S589" s="8"/>
      <c r="T589" s="8"/>
      <c r="U589" s="8"/>
      <c r="V589" s="8"/>
      <c r="W589" s="8"/>
      <c r="X589" s="8"/>
      <c r="Y589" s="8"/>
      <c r="Z589" s="8"/>
    </row>
    <row r="590" ht="18.0" customHeight="1">
      <c r="A590" s="8"/>
      <c r="B590" s="8"/>
      <c r="C590" s="8"/>
      <c r="D590" s="25"/>
      <c r="E590" s="25"/>
      <c r="F590" s="8"/>
      <c r="G590" s="8"/>
      <c r="H590" s="8"/>
      <c r="I590" s="8"/>
      <c r="J590" s="8"/>
      <c r="K590" s="8"/>
      <c r="L590" s="8"/>
      <c r="M590" s="8"/>
      <c r="N590" s="8"/>
      <c r="O590" s="8"/>
      <c r="P590" s="8"/>
      <c r="Q590" s="8"/>
      <c r="R590" s="8"/>
      <c r="S590" s="8"/>
      <c r="T590" s="8"/>
      <c r="U590" s="8"/>
      <c r="V590" s="8"/>
      <c r="W590" s="8"/>
      <c r="X590" s="8"/>
      <c r="Y590" s="8"/>
      <c r="Z590" s="8"/>
    </row>
    <row r="591" ht="18.0" customHeight="1">
      <c r="A591" s="8"/>
      <c r="B591" s="8"/>
      <c r="C591" s="8"/>
      <c r="D591" s="25"/>
      <c r="E591" s="25"/>
      <c r="F591" s="8"/>
      <c r="G591" s="8"/>
      <c r="H591" s="8"/>
      <c r="I591" s="8"/>
      <c r="J591" s="8"/>
      <c r="K591" s="8"/>
      <c r="L591" s="8"/>
      <c r="M591" s="8"/>
      <c r="N591" s="8"/>
      <c r="O591" s="8"/>
      <c r="P591" s="8"/>
      <c r="Q591" s="8"/>
      <c r="R591" s="8"/>
      <c r="S591" s="8"/>
      <c r="T591" s="8"/>
      <c r="U591" s="8"/>
      <c r="V591" s="8"/>
      <c r="W591" s="8"/>
      <c r="X591" s="8"/>
      <c r="Y591" s="8"/>
      <c r="Z591" s="8"/>
    </row>
    <row r="592" ht="18.0" customHeight="1">
      <c r="A592" s="8"/>
      <c r="B592" s="8"/>
      <c r="C592" s="8"/>
      <c r="D592" s="25"/>
      <c r="E592" s="25"/>
      <c r="F592" s="8"/>
      <c r="G592" s="8"/>
      <c r="H592" s="8"/>
      <c r="I592" s="8"/>
      <c r="J592" s="8"/>
      <c r="K592" s="8"/>
      <c r="L592" s="8"/>
      <c r="M592" s="8"/>
      <c r="N592" s="8"/>
      <c r="O592" s="8"/>
      <c r="P592" s="8"/>
      <c r="Q592" s="8"/>
      <c r="R592" s="8"/>
      <c r="S592" s="8"/>
      <c r="T592" s="8"/>
      <c r="U592" s="8"/>
      <c r="V592" s="8"/>
      <c r="W592" s="8"/>
      <c r="X592" s="8"/>
      <c r="Y592" s="8"/>
      <c r="Z592" s="8"/>
    </row>
    <row r="593" ht="18.0" customHeight="1">
      <c r="A593" s="8"/>
      <c r="B593" s="8"/>
      <c r="C593" s="8"/>
      <c r="D593" s="25"/>
      <c r="E593" s="25"/>
      <c r="F593" s="8"/>
      <c r="G593" s="8"/>
      <c r="H593" s="8"/>
      <c r="I593" s="8"/>
      <c r="J593" s="8"/>
      <c r="K593" s="8"/>
      <c r="L593" s="8"/>
      <c r="M593" s="8"/>
      <c r="N593" s="8"/>
      <c r="O593" s="8"/>
      <c r="P593" s="8"/>
      <c r="Q593" s="8"/>
      <c r="R593" s="8"/>
      <c r="S593" s="8"/>
      <c r="T593" s="8"/>
      <c r="U593" s="8"/>
      <c r="V593" s="8"/>
      <c r="W593" s="8"/>
      <c r="X593" s="8"/>
      <c r="Y593" s="8"/>
      <c r="Z593" s="8"/>
    </row>
    <row r="594" ht="18.0" customHeight="1">
      <c r="A594" s="8"/>
      <c r="B594" s="8"/>
      <c r="C594" s="8"/>
      <c r="D594" s="25"/>
      <c r="E594" s="25"/>
      <c r="F594" s="8"/>
      <c r="G594" s="8"/>
      <c r="H594" s="8"/>
      <c r="I594" s="8"/>
      <c r="J594" s="8"/>
      <c r="K594" s="8"/>
      <c r="L594" s="8"/>
      <c r="M594" s="8"/>
      <c r="N594" s="8"/>
      <c r="O594" s="8"/>
      <c r="P594" s="8"/>
      <c r="Q594" s="8"/>
      <c r="R594" s="8"/>
      <c r="S594" s="8"/>
      <c r="T594" s="8"/>
      <c r="U594" s="8"/>
      <c r="V594" s="8"/>
      <c r="W594" s="8"/>
      <c r="X594" s="8"/>
      <c r="Y594" s="8"/>
      <c r="Z594" s="8"/>
    </row>
    <row r="595" ht="18.0" customHeight="1">
      <c r="A595" s="8"/>
      <c r="B595" s="8"/>
      <c r="C595" s="8"/>
      <c r="D595" s="25"/>
      <c r="E595" s="25"/>
      <c r="F595" s="8"/>
      <c r="G595" s="8"/>
      <c r="H595" s="8"/>
      <c r="I595" s="8"/>
      <c r="J595" s="8"/>
      <c r="K595" s="8"/>
      <c r="L595" s="8"/>
      <c r="M595" s="8"/>
      <c r="N595" s="8"/>
      <c r="O595" s="8"/>
      <c r="P595" s="8"/>
      <c r="Q595" s="8"/>
      <c r="R595" s="8"/>
      <c r="S595" s="8"/>
      <c r="T595" s="8"/>
      <c r="U595" s="8"/>
      <c r="V595" s="8"/>
      <c r="W595" s="8"/>
      <c r="X595" s="8"/>
      <c r="Y595" s="8"/>
      <c r="Z595" s="8"/>
    </row>
    <row r="596" ht="18.0" customHeight="1">
      <c r="A596" s="8"/>
      <c r="B596" s="8"/>
      <c r="C596" s="8"/>
      <c r="D596" s="25"/>
      <c r="E596" s="25"/>
      <c r="F596" s="8"/>
      <c r="G596" s="8"/>
      <c r="H596" s="8"/>
      <c r="I596" s="8"/>
      <c r="J596" s="8"/>
      <c r="K596" s="8"/>
      <c r="L596" s="8"/>
      <c r="M596" s="8"/>
      <c r="N596" s="8"/>
      <c r="O596" s="8"/>
      <c r="P596" s="8"/>
      <c r="Q596" s="8"/>
      <c r="R596" s="8"/>
      <c r="S596" s="8"/>
      <c r="T596" s="8"/>
      <c r="U596" s="8"/>
      <c r="V596" s="8"/>
      <c r="W596" s="8"/>
      <c r="X596" s="8"/>
      <c r="Y596" s="8"/>
      <c r="Z596" s="8"/>
    </row>
    <row r="597" ht="18.0" customHeight="1">
      <c r="A597" s="8"/>
      <c r="B597" s="8"/>
      <c r="C597" s="8"/>
      <c r="D597" s="25"/>
      <c r="E597" s="25"/>
      <c r="F597" s="8"/>
      <c r="G597" s="8"/>
      <c r="H597" s="8"/>
      <c r="I597" s="8"/>
      <c r="J597" s="8"/>
      <c r="K597" s="8"/>
      <c r="L597" s="8"/>
      <c r="M597" s="8"/>
      <c r="N597" s="8"/>
      <c r="O597" s="8"/>
      <c r="P597" s="8"/>
      <c r="Q597" s="8"/>
      <c r="R597" s="8"/>
      <c r="S597" s="8"/>
      <c r="T597" s="8"/>
      <c r="U597" s="8"/>
      <c r="V597" s="8"/>
      <c r="W597" s="8"/>
      <c r="X597" s="8"/>
      <c r="Y597" s="8"/>
      <c r="Z597" s="8"/>
    </row>
    <row r="598" ht="18.0" customHeight="1">
      <c r="A598" s="8"/>
      <c r="B598" s="8"/>
      <c r="C598" s="8"/>
      <c r="D598" s="25"/>
      <c r="E598" s="25"/>
      <c r="F598" s="8"/>
      <c r="G598" s="8"/>
      <c r="H598" s="8"/>
      <c r="I598" s="8"/>
      <c r="J598" s="8"/>
      <c r="K598" s="8"/>
      <c r="L598" s="8"/>
      <c r="M598" s="8"/>
      <c r="N598" s="8"/>
      <c r="O598" s="8"/>
      <c r="P598" s="8"/>
      <c r="Q598" s="8"/>
      <c r="R598" s="8"/>
      <c r="S598" s="8"/>
      <c r="T598" s="8"/>
      <c r="U598" s="8"/>
      <c r="V598" s="8"/>
      <c r="W598" s="8"/>
      <c r="X598" s="8"/>
      <c r="Y598" s="8"/>
      <c r="Z598" s="8"/>
    </row>
    <row r="599" ht="18.0" customHeight="1">
      <c r="A599" s="8"/>
      <c r="B599" s="8"/>
      <c r="C599" s="8"/>
      <c r="D599" s="25"/>
      <c r="E599" s="25"/>
      <c r="F599" s="8"/>
      <c r="G599" s="8"/>
      <c r="H599" s="8"/>
      <c r="I599" s="8"/>
      <c r="J599" s="8"/>
      <c r="K599" s="8"/>
      <c r="L599" s="8"/>
      <c r="M599" s="8"/>
      <c r="N599" s="8"/>
      <c r="O599" s="8"/>
      <c r="P599" s="8"/>
      <c r="Q599" s="8"/>
      <c r="R599" s="8"/>
      <c r="S599" s="8"/>
      <c r="T599" s="8"/>
      <c r="U599" s="8"/>
      <c r="V599" s="8"/>
      <c r="W599" s="8"/>
      <c r="X599" s="8"/>
      <c r="Y599" s="8"/>
      <c r="Z599" s="8"/>
    </row>
    <row r="600" ht="18.0" customHeight="1">
      <c r="A600" s="8"/>
      <c r="B600" s="8"/>
      <c r="C600" s="8"/>
      <c r="D600" s="25"/>
      <c r="E600" s="25"/>
      <c r="F600" s="8"/>
      <c r="G600" s="8"/>
      <c r="H600" s="8"/>
      <c r="I600" s="8"/>
      <c r="J600" s="8"/>
      <c r="K600" s="8"/>
      <c r="L600" s="8"/>
      <c r="M600" s="8"/>
      <c r="N600" s="8"/>
      <c r="O600" s="8"/>
      <c r="P600" s="8"/>
      <c r="Q600" s="8"/>
      <c r="R600" s="8"/>
      <c r="S600" s="8"/>
      <c r="T600" s="8"/>
      <c r="U600" s="8"/>
      <c r="V600" s="8"/>
      <c r="W600" s="8"/>
      <c r="X600" s="8"/>
      <c r="Y600" s="8"/>
      <c r="Z600" s="8"/>
    </row>
    <row r="601" ht="18.0" customHeight="1">
      <c r="A601" s="8"/>
      <c r="B601" s="8"/>
      <c r="C601" s="8"/>
      <c r="D601" s="25"/>
      <c r="E601" s="25"/>
      <c r="F601" s="8"/>
      <c r="G601" s="8"/>
      <c r="H601" s="8"/>
      <c r="I601" s="8"/>
      <c r="J601" s="8"/>
      <c r="K601" s="8"/>
      <c r="L601" s="8"/>
      <c r="M601" s="8"/>
      <c r="N601" s="8"/>
      <c r="O601" s="8"/>
      <c r="P601" s="8"/>
      <c r="Q601" s="8"/>
      <c r="R601" s="8"/>
      <c r="S601" s="8"/>
      <c r="T601" s="8"/>
      <c r="U601" s="8"/>
      <c r="V601" s="8"/>
      <c r="W601" s="8"/>
      <c r="X601" s="8"/>
      <c r="Y601" s="8"/>
      <c r="Z601" s="8"/>
    </row>
    <row r="602" ht="12.75" customHeight="1">
      <c r="E602" s="71"/>
    </row>
    <row r="603" ht="12.75" customHeight="1">
      <c r="E603" s="71"/>
    </row>
    <row r="604" ht="12.75" customHeight="1">
      <c r="E604" s="71"/>
    </row>
    <row r="605" ht="12.75" customHeight="1">
      <c r="E605" s="71"/>
    </row>
    <row r="606" ht="12.75" customHeight="1">
      <c r="E606" s="71"/>
    </row>
    <row r="607" ht="12.75" customHeight="1">
      <c r="E607" s="71"/>
    </row>
    <row r="608" ht="12.75" customHeight="1">
      <c r="E608" s="71"/>
    </row>
    <row r="609" ht="12.75" customHeight="1">
      <c r="E609" s="71"/>
    </row>
    <row r="610" ht="12.75" customHeight="1">
      <c r="E610" s="71"/>
    </row>
    <row r="611" ht="12.75" customHeight="1">
      <c r="E611" s="71"/>
    </row>
    <row r="612" ht="12.75" customHeight="1">
      <c r="E612" s="71"/>
    </row>
    <row r="613" ht="12.75" customHeight="1">
      <c r="E613" s="71"/>
    </row>
    <row r="614" ht="12.75" customHeight="1">
      <c r="E614" s="71"/>
    </row>
    <row r="615" ht="12.75" customHeight="1">
      <c r="E615" s="71"/>
    </row>
    <row r="616" ht="12.75" customHeight="1">
      <c r="E616" s="71"/>
    </row>
    <row r="617" ht="12.75" customHeight="1">
      <c r="E617" s="71"/>
    </row>
    <row r="618" ht="12.75" customHeight="1">
      <c r="E618" s="71"/>
    </row>
    <row r="619" ht="12.75" customHeight="1">
      <c r="E619" s="71"/>
    </row>
    <row r="620" ht="12.75" customHeight="1">
      <c r="E620" s="71"/>
    </row>
    <row r="621" ht="12.75" customHeight="1">
      <c r="E621" s="71"/>
    </row>
    <row r="622" ht="12.75" customHeight="1">
      <c r="E622" s="71"/>
    </row>
    <row r="623" ht="12.75" customHeight="1">
      <c r="E623" s="71"/>
    </row>
    <row r="624" ht="12.75" customHeight="1">
      <c r="E624" s="71"/>
    </row>
    <row r="625" ht="12.75" customHeight="1">
      <c r="E625" s="71"/>
    </row>
    <row r="626" ht="12.75" customHeight="1">
      <c r="E626" s="71"/>
    </row>
    <row r="627" ht="12.75" customHeight="1">
      <c r="E627" s="71"/>
    </row>
    <row r="628" ht="12.75" customHeight="1">
      <c r="E628" s="71"/>
    </row>
    <row r="629" ht="12.75" customHeight="1">
      <c r="E629" s="71"/>
    </row>
    <row r="630" ht="12.75" customHeight="1">
      <c r="E630" s="71"/>
    </row>
    <row r="631" ht="12.75" customHeight="1">
      <c r="E631" s="71"/>
    </row>
    <row r="632" ht="12.75" customHeight="1">
      <c r="E632" s="71"/>
    </row>
    <row r="633" ht="12.75" customHeight="1">
      <c r="E633" s="71"/>
    </row>
    <row r="634" ht="12.75" customHeight="1">
      <c r="E634" s="71"/>
    </row>
    <row r="635" ht="12.75" customHeight="1">
      <c r="E635" s="71"/>
    </row>
    <row r="636" ht="12.75" customHeight="1">
      <c r="E636" s="71"/>
    </row>
    <row r="637" ht="12.75" customHeight="1">
      <c r="E637" s="71"/>
    </row>
    <row r="638" ht="12.75" customHeight="1">
      <c r="E638" s="71"/>
    </row>
    <row r="639" ht="12.75" customHeight="1">
      <c r="E639" s="71"/>
    </row>
    <row r="640" ht="12.75" customHeight="1">
      <c r="E640" s="71"/>
    </row>
    <row r="641" ht="12.75" customHeight="1">
      <c r="E641" s="71"/>
    </row>
    <row r="642" ht="12.75" customHeight="1">
      <c r="E642" s="71"/>
    </row>
    <row r="643" ht="12.75" customHeight="1">
      <c r="E643" s="71"/>
    </row>
    <row r="644" ht="12.75" customHeight="1">
      <c r="E644" s="71"/>
    </row>
    <row r="645" ht="12.75" customHeight="1">
      <c r="E645" s="71"/>
    </row>
    <row r="646" ht="12.75" customHeight="1">
      <c r="E646" s="71"/>
    </row>
    <row r="647" ht="12.75" customHeight="1">
      <c r="E647" s="71"/>
    </row>
    <row r="648" ht="12.75" customHeight="1">
      <c r="E648" s="71"/>
    </row>
    <row r="649" ht="12.75" customHeight="1">
      <c r="E649" s="71"/>
    </row>
    <row r="650" ht="12.75" customHeight="1">
      <c r="E650" s="71"/>
    </row>
    <row r="651" ht="12.75" customHeight="1">
      <c r="E651" s="71"/>
    </row>
    <row r="652" ht="12.75" customHeight="1">
      <c r="E652" s="71"/>
    </row>
    <row r="653" ht="12.75" customHeight="1">
      <c r="E653" s="71"/>
    </row>
    <row r="654" ht="12.75" customHeight="1">
      <c r="E654" s="71"/>
    </row>
    <row r="655" ht="12.75" customHeight="1">
      <c r="E655" s="71"/>
    </row>
    <row r="656" ht="12.75" customHeight="1">
      <c r="E656" s="71"/>
    </row>
    <row r="657" ht="12.75" customHeight="1">
      <c r="E657" s="71"/>
    </row>
    <row r="658" ht="12.75" customHeight="1">
      <c r="E658" s="71"/>
    </row>
    <row r="659" ht="12.75" customHeight="1">
      <c r="E659" s="71"/>
    </row>
    <row r="660" ht="12.75" customHeight="1">
      <c r="E660" s="71"/>
    </row>
    <row r="661" ht="12.75" customHeight="1">
      <c r="E661" s="71"/>
    </row>
    <row r="662" ht="12.75" customHeight="1">
      <c r="E662" s="71"/>
    </row>
    <row r="663" ht="12.75" customHeight="1">
      <c r="E663" s="71"/>
    </row>
    <row r="664" ht="12.75" customHeight="1">
      <c r="E664" s="71"/>
    </row>
    <row r="665" ht="12.75" customHeight="1">
      <c r="E665" s="71"/>
    </row>
    <row r="666" ht="12.75" customHeight="1">
      <c r="E666" s="71"/>
    </row>
    <row r="667" ht="12.75" customHeight="1">
      <c r="E667" s="71"/>
    </row>
    <row r="668" ht="12.75" customHeight="1">
      <c r="E668" s="71"/>
    </row>
    <row r="669" ht="12.75" customHeight="1">
      <c r="E669" s="71"/>
    </row>
    <row r="670" ht="12.75" customHeight="1">
      <c r="E670" s="71"/>
    </row>
    <row r="671" ht="12.75" customHeight="1">
      <c r="E671" s="71"/>
    </row>
    <row r="672" ht="12.75" customHeight="1">
      <c r="E672" s="71"/>
    </row>
    <row r="673" ht="12.75" customHeight="1">
      <c r="E673" s="71"/>
    </row>
    <row r="674" ht="12.75" customHeight="1">
      <c r="E674" s="71"/>
    </row>
    <row r="675" ht="12.75" customHeight="1">
      <c r="E675" s="71"/>
    </row>
    <row r="676" ht="12.75" customHeight="1">
      <c r="E676" s="71"/>
    </row>
    <row r="677" ht="12.75" customHeight="1">
      <c r="E677" s="71"/>
    </row>
    <row r="678" ht="12.75" customHeight="1">
      <c r="E678" s="71"/>
    </row>
    <row r="679" ht="12.75" customHeight="1">
      <c r="E679" s="71"/>
    </row>
    <row r="680" ht="12.75" customHeight="1">
      <c r="E680" s="71"/>
    </row>
    <row r="681" ht="12.75" customHeight="1">
      <c r="E681" s="71"/>
    </row>
    <row r="682" ht="12.75" customHeight="1">
      <c r="E682" s="71"/>
    </row>
    <row r="683" ht="12.75" customHeight="1">
      <c r="E683" s="71"/>
    </row>
    <row r="684" ht="12.75" customHeight="1">
      <c r="E684" s="71"/>
    </row>
    <row r="685" ht="12.75" customHeight="1">
      <c r="E685" s="71"/>
    </row>
    <row r="686" ht="12.75" customHeight="1">
      <c r="E686" s="71"/>
    </row>
    <row r="687" ht="12.75" customHeight="1">
      <c r="E687" s="71"/>
    </row>
    <row r="688" ht="12.75" customHeight="1">
      <c r="E688" s="71"/>
    </row>
    <row r="689" ht="12.75" customHeight="1">
      <c r="E689" s="71"/>
    </row>
    <row r="690" ht="12.75" customHeight="1">
      <c r="E690" s="71"/>
    </row>
    <row r="691" ht="12.75" customHeight="1">
      <c r="E691" s="71"/>
    </row>
    <row r="692" ht="12.75" customHeight="1">
      <c r="E692" s="71"/>
    </row>
    <row r="693" ht="12.75" customHeight="1">
      <c r="E693" s="71"/>
    </row>
    <row r="694" ht="12.75" customHeight="1">
      <c r="E694" s="71"/>
    </row>
    <row r="695" ht="12.75" customHeight="1">
      <c r="E695" s="71"/>
    </row>
    <row r="696" ht="12.75" customHeight="1">
      <c r="E696" s="71"/>
    </row>
    <row r="697" ht="12.75" customHeight="1">
      <c r="E697" s="71"/>
    </row>
    <row r="698" ht="12.75" customHeight="1">
      <c r="E698" s="71"/>
    </row>
    <row r="699" ht="12.75" customHeight="1">
      <c r="E699" s="71"/>
    </row>
    <row r="700" ht="12.75" customHeight="1">
      <c r="E700" s="71"/>
    </row>
    <row r="701" ht="12.75" customHeight="1">
      <c r="E701" s="71"/>
    </row>
    <row r="702" ht="12.75" customHeight="1">
      <c r="E702" s="71"/>
    </row>
    <row r="703" ht="12.75" customHeight="1">
      <c r="E703" s="71"/>
    </row>
    <row r="704" ht="12.75" customHeight="1">
      <c r="E704" s="71"/>
    </row>
    <row r="705" ht="12.75" customHeight="1">
      <c r="E705" s="71"/>
    </row>
    <row r="706" ht="12.75" customHeight="1">
      <c r="E706" s="71"/>
    </row>
    <row r="707" ht="12.75" customHeight="1">
      <c r="E707" s="71"/>
    </row>
    <row r="708" ht="12.75" customHeight="1">
      <c r="E708" s="71"/>
    </row>
    <row r="709" ht="12.75" customHeight="1">
      <c r="E709" s="71"/>
    </row>
    <row r="710" ht="12.75" customHeight="1">
      <c r="E710" s="71"/>
    </row>
    <row r="711" ht="12.75" customHeight="1">
      <c r="E711" s="71"/>
    </row>
    <row r="712" ht="12.75" customHeight="1">
      <c r="E712" s="71"/>
    </row>
    <row r="713" ht="12.75" customHeight="1">
      <c r="E713" s="71"/>
    </row>
    <row r="714" ht="12.75" customHeight="1">
      <c r="E714" s="71"/>
    </row>
    <row r="715" ht="12.75" customHeight="1">
      <c r="E715" s="71"/>
    </row>
    <row r="716" ht="12.75" customHeight="1">
      <c r="E716" s="71"/>
    </row>
    <row r="717" ht="12.75" customHeight="1">
      <c r="E717" s="71"/>
    </row>
    <row r="718" ht="12.75" customHeight="1">
      <c r="E718" s="71"/>
    </row>
    <row r="719" ht="12.75" customHeight="1">
      <c r="E719" s="71"/>
    </row>
    <row r="720" ht="12.75" customHeight="1">
      <c r="E720" s="71"/>
    </row>
    <row r="721" ht="12.75" customHeight="1">
      <c r="E721" s="71"/>
    </row>
    <row r="722" ht="12.75" customHeight="1">
      <c r="E722" s="71"/>
    </row>
    <row r="723" ht="12.75" customHeight="1">
      <c r="E723" s="71"/>
    </row>
    <row r="724" ht="12.75" customHeight="1">
      <c r="E724" s="71"/>
    </row>
    <row r="725" ht="12.75" customHeight="1">
      <c r="E725" s="71"/>
    </row>
    <row r="726" ht="12.75" customHeight="1">
      <c r="E726" s="71"/>
    </row>
    <row r="727" ht="12.75" customHeight="1">
      <c r="E727" s="71"/>
    </row>
    <row r="728" ht="12.75" customHeight="1">
      <c r="E728" s="71"/>
    </row>
    <row r="729" ht="12.75" customHeight="1">
      <c r="E729" s="71"/>
    </row>
    <row r="730" ht="12.75" customHeight="1">
      <c r="E730" s="71"/>
    </row>
    <row r="731" ht="12.75" customHeight="1">
      <c r="E731" s="71"/>
    </row>
    <row r="732" ht="12.75" customHeight="1">
      <c r="E732" s="71"/>
    </row>
    <row r="733" ht="12.75" customHeight="1">
      <c r="E733" s="71"/>
    </row>
    <row r="734" ht="12.75" customHeight="1">
      <c r="E734" s="71"/>
    </row>
    <row r="735" ht="12.75" customHeight="1">
      <c r="E735" s="71"/>
    </row>
    <row r="736" ht="12.75" customHeight="1">
      <c r="E736" s="71"/>
    </row>
    <row r="737" ht="12.75" customHeight="1">
      <c r="E737" s="71"/>
    </row>
    <row r="738" ht="12.75" customHeight="1">
      <c r="E738" s="71"/>
    </row>
    <row r="739" ht="12.75" customHeight="1">
      <c r="E739" s="71"/>
    </row>
    <row r="740" ht="12.75" customHeight="1">
      <c r="E740" s="71"/>
    </row>
    <row r="741" ht="12.75" customHeight="1">
      <c r="E741" s="71"/>
    </row>
    <row r="742" ht="12.75" customHeight="1">
      <c r="E742" s="71"/>
    </row>
    <row r="743" ht="12.75" customHeight="1">
      <c r="E743" s="71"/>
    </row>
    <row r="744" ht="12.75" customHeight="1">
      <c r="E744" s="71"/>
    </row>
    <row r="745" ht="12.75" customHeight="1">
      <c r="E745" s="71"/>
    </row>
    <row r="746" ht="12.75" customHeight="1">
      <c r="E746" s="71"/>
    </row>
    <row r="747" ht="12.75" customHeight="1">
      <c r="E747" s="71"/>
    </row>
    <row r="748" ht="12.75" customHeight="1">
      <c r="E748" s="71"/>
    </row>
    <row r="749" ht="12.75" customHeight="1">
      <c r="E749" s="71"/>
    </row>
    <row r="750" ht="12.75" customHeight="1">
      <c r="E750" s="71"/>
    </row>
    <row r="751" ht="12.75" customHeight="1">
      <c r="E751" s="71"/>
    </row>
    <row r="752" ht="12.75" customHeight="1">
      <c r="E752" s="71"/>
    </row>
    <row r="753" ht="12.75" customHeight="1">
      <c r="E753" s="71"/>
    </row>
    <row r="754" ht="12.75" customHeight="1">
      <c r="E754" s="71"/>
    </row>
    <row r="755" ht="12.75" customHeight="1">
      <c r="E755" s="71"/>
    </row>
    <row r="756" ht="12.75" customHeight="1">
      <c r="E756" s="71"/>
    </row>
    <row r="757" ht="12.75" customHeight="1">
      <c r="E757" s="71"/>
    </row>
    <row r="758" ht="12.75" customHeight="1">
      <c r="E758" s="71"/>
    </row>
    <row r="759" ht="12.75" customHeight="1">
      <c r="E759" s="71"/>
    </row>
    <row r="760" ht="12.75" customHeight="1">
      <c r="E760" s="71"/>
    </row>
    <row r="761" ht="12.75" customHeight="1">
      <c r="E761" s="71"/>
    </row>
    <row r="762" ht="12.75" customHeight="1">
      <c r="E762" s="71"/>
    </row>
    <row r="763" ht="12.75" customHeight="1">
      <c r="E763" s="71"/>
    </row>
    <row r="764" ht="12.75" customHeight="1">
      <c r="E764" s="71"/>
    </row>
    <row r="765" ht="12.75" customHeight="1">
      <c r="E765" s="71"/>
    </row>
    <row r="766" ht="12.75" customHeight="1">
      <c r="E766" s="71"/>
    </row>
    <row r="767" ht="12.75" customHeight="1">
      <c r="E767" s="71"/>
    </row>
    <row r="768" ht="12.75" customHeight="1">
      <c r="E768" s="71"/>
    </row>
    <row r="769" ht="12.75" customHeight="1">
      <c r="E769" s="71"/>
    </row>
    <row r="770" ht="12.75" customHeight="1">
      <c r="E770" s="71"/>
    </row>
    <row r="771" ht="12.75" customHeight="1">
      <c r="E771" s="71"/>
    </row>
    <row r="772" ht="12.75" customHeight="1">
      <c r="E772" s="71"/>
    </row>
    <row r="773" ht="12.75" customHeight="1">
      <c r="E773" s="71"/>
    </row>
    <row r="774" ht="12.75" customHeight="1">
      <c r="E774" s="71"/>
    </row>
    <row r="775" ht="12.75" customHeight="1">
      <c r="E775" s="71"/>
    </row>
    <row r="776" ht="12.75" customHeight="1">
      <c r="E776" s="71"/>
    </row>
    <row r="777" ht="12.75" customHeight="1">
      <c r="E777" s="71"/>
    </row>
    <row r="778" ht="12.75" customHeight="1">
      <c r="E778" s="71"/>
    </row>
    <row r="779" ht="12.75" customHeight="1">
      <c r="E779" s="71"/>
    </row>
    <row r="780" ht="12.75" customHeight="1">
      <c r="E780" s="71"/>
    </row>
    <row r="781" ht="12.75" customHeight="1">
      <c r="E781" s="71"/>
    </row>
    <row r="782" ht="12.75" customHeight="1">
      <c r="E782" s="71"/>
    </row>
    <row r="783" ht="12.75" customHeight="1">
      <c r="E783" s="71"/>
    </row>
    <row r="784" ht="12.75" customHeight="1">
      <c r="E784" s="71"/>
    </row>
    <row r="785" ht="12.75" customHeight="1">
      <c r="E785" s="71"/>
    </row>
    <row r="786" ht="12.75" customHeight="1">
      <c r="E786" s="71"/>
    </row>
    <row r="787" ht="12.75" customHeight="1">
      <c r="E787" s="71"/>
    </row>
    <row r="788" ht="12.75" customHeight="1">
      <c r="E788" s="71"/>
    </row>
    <row r="789" ht="12.75" customHeight="1">
      <c r="E789" s="71"/>
    </row>
    <row r="790" ht="12.75" customHeight="1">
      <c r="E790" s="71"/>
    </row>
    <row r="791" ht="12.75" customHeight="1">
      <c r="E791" s="71"/>
    </row>
    <row r="792" ht="12.75" customHeight="1">
      <c r="E792" s="71"/>
    </row>
    <row r="793" ht="12.75" customHeight="1">
      <c r="E793" s="71"/>
    </row>
    <row r="794" ht="12.75" customHeight="1">
      <c r="E794" s="71"/>
    </row>
    <row r="795" ht="12.75" customHeight="1">
      <c r="E795" s="71"/>
    </row>
    <row r="796" ht="12.75" customHeight="1">
      <c r="E796" s="71"/>
    </row>
    <row r="797" ht="12.75" customHeight="1">
      <c r="E797" s="71"/>
    </row>
    <row r="798" ht="12.75" customHeight="1">
      <c r="E798" s="71"/>
    </row>
    <row r="799" ht="12.75" customHeight="1">
      <c r="E799" s="71"/>
    </row>
    <row r="800" ht="12.75" customHeight="1">
      <c r="E800" s="71"/>
    </row>
    <row r="801" ht="12.75" customHeight="1">
      <c r="E801" s="71"/>
    </row>
    <row r="802" ht="12.75" customHeight="1">
      <c r="E802" s="71"/>
    </row>
    <row r="803" ht="12.75" customHeight="1">
      <c r="E803" s="71"/>
    </row>
    <row r="804" ht="12.75" customHeight="1">
      <c r="E804" s="71"/>
    </row>
    <row r="805" ht="12.75" customHeight="1">
      <c r="E805" s="71"/>
    </row>
    <row r="806" ht="12.75" customHeight="1">
      <c r="E806" s="71"/>
    </row>
    <row r="807" ht="12.75" customHeight="1">
      <c r="E807" s="71"/>
    </row>
    <row r="808" ht="12.75" customHeight="1">
      <c r="E808" s="71"/>
    </row>
    <row r="809" ht="12.75" customHeight="1">
      <c r="E809" s="71"/>
    </row>
    <row r="810" ht="12.75" customHeight="1">
      <c r="E810" s="71"/>
    </row>
    <row r="811" ht="12.75" customHeight="1">
      <c r="E811" s="71"/>
    </row>
    <row r="812" ht="12.75" customHeight="1">
      <c r="E812" s="71"/>
    </row>
    <row r="813" ht="12.75" customHeight="1">
      <c r="E813" s="71"/>
    </row>
    <row r="814" ht="12.75" customHeight="1">
      <c r="E814" s="71"/>
    </row>
    <row r="815" ht="12.75" customHeight="1">
      <c r="E815" s="71"/>
    </row>
    <row r="816" ht="12.75" customHeight="1">
      <c r="E816" s="71"/>
    </row>
    <row r="817" ht="12.75" customHeight="1">
      <c r="E817" s="71"/>
    </row>
    <row r="818" ht="12.75" customHeight="1">
      <c r="E818" s="71"/>
    </row>
    <row r="819" ht="12.75" customHeight="1">
      <c r="E819" s="71"/>
    </row>
    <row r="820" ht="12.75" customHeight="1">
      <c r="E820" s="71"/>
    </row>
    <row r="821" ht="12.75" customHeight="1">
      <c r="E821" s="71"/>
    </row>
    <row r="822" ht="12.75" customHeight="1">
      <c r="E822" s="71"/>
    </row>
    <row r="823" ht="12.75" customHeight="1">
      <c r="E823" s="71"/>
    </row>
    <row r="824" ht="12.75" customHeight="1">
      <c r="E824" s="71"/>
    </row>
    <row r="825" ht="12.75" customHeight="1">
      <c r="E825" s="71"/>
    </row>
    <row r="826" ht="12.75" customHeight="1">
      <c r="E826" s="71"/>
    </row>
    <row r="827" ht="12.75" customHeight="1">
      <c r="E827" s="71"/>
    </row>
    <row r="828" ht="12.75" customHeight="1">
      <c r="E828" s="71"/>
    </row>
    <row r="829" ht="12.75" customHeight="1">
      <c r="E829" s="71"/>
    </row>
    <row r="830" ht="12.75" customHeight="1">
      <c r="E830" s="71"/>
    </row>
    <row r="831" ht="12.75" customHeight="1">
      <c r="E831" s="71"/>
    </row>
    <row r="832" ht="12.75" customHeight="1">
      <c r="E832" s="71"/>
    </row>
    <row r="833" ht="12.75" customHeight="1">
      <c r="E833" s="71"/>
    </row>
    <row r="834" ht="12.75" customHeight="1">
      <c r="E834" s="71"/>
    </row>
    <row r="835" ht="12.75" customHeight="1">
      <c r="E835" s="71"/>
    </row>
    <row r="836" ht="12.75" customHeight="1">
      <c r="E836" s="71"/>
    </row>
    <row r="837" ht="12.75" customHeight="1">
      <c r="E837" s="71"/>
    </row>
    <row r="838" ht="12.75" customHeight="1">
      <c r="E838" s="71"/>
    </row>
    <row r="839" ht="12.75" customHeight="1">
      <c r="E839" s="71"/>
    </row>
    <row r="840" ht="12.75" customHeight="1">
      <c r="E840" s="71"/>
    </row>
    <row r="841" ht="12.75" customHeight="1">
      <c r="E841" s="71"/>
    </row>
    <row r="842" ht="12.75" customHeight="1">
      <c r="E842" s="71"/>
    </row>
    <row r="843" ht="12.75" customHeight="1">
      <c r="E843" s="71"/>
    </row>
    <row r="844" ht="12.75" customHeight="1">
      <c r="E844" s="71"/>
    </row>
    <row r="845" ht="12.75" customHeight="1">
      <c r="E845" s="71"/>
    </row>
    <row r="846" ht="12.75" customHeight="1">
      <c r="E846" s="71"/>
    </row>
    <row r="847" ht="12.75" customHeight="1">
      <c r="E847" s="71"/>
    </row>
    <row r="848" ht="12.75" customHeight="1">
      <c r="E848" s="71"/>
    </row>
    <row r="849" ht="12.75" customHeight="1">
      <c r="E849" s="71"/>
    </row>
    <row r="850" ht="12.75" customHeight="1">
      <c r="E850" s="71"/>
    </row>
    <row r="851" ht="12.75" customHeight="1">
      <c r="E851" s="71"/>
    </row>
    <row r="852" ht="12.75" customHeight="1">
      <c r="E852" s="71"/>
    </row>
    <row r="853" ht="12.75" customHeight="1">
      <c r="E853" s="71"/>
    </row>
    <row r="854" ht="12.75" customHeight="1">
      <c r="E854" s="71"/>
    </row>
    <row r="855" ht="12.75" customHeight="1">
      <c r="E855" s="71"/>
    </row>
    <row r="856" ht="12.75" customHeight="1">
      <c r="E856" s="71"/>
    </row>
    <row r="857" ht="12.75" customHeight="1">
      <c r="E857" s="71"/>
    </row>
    <row r="858" ht="12.75" customHeight="1">
      <c r="E858" s="71"/>
    </row>
    <row r="859" ht="12.75" customHeight="1">
      <c r="E859" s="71"/>
    </row>
    <row r="860" ht="12.75" customHeight="1">
      <c r="E860" s="71"/>
    </row>
    <row r="861" ht="12.75" customHeight="1">
      <c r="E861" s="71"/>
    </row>
    <row r="862" ht="12.75" customHeight="1">
      <c r="E862" s="71"/>
    </row>
    <row r="863" ht="12.75" customHeight="1">
      <c r="E863" s="71"/>
    </row>
    <row r="864" ht="12.75" customHeight="1">
      <c r="E864" s="71"/>
    </row>
    <row r="865" ht="12.75" customHeight="1">
      <c r="E865" s="71"/>
    </row>
    <row r="866" ht="12.75" customHeight="1">
      <c r="E866" s="71"/>
    </row>
    <row r="867" ht="12.75" customHeight="1">
      <c r="E867" s="71"/>
    </row>
    <row r="868" ht="12.75" customHeight="1">
      <c r="E868" s="71"/>
    </row>
    <row r="869" ht="12.75" customHeight="1">
      <c r="E869" s="71"/>
    </row>
    <row r="870" ht="12.75" customHeight="1">
      <c r="E870" s="71"/>
    </row>
    <row r="871" ht="12.75" customHeight="1">
      <c r="E871" s="71"/>
    </row>
    <row r="872" ht="12.75" customHeight="1">
      <c r="E872" s="71"/>
    </row>
    <row r="873" ht="12.75" customHeight="1">
      <c r="E873" s="71"/>
    </row>
    <row r="874" ht="12.75" customHeight="1">
      <c r="E874" s="71"/>
    </row>
    <row r="875" ht="12.75" customHeight="1">
      <c r="E875" s="71"/>
    </row>
    <row r="876" ht="12.75" customHeight="1">
      <c r="E876" s="71"/>
    </row>
    <row r="877" ht="12.75" customHeight="1">
      <c r="E877" s="71"/>
    </row>
    <row r="878" ht="12.75" customHeight="1">
      <c r="E878" s="71"/>
    </row>
    <row r="879" ht="12.75" customHeight="1">
      <c r="E879" s="71"/>
    </row>
    <row r="880" ht="12.75" customHeight="1">
      <c r="E880" s="71"/>
    </row>
    <row r="881" ht="12.75" customHeight="1">
      <c r="E881" s="71"/>
    </row>
    <row r="882" ht="12.75" customHeight="1">
      <c r="E882" s="71"/>
    </row>
    <row r="883" ht="12.75" customHeight="1">
      <c r="E883" s="71"/>
    </row>
    <row r="884" ht="12.75" customHeight="1">
      <c r="E884" s="71"/>
    </row>
    <row r="885" ht="12.75" customHeight="1">
      <c r="E885" s="71"/>
    </row>
    <row r="886" ht="12.75" customHeight="1">
      <c r="E886" s="71"/>
    </row>
    <row r="887" ht="12.75" customHeight="1">
      <c r="E887" s="71"/>
    </row>
    <row r="888" ht="12.75" customHeight="1">
      <c r="E888" s="71"/>
    </row>
    <row r="889" ht="12.75" customHeight="1">
      <c r="E889" s="71"/>
    </row>
    <row r="890" ht="12.75" customHeight="1">
      <c r="E890" s="71"/>
    </row>
    <row r="891" ht="12.75" customHeight="1">
      <c r="E891" s="71"/>
    </row>
    <row r="892" ht="12.75" customHeight="1">
      <c r="E892" s="71"/>
    </row>
    <row r="893" ht="12.75" customHeight="1">
      <c r="E893" s="71"/>
    </row>
    <row r="894" ht="12.75" customHeight="1">
      <c r="E894" s="71"/>
    </row>
    <row r="895" ht="12.75" customHeight="1">
      <c r="E895" s="71"/>
    </row>
    <row r="896" ht="12.75" customHeight="1">
      <c r="E896" s="71"/>
    </row>
    <row r="897" ht="12.75" customHeight="1">
      <c r="E897" s="71"/>
    </row>
    <row r="898" ht="12.75" customHeight="1">
      <c r="E898" s="71"/>
    </row>
    <row r="899" ht="12.75" customHeight="1">
      <c r="E899" s="71"/>
    </row>
    <row r="900" ht="12.75" customHeight="1">
      <c r="E900" s="71"/>
    </row>
    <row r="901" ht="12.75" customHeight="1">
      <c r="E901" s="71"/>
    </row>
    <row r="902" ht="12.75" customHeight="1">
      <c r="E902" s="71"/>
    </row>
    <row r="903" ht="12.75" customHeight="1">
      <c r="E903" s="71"/>
    </row>
    <row r="904" ht="12.75" customHeight="1">
      <c r="E904" s="71"/>
    </row>
    <row r="905" ht="12.75" customHeight="1">
      <c r="E905" s="71"/>
    </row>
    <row r="906" ht="12.75" customHeight="1">
      <c r="E906" s="71"/>
    </row>
    <row r="907" ht="12.75" customHeight="1">
      <c r="E907" s="71"/>
    </row>
    <row r="908" ht="12.75" customHeight="1">
      <c r="E908" s="71"/>
    </row>
    <row r="909" ht="12.75" customHeight="1">
      <c r="E909" s="71"/>
    </row>
    <row r="910" ht="12.75" customHeight="1">
      <c r="E910" s="71"/>
    </row>
    <row r="911" ht="12.75" customHeight="1">
      <c r="E911" s="71"/>
    </row>
    <row r="912" ht="12.75" customHeight="1">
      <c r="E912" s="71"/>
    </row>
    <row r="913" ht="12.75" customHeight="1">
      <c r="E913" s="71"/>
    </row>
    <row r="914" ht="12.75" customHeight="1">
      <c r="E914" s="71"/>
    </row>
    <row r="915" ht="12.75" customHeight="1">
      <c r="E915" s="71"/>
    </row>
    <row r="916" ht="12.75" customHeight="1">
      <c r="E916" s="71"/>
    </row>
    <row r="917" ht="12.75" customHeight="1">
      <c r="E917" s="71"/>
    </row>
    <row r="918" ht="12.75" customHeight="1">
      <c r="E918" s="71"/>
    </row>
    <row r="919" ht="12.75" customHeight="1">
      <c r="E919" s="71"/>
    </row>
    <row r="920" ht="12.75" customHeight="1">
      <c r="E920" s="71"/>
    </row>
    <row r="921" ht="12.75" customHeight="1">
      <c r="E921" s="71"/>
    </row>
    <row r="922" ht="12.75" customHeight="1">
      <c r="E922" s="71"/>
    </row>
    <row r="923" ht="12.75" customHeight="1">
      <c r="E923" s="71"/>
    </row>
    <row r="924" ht="12.75" customHeight="1">
      <c r="E924" s="71"/>
    </row>
    <row r="925" ht="12.75" customHeight="1">
      <c r="E925" s="71"/>
    </row>
    <row r="926" ht="12.75" customHeight="1">
      <c r="E926" s="71"/>
    </row>
    <row r="927" ht="12.75" customHeight="1">
      <c r="E927" s="71"/>
    </row>
    <row r="928" ht="12.75" customHeight="1">
      <c r="E928" s="71"/>
    </row>
    <row r="929" ht="12.75" customHeight="1">
      <c r="E929" s="71"/>
    </row>
    <row r="930" ht="12.75" customHeight="1">
      <c r="E930" s="71"/>
    </row>
    <row r="931" ht="12.75" customHeight="1">
      <c r="E931" s="71"/>
    </row>
    <row r="932" ht="12.75" customHeight="1">
      <c r="E932" s="71"/>
    </row>
    <row r="933" ht="12.75" customHeight="1">
      <c r="E933" s="71"/>
    </row>
    <row r="934" ht="12.75" customHeight="1">
      <c r="E934" s="71"/>
    </row>
    <row r="935" ht="12.75" customHeight="1">
      <c r="E935" s="71"/>
    </row>
    <row r="936" ht="12.75" customHeight="1">
      <c r="E936" s="71"/>
    </row>
    <row r="937" ht="12.75" customHeight="1">
      <c r="E937" s="71"/>
    </row>
    <row r="938" ht="12.75" customHeight="1">
      <c r="E938" s="71"/>
    </row>
    <row r="939" ht="12.75" customHeight="1">
      <c r="E939" s="71"/>
    </row>
    <row r="940" ht="12.75" customHeight="1">
      <c r="E940" s="71"/>
    </row>
    <row r="941" ht="12.75" customHeight="1">
      <c r="E941" s="71"/>
    </row>
    <row r="942" ht="12.75" customHeight="1">
      <c r="E942" s="71"/>
    </row>
    <row r="943" ht="12.75" customHeight="1">
      <c r="E943" s="71"/>
    </row>
    <row r="944" ht="12.75" customHeight="1">
      <c r="E944" s="71"/>
    </row>
    <row r="945" ht="12.75" customHeight="1">
      <c r="E945" s="71"/>
    </row>
    <row r="946" ht="12.75" customHeight="1">
      <c r="E946" s="71"/>
    </row>
    <row r="947" ht="12.75" customHeight="1">
      <c r="E947" s="71"/>
    </row>
    <row r="948" ht="12.75" customHeight="1">
      <c r="E948" s="71"/>
    </row>
    <row r="949" ht="12.75" customHeight="1">
      <c r="E949" s="71"/>
    </row>
    <row r="950" ht="12.75" customHeight="1">
      <c r="E950" s="71"/>
    </row>
    <row r="951" ht="12.75" customHeight="1">
      <c r="E951" s="71"/>
    </row>
    <row r="952" ht="12.75" customHeight="1">
      <c r="E952" s="71"/>
    </row>
    <row r="953" ht="12.75" customHeight="1">
      <c r="E953" s="71"/>
    </row>
    <row r="954" ht="12.75" customHeight="1">
      <c r="E954" s="71"/>
    </row>
    <row r="955" ht="12.75" customHeight="1">
      <c r="E955" s="71"/>
    </row>
    <row r="956" ht="12.75" customHeight="1">
      <c r="E956" s="71"/>
    </row>
    <row r="957" ht="12.75" customHeight="1">
      <c r="E957" s="71"/>
    </row>
    <row r="958" ht="12.75" customHeight="1">
      <c r="E958" s="71"/>
    </row>
    <row r="959" ht="12.75" customHeight="1">
      <c r="E959" s="71"/>
    </row>
    <row r="960" ht="12.75" customHeight="1">
      <c r="E960" s="71"/>
    </row>
    <row r="961" ht="12.75" customHeight="1">
      <c r="E961" s="71"/>
    </row>
    <row r="962" ht="12.75" customHeight="1">
      <c r="E962" s="71"/>
    </row>
    <row r="963" ht="12.75" customHeight="1">
      <c r="E963" s="71"/>
    </row>
    <row r="964" ht="12.75" customHeight="1">
      <c r="E964" s="71"/>
    </row>
    <row r="965" ht="12.75" customHeight="1">
      <c r="E965" s="71"/>
    </row>
    <row r="966" ht="12.75" customHeight="1">
      <c r="E966" s="71"/>
    </row>
    <row r="967" ht="12.75" customHeight="1">
      <c r="E967" s="71"/>
    </row>
    <row r="968" ht="12.75" customHeight="1">
      <c r="E968" s="71"/>
    </row>
    <row r="969" ht="12.75" customHeight="1">
      <c r="E969" s="71"/>
    </row>
    <row r="970" ht="12.75" customHeight="1">
      <c r="E970" s="71"/>
    </row>
    <row r="971" ht="12.75" customHeight="1">
      <c r="E971" s="71"/>
    </row>
    <row r="972" ht="12.75" customHeight="1">
      <c r="E972" s="71"/>
    </row>
    <row r="973" ht="12.75" customHeight="1">
      <c r="E973" s="71"/>
    </row>
    <row r="974" ht="12.75" customHeight="1">
      <c r="E974" s="71"/>
    </row>
    <row r="975" ht="12.75" customHeight="1">
      <c r="E975" s="71"/>
    </row>
    <row r="976" ht="12.75" customHeight="1">
      <c r="E976" s="71"/>
    </row>
    <row r="977" ht="12.75" customHeight="1">
      <c r="E977" s="71"/>
    </row>
    <row r="978" ht="12.75" customHeight="1">
      <c r="E978" s="71"/>
    </row>
    <row r="979" ht="12.75" customHeight="1">
      <c r="E979" s="71"/>
    </row>
    <row r="980" ht="12.75" customHeight="1">
      <c r="E980" s="71"/>
    </row>
    <row r="981" ht="12.75" customHeight="1">
      <c r="E981" s="71"/>
    </row>
    <row r="982" ht="12.75" customHeight="1">
      <c r="E982" s="71"/>
    </row>
    <row r="983" ht="12.75" customHeight="1">
      <c r="E983" s="71"/>
    </row>
    <row r="984" ht="12.75" customHeight="1">
      <c r="E984" s="71"/>
    </row>
    <row r="985" ht="12.75" customHeight="1">
      <c r="E985" s="71"/>
    </row>
    <row r="986" ht="12.75" customHeight="1">
      <c r="E986" s="71"/>
    </row>
    <row r="987" ht="12.75" customHeight="1">
      <c r="E987" s="71"/>
    </row>
    <row r="988" ht="12.75" customHeight="1">
      <c r="E988" s="71"/>
    </row>
    <row r="989" ht="12.75" customHeight="1">
      <c r="E989" s="71"/>
    </row>
    <row r="990" ht="12.75" customHeight="1">
      <c r="E990" s="71"/>
    </row>
    <row r="991" ht="12.75" customHeight="1">
      <c r="E991" s="71"/>
    </row>
    <row r="992" ht="12.75" customHeight="1">
      <c r="E992" s="71"/>
    </row>
    <row r="993" ht="12.75" customHeight="1">
      <c r="E993" s="71"/>
    </row>
    <row r="994" ht="12.75" customHeight="1">
      <c r="E994" s="71"/>
    </row>
    <row r="995" ht="12.75" customHeight="1">
      <c r="E995" s="71"/>
    </row>
    <row r="996" ht="12.75" customHeight="1">
      <c r="E996" s="71"/>
    </row>
    <row r="997" ht="12.75" customHeight="1">
      <c r="E997" s="71"/>
    </row>
    <row r="998" ht="12.75" customHeight="1">
      <c r="E998" s="71"/>
    </row>
    <row r="999" ht="12.75" customHeight="1">
      <c r="E999" s="71"/>
    </row>
    <row r="1000" ht="12.75" customHeight="1">
      <c r="E1000" s="71"/>
    </row>
  </sheetData>
  <conditionalFormatting sqref="A2:H401">
    <cfRule type="expression" dxfId="0" priority="1">
      <formula>$A2&lt;&gt;""</formula>
    </cfRule>
  </conditionalFormatting>
  <conditionalFormatting sqref="A2:N401">
    <cfRule type="expression" dxfId="1" priority="2">
      <formula>$A2=""</formula>
    </cfRule>
  </conditionalFormatting>
  <dataValidations>
    <dataValidation type="list" allowBlank="1" sqref="E2:E201 G2:G201">
      <formula1>'_Lists'!$B$2:$B$25</formula1>
    </dataValidation>
  </dataValidations>
  <printOptions/>
  <pageMargins bottom="0.75" footer="0.0" header="0.0" left="0.7" right="0.7" top="0.75"/>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B82F6"/>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32.0"/>
    <col customWidth="1" min="2" max="2" width="25.0"/>
    <col customWidth="1" min="3" max="3" width="28.38"/>
    <col customWidth="1" min="4" max="4" width="18.75"/>
    <col customWidth="1" min="5" max="8" width="12.0"/>
    <col customWidth="1" min="9" max="9" width="3.0"/>
    <col customWidth="1" min="10" max="14" width="14.0"/>
    <col customWidth="1" min="15" max="26" width="9.13"/>
  </cols>
  <sheetData>
    <row r="1" ht="24.0" customHeight="1">
      <c r="A1" s="2" t="s">
        <v>2</v>
      </c>
      <c r="B1" s="2" t="s">
        <v>4</v>
      </c>
      <c r="C1" s="2" t="s">
        <v>6</v>
      </c>
      <c r="D1" s="5" t="s">
        <v>7</v>
      </c>
      <c r="E1" s="5" t="s">
        <v>8</v>
      </c>
      <c r="F1" s="5" t="s">
        <v>10</v>
      </c>
      <c r="G1" s="5" t="s">
        <v>12</v>
      </c>
      <c r="H1" s="5" t="s">
        <v>10</v>
      </c>
      <c r="I1" s="7"/>
      <c r="J1" s="9" t="s">
        <v>14</v>
      </c>
      <c r="K1" s="9" t="s">
        <v>15</v>
      </c>
      <c r="L1" s="9" t="s">
        <v>16</v>
      </c>
      <c r="M1" s="9" t="s">
        <v>17</v>
      </c>
      <c r="N1" s="9" t="s">
        <v>18</v>
      </c>
      <c r="O1" s="7"/>
      <c r="P1" s="7"/>
      <c r="Q1" s="7"/>
      <c r="R1" s="7"/>
      <c r="S1" s="7"/>
      <c r="T1" s="7"/>
      <c r="U1" s="7"/>
      <c r="V1" s="7"/>
      <c r="W1" s="7"/>
      <c r="X1" s="7"/>
      <c r="Y1" s="7"/>
      <c r="Z1" s="7"/>
    </row>
    <row r="2">
      <c r="A2" s="8" t="s">
        <v>205</v>
      </c>
      <c r="B2" s="8" t="s">
        <v>206</v>
      </c>
      <c r="C2" s="8" t="s">
        <v>207</v>
      </c>
      <c r="D2" s="43" t="s">
        <v>208</v>
      </c>
      <c r="E2" s="20" t="s">
        <v>22</v>
      </c>
      <c r="F2" s="25" t="str">
        <f t="shared" ref="F2:F201" si="1">IF(TRIM(E2)="","No","Yes")</f>
        <v>Yes</v>
      </c>
      <c r="G2" s="20"/>
      <c r="H2" s="25" t="str">
        <f t="shared" ref="H2:H201" si="2">IF(TRIM(G2)="","No","Yes")</f>
        <v>No</v>
      </c>
      <c r="I2" s="8"/>
      <c r="J2" s="30" t="str">
        <f t="shared" ref="J2:J201" si="3">IF($A2="","",$A2)</f>
        <v>Suravi Akhter</v>
      </c>
      <c r="K2" s="30" t="str">
        <f t="shared" ref="K2:K201" si="4">$E2</f>
        <v>T1P1</v>
      </c>
      <c r="L2" s="30" t="str">
        <f t="shared" ref="L2:L201" si="5">IF($A2="","",$C2)</f>
        <v>suravi.akhter@ulab.edu.bd</v>
      </c>
      <c r="M2" s="34" t="str">
        <f t="shared" ref="M2:M201" si="6">IF($A2="","",$D2)</f>
        <v>01308395394</v>
      </c>
      <c r="N2" s="30">
        <f t="shared" ref="N2:N401" si="7">IF($K2="","",COUNTIFS($K$2:$K2,$K2))</f>
        <v>1</v>
      </c>
      <c r="O2" s="8"/>
      <c r="P2" s="8"/>
      <c r="Q2" s="8"/>
      <c r="R2" s="8"/>
      <c r="S2" s="8"/>
      <c r="T2" s="8"/>
      <c r="U2" s="8"/>
      <c r="V2" s="8"/>
      <c r="W2" s="8"/>
      <c r="X2" s="8"/>
      <c r="Y2" s="8"/>
      <c r="Z2" s="8"/>
    </row>
    <row r="3" ht="18.0" customHeight="1">
      <c r="A3" s="8" t="s">
        <v>213</v>
      </c>
      <c r="B3" s="8" t="s">
        <v>206</v>
      </c>
      <c r="C3" s="8" t="s">
        <v>214</v>
      </c>
      <c r="D3" s="43" t="s">
        <v>215</v>
      </c>
      <c r="E3" s="20" t="s">
        <v>30</v>
      </c>
      <c r="F3" s="25" t="str">
        <f t="shared" si="1"/>
        <v>Yes</v>
      </c>
      <c r="G3" s="20" t="s">
        <v>123</v>
      </c>
      <c r="H3" s="25" t="str">
        <f t="shared" si="2"/>
        <v>Yes</v>
      </c>
      <c r="I3" s="8"/>
      <c r="J3" s="30" t="str">
        <f t="shared" si="3"/>
        <v>Nazmul Abdal</v>
      </c>
      <c r="K3" s="30" t="str">
        <f t="shared" si="4"/>
        <v>T1P2</v>
      </c>
      <c r="L3" s="30" t="str">
        <f t="shared" si="5"/>
        <v>nazmul.abdal@ulab.edu.bd</v>
      </c>
      <c r="M3" s="34" t="str">
        <f t="shared" si="6"/>
        <v>01752813855</v>
      </c>
      <c r="N3" s="30">
        <f t="shared" si="7"/>
        <v>1</v>
      </c>
      <c r="O3" s="8"/>
      <c r="P3" s="8"/>
      <c r="Q3" s="8"/>
      <c r="R3" s="8"/>
      <c r="S3" s="8"/>
      <c r="T3" s="8"/>
      <c r="U3" s="8"/>
      <c r="V3" s="8"/>
      <c r="W3" s="8"/>
      <c r="X3" s="8"/>
      <c r="Y3" s="8"/>
      <c r="Z3" s="8"/>
    </row>
    <row r="4" ht="18.0" customHeight="1">
      <c r="A4" s="8" t="s">
        <v>216</v>
      </c>
      <c r="B4" s="8" t="s">
        <v>206</v>
      </c>
      <c r="C4" s="8" t="s">
        <v>217</v>
      </c>
      <c r="D4" s="43" t="s">
        <v>218</v>
      </c>
      <c r="E4" s="20" t="s">
        <v>34</v>
      </c>
      <c r="F4" s="25" t="str">
        <f t="shared" si="1"/>
        <v>Yes</v>
      </c>
      <c r="G4" s="20" t="s">
        <v>159</v>
      </c>
      <c r="H4" s="25" t="str">
        <f t="shared" si="2"/>
        <v>Yes</v>
      </c>
      <c r="I4" s="8"/>
      <c r="J4" s="30" t="str">
        <f t="shared" si="3"/>
        <v>Fatema Khan</v>
      </c>
      <c r="K4" s="30" t="str">
        <f t="shared" si="4"/>
        <v>T1P3</v>
      </c>
      <c r="L4" s="30" t="str">
        <f t="shared" si="5"/>
        <v>fatema.khan@ulab.edu.bd</v>
      </c>
      <c r="M4" s="34" t="str">
        <f t="shared" si="6"/>
        <v>01781527079</v>
      </c>
      <c r="N4" s="30">
        <f t="shared" si="7"/>
        <v>1</v>
      </c>
      <c r="O4" s="8"/>
      <c r="P4" s="8"/>
      <c r="Q4" s="8"/>
      <c r="R4" s="8"/>
      <c r="S4" s="8"/>
      <c r="T4" s="8"/>
      <c r="U4" s="8"/>
      <c r="V4" s="8"/>
      <c r="W4" s="8"/>
      <c r="X4" s="8"/>
      <c r="Y4" s="8"/>
      <c r="Z4" s="8"/>
    </row>
    <row r="5" ht="18.0" customHeight="1">
      <c r="A5" s="8" t="s">
        <v>219</v>
      </c>
      <c r="B5" s="8" t="s">
        <v>206</v>
      </c>
      <c r="C5" s="8" t="s">
        <v>220</v>
      </c>
      <c r="D5" s="43" t="s">
        <v>221</v>
      </c>
      <c r="E5" s="20" t="s">
        <v>41</v>
      </c>
      <c r="F5" s="25" t="str">
        <f t="shared" si="1"/>
        <v>Yes</v>
      </c>
      <c r="G5" s="20"/>
      <c r="H5" s="25" t="str">
        <f t="shared" si="2"/>
        <v>No</v>
      </c>
      <c r="I5" s="8"/>
      <c r="J5" s="30" t="str">
        <f t="shared" si="3"/>
        <v>Md Kaviul Hossain</v>
      </c>
      <c r="K5" s="30" t="str">
        <f t="shared" si="4"/>
        <v>T2P1</v>
      </c>
      <c r="L5" s="30" t="str">
        <f t="shared" si="5"/>
        <v>kaviul.hossain@ulab.edu.bd</v>
      </c>
      <c r="M5" s="34" t="str">
        <f t="shared" si="6"/>
        <v>01775520904</v>
      </c>
      <c r="N5" s="30">
        <f t="shared" si="7"/>
        <v>1</v>
      </c>
      <c r="O5" s="8"/>
      <c r="P5" s="8"/>
      <c r="Q5" s="8"/>
      <c r="R5" s="8"/>
      <c r="S5" s="8"/>
      <c r="T5" s="8"/>
      <c r="U5" s="8"/>
      <c r="V5" s="8"/>
      <c r="W5" s="8"/>
      <c r="X5" s="8"/>
      <c r="Y5" s="8"/>
      <c r="Z5" s="8"/>
    </row>
    <row r="6" ht="18.0" customHeight="1">
      <c r="A6" s="8" t="s">
        <v>222</v>
      </c>
      <c r="B6" s="8" t="s">
        <v>206</v>
      </c>
      <c r="C6" s="8" t="s">
        <v>223</v>
      </c>
      <c r="D6" s="43" t="s">
        <v>224</v>
      </c>
      <c r="E6" s="20" t="s">
        <v>49</v>
      </c>
      <c r="F6" s="25" t="str">
        <f t="shared" si="1"/>
        <v>Yes</v>
      </c>
      <c r="G6" s="20" t="s">
        <v>63</v>
      </c>
      <c r="H6" s="25" t="str">
        <f t="shared" si="2"/>
        <v>Yes</v>
      </c>
      <c r="I6" s="8"/>
      <c r="J6" s="30" t="str">
        <f t="shared" si="3"/>
        <v>Nasir Uddin Ahmed</v>
      </c>
      <c r="K6" s="30" t="str">
        <f t="shared" si="4"/>
        <v>T2P2</v>
      </c>
      <c r="L6" s="30" t="str">
        <f t="shared" si="5"/>
        <v>nasir.uddin1@ulab.edu.bd</v>
      </c>
      <c r="M6" s="34" t="str">
        <f t="shared" si="6"/>
        <v>01818009809</v>
      </c>
      <c r="N6" s="30">
        <f t="shared" si="7"/>
        <v>1</v>
      </c>
      <c r="O6" s="8"/>
      <c r="P6" s="8"/>
      <c r="Q6" s="8"/>
      <c r="R6" s="8"/>
      <c r="S6" s="8"/>
      <c r="T6" s="8"/>
      <c r="U6" s="8"/>
      <c r="V6" s="8"/>
      <c r="W6" s="8"/>
      <c r="X6" s="8"/>
      <c r="Y6" s="8"/>
      <c r="Z6" s="8"/>
    </row>
    <row r="7" ht="18.0" customHeight="1">
      <c r="A7" s="8" t="s">
        <v>225</v>
      </c>
      <c r="B7" s="8" t="s">
        <v>206</v>
      </c>
      <c r="C7" s="8" t="s">
        <v>226</v>
      </c>
      <c r="D7" s="43" t="s">
        <v>227</v>
      </c>
      <c r="E7" s="20" t="s">
        <v>57</v>
      </c>
      <c r="F7" s="25" t="str">
        <f t="shared" si="1"/>
        <v>Yes</v>
      </c>
      <c r="G7" s="20" t="s">
        <v>57</v>
      </c>
      <c r="H7" s="25" t="str">
        <f t="shared" si="2"/>
        <v>Yes</v>
      </c>
      <c r="I7" s="8"/>
      <c r="J7" s="30" t="str">
        <f t="shared" si="3"/>
        <v>Wahida Ferdose Urmi</v>
      </c>
      <c r="K7" s="30" t="str">
        <f t="shared" si="4"/>
        <v>T2P3</v>
      </c>
      <c r="L7" s="30" t="str">
        <f t="shared" si="5"/>
        <v>wahida.ferdose@ulab.edu.bd</v>
      </c>
      <c r="M7" s="34" t="str">
        <f t="shared" si="6"/>
        <v>01756629803</v>
      </c>
      <c r="N7" s="30">
        <f t="shared" si="7"/>
        <v>1</v>
      </c>
      <c r="O7" s="8"/>
      <c r="P7" s="8"/>
      <c r="Q7" s="8"/>
      <c r="R7" s="8"/>
      <c r="S7" s="8"/>
      <c r="T7" s="8"/>
      <c r="U7" s="8"/>
      <c r="V7" s="8"/>
      <c r="W7" s="8"/>
      <c r="X7" s="8"/>
      <c r="Y7" s="8"/>
      <c r="Z7" s="8"/>
    </row>
    <row r="8" ht="18.0" customHeight="1">
      <c r="A8" s="8" t="s">
        <v>232</v>
      </c>
      <c r="B8" s="8" t="s">
        <v>206</v>
      </c>
      <c r="C8" s="8" t="s">
        <v>233</v>
      </c>
      <c r="D8" s="43" t="s">
        <v>234</v>
      </c>
      <c r="E8" s="20" t="s">
        <v>63</v>
      </c>
      <c r="F8" s="25" t="str">
        <f t="shared" si="1"/>
        <v>Yes</v>
      </c>
      <c r="G8" s="20" t="s">
        <v>49</v>
      </c>
      <c r="H8" s="25" t="str">
        <f t="shared" si="2"/>
        <v>Yes</v>
      </c>
      <c r="I8" s="8"/>
      <c r="J8" s="30" t="str">
        <f t="shared" si="3"/>
        <v>Shah Jafor Sadeek Quaderi</v>
      </c>
      <c r="K8" s="30" t="str">
        <f t="shared" si="4"/>
        <v>T2P4</v>
      </c>
      <c r="L8" s="30" t="str">
        <f t="shared" si="5"/>
        <v>jafor.sadeek@ulab.edu.bd</v>
      </c>
      <c r="M8" s="34" t="str">
        <f t="shared" si="6"/>
        <v>01725828062</v>
      </c>
      <c r="N8" s="30">
        <f t="shared" si="7"/>
        <v>1</v>
      </c>
      <c r="O8" s="8"/>
      <c r="P8" s="8"/>
      <c r="Q8" s="8"/>
      <c r="R8" s="8"/>
      <c r="S8" s="8"/>
      <c r="T8" s="8"/>
      <c r="U8" s="8"/>
      <c r="V8" s="8"/>
      <c r="W8" s="8"/>
      <c r="X8" s="8"/>
      <c r="Y8" s="8"/>
      <c r="Z8" s="8"/>
    </row>
    <row r="9" ht="18.0" customHeight="1">
      <c r="A9" s="8" t="s">
        <v>239</v>
      </c>
      <c r="B9" s="8" t="s">
        <v>206</v>
      </c>
      <c r="C9" s="8" t="s">
        <v>240</v>
      </c>
      <c r="D9" s="43" t="s">
        <v>241</v>
      </c>
      <c r="E9" s="20"/>
      <c r="F9" s="25" t="str">
        <f t="shared" si="1"/>
        <v>No</v>
      </c>
      <c r="G9" s="20" t="s">
        <v>41</v>
      </c>
      <c r="H9" s="25" t="str">
        <f t="shared" si="2"/>
        <v>Yes</v>
      </c>
      <c r="I9" s="8"/>
      <c r="J9" s="30" t="str">
        <f t="shared" si="3"/>
        <v>Dewan Ahmed Muhtasim</v>
      </c>
      <c r="K9" s="30" t="str">
        <f t="shared" si="4"/>
        <v/>
      </c>
      <c r="L9" s="30" t="str">
        <f t="shared" si="5"/>
        <v>ahmed.muhtasim@ulab.edu.bd</v>
      </c>
      <c r="M9" s="34" t="str">
        <f t="shared" si="6"/>
        <v>01602654504</v>
      </c>
      <c r="N9" s="30" t="str">
        <f t="shared" si="7"/>
        <v/>
      </c>
      <c r="O9" s="8"/>
      <c r="P9" s="8"/>
      <c r="Q9" s="8"/>
      <c r="R9" s="8"/>
      <c r="S9" s="8"/>
      <c r="T9" s="8"/>
      <c r="U9" s="8"/>
      <c r="V9" s="8"/>
      <c r="W9" s="8"/>
      <c r="X9" s="8"/>
      <c r="Y9" s="8"/>
      <c r="Z9" s="8"/>
    </row>
    <row r="10" ht="18.0" customHeight="1">
      <c r="A10" s="8" t="s">
        <v>246</v>
      </c>
      <c r="B10" s="8" t="s">
        <v>206</v>
      </c>
      <c r="C10" s="8" t="s">
        <v>247</v>
      </c>
      <c r="D10" s="43" t="s">
        <v>248</v>
      </c>
      <c r="E10" s="20" t="s">
        <v>159</v>
      </c>
      <c r="F10" s="25" t="str">
        <f t="shared" si="1"/>
        <v>Yes</v>
      </c>
      <c r="G10" s="20" t="s">
        <v>34</v>
      </c>
      <c r="H10" s="25" t="str">
        <f t="shared" si="2"/>
        <v>Yes</v>
      </c>
      <c r="I10" s="8"/>
      <c r="J10" s="30" t="str">
        <f t="shared" si="3"/>
        <v>Atanu Shuvam Roy</v>
      </c>
      <c r="K10" s="30" t="str">
        <f t="shared" si="4"/>
        <v>T3P1</v>
      </c>
      <c r="L10" s="30" t="str">
        <f t="shared" si="5"/>
        <v>atanu.shuvam@ulab.edu.bd</v>
      </c>
      <c r="M10" s="34" t="str">
        <f t="shared" si="6"/>
        <v>01937545261</v>
      </c>
      <c r="N10" s="30">
        <f t="shared" si="7"/>
        <v>1</v>
      </c>
      <c r="O10" s="8"/>
      <c r="P10" s="8"/>
      <c r="Q10" s="8"/>
      <c r="R10" s="8"/>
      <c r="S10" s="8"/>
      <c r="T10" s="8"/>
      <c r="U10" s="8"/>
      <c r="V10" s="8"/>
      <c r="W10" s="8"/>
      <c r="X10" s="8"/>
      <c r="Y10" s="8"/>
      <c r="Z10" s="8"/>
    </row>
    <row r="11" ht="18.0" customHeight="1">
      <c r="A11" s="8" t="s">
        <v>249</v>
      </c>
      <c r="B11" s="8" t="s">
        <v>206</v>
      </c>
      <c r="C11" s="8" t="s">
        <v>250</v>
      </c>
      <c r="D11" s="43" t="s">
        <v>251</v>
      </c>
      <c r="E11" s="20"/>
      <c r="F11" s="25" t="str">
        <f t="shared" si="1"/>
        <v>No</v>
      </c>
      <c r="G11" s="20" t="s">
        <v>30</v>
      </c>
      <c r="H11" s="25" t="str">
        <f t="shared" si="2"/>
        <v>Yes</v>
      </c>
      <c r="I11" s="8"/>
      <c r="J11" s="30" t="str">
        <f t="shared" si="3"/>
        <v>Foysal Ahmed</v>
      </c>
      <c r="K11" s="30" t="str">
        <f t="shared" si="4"/>
        <v/>
      </c>
      <c r="L11" s="30" t="str">
        <f t="shared" si="5"/>
        <v>foysal.ahmed@ulab.edu.bd</v>
      </c>
      <c r="M11" s="34" t="str">
        <f t="shared" si="6"/>
        <v>01632917360</v>
      </c>
      <c r="N11" s="30" t="str">
        <f t="shared" si="7"/>
        <v/>
      </c>
      <c r="O11" s="8"/>
      <c r="P11" s="8"/>
      <c r="Q11" s="8"/>
      <c r="R11" s="8"/>
      <c r="S11" s="8"/>
      <c r="T11" s="8"/>
      <c r="U11" s="8"/>
      <c r="V11" s="8"/>
      <c r="W11" s="8"/>
      <c r="X11" s="8"/>
      <c r="Y11" s="8"/>
      <c r="Z11" s="8"/>
    </row>
    <row r="12" ht="18.0" customHeight="1">
      <c r="A12" s="8" t="s">
        <v>261</v>
      </c>
      <c r="B12" s="8" t="s">
        <v>206</v>
      </c>
      <c r="C12" s="8" t="s">
        <v>262</v>
      </c>
      <c r="D12" s="43" t="s">
        <v>263</v>
      </c>
      <c r="E12" s="20" t="s">
        <v>123</v>
      </c>
      <c r="F12" s="25" t="str">
        <f t="shared" si="1"/>
        <v>Yes</v>
      </c>
      <c r="G12" s="20" t="s">
        <v>22</v>
      </c>
      <c r="H12" s="25" t="str">
        <f t="shared" si="2"/>
        <v>Yes</v>
      </c>
      <c r="I12" s="8"/>
      <c r="J12" s="30" t="str">
        <f t="shared" si="3"/>
        <v>Abir Bin Yousuf</v>
      </c>
      <c r="K12" s="30" t="str">
        <f t="shared" si="4"/>
        <v>T3P3</v>
      </c>
      <c r="L12" s="30" t="str">
        <f t="shared" si="5"/>
        <v>abir.yousuf@ulab.edu.bd</v>
      </c>
      <c r="M12" s="34" t="str">
        <f t="shared" si="6"/>
        <v>01628312807</v>
      </c>
      <c r="N12" s="30">
        <f t="shared" si="7"/>
        <v>1</v>
      </c>
      <c r="O12" s="8"/>
      <c r="P12" s="8"/>
      <c r="Q12" s="8"/>
      <c r="R12" s="8"/>
      <c r="S12" s="8"/>
      <c r="T12" s="8"/>
      <c r="U12" s="8"/>
      <c r="V12" s="8"/>
      <c r="W12" s="8"/>
      <c r="X12" s="8"/>
      <c r="Y12" s="8"/>
      <c r="Z12" s="8"/>
    </row>
    <row r="13" ht="18.0" customHeight="1">
      <c r="A13" s="8" t="s">
        <v>273</v>
      </c>
      <c r="B13" s="8" t="s">
        <v>274</v>
      </c>
      <c r="C13" s="8" t="s">
        <v>275</v>
      </c>
      <c r="D13" s="43" t="s">
        <v>276</v>
      </c>
      <c r="E13" s="20"/>
      <c r="F13" s="25" t="str">
        <f t="shared" si="1"/>
        <v>No</v>
      </c>
      <c r="G13" s="20" t="s">
        <v>166</v>
      </c>
      <c r="H13" s="25" t="str">
        <f t="shared" si="2"/>
        <v>Yes</v>
      </c>
      <c r="I13" s="8"/>
      <c r="J13" s="30" t="str">
        <f t="shared" si="3"/>
        <v>A O M Shamsuddoha</v>
      </c>
      <c r="K13" s="30" t="str">
        <f t="shared" si="4"/>
        <v/>
      </c>
      <c r="L13" s="30" t="str">
        <f t="shared" si="5"/>
        <v>shamsud.doha@ulab.edu.bd</v>
      </c>
      <c r="M13" s="34" t="str">
        <f t="shared" si="6"/>
        <v>01982279906</v>
      </c>
      <c r="N13" s="30" t="str">
        <f t="shared" si="7"/>
        <v/>
      </c>
      <c r="O13" s="8"/>
      <c r="P13" s="8"/>
      <c r="Q13" s="8"/>
      <c r="R13" s="8"/>
      <c r="S13" s="8"/>
      <c r="T13" s="8"/>
      <c r="U13" s="8"/>
      <c r="V13" s="8"/>
      <c r="W13" s="8"/>
      <c r="X13" s="8"/>
      <c r="Y13" s="8"/>
      <c r="Z13" s="8"/>
    </row>
    <row r="14" ht="18.0" customHeight="1">
      <c r="A14" s="8" t="s">
        <v>282</v>
      </c>
      <c r="B14" s="8" t="s">
        <v>274</v>
      </c>
      <c r="C14" s="8" t="s">
        <v>283</v>
      </c>
      <c r="D14" s="43" t="s">
        <v>284</v>
      </c>
      <c r="E14" s="20" t="s">
        <v>141</v>
      </c>
      <c r="F14" s="25" t="str">
        <f t="shared" si="1"/>
        <v>Yes</v>
      </c>
      <c r="G14" s="20" t="s">
        <v>184</v>
      </c>
      <c r="H14" s="25" t="str">
        <f t="shared" si="2"/>
        <v>Yes</v>
      </c>
      <c r="I14" s="8"/>
      <c r="J14" s="30" t="str">
        <f t="shared" si="3"/>
        <v>Abdullah Md. Zobayer</v>
      </c>
      <c r="K14" s="30" t="str">
        <f t="shared" si="4"/>
        <v>T3P5</v>
      </c>
      <c r="L14" s="30" t="str">
        <f t="shared" si="5"/>
        <v>abdullah.zobayer@ulab.edu.bd</v>
      </c>
      <c r="M14" s="34" t="str">
        <f t="shared" si="6"/>
        <v>01921999286</v>
      </c>
      <c r="N14" s="30">
        <f t="shared" si="7"/>
        <v>1</v>
      </c>
      <c r="O14" s="8"/>
      <c r="P14" s="8"/>
      <c r="Q14" s="8"/>
      <c r="R14" s="8"/>
      <c r="S14" s="8"/>
      <c r="T14" s="8"/>
      <c r="U14" s="8"/>
      <c r="V14" s="8"/>
      <c r="W14" s="8"/>
      <c r="X14" s="8"/>
      <c r="Y14" s="8"/>
      <c r="Z14" s="8"/>
    </row>
    <row r="15" ht="18.0" customHeight="1">
      <c r="A15" s="8" t="s">
        <v>289</v>
      </c>
      <c r="B15" s="8" t="s">
        <v>274</v>
      </c>
      <c r="C15" s="19" t="s">
        <v>290</v>
      </c>
      <c r="D15" s="43" t="s">
        <v>291</v>
      </c>
      <c r="E15" s="20" t="s">
        <v>72</v>
      </c>
      <c r="F15" s="25" t="str">
        <f t="shared" si="1"/>
        <v>Yes</v>
      </c>
      <c r="G15" s="20" t="s">
        <v>155</v>
      </c>
      <c r="H15" s="25" t="str">
        <f t="shared" si="2"/>
        <v>Yes</v>
      </c>
      <c r="I15" s="8"/>
      <c r="J15" s="30" t="str">
        <f t="shared" si="3"/>
        <v>Md. Monzurul Haque</v>
      </c>
      <c r="K15" s="30" t="str">
        <f t="shared" si="4"/>
        <v>T4P1</v>
      </c>
      <c r="L15" s="30" t="str">
        <f t="shared" si="5"/>
        <v>monzurul.haque@ulab.edu.bd</v>
      </c>
      <c r="M15" s="34" t="str">
        <f t="shared" si="6"/>
        <v>01621853028</v>
      </c>
      <c r="N15" s="30">
        <f t="shared" si="7"/>
        <v>1</v>
      </c>
      <c r="O15" s="8"/>
      <c r="P15" s="8"/>
      <c r="Q15" s="8"/>
      <c r="R15" s="8"/>
      <c r="S15" s="8"/>
      <c r="T15" s="8"/>
      <c r="U15" s="8"/>
      <c r="V15" s="8"/>
      <c r="W15" s="8"/>
      <c r="X15" s="8"/>
      <c r="Y15" s="8"/>
      <c r="Z15" s="8"/>
    </row>
    <row r="16" ht="18.0" customHeight="1">
      <c r="A16" s="8" t="s">
        <v>296</v>
      </c>
      <c r="B16" s="8" t="s">
        <v>274</v>
      </c>
      <c r="C16" s="8" t="s">
        <v>297</v>
      </c>
      <c r="D16" s="43" t="s">
        <v>291</v>
      </c>
      <c r="E16" s="20" t="s">
        <v>118</v>
      </c>
      <c r="F16" s="25" t="str">
        <f t="shared" si="1"/>
        <v>Yes</v>
      </c>
      <c r="G16" s="20" t="s">
        <v>113</v>
      </c>
      <c r="H16" s="25" t="str">
        <f t="shared" si="2"/>
        <v>Yes</v>
      </c>
      <c r="I16" s="8"/>
      <c r="J16" s="30" t="str">
        <f t="shared" si="3"/>
        <v>Imran Hossain</v>
      </c>
      <c r="K16" s="30" t="str">
        <f t="shared" si="4"/>
        <v>T4P2</v>
      </c>
      <c r="L16" s="30" t="str">
        <f t="shared" si="5"/>
        <v>imran.hossain3@ulab.edu.bd</v>
      </c>
      <c r="M16" s="34" t="str">
        <f t="shared" si="6"/>
        <v>01621853028</v>
      </c>
      <c r="N16" s="30">
        <f t="shared" si="7"/>
        <v>1</v>
      </c>
      <c r="O16" s="8"/>
      <c r="P16" s="8"/>
      <c r="Q16" s="8"/>
      <c r="R16" s="8"/>
      <c r="S16" s="8"/>
      <c r="T16" s="8"/>
      <c r="U16" s="8"/>
      <c r="V16" s="8"/>
      <c r="W16" s="8"/>
      <c r="X16" s="8"/>
      <c r="Y16" s="8"/>
      <c r="Z16" s="8"/>
    </row>
    <row r="17" ht="18.0" customHeight="1">
      <c r="A17" s="8"/>
      <c r="B17" s="8"/>
      <c r="C17" s="8"/>
      <c r="D17" s="25"/>
      <c r="E17" s="25"/>
      <c r="F17" s="25" t="str">
        <f t="shared" si="1"/>
        <v>No</v>
      </c>
      <c r="G17" s="25"/>
      <c r="H17" s="25" t="str">
        <f t="shared" si="2"/>
        <v>No</v>
      </c>
      <c r="I17" s="8"/>
      <c r="J17" s="30" t="str">
        <f t="shared" si="3"/>
        <v/>
      </c>
      <c r="K17" s="30" t="str">
        <f t="shared" si="4"/>
        <v/>
      </c>
      <c r="L17" s="30" t="str">
        <f t="shared" si="5"/>
        <v/>
      </c>
      <c r="M17" s="30" t="str">
        <f t="shared" si="6"/>
        <v/>
      </c>
      <c r="N17" s="30" t="str">
        <f t="shared" si="7"/>
        <v/>
      </c>
      <c r="O17" s="8"/>
      <c r="P17" s="8"/>
      <c r="Q17" s="8"/>
      <c r="R17" s="8"/>
      <c r="S17" s="8"/>
      <c r="T17" s="8"/>
      <c r="U17" s="8"/>
      <c r="V17" s="8"/>
      <c r="W17" s="8"/>
      <c r="X17" s="8"/>
      <c r="Y17" s="8"/>
      <c r="Z17" s="8"/>
    </row>
    <row r="18" ht="18.0" customHeight="1">
      <c r="A18" s="8"/>
      <c r="B18" s="8"/>
      <c r="C18" s="8"/>
      <c r="D18" s="25"/>
      <c r="E18" s="25"/>
      <c r="F18" s="25" t="str">
        <f t="shared" si="1"/>
        <v>No</v>
      </c>
      <c r="G18" s="25"/>
      <c r="H18" s="25" t="str">
        <f t="shared" si="2"/>
        <v>No</v>
      </c>
      <c r="I18" s="8"/>
      <c r="J18" s="30" t="str">
        <f t="shared" si="3"/>
        <v/>
      </c>
      <c r="K18" s="30" t="str">
        <f t="shared" si="4"/>
        <v/>
      </c>
      <c r="L18" s="30" t="str">
        <f t="shared" si="5"/>
        <v/>
      </c>
      <c r="M18" s="30" t="str">
        <f t="shared" si="6"/>
        <v/>
      </c>
      <c r="N18" s="30" t="str">
        <f t="shared" si="7"/>
        <v/>
      </c>
      <c r="O18" s="8"/>
      <c r="P18" s="8"/>
      <c r="Q18" s="8"/>
      <c r="R18" s="8"/>
      <c r="S18" s="8"/>
      <c r="T18" s="8"/>
      <c r="U18" s="8"/>
      <c r="V18" s="8"/>
      <c r="W18" s="8"/>
      <c r="X18" s="8"/>
      <c r="Y18" s="8"/>
      <c r="Z18" s="8"/>
    </row>
    <row r="19" ht="18.0" customHeight="1">
      <c r="A19" s="8"/>
      <c r="B19" s="8"/>
      <c r="C19" s="8"/>
      <c r="D19" s="25"/>
      <c r="E19" s="25"/>
      <c r="F19" s="25" t="str">
        <f t="shared" si="1"/>
        <v>No</v>
      </c>
      <c r="G19" s="25"/>
      <c r="H19" s="25" t="str">
        <f t="shared" si="2"/>
        <v>No</v>
      </c>
      <c r="I19" s="8"/>
      <c r="J19" s="30" t="str">
        <f t="shared" si="3"/>
        <v/>
      </c>
      <c r="K19" s="30" t="str">
        <f t="shared" si="4"/>
        <v/>
      </c>
      <c r="L19" s="30" t="str">
        <f t="shared" si="5"/>
        <v/>
      </c>
      <c r="M19" s="30" t="str">
        <f t="shared" si="6"/>
        <v/>
      </c>
      <c r="N19" s="30" t="str">
        <f t="shared" si="7"/>
        <v/>
      </c>
      <c r="O19" s="8"/>
      <c r="P19" s="8"/>
      <c r="Q19" s="8"/>
      <c r="R19" s="8"/>
      <c r="S19" s="8"/>
      <c r="T19" s="8"/>
      <c r="U19" s="8"/>
      <c r="V19" s="8"/>
      <c r="W19" s="8"/>
      <c r="X19" s="8"/>
      <c r="Y19" s="8"/>
      <c r="Z19" s="8"/>
    </row>
    <row r="20" ht="18.0" customHeight="1">
      <c r="A20" s="8"/>
      <c r="B20" s="8"/>
      <c r="C20" s="8"/>
      <c r="D20" s="25"/>
      <c r="E20" s="25"/>
      <c r="F20" s="25" t="str">
        <f t="shared" si="1"/>
        <v>No</v>
      </c>
      <c r="G20" s="25"/>
      <c r="H20" s="25" t="str">
        <f t="shared" si="2"/>
        <v>No</v>
      </c>
      <c r="I20" s="8"/>
      <c r="J20" s="30" t="str">
        <f t="shared" si="3"/>
        <v/>
      </c>
      <c r="K20" s="30" t="str">
        <f t="shared" si="4"/>
        <v/>
      </c>
      <c r="L20" s="30" t="str">
        <f t="shared" si="5"/>
        <v/>
      </c>
      <c r="M20" s="30" t="str">
        <f t="shared" si="6"/>
        <v/>
      </c>
      <c r="N20" s="30" t="str">
        <f t="shared" si="7"/>
        <v/>
      </c>
      <c r="O20" s="8"/>
      <c r="P20" s="8"/>
      <c r="Q20" s="8"/>
      <c r="R20" s="8"/>
      <c r="S20" s="8"/>
      <c r="T20" s="8"/>
      <c r="U20" s="8"/>
      <c r="V20" s="8"/>
      <c r="W20" s="8"/>
      <c r="X20" s="8"/>
      <c r="Y20" s="8"/>
      <c r="Z20" s="8"/>
    </row>
    <row r="21" ht="18.0" customHeight="1">
      <c r="A21" s="8"/>
      <c r="B21" s="8"/>
      <c r="C21" s="8"/>
      <c r="D21" s="25"/>
      <c r="E21" s="25"/>
      <c r="F21" s="25" t="str">
        <f t="shared" si="1"/>
        <v>No</v>
      </c>
      <c r="G21" s="25"/>
      <c r="H21" s="25" t="str">
        <f t="shared" si="2"/>
        <v>No</v>
      </c>
      <c r="I21" s="8"/>
      <c r="J21" s="30" t="str">
        <f t="shared" si="3"/>
        <v/>
      </c>
      <c r="K21" s="30" t="str">
        <f t="shared" si="4"/>
        <v/>
      </c>
      <c r="L21" s="30" t="str">
        <f t="shared" si="5"/>
        <v/>
      </c>
      <c r="M21" s="30" t="str">
        <f t="shared" si="6"/>
        <v/>
      </c>
      <c r="N21" s="30" t="str">
        <f t="shared" si="7"/>
        <v/>
      </c>
      <c r="O21" s="8"/>
      <c r="P21" s="8"/>
      <c r="Q21" s="8"/>
      <c r="R21" s="8"/>
      <c r="S21" s="8"/>
      <c r="T21" s="8"/>
      <c r="U21" s="8"/>
      <c r="V21" s="8"/>
      <c r="W21" s="8"/>
      <c r="X21" s="8"/>
      <c r="Y21" s="8"/>
      <c r="Z21" s="8"/>
    </row>
    <row r="22" ht="18.0" customHeight="1">
      <c r="A22" s="8"/>
      <c r="B22" s="8"/>
      <c r="C22" s="8"/>
      <c r="D22" s="25"/>
      <c r="E22" s="25"/>
      <c r="F22" s="25" t="str">
        <f t="shared" si="1"/>
        <v>No</v>
      </c>
      <c r="G22" s="25"/>
      <c r="H22" s="25" t="str">
        <f t="shared" si="2"/>
        <v>No</v>
      </c>
      <c r="I22" s="8"/>
      <c r="J22" s="30" t="str">
        <f t="shared" si="3"/>
        <v/>
      </c>
      <c r="K22" s="30" t="str">
        <f t="shared" si="4"/>
        <v/>
      </c>
      <c r="L22" s="30" t="str">
        <f t="shared" si="5"/>
        <v/>
      </c>
      <c r="M22" s="30" t="str">
        <f t="shared" si="6"/>
        <v/>
      </c>
      <c r="N22" s="30" t="str">
        <f t="shared" si="7"/>
        <v/>
      </c>
      <c r="O22" s="8"/>
      <c r="P22" s="8"/>
      <c r="Q22" s="8"/>
      <c r="R22" s="8"/>
      <c r="S22" s="8"/>
      <c r="T22" s="8"/>
      <c r="U22" s="8"/>
      <c r="V22" s="8"/>
      <c r="W22" s="8"/>
      <c r="X22" s="8"/>
      <c r="Y22" s="8"/>
      <c r="Z22" s="8"/>
    </row>
    <row r="23" ht="18.0" customHeight="1">
      <c r="A23" s="8"/>
      <c r="B23" s="8"/>
      <c r="C23" s="8"/>
      <c r="D23" s="25"/>
      <c r="E23" s="25"/>
      <c r="F23" s="25" t="str">
        <f t="shared" si="1"/>
        <v>No</v>
      </c>
      <c r="G23" s="25"/>
      <c r="H23" s="25" t="str">
        <f t="shared" si="2"/>
        <v>No</v>
      </c>
      <c r="I23" s="8"/>
      <c r="J23" s="30" t="str">
        <f t="shared" si="3"/>
        <v/>
      </c>
      <c r="K23" s="30" t="str">
        <f t="shared" si="4"/>
        <v/>
      </c>
      <c r="L23" s="30" t="str">
        <f t="shared" si="5"/>
        <v/>
      </c>
      <c r="M23" s="30" t="str">
        <f t="shared" si="6"/>
        <v/>
      </c>
      <c r="N23" s="30" t="str">
        <f t="shared" si="7"/>
        <v/>
      </c>
      <c r="O23" s="8"/>
      <c r="P23" s="8"/>
      <c r="Q23" s="8"/>
      <c r="R23" s="8"/>
      <c r="S23" s="8"/>
      <c r="T23" s="8"/>
      <c r="U23" s="8"/>
      <c r="V23" s="8"/>
      <c r="W23" s="8"/>
      <c r="X23" s="8"/>
      <c r="Y23" s="8"/>
      <c r="Z23" s="8"/>
    </row>
    <row r="24" ht="18.0" customHeight="1">
      <c r="A24" s="8"/>
      <c r="B24" s="8"/>
      <c r="C24" s="8"/>
      <c r="D24" s="25"/>
      <c r="E24" s="25"/>
      <c r="F24" s="25" t="str">
        <f t="shared" si="1"/>
        <v>No</v>
      </c>
      <c r="G24" s="25"/>
      <c r="H24" s="25" t="str">
        <f t="shared" si="2"/>
        <v>No</v>
      </c>
      <c r="I24" s="8"/>
      <c r="J24" s="30" t="str">
        <f t="shared" si="3"/>
        <v/>
      </c>
      <c r="K24" s="30" t="str">
        <f t="shared" si="4"/>
        <v/>
      </c>
      <c r="L24" s="30" t="str">
        <f t="shared" si="5"/>
        <v/>
      </c>
      <c r="M24" s="30" t="str">
        <f t="shared" si="6"/>
        <v/>
      </c>
      <c r="N24" s="30" t="str">
        <f t="shared" si="7"/>
        <v/>
      </c>
      <c r="O24" s="8"/>
      <c r="P24" s="8"/>
      <c r="Q24" s="8"/>
      <c r="R24" s="8"/>
      <c r="S24" s="8"/>
      <c r="T24" s="8"/>
      <c r="U24" s="8"/>
      <c r="V24" s="8"/>
      <c r="W24" s="8"/>
      <c r="X24" s="8"/>
      <c r="Y24" s="8"/>
      <c r="Z24" s="8"/>
    </row>
    <row r="25" ht="18.0" customHeight="1">
      <c r="A25" s="8"/>
      <c r="B25" s="8"/>
      <c r="C25" s="8"/>
      <c r="D25" s="25"/>
      <c r="E25" s="25"/>
      <c r="F25" s="25" t="str">
        <f t="shared" si="1"/>
        <v>No</v>
      </c>
      <c r="G25" s="25"/>
      <c r="H25" s="25" t="str">
        <f t="shared" si="2"/>
        <v>No</v>
      </c>
      <c r="I25" s="8"/>
      <c r="J25" s="30" t="str">
        <f t="shared" si="3"/>
        <v/>
      </c>
      <c r="K25" s="30" t="str">
        <f t="shared" si="4"/>
        <v/>
      </c>
      <c r="L25" s="30" t="str">
        <f t="shared" si="5"/>
        <v/>
      </c>
      <c r="M25" s="30" t="str">
        <f t="shared" si="6"/>
        <v/>
      </c>
      <c r="N25" s="30" t="str">
        <f t="shared" si="7"/>
        <v/>
      </c>
      <c r="O25" s="8"/>
      <c r="P25" s="8"/>
      <c r="Q25" s="8"/>
      <c r="R25" s="8"/>
      <c r="S25" s="8"/>
      <c r="T25" s="8"/>
      <c r="U25" s="8"/>
      <c r="V25" s="8"/>
      <c r="W25" s="8"/>
      <c r="X25" s="8"/>
      <c r="Y25" s="8"/>
      <c r="Z25" s="8"/>
    </row>
    <row r="26" ht="18.0" customHeight="1">
      <c r="A26" s="8"/>
      <c r="B26" s="8"/>
      <c r="C26" s="8"/>
      <c r="D26" s="25"/>
      <c r="E26" s="25"/>
      <c r="F26" s="25" t="str">
        <f t="shared" si="1"/>
        <v>No</v>
      </c>
      <c r="G26" s="25"/>
      <c r="H26" s="25" t="str">
        <f t="shared" si="2"/>
        <v>No</v>
      </c>
      <c r="I26" s="8"/>
      <c r="J26" s="30" t="str">
        <f t="shared" si="3"/>
        <v/>
      </c>
      <c r="K26" s="30" t="str">
        <f t="shared" si="4"/>
        <v/>
      </c>
      <c r="L26" s="30" t="str">
        <f t="shared" si="5"/>
        <v/>
      </c>
      <c r="M26" s="30" t="str">
        <f t="shared" si="6"/>
        <v/>
      </c>
      <c r="N26" s="30" t="str">
        <f t="shared" si="7"/>
        <v/>
      </c>
      <c r="O26" s="8"/>
      <c r="P26" s="8"/>
      <c r="Q26" s="8"/>
      <c r="R26" s="8"/>
      <c r="S26" s="8"/>
      <c r="T26" s="8"/>
      <c r="U26" s="8"/>
      <c r="V26" s="8"/>
      <c r="W26" s="8"/>
      <c r="X26" s="8"/>
      <c r="Y26" s="8"/>
      <c r="Z26" s="8"/>
    </row>
    <row r="27" ht="18.0" customHeight="1">
      <c r="A27" s="8"/>
      <c r="B27" s="8"/>
      <c r="C27" s="8"/>
      <c r="D27" s="25"/>
      <c r="E27" s="25"/>
      <c r="F27" s="25" t="str">
        <f t="shared" si="1"/>
        <v>No</v>
      </c>
      <c r="G27" s="25"/>
      <c r="H27" s="25" t="str">
        <f t="shared" si="2"/>
        <v>No</v>
      </c>
      <c r="I27" s="8"/>
      <c r="J27" s="30" t="str">
        <f t="shared" si="3"/>
        <v/>
      </c>
      <c r="K27" s="30" t="str">
        <f t="shared" si="4"/>
        <v/>
      </c>
      <c r="L27" s="30" t="str">
        <f t="shared" si="5"/>
        <v/>
      </c>
      <c r="M27" s="30" t="str">
        <f t="shared" si="6"/>
        <v/>
      </c>
      <c r="N27" s="30" t="str">
        <f t="shared" si="7"/>
        <v/>
      </c>
      <c r="O27" s="8"/>
      <c r="P27" s="8"/>
      <c r="Q27" s="8"/>
      <c r="R27" s="8"/>
      <c r="S27" s="8"/>
      <c r="T27" s="8"/>
      <c r="U27" s="8"/>
      <c r="V27" s="8"/>
      <c r="W27" s="8"/>
      <c r="X27" s="8"/>
      <c r="Y27" s="8"/>
      <c r="Z27" s="8"/>
    </row>
    <row r="28" ht="18.0" customHeight="1">
      <c r="A28" s="8"/>
      <c r="B28" s="8"/>
      <c r="C28" s="8"/>
      <c r="D28" s="25"/>
      <c r="E28" s="25"/>
      <c r="F28" s="25" t="str">
        <f t="shared" si="1"/>
        <v>No</v>
      </c>
      <c r="G28" s="25"/>
      <c r="H28" s="25" t="str">
        <f t="shared" si="2"/>
        <v>No</v>
      </c>
      <c r="I28" s="8"/>
      <c r="J28" s="30" t="str">
        <f t="shared" si="3"/>
        <v/>
      </c>
      <c r="K28" s="30" t="str">
        <f t="shared" si="4"/>
        <v/>
      </c>
      <c r="L28" s="30" t="str">
        <f t="shared" si="5"/>
        <v/>
      </c>
      <c r="M28" s="30" t="str">
        <f t="shared" si="6"/>
        <v/>
      </c>
      <c r="N28" s="30" t="str">
        <f t="shared" si="7"/>
        <v/>
      </c>
      <c r="O28" s="8"/>
      <c r="P28" s="8"/>
      <c r="Q28" s="8"/>
      <c r="R28" s="8"/>
      <c r="S28" s="8"/>
      <c r="T28" s="8"/>
      <c r="U28" s="8"/>
      <c r="V28" s="8"/>
      <c r="W28" s="8"/>
      <c r="X28" s="8"/>
      <c r="Y28" s="8"/>
      <c r="Z28" s="8"/>
    </row>
    <row r="29" ht="18.0" customHeight="1">
      <c r="A29" s="8"/>
      <c r="B29" s="8"/>
      <c r="C29" s="8"/>
      <c r="D29" s="25"/>
      <c r="E29" s="25"/>
      <c r="F29" s="25" t="str">
        <f t="shared" si="1"/>
        <v>No</v>
      </c>
      <c r="G29" s="25"/>
      <c r="H29" s="25" t="str">
        <f t="shared" si="2"/>
        <v>No</v>
      </c>
      <c r="I29" s="8"/>
      <c r="J29" s="30" t="str">
        <f t="shared" si="3"/>
        <v/>
      </c>
      <c r="K29" s="30" t="str">
        <f t="shared" si="4"/>
        <v/>
      </c>
      <c r="L29" s="30" t="str">
        <f t="shared" si="5"/>
        <v/>
      </c>
      <c r="M29" s="30" t="str">
        <f t="shared" si="6"/>
        <v/>
      </c>
      <c r="N29" s="30" t="str">
        <f t="shared" si="7"/>
        <v/>
      </c>
      <c r="O29" s="8"/>
      <c r="P29" s="8"/>
      <c r="Q29" s="8"/>
      <c r="R29" s="8"/>
      <c r="S29" s="8"/>
      <c r="T29" s="8"/>
      <c r="U29" s="8"/>
      <c r="V29" s="8"/>
      <c r="W29" s="8"/>
      <c r="X29" s="8"/>
      <c r="Y29" s="8"/>
      <c r="Z29" s="8"/>
    </row>
    <row r="30" ht="18.0" customHeight="1">
      <c r="A30" s="8"/>
      <c r="B30" s="8"/>
      <c r="C30" s="8"/>
      <c r="D30" s="25"/>
      <c r="E30" s="25"/>
      <c r="F30" s="25" t="str">
        <f t="shared" si="1"/>
        <v>No</v>
      </c>
      <c r="G30" s="25"/>
      <c r="H30" s="25" t="str">
        <f t="shared" si="2"/>
        <v>No</v>
      </c>
      <c r="I30" s="8"/>
      <c r="J30" s="30" t="str">
        <f t="shared" si="3"/>
        <v/>
      </c>
      <c r="K30" s="30" t="str">
        <f t="shared" si="4"/>
        <v/>
      </c>
      <c r="L30" s="30" t="str">
        <f t="shared" si="5"/>
        <v/>
      </c>
      <c r="M30" s="30" t="str">
        <f t="shared" si="6"/>
        <v/>
      </c>
      <c r="N30" s="30" t="str">
        <f t="shared" si="7"/>
        <v/>
      </c>
      <c r="O30" s="8"/>
      <c r="P30" s="8"/>
      <c r="Q30" s="8"/>
      <c r="R30" s="8"/>
      <c r="S30" s="8"/>
      <c r="T30" s="8"/>
      <c r="U30" s="8"/>
      <c r="V30" s="8"/>
      <c r="W30" s="8"/>
      <c r="X30" s="8"/>
      <c r="Y30" s="8"/>
      <c r="Z30" s="8"/>
    </row>
    <row r="31" ht="18.0" customHeight="1">
      <c r="A31" s="8"/>
      <c r="B31" s="8"/>
      <c r="C31" s="8"/>
      <c r="D31" s="25"/>
      <c r="E31" s="25"/>
      <c r="F31" s="25" t="str">
        <f t="shared" si="1"/>
        <v>No</v>
      </c>
      <c r="G31" s="25"/>
      <c r="H31" s="25" t="str">
        <f t="shared" si="2"/>
        <v>No</v>
      </c>
      <c r="I31" s="8"/>
      <c r="J31" s="30" t="str">
        <f t="shared" si="3"/>
        <v/>
      </c>
      <c r="K31" s="30" t="str">
        <f t="shared" si="4"/>
        <v/>
      </c>
      <c r="L31" s="30" t="str">
        <f t="shared" si="5"/>
        <v/>
      </c>
      <c r="M31" s="30" t="str">
        <f t="shared" si="6"/>
        <v/>
      </c>
      <c r="N31" s="30" t="str">
        <f t="shared" si="7"/>
        <v/>
      </c>
      <c r="O31" s="8"/>
      <c r="P31" s="8"/>
      <c r="Q31" s="8"/>
      <c r="R31" s="8"/>
      <c r="S31" s="8"/>
      <c r="T31" s="8"/>
      <c r="U31" s="8"/>
      <c r="V31" s="8"/>
      <c r="W31" s="8"/>
      <c r="X31" s="8"/>
      <c r="Y31" s="8"/>
      <c r="Z31" s="8"/>
    </row>
    <row r="32" ht="18.0" customHeight="1">
      <c r="A32" s="8"/>
      <c r="B32" s="8"/>
      <c r="C32" s="8"/>
      <c r="D32" s="25"/>
      <c r="E32" s="25"/>
      <c r="F32" s="25" t="str">
        <f t="shared" si="1"/>
        <v>No</v>
      </c>
      <c r="G32" s="25"/>
      <c r="H32" s="25" t="str">
        <f t="shared" si="2"/>
        <v>No</v>
      </c>
      <c r="I32" s="8"/>
      <c r="J32" s="30" t="str">
        <f t="shared" si="3"/>
        <v/>
      </c>
      <c r="K32" s="30" t="str">
        <f t="shared" si="4"/>
        <v/>
      </c>
      <c r="L32" s="30" t="str">
        <f t="shared" si="5"/>
        <v/>
      </c>
      <c r="M32" s="30" t="str">
        <f t="shared" si="6"/>
        <v/>
      </c>
      <c r="N32" s="30" t="str">
        <f t="shared" si="7"/>
        <v/>
      </c>
      <c r="O32" s="8"/>
      <c r="P32" s="8"/>
      <c r="Q32" s="8"/>
      <c r="R32" s="8"/>
      <c r="S32" s="8"/>
      <c r="T32" s="8"/>
      <c r="U32" s="8"/>
      <c r="V32" s="8"/>
      <c r="W32" s="8"/>
      <c r="X32" s="8"/>
      <c r="Y32" s="8"/>
      <c r="Z32" s="8"/>
    </row>
    <row r="33" ht="18.0" customHeight="1">
      <c r="A33" s="8"/>
      <c r="B33" s="8"/>
      <c r="C33" s="8"/>
      <c r="D33" s="25"/>
      <c r="E33" s="25"/>
      <c r="F33" s="25" t="str">
        <f t="shared" si="1"/>
        <v>No</v>
      </c>
      <c r="G33" s="25"/>
      <c r="H33" s="25" t="str">
        <f t="shared" si="2"/>
        <v>No</v>
      </c>
      <c r="I33" s="8"/>
      <c r="J33" s="30" t="str">
        <f t="shared" si="3"/>
        <v/>
      </c>
      <c r="K33" s="30" t="str">
        <f t="shared" si="4"/>
        <v/>
      </c>
      <c r="L33" s="30" t="str">
        <f t="shared" si="5"/>
        <v/>
      </c>
      <c r="M33" s="30" t="str">
        <f t="shared" si="6"/>
        <v/>
      </c>
      <c r="N33" s="30" t="str">
        <f t="shared" si="7"/>
        <v/>
      </c>
      <c r="O33" s="8"/>
      <c r="P33" s="8"/>
      <c r="Q33" s="8"/>
      <c r="R33" s="8"/>
      <c r="S33" s="8"/>
      <c r="T33" s="8"/>
      <c r="U33" s="8"/>
      <c r="V33" s="8"/>
      <c r="W33" s="8"/>
      <c r="X33" s="8"/>
      <c r="Y33" s="8"/>
      <c r="Z33" s="8"/>
    </row>
    <row r="34" ht="18.0" customHeight="1">
      <c r="A34" s="8"/>
      <c r="B34" s="8"/>
      <c r="C34" s="8"/>
      <c r="D34" s="25"/>
      <c r="E34" s="25"/>
      <c r="F34" s="25" t="str">
        <f t="shared" si="1"/>
        <v>No</v>
      </c>
      <c r="G34" s="25"/>
      <c r="H34" s="25" t="str">
        <f t="shared" si="2"/>
        <v>No</v>
      </c>
      <c r="I34" s="8"/>
      <c r="J34" s="30" t="str">
        <f t="shared" si="3"/>
        <v/>
      </c>
      <c r="K34" s="30" t="str">
        <f t="shared" si="4"/>
        <v/>
      </c>
      <c r="L34" s="30" t="str">
        <f t="shared" si="5"/>
        <v/>
      </c>
      <c r="M34" s="30" t="str">
        <f t="shared" si="6"/>
        <v/>
      </c>
      <c r="N34" s="30" t="str">
        <f t="shared" si="7"/>
        <v/>
      </c>
      <c r="O34" s="8"/>
      <c r="P34" s="8"/>
      <c r="Q34" s="8"/>
      <c r="R34" s="8"/>
      <c r="S34" s="8"/>
      <c r="T34" s="8"/>
      <c r="U34" s="8"/>
      <c r="V34" s="8"/>
      <c r="W34" s="8"/>
      <c r="X34" s="8"/>
      <c r="Y34" s="8"/>
      <c r="Z34" s="8"/>
    </row>
    <row r="35" ht="18.0" customHeight="1">
      <c r="A35" s="8"/>
      <c r="B35" s="8"/>
      <c r="C35" s="8"/>
      <c r="D35" s="25"/>
      <c r="E35" s="25"/>
      <c r="F35" s="25" t="str">
        <f t="shared" si="1"/>
        <v>No</v>
      </c>
      <c r="G35" s="25"/>
      <c r="H35" s="25" t="str">
        <f t="shared" si="2"/>
        <v>No</v>
      </c>
      <c r="I35" s="8"/>
      <c r="J35" s="30" t="str">
        <f t="shared" si="3"/>
        <v/>
      </c>
      <c r="K35" s="30" t="str">
        <f t="shared" si="4"/>
        <v/>
      </c>
      <c r="L35" s="30" t="str">
        <f t="shared" si="5"/>
        <v/>
      </c>
      <c r="M35" s="30" t="str">
        <f t="shared" si="6"/>
        <v/>
      </c>
      <c r="N35" s="30" t="str">
        <f t="shared" si="7"/>
        <v/>
      </c>
      <c r="O35" s="8"/>
      <c r="P35" s="8"/>
      <c r="Q35" s="8"/>
      <c r="R35" s="8"/>
      <c r="S35" s="8"/>
      <c r="T35" s="8"/>
      <c r="U35" s="8"/>
      <c r="V35" s="8"/>
      <c r="W35" s="8"/>
      <c r="X35" s="8"/>
      <c r="Y35" s="8"/>
      <c r="Z35" s="8"/>
    </row>
    <row r="36" ht="18.0" customHeight="1">
      <c r="A36" s="8"/>
      <c r="B36" s="8"/>
      <c r="C36" s="8"/>
      <c r="D36" s="25"/>
      <c r="E36" s="25"/>
      <c r="F36" s="25" t="str">
        <f t="shared" si="1"/>
        <v>No</v>
      </c>
      <c r="G36" s="25"/>
      <c r="H36" s="25" t="str">
        <f t="shared" si="2"/>
        <v>No</v>
      </c>
      <c r="I36" s="8"/>
      <c r="J36" s="30" t="str">
        <f t="shared" si="3"/>
        <v/>
      </c>
      <c r="K36" s="30" t="str">
        <f t="shared" si="4"/>
        <v/>
      </c>
      <c r="L36" s="30" t="str">
        <f t="shared" si="5"/>
        <v/>
      </c>
      <c r="M36" s="30" t="str">
        <f t="shared" si="6"/>
        <v/>
      </c>
      <c r="N36" s="30" t="str">
        <f t="shared" si="7"/>
        <v/>
      </c>
      <c r="O36" s="8"/>
      <c r="P36" s="8"/>
      <c r="Q36" s="8"/>
      <c r="R36" s="8"/>
      <c r="S36" s="8"/>
      <c r="T36" s="8"/>
      <c r="U36" s="8"/>
      <c r="V36" s="8"/>
      <c r="W36" s="8"/>
      <c r="X36" s="8"/>
      <c r="Y36" s="8"/>
      <c r="Z36" s="8"/>
    </row>
    <row r="37" ht="18.0" customHeight="1">
      <c r="A37" s="8"/>
      <c r="B37" s="8"/>
      <c r="C37" s="8"/>
      <c r="D37" s="25"/>
      <c r="E37" s="25"/>
      <c r="F37" s="25" t="str">
        <f t="shared" si="1"/>
        <v>No</v>
      </c>
      <c r="G37" s="25"/>
      <c r="H37" s="25" t="str">
        <f t="shared" si="2"/>
        <v>No</v>
      </c>
      <c r="I37" s="8"/>
      <c r="J37" s="30" t="str">
        <f t="shared" si="3"/>
        <v/>
      </c>
      <c r="K37" s="30" t="str">
        <f t="shared" si="4"/>
        <v/>
      </c>
      <c r="L37" s="30" t="str">
        <f t="shared" si="5"/>
        <v/>
      </c>
      <c r="M37" s="30" t="str">
        <f t="shared" si="6"/>
        <v/>
      </c>
      <c r="N37" s="30" t="str">
        <f t="shared" si="7"/>
        <v/>
      </c>
      <c r="O37" s="8"/>
      <c r="P37" s="8"/>
      <c r="Q37" s="8"/>
      <c r="R37" s="8"/>
      <c r="S37" s="8"/>
      <c r="T37" s="8"/>
      <c r="U37" s="8"/>
      <c r="V37" s="8"/>
      <c r="W37" s="8"/>
      <c r="X37" s="8"/>
      <c r="Y37" s="8"/>
      <c r="Z37" s="8"/>
    </row>
    <row r="38" ht="18.0" customHeight="1">
      <c r="A38" s="8"/>
      <c r="B38" s="8"/>
      <c r="C38" s="8"/>
      <c r="D38" s="25"/>
      <c r="E38" s="25"/>
      <c r="F38" s="25" t="str">
        <f t="shared" si="1"/>
        <v>No</v>
      </c>
      <c r="G38" s="25"/>
      <c r="H38" s="25" t="str">
        <f t="shared" si="2"/>
        <v>No</v>
      </c>
      <c r="I38" s="8"/>
      <c r="J38" s="30" t="str">
        <f t="shared" si="3"/>
        <v/>
      </c>
      <c r="K38" s="30" t="str">
        <f t="shared" si="4"/>
        <v/>
      </c>
      <c r="L38" s="30" t="str">
        <f t="shared" si="5"/>
        <v/>
      </c>
      <c r="M38" s="30" t="str">
        <f t="shared" si="6"/>
        <v/>
      </c>
      <c r="N38" s="30" t="str">
        <f t="shared" si="7"/>
        <v/>
      </c>
      <c r="O38" s="8"/>
      <c r="P38" s="8"/>
      <c r="Q38" s="8"/>
      <c r="R38" s="8"/>
      <c r="S38" s="8"/>
      <c r="T38" s="8"/>
      <c r="U38" s="8"/>
      <c r="V38" s="8"/>
      <c r="W38" s="8"/>
      <c r="X38" s="8"/>
      <c r="Y38" s="8"/>
      <c r="Z38" s="8"/>
    </row>
    <row r="39" ht="18.0" customHeight="1">
      <c r="A39" s="8"/>
      <c r="B39" s="8"/>
      <c r="C39" s="8"/>
      <c r="D39" s="25"/>
      <c r="E39" s="25"/>
      <c r="F39" s="25" t="str">
        <f t="shared" si="1"/>
        <v>No</v>
      </c>
      <c r="G39" s="25"/>
      <c r="H39" s="25" t="str">
        <f t="shared" si="2"/>
        <v>No</v>
      </c>
      <c r="I39" s="8"/>
      <c r="J39" s="30" t="str">
        <f t="shared" si="3"/>
        <v/>
      </c>
      <c r="K39" s="30" t="str">
        <f t="shared" si="4"/>
        <v/>
      </c>
      <c r="L39" s="30" t="str">
        <f t="shared" si="5"/>
        <v/>
      </c>
      <c r="M39" s="30" t="str">
        <f t="shared" si="6"/>
        <v/>
      </c>
      <c r="N39" s="30" t="str">
        <f t="shared" si="7"/>
        <v/>
      </c>
      <c r="O39" s="8"/>
      <c r="P39" s="8"/>
      <c r="Q39" s="8"/>
      <c r="R39" s="8"/>
      <c r="S39" s="8"/>
      <c r="T39" s="8"/>
      <c r="U39" s="8"/>
      <c r="V39" s="8"/>
      <c r="W39" s="8"/>
      <c r="X39" s="8"/>
      <c r="Y39" s="8"/>
      <c r="Z39" s="8"/>
    </row>
    <row r="40" ht="18.0" customHeight="1">
      <c r="A40" s="8"/>
      <c r="B40" s="8"/>
      <c r="C40" s="8"/>
      <c r="D40" s="25"/>
      <c r="E40" s="25"/>
      <c r="F40" s="25" t="str">
        <f t="shared" si="1"/>
        <v>No</v>
      </c>
      <c r="G40" s="25"/>
      <c r="H40" s="25" t="str">
        <f t="shared" si="2"/>
        <v>No</v>
      </c>
      <c r="I40" s="8"/>
      <c r="J40" s="30" t="str">
        <f t="shared" si="3"/>
        <v/>
      </c>
      <c r="K40" s="30" t="str">
        <f t="shared" si="4"/>
        <v/>
      </c>
      <c r="L40" s="30" t="str">
        <f t="shared" si="5"/>
        <v/>
      </c>
      <c r="M40" s="30" t="str">
        <f t="shared" si="6"/>
        <v/>
      </c>
      <c r="N40" s="30" t="str">
        <f t="shared" si="7"/>
        <v/>
      </c>
      <c r="O40" s="8"/>
      <c r="P40" s="8"/>
      <c r="Q40" s="8"/>
      <c r="R40" s="8"/>
      <c r="S40" s="8"/>
      <c r="T40" s="8"/>
      <c r="U40" s="8"/>
      <c r="V40" s="8"/>
      <c r="W40" s="8"/>
      <c r="X40" s="8"/>
      <c r="Y40" s="8"/>
      <c r="Z40" s="8"/>
    </row>
    <row r="41" ht="18.0" customHeight="1">
      <c r="A41" s="8"/>
      <c r="B41" s="8"/>
      <c r="C41" s="8"/>
      <c r="D41" s="25"/>
      <c r="E41" s="25"/>
      <c r="F41" s="25" t="str">
        <f t="shared" si="1"/>
        <v>No</v>
      </c>
      <c r="G41" s="25"/>
      <c r="H41" s="25" t="str">
        <f t="shared" si="2"/>
        <v>No</v>
      </c>
      <c r="I41" s="8"/>
      <c r="J41" s="30" t="str">
        <f t="shared" si="3"/>
        <v/>
      </c>
      <c r="K41" s="30" t="str">
        <f t="shared" si="4"/>
        <v/>
      </c>
      <c r="L41" s="30" t="str">
        <f t="shared" si="5"/>
        <v/>
      </c>
      <c r="M41" s="30" t="str">
        <f t="shared" si="6"/>
        <v/>
      </c>
      <c r="N41" s="30" t="str">
        <f t="shared" si="7"/>
        <v/>
      </c>
      <c r="O41" s="8"/>
      <c r="P41" s="8"/>
      <c r="Q41" s="8"/>
      <c r="R41" s="8"/>
      <c r="S41" s="8"/>
      <c r="T41" s="8"/>
      <c r="U41" s="8"/>
      <c r="V41" s="8"/>
      <c r="W41" s="8"/>
      <c r="X41" s="8"/>
      <c r="Y41" s="8"/>
      <c r="Z41" s="8"/>
    </row>
    <row r="42" ht="18.0" customHeight="1">
      <c r="A42" s="8"/>
      <c r="B42" s="8"/>
      <c r="C42" s="8"/>
      <c r="D42" s="25"/>
      <c r="E42" s="25"/>
      <c r="F42" s="25" t="str">
        <f t="shared" si="1"/>
        <v>No</v>
      </c>
      <c r="G42" s="25"/>
      <c r="H42" s="25" t="str">
        <f t="shared" si="2"/>
        <v>No</v>
      </c>
      <c r="I42" s="8"/>
      <c r="J42" s="30" t="str">
        <f t="shared" si="3"/>
        <v/>
      </c>
      <c r="K42" s="30" t="str">
        <f t="shared" si="4"/>
        <v/>
      </c>
      <c r="L42" s="30" t="str">
        <f t="shared" si="5"/>
        <v/>
      </c>
      <c r="M42" s="30" t="str">
        <f t="shared" si="6"/>
        <v/>
      </c>
      <c r="N42" s="30" t="str">
        <f t="shared" si="7"/>
        <v/>
      </c>
      <c r="O42" s="8"/>
      <c r="P42" s="8"/>
      <c r="Q42" s="8"/>
      <c r="R42" s="8"/>
      <c r="S42" s="8"/>
      <c r="T42" s="8"/>
      <c r="U42" s="8"/>
      <c r="V42" s="8"/>
      <c r="W42" s="8"/>
      <c r="X42" s="8"/>
      <c r="Y42" s="8"/>
      <c r="Z42" s="8"/>
    </row>
    <row r="43" ht="18.0" customHeight="1">
      <c r="A43" s="8"/>
      <c r="B43" s="8"/>
      <c r="C43" s="8"/>
      <c r="D43" s="25"/>
      <c r="E43" s="25"/>
      <c r="F43" s="25" t="str">
        <f t="shared" si="1"/>
        <v>No</v>
      </c>
      <c r="G43" s="25"/>
      <c r="H43" s="25" t="str">
        <f t="shared" si="2"/>
        <v>No</v>
      </c>
      <c r="I43" s="8"/>
      <c r="J43" s="30" t="str">
        <f t="shared" si="3"/>
        <v/>
      </c>
      <c r="K43" s="30" t="str">
        <f t="shared" si="4"/>
        <v/>
      </c>
      <c r="L43" s="30" t="str">
        <f t="shared" si="5"/>
        <v/>
      </c>
      <c r="M43" s="30" t="str">
        <f t="shared" si="6"/>
        <v/>
      </c>
      <c r="N43" s="30" t="str">
        <f t="shared" si="7"/>
        <v/>
      </c>
      <c r="O43" s="8"/>
      <c r="P43" s="8"/>
      <c r="Q43" s="8"/>
      <c r="R43" s="8"/>
      <c r="S43" s="8"/>
      <c r="T43" s="8"/>
      <c r="U43" s="8"/>
      <c r="V43" s="8"/>
      <c r="W43" s="8"/>
      <c r="X43" s="8"/>
      <c r="Y43" s="8"/>
      <c r="Z43" s="8"/>
    </row>
    <row r="44" ht="18.0" customHeight="1">
      <c r="A44" s="8"/>
      <c r="B44" s="8"/>
      <c r="C44" s="8"/>
      <c r="D44" s="25"/>
      <c r="E44" s="25"/>
      <c r="F44" s="25" t="str">
        <f t="shared" si="1"/>
        <v>No</v>
      </c>
      <c r="G44" s="25"/>
      <c r="H44" s="25" t="str">
        <f t="shared" si="2"/>
        <v>No</v>
      </c>
      <c r="I44" s="8"/>
      <c r="J44" s="30" t="str">
        <f t="shared" si="3"/>
        <v/>
      </c>
      <c r="K44" s="30" t="str">
        <f t="shared" si="4"/>
        <v/>
      </c>
      <c r="L44" s="30" t="str">
        <f t="shared" si="5"/>
        <v/>
      </c>
      <c r="M44" s="30" t="str">
        <f t="shared" si="6"/>
        <v/>
      </c>
      <c r="N44" s="30" t="str">
        <f t="shared" si="7"/>
        <v/>
      </c>
      <c r="O44" s="8"/>
      <c r="P44" s="8"/>
      <c r="Q44" s="8"/>
      <c r="R44" s="8"/>
      <c r="S44" s="8"/>
      <c r="T44" s="8"/>
      <c r="U44" s="8"/>
      <c r="V44" s="8"/>
      <c r="W44" s="8"/>
      <c r="X44" s="8"/>
      <c r="Y44" s="8"/>
      <c r="Z44" s="8"/>
    </row>
    <row r="45" ht="18.0" customHeight="1">
      <c r="A45" s="8"/>
      <c r="B45" s="8"/>
      <c r="C45" s="8"/>
      <c r="D45" s="25"/>
      <c r="E45" s="25"/>
      <c r="F45" s="25" t="str">
        <f t="shared" si="1"/>
        <v>No</v>
      </c>
      <c r="G45" s="25"/>
      <c r="H45" s="25" t="str">
        <f t="shared" si="2"/>
        <v>No</v>
      </c>
      <c r="I45" s="8"/>
      <c r="J45" s="30" t="str">
        <f t="shared" si="3"/>
        <v/>
      </c>
      <c r="K45" s="30" t="str">
        <f t="shared" si="4"/>
        <v/>
      </c>
      <c r="L45" s="30" t="str">
        <f t="shared" si="5"/>
        <v/>
      </c>
      <c r="M45" s="30" t="str">
        <f t="shared" si="6"/>
        <v/>
      </c>
      <c r="N45" s="30" t="str">
        <f t="shared" si="7"/>
        <v/>
      </c>
      <c r="O45" s="8"/>
      <c r="P45" s="8"/>
      <c r="Q45" s="8"/>
      <c r="R45" s="8"/>
      <c r="S45" s="8"/>
      <c r="T45" s="8"/>
      <c r="U45" s="8"/>
      <c r="V45" s="8"/>
      <c r="W45" s="8"/>
      <c r="X45" s="8"/>
      <c r="Y45" s="8"/>
      <c r="Z45" s="8"/>
    </row>
    <row r="46" ht="18.0" customHeight="1">
      <c r="A46" s="8"/>
      <c r="B46" s="8"/>
      <c r="C46" s="8"/>
      <c r="D46" s="25"/>
      <c r="E46" s="25"/>
      <c r="F46" s="25" t="str">
        <f t="shared" si="1"/>
        <v>No</v>
      </c>
      <c r="G46" s="25"/>
      <c r="H46" s="25" t="str">
        <f t="shared" si="2"/>
        <v>No</v>
      </c>
      <c r="I46" s="8"/>
      <c r="J46" s="30" t="str">
        <f t="shared" si="3"/>
        <v/>
      </c>
      <c r="K46" s="30" t="str">
        <f t="shared" si="4"/>
        <v/>
      </c>
      <c r="L46" s="30" t="str">
        <f t="shared" si="5"/>
        <v/>
      </c>
      <c r="M46" s="30" t="str">
        <f t="shared" si="6"/>
        <v/>
      </c>
      <c r="N46" s="30" t="str">
        <f t="shared" si="7"/>
        <v/>
      </c>
      <c r="O46" s="8"/>
      <c r="P46" s="8"/>
      <c r="Q46" s="8"/>
      <c r="R46" s="8"/>
      <c r="S46" s="8"/>
      <c r="T46" s="8"/>
      <c r="U46" s="8"/>
      <c r="V46" s="8"/>
      <c r="W46" s="8"/>
      <c r="X46" s="8"/>
      <c r="Y46" s="8"/>
      <c r="Z46" s="8"/>
    </row>
    <row r="47" ht="18.0" customHeight="1">
      <c r="A47" s="8"/>
      <c r="B47" s="8"/>
      <c r="C47" s="8"/>
      <c r="D47" s="25"/>
      <c r="E47" s="25"/>
      <c r="F47" s="25" t="str">
        <f t="shared" si="1"/>
        <v>No</v>
      </c>
      <c r="G47" s="25"/>
      <c r="H47" s="25" t="str">
        <f t="shared" si="2"/>
        <v>No</v>
      </c>
      <c r="I47" s="8"/>
      <c r="J47" s="30" t="str">
        <f t="shared" si="3"/>
        <v/>
      </c>
      <c r="K47" s="30" t="str">
        <f t="shared" si="4"/>
        <v/>
      </c>
      <c r="L47" s="30" t="str">
        <f t="shared" si="5"/>
        <v/>
      </c>
      <c r="M47" s="30" t="str">
        <f t="shared" si="6"/>
        <v/>
      </c>
      <c r="N47" s="30" t="str">
        <f t="shared" si="7"/>
        <v/>
      </c>
      <c r="O47" s="8"/>
      <c r="P47" s="8"/>
      <c r="Q47" s="8"/>
      <c r="R47" s="8"/>
      <c r="S47" s="8"/>
      <c r="T47" s="8"/>
      <c r="U47" s="8"/>
      <c r="V47" s="8"/>
      <c r="W47" s="8"/>
      <c r="X47" s="8"/>
      <c r="Y47" s="8"/>
      <c r="Z47" s="8"/>
    </row>
    <row r="48" ht="18.0" customHeight="1">
      <c r="A48" s="8"/>
      <c r="B48" s="8"/>
      <c r="C48" s="8"/>
      <c r="D48" s="25"/>
      <c r="E48" s="25"/>
      <c r="F48" s="25" t="str">
        <f t="shared" si="1"/>
        <v>No</v>
      </c>
      <c r="G48" s="25"/>
      <c r="H48" s="25" t="str">
        <f t="shared" si="2"/>
        <v>No</v>
      </c>
      <c r="I48" s="8"/>
      <c r="J48" s="30" t="str">
        <f t="shared" si="3"/>
        <v/>
      </c>
      <c r="K48" s="30" t="str">
        <f t="shared" si="4"/>
        <v/>
      </c>
      <c r="L48" s="30" t="str">
        <f t="shared" si="5"/>
        <v/>
      </c>
      <c r="M48" s="30" t="str">
        <f t="shared" si="6"/>
        <v/>
      </c>
      <c r="N48" s="30" t="str">
        <f t="shared" si="7"/>
        <v/>
      </c>
      <c r="O48" s="8"/>
      <c r="P48" s="8"/>
      <c r="Q48" s="8"/>
      <c r="R48" s="8"/>
      <c r="S48" s="8"/>
      <c r="T48" s="8"/>
      <c r="U48" s="8"/>
      <c r="V48" s="8"/>
      <c r="W48" s="8"/>
      <c r="X48" s="8"/>
      <c r="Y48" s="8"/>
      <c r="Z48" s="8"/>
    </row>
    <row r="49" ht="18.0" customHeight="1">
      <c r="A49" s="8"/>
      <c r="B49" s="8"/>
      <c r="C49" s="8"/>
      <c r="D49" s="25"/>
      <c r="E49" s="25"/>
      <c r="F49" s="25" t="str">
        <f t="shared" si="1"/>
        <v>No</v>
      </c>
      <c r="G49" s="25"/>
      <c r="H49" s="25" t="str">
        <f t="shared" si="2"/>
        <v>No</v>
      </c>
      <c r="I49" s="8"/>
      <c r="J49" s="30" t="str">
        <f t="shared" si="3"/>
        <v/>
      </c>
      <c r="K49" s="30" t="str">
        <f t="shared" si="4"/>
        <v/>
      </c>
      <c r="L49" s="30" t="str">
        <f t="shared" si="5"/>
        <v/>
      </c>
      <c r="M49" s="30" t="str">
        <f t="shared" si="6"/>
        <v/>
      </c>
      <c r="N49" s="30" t="str">
        <f t="shared" si="7"/>
        <v/>
      </c>
      <c r="O49" s="8"/>
      <c r="P49" s="8"/>
      <c r="Q49" s="8"/>
      <c r="R49" s="8"/>
      <c r="S49" s="8"/>
      <c r="T49" s="8"/>
      <c r="U49" s="8"/>
      <c r="V49" s="8"/>
      <c r="W49" s="8"/>
      <c r="X49" s="8"/>
      <c r="Y49" s="8"/>
      <c r="Z49" s="8"/>
    </row>
    <row r="50" ht="18.0" customHeight="1">
      <c r="A50" s="8"/>
      <c r="B50" s="8"/>
      <c r="C50" s="8"/>
      <c r="D50" s="25"/>
      <c r="E50" s="25"/>
      <c r="F50" s="25" t="str">
        <f t="shared" si="1"/>
        <v>No</v>
      </c>
      <c r="G50" s="25"/>
      <c r="H50" s="25" t="str">
        <f t="shared" si="2"/>
        <v>No</v>
      </c>
      <c r="I50" s="8"/>
      <c r="J50" s="30" t="str">
        <f t="shared" si="3"/>
        <v/>
      </c>
      <c r="K50" s="30" t="str">
        <f t="shared" si="4"/>
        <v/>
      </c>
      <c r="L50" s="30" t="str">
        <f t="shared" si="5"/>
        <v/>
      </c>
      <c r="M50" s="30" t="str">
        <f t="shared" si="6"/>
        <v/>
      </c>
      <c r="N50" s="30" t="str">
        <f t="shared" si="7"/>
        <v/>
      </c>
      <c r="O50" s="8"/>
      <c r="P50" s="8"/>
      <c r="Q50" s="8"/>
      <c r="R50" s="8"/>
      <c r="S50" s="8"/>
      <c r="T50" s="8"/>
      <c r="U50" s="8"/>
      <c r="V50" s="8"/>
      <c r="W50" s="8"/>
      <c r="X50" s="8"/>
      <c r="Y50" s="8"/>
      <c r="Z50" s="8"/>
    </row>
    <row r="51" ht="18.0" customHeight="1">
      <c r="A51" s="8"/>
      <c r="B51" s="8"/>
      <c r="C51" s="8"/>
      <c r="D51" s="25"/>
      <c r="E51" s="25"/>
      <c r="F51" s="25" t="str">
        <f t="shared" si="1"/>
        <v>No</v>
      </c>
      <c r="G51" s="25"/>
      <c r="H51" s="25" t="str">
        <f t="shared" si="2"/>
        <v>No</v>
      </c>
      <c r="I51" s="8"/>
      <c r="J51" s="30" t="str">
        <f t="shared" si="3"/>
        <v/>
      </c>
      <c r="K51" s="30" t="str">
        <f t="shared" si="4"/>
        <v/>
      </c>
      <c r="L51" s="30" t="str">
        <f t="shared" si="5"/>
        <v/>
      </c>
      <c r="M51" s="30" t="str">
        <f t="shared" si="6"/>
        <v/>
      </c>
      <c r="N51" s="30" t="str">
        <f t="shared" si="7"/>
        <v/>
      </c>
      <c r="O51" s="8"/>
      <c r="P51" s="8"/>
      <c r="Q51" s="8"/>
      <c r="R51" s="8"/>
      <c r="S51" s="8"/>
      <c r="T51" s="8"/>
      <c r="U51" s="8"/>
      <c r="V51" s="8"/>
      <c r="W51" s="8"/>
      <c r="X51" s="8"/>
      <c r="Y51" s="8"/>
      <c r="Z51" s="8"/>
    </row>
    <row r="52" ht="18.0" customHeight="1">
      <c r="A52" s="8"/>
      <c r="B52" s="8"/>
      <c r="C52" s="8"/>
      <c r="D52" s="25"/>
      <c r="E52" s="25"/>
      <c r="F52" s="25" t="str">
        <f t="shared" si="1"/>
        <v>No</v>
      </c>
      <c r="G52" s="25"/>
      <c r="H52" s="25" t="str">
        <f t="shared" si="2"/>
        <v>No</v>
      </c>
      <c r="I52" s="8"/>
      <c r="J52" s="30" t="str">
        <f t="shared" si="3"/>
        <v/>
      </c>
      <c r="K52" s="30" t="str">
        <f t="shared" si="4"/>
        <v/>
      </c>
      <c r="L52" s="30" t="str">
        <f t="shared" si="5"/>
        <v/>
      </c>
      <c r="M52" s="30" t="str">
        <f t="shared" si="6"/>
        <v/>
      </c>
      <c r="N52" s="30" t="str">
        <f t="shared" si="7"/>
        <v/>
      </c>
      <c r="O52" s="8"/>
      <c r="P52" s="8"/>
      <c r="Q52" s="8"/>
      <c r="R52" s="8"/>
      <c r="S52" s="8"/>
      <c r="T52" s="8"/>
      <c r="U52" s="8"/>
      <c r="V52" s="8"/>
      <c r="W52" s="8"/>
      <c r="X52" s="8"/>
      <c r="Y52" s="8"/>
      <c r="Z52" s="8"/>
    </row>
    <row r="53" ht="18.0" customHeight="1">
      <c r="A53" s="8"/>
      <c r="B53" s="8"/>
      <c r="C53" s="8"/>
      <c r="D53" s="25"/>
      <c r="E53" s="25"/>
      <c r="F53" s="25" t="str">
        <f t="shared" si="1"/>
        <v>No</v>
      </c>
      <c r="G53" s="25"/>
      <c r="H53" s="25" t="str">
        <f t="shared" si="2"/>
        <v>No</v>
      </c>
      <c r="I53" s="8"/>
      <c r="J53" s="30" t="str">
        <f t="shared" si="3"/>
        <v/>
      </c>
      <c r="K53" s="30" t="str">
        <f t="shared" si="4"/>
        <v/>
      </c>
      <c r="L53" s="30" t="str">
        <f t="shared" si="5"/>
        <v/>
      </c>
      <c r="M53" s="30" t="str">
        <f t="shared" si="6"/>
        <v/>
      </c>
      <c r="N53" s="30" t="str">
        <f t="shared" si="7"/>
        <v/>
      </c>
      <c r="O53" s="8"/>
      <c r="P53" s="8"/>
      <c r="Q53" s="8"/>
      <c r="R53" s="8"/>
      <c r="S53" s="8"/>
      <c r="T53" s="8"/>
      <c r="U53" s="8"/>
      <c r="V53" s="8"/>
      <c r="W53" s="8"/>
      <c r="X53" s="8"/>
      <c r="Y53" s="8"/>
      <c r="Z53" s="8"/>
    </row>
    <row r="54" ht="18.0" customHeight="1">
      <c r="A54" s="8"/>
      <c r="B54" s="8"/>
      <c r="C54" s="8"/>
      <c r="D54" s="25"/>
      <c r="E54" s="25"/>
      <c r="F54" s="25" t="str">
        <f t="shared" si="1"/>
        <v>No</v>
      </c>
      <c r="G54" s="25"/>
      <c r="H54" s="25" t="str">
        <f t="shared" si="2"/>
        <v>No</v>
      </c>
      <c r="I54" s="8"/>
      <c r="J54" s="30" t="str">
        <f t="shared" si="3"/>
        <v/>
      </c>
      <c r="K54" s="30" t="str">
        <f t="shared" si="4"/>
        <v/>
      </c>
      <c r="L54" s="30" t="str">
        <f t="shared" si="5"/>
        <v/>
      </c>
      <c r="M54" s="30" t="str">
        <f t="shared" si="6"/>
        <v/>
      </c>
      <c r="N54" s="30" t="str">
        <f t="shared" si="7"/>
        <v/>
      </c>
      <c r="O54" s="8"/>
      <c r="P54" s="8"/>
      <c r="Q54" s="8"/>
      <c r="R54" s="8"/>
      <c r="S54" s="8"/>
      <c r="T54" s="8"/>
      <c r="U54" s="8"/>
      <c r="V54" s="8"/>
      <c r="W54" s="8"/>
      <c r="X54" s="8"/>
      <c r="Y54" s="8"/>
      <c r="Z54" s="8"/>
    </row>
    <row r="55" ht="18.0" customHeight="1">
      <c r="A55" s="8"/>
      <c r="B55" s="8"/>
      <c r="C55" s="8"/>
      <c r="D55" s="25"/>
      <c r="E55" s="25"/>
      <c r="F55" s="25" t="str">
        <f t="shared" si="1"/>
        <v>No</v>
      </c>
      <c r="G55" s="25"/>
      <c r="H55" s="25" t="str">
        <f t="shared" si="2"/>
        <v>No</v>
      </c>
      <c r="I55" s="8"/>
      <c r="J55" s="30" t="str">
        <f t="shared" si="3"/>
        <v/>
      </c>
      <c r="K55" s="30" t="str">
        <f t="shared" si="4"/>
        <v/>
      </c>
      <c r="L55" s="30" t="str">
        <f t="shared" si="5"/>
        <v/>
      </c>
      <c r="M55" s="30" t="str">
        <f t="shared" si="6"/>
        <v/>
      </c>
      <c r="N55" s="30" t="str">
        <f t="shared" si="7"/>
        <v/>
      </c>
      <c r="O55" s="8"/>
      <c r="P55" s="8"/>
      <c r="Q55" s="8"/>
      <c r="R55" s="8"/>
      <c r="S55" s="8"/>
      <c r="T55" s="8"/>
      <c r="U55" s="8"/>
      <c r="V55" s="8"/>
      <c r="W55" s="8"/>
      <c r="X55" s="8"/>
      <c r="Y55" s="8"/>
      <c r="Z55" s="8"/>
    </row>
    <row r="56" ht="18.0" customHeight="1">
      <c r="A56" s="8"/>
      <c r="B56" s="8"/>
      <c r="C56" s="8"/>
      <c r="D56" s="25"/>
      <c r="E56" s="25"/>
      <c r="F56" s="25" t="str">
        <f t="shared" si="1"/>
        <v>No</v>
      </c>
      <c r="G56" s="25"/>
      <c r="H56" s="25" t="str">
        <f t="shared" si="2"/>
        <v>No</v>
      </c>
      <c r="I56" s="8"/>
      <c r="J56" s="30" t="str">
        <f t="shared" si="3"/>
        <v/>
      </c>
      <c r="K56" s="30" t="str">
        <f t="shared" si="4"/>
        <v/>
      </c>
      <c r="L56" s="30" t="str">
        <f t="shared" si="5"/>
        <v/>
      </c>
      <c r="M56" s="30" t="str">
        <f t="shared" si="6"/>
        <v/>
      </c>
      <c r="N56" s="30" t="str">
        <f t="shared" si="7"/>
        <v/>
      </c>
      <c r="O56" s="8"/>
      <c r="P56" s="8"/>
      <c r="Q56" s="8"/>
      <c r="R56" s="8"/>
      <c r="S56" s="8"/>
      <c r="T56" s="8"/>
      <c r="U56" s="8"/>
      <c r="V56" s="8"/>
      <c r="W56" s="8"/>
      <c r="X56" s="8"/>
      <c r="Y56" s="8"/>
      <c r="Z56" s="8"/>
    </row>
    <row r="57" ht="18.0" customHeight="1">
      <c r="A57" s="8"/>
      <c r="B57" s="8"/>
      <c r="C57" s="8"/>
      <c r="D57" s="25"/>
      <c r="E57" s="25"/>
      <c r="F57" s="25" t="str">
        <f t="shared" si="1"/>
        <v>No</v>
      </c>
      <c r="G57" s="25"/>
      <c r="H57" s="25" t="str">
        <f t="shared" si="2"/>
        <v>No</v>
      </c>
      <c r="I57" s="8"/>
      <c r="J57" s="30" t="str">
        <f t="shared" si="3"/>
        <v/>
      </c>
      <c r="K57" s="30" t="str">
        <f t="shared" si="4"/>
        <v/>
      </c>
      <c r="L57" s="30" t="str">
        <f t="shared" si="5"/>
        <v/>
      </c>
      <c r="M57" s="30" t="str">
        <f t="shared" si="6"/>
        <v/>
      </c>
      <c r="N57" s="30" t="str">
        <f t="shared" si="7"/>
        <v/>
      </c>
      <c r="O57" s="8"/>
      <c r="P57" s="8"/>
      <c r="Q57" s="8"/>
      <c r="R57" s="8"/>
      <c r="S57" s="8"/>
      <c r="T57" s="8"/>
      <c r="U57" s="8"/>
      <c r="V57" s="8"/>
      <c r="W57" s="8"/>
      <c r="X57" s="8"/>
      <c r="Y57" s="8"/>
      <c r="Z57" s="8"/>
    </row>
    <row r="58" ht="18.0" customHeight="1">
      <c r="A58" s="8"/>
      <c r="B58" s="8"/>
      <c r="C58" s="8"/>
      <c r="D58" s="25"/>
      <c r="E58" s="25"/>
      <c r="F58" s="25" t="str">
        <f t="shared" si="1"/>
        <v>No</v>
      </c>
      <c r="G58" s="25"/>
      <c r="H58" s="25" t="str">
        <f t="shared" si="2"/>
        <v>No</v>
      </c>
      <c r="I58" s="8"/>
      <c r="J58" s="30" t="str">
        <f t="shared" si="3"/>
        <v/>
      </c>
      <c r="K58" s="30" t="str">
        <f t="shared" si="4"/>
        <v/>
      </c>
      <c r="L58" s="30" t="str">
        <f t="shared" si="5"/>
        <v/>
      </c>
      <c r="M58" s="30" t="str">
        <f t="shared" si="6"/>
        <v/>
      </c>
      <c r="N58" s="30" t="str">
        <f t="shared" si="7"/>
        <v/>
      </c>
      <c r="O58" s="8"/>
      <c r="P58" s="8"/>
      <c r="Q58" s="8"/>
      <c r="R58" s="8"/>
      <c r="S58" s="8"/>
      <c r="T58" s="8"/>
      <c r="U58" s="8"/>
      <c r="V58" s="8"/>
      <c r="W58" s="8"/>
      <c r="X58" s="8"/>
      <c r="Y58" s="8"/>
      <c r="Z58" s="8"/>
    </row>
    <row r="59" ht="18.0" customHeight="1">
      <c r="A59" s="8"/>
      <c r="B59" s="8"/>
      <c r="C59" s="8"/>
      <c r="D59" s="25"/>
      <c r="E59" s="25"/>
      <c r="F59" s="25" t="str">
        <f t="shared" si="1"/>
        <v>No</v>
      </c>
      <c r="G59" s="25"/>
      <c r="H59" s="25" t="str">
        <f t="shared" si="2"/>
        <v>No</v>
      </c>
      <c r="I59" s="8"/>
      <c r="J59" s="30" t="str">
        <f t="shared" si="3"/>
        <v/>
      </c>
      <c r="K59" s="30" t="str">
        <f t="shared" si="4"/>
        <v/>
      </c>
      <c r="L59" s="30" t="str">
        <f t="shared" si="5"/>
        <v/>
      </c>
      <c r="M59" s="30" t="str">
        <f t="shared" si="6"/>
        <v/>
      </c>
      <c r="N59" s="30" t="str">
        <f t="shared" si="7"/>
        <v/>
      </c>
      <c r="O59" s="8"/>
      <c r="P59" s="8"/>
      <c r="Q59" s="8"/>
      <c r="R59" s="8"/>
      <c r="S59" s="8"/>
      <c r="T59" s="8"/>
      <c r="U59" s="8"/>
      <c r="V59" s="8"/>
      <c r="W59" s="8"/>
      <c r="X59" s="8"/>
      <c r="Y59" s="8"/>
      <c r="Z59" s="8"/>
    </row>
    <row r="60" ht="18.0" customHeight="1">
      <c r="A60" s="8"/>
      <c r="B60" s="8"/>
      <c r="C60" s="8"/>
      <c r="D60" s="25"/>
      <c r="E60" s="25"/>
      <c r="F60" s="25" t="str">
        <f t="shared" si="1"/>
        <v>No</v>
      </c>
      <c r="G60" s="25"/>
      <c r="H60" s="25" t="str">
        <f t="shared" si="2"/>
        <v>No</v>
      </c>
      <c r="I60" s="8"/>
      <c r="J60" s="30" t="str">
        <f t="shared" si="3"/>
        <v/>
      </c>
      <c r="K60" s="30" t="str">
        <f t="shared" si="4"/>
        <v/>
      </c>
      <c r="L60" s="30" t="str">
        <f t="shared" si="5"/>
        <v/>
      </c>
      <c r="M60" s="30" t="str">
        <f t="shared" si="6"/>
        <v/>
      </c>
      <c r="N60" s="30" t="str">
        <f t="shared" si="7"/>
        <v/>
      </c>
      <c r="O60" s="8"/>
      <c r="P60" s="8"/>
      <c r="Q60" s="8"/>
      <c r="R60" s="8"/>
      <c r="S60" s="8"/>
      <c r="T60" s="8"/>
      <c r="U60" s="8"/>
      <c r="V60" s="8"/>
      <c r="W60" s="8"/>
      <c r="X60" s="8"/>
      <c r="Y60" s="8"/>
      <c r="Z60" s="8"/>
    </row>
    <row r="61" ht="18.0" customHeight="1">
      <c r="A61" s="8"/>
      <c r="B61" s="8"/>
      <c r="C61" s="8"/>
      <c r="D61" s="25"/>
      <c r="E61" s="25"/>
      <c r="F61" s="25" t="str">
        <f t="shared" si="1"/>
        <v>No</v>
      </c>
      <c r="G61" s="25"/>
      <c r="H61" s="25" t="str">
        <f t="shared" si="2"/>
        <v>No</v>
      </c>
      <c r="I61" s="8"/>
      <c r="J61" s="30" t="str">
        <f t="shared" si="3"/>
        <v/>
      </c>
      <c r="K61" s="30" t="str">
        <f t="shared" si="4"/>
        <v/>
      </c>
      <c r="L61" s="30" t="str">
        <f t="shared" si="5"/>
        <v/>
      </c>
      <c r="M61" s="30" t="str">
        <f t="shared" si="6"/>
        <v/>
      </c>
      <c r="N61" s="30" t="str">
        <f t="shared" si="7"/>
        <v/>
      </c>
      <c r="O61" s="8"/>
      <c r="P61" s="8"/>
      <c r="Q61" s="8"/>
      <c r="R61" s="8"/>
      <c r="S61" s="8"/>
      <c r="T61" s="8"/>
      <c r="U61" s="8"/>
      <c r="V61" s="8"/>
      <c r="W61" s="8"/>
      <c r="X61" s="8"/>
      <c r="Y61" s="8"/>
      <c r="Z61" s="8"/>
    </row>
    <row r="62" ht="18.0" customHeight="1">
      <c r="A62" s="8"/>
      <c r="B62" s="8"/>
      <c r="C62" s="8"/>
      <c r="D62" s="25"/>
      <c r="E62" s="25"/>
      <c r="F62" s="25" t="str">
        <f t="shared" si="1"/>
        <v>No</v>
      </c>
      <c r="G62" s="25"/>
      <c r="H62" s="25" t="str">
        <f t="shared" si="2"/>
        <v>No</v>
      </c>
      <c r="I62" s="8"/>
      <c r="J62" s="30" t="str">
        <f t="shared" si="3"/>
        <v/>
      </c>
      <c r="K62" s="30" t="str">
        <f t="shared" si="4"/>
        <v/>
      </c>
      <c r="L62" s="30" t="str">
        <f t="shared" si="5"/>
        <v/>
      </c>
      <c r="M62" s="30" t="str">
        <f t="shared" si="6"/>
        <v/>
      </c>
      <c r="N62" s="30" t="str">
        <f t="shared" si="7"/>
        <v/>
      </c>
      <c r="O62" s="8"/>
      <c r="P62" s="8"/>
      <c r="Q62" s="8"/>
      <c r="R62" s="8"/>
      <c r="S62" s="8"/>
      <c r="T62" s="8"/>
      <c r="U62" s="8"/>
      <c r="V62" s="8"/>
      <c r="W62" s="8"/>
      <c r="X62" s="8"/>
      <c r="Y62" s="8"/>
      <c r="Z62" s="8"/>
    </row>
    <row r="63" ht="18.0" customHeight="1">
      <c r="A63" s="8"/>
      <c r="B63" s="8"/>
      <c r="C63" s="8"/>
      <c r="D63" s="25"/>
      <c r="E63" s="25"/>
      <c r="F63" s="25" t="str">
        <f t="shared" si="1"/>
        <v>No</v>
      </c>
      <c r="G63" s="25"/>
      <c r="H63" s="25" t="str">
        <f t="shared" si="2"/>
        <v>No</v>
      </c>
      <c r="I63" s="8"/>
      <c r="J63" s="30" t="str">
        <f t="shared" si="3"/>
        <v/>
      </c>
      <c r="K63" s="30" t="str">
        <f t="shared" si="4"/>
        <v/>
      </c>
      <c r="L63" s="30" t="str">
        <f t="shared" si="5"/>
        <v/>
      </c>
      <c r="M63" s="30" t="str">
        <f t="shared" si="6"/>
        <v/>
      </c>
      <c r="N63" s="30" t="str">
        <f t="shared" si="7"/>
        <v/>
      </c>
      <c r="O63" s="8"/>
      <c r="P63" s="8"/>
      <c r="Q63" s="8"/>
      <c r="R63" s="8"/>
      <c r="S63" s="8"/>
      <c r="T63" s="8"/>
      <c r="U63" s="8"/>
      <c r="V63" s="8"/>
      <c r="W63" s="8"/>
      <c r="X63" s="8"/>
      <c r="Y63" s="8"/>
      <c r="Z63" s="8"/>
    </row>
    <row r="64" ht="18.0" customHeight="1">
      <c r="A64" s="8"/>
      <c r="B64" s="8"/>
      <c r="C64" s="8"/>
      <c r="D64" s="25"/>
      <c r="E64" s="25"/>
      <c r="F64" s="25" t="str">
        <f t="shared" si="1"/>
        <v>No</v>
      </c>
      <c r="G64" s="25"/>
      <c r="H64" s="25" t="str">
        <f t="shared" si="2"/>
        <v>No</v>
      </c>
      <c r="I64" s="8"/>
      <c r="J64" s="30" t="str">
        <f t="shared" si="3"/>
        <v/>
      </c>
      <c r="K64" s="30" t="str">
        <f t="shared" si="4"/>
        <v/>
      </c>
      <c r="L64" s="30" t="str">
        <f t="shared" si="5"/>
        <v/>
      </c>
      <c r="M64" s="30" t="str">
        <f t="shared" si="6"/>
        <v/>
      </c>
      <c r="N64" s="30" t="str">
        <f t="shared" si="7"/>
        <v/>
      </c>
      <c r="O64" s="8"/>
      <c r="P64" s="8"/>
      <c r="Q64" s="8"/>
      <c r="R64" s="8"/>
      <c r="S64" s="8"/>
      <c r="T64" s="8"/>
      <c r="U64" s="8"/>
      <c r="V64" s="8"/>
      <c r="W64" s="8"/>
      <c r="X64" s="8"/>
      <c r="Y64" s="8"/>
      <c r="Z64" s="8"/>
    </row>
    <row r="65" ht="18.0" customHeight="1">
      <c r="A65" s="8"/>
      <c r="B65" s="8"/>
      <c r="C65" s="8"/>
      <c r="D65" s="25"/>
      <c r="E65" s="25"/>
      <c r="F65" s="25" t="str">
        <f t="shared" si="1"/>
        <v>No</v>
      </c>
      <c r="G65" s="25"/>
      <c r="H65" s="25" t="str">
        <f t="shared" si="2"/>
        <v>No</v>
      </c>
      <c r="I65" s="8"/>
      <c r="J65" s="30" t="str">
        <f t="shared" si="3"/>
        <v/>
      </c>
      <c r="K65" s="30" t="str">
        <f t="shared" si="4"/>
        <v/>
      </c>
      <c r="L65" s="30" t="str">
        <f t="shared" si="5"/>
        <v/>
      </c>
      <c r="M65" s="30" t="str">
        <f t="shared" si="6"/>
        <v/>
      </c>
      <c r="N65" s="30" t="str">
        <f t="shared" si="7"/>
        <v/>
      </c>
      <c r="O65" s="8"/>
      <c r="P65" s="8"/>
      <c r="Q65" s="8"/>
      <c r="R65" s="8"/>
      <c r="S65" s="8"/>
      <c r="T65" s="8"/>
      <c r="U65" s="8"/>
      <c r="V65" s="8"/>
      <c r="W65" s="8"/>
      <c r="X65" s="8"/>
      <c r="Y65" s="8"/>
      <c r="Z65" s="8"/>
    </row>
    <row r="66" ht="18.0" customHeight="1">
      <c r="A66" s="8"/>
      <c r="B66" s="8"/>
      <c r="C66" s="8"/>
      <c r="D66" s="25"/>
      <c r="E66" s="25"/>
      <c r="F66" s="25" t="str">
        <f t="shared" si="1"/>
        <v>No</v>
      </c>
      <c r="G66" s="25"/>
      <c r="H66" s="25" t="str">
        <f t="shared" si="2"/>
        <v>No</v>
      </c>
      <c r="I66" s="8"/>
      <c r="J66" s="30" t="str">
        <f t="shared" si="3"/>
        <v/>
      </c>
      <c r="K66" s="30" t="str">
        <f t="shared" si="4"/>
        <v/>
      </c>
      <c r="L66" s="30" t="str">
        <f t="shared" si="5"/>
        <v/>
      </c>
      <c r="M66" s="30" t="str">
        <f t="shared" si="6"/>
        <v/>
      </c>
      <c r="N66" s="30" t="str">
        <f t="shared" si="7"/>
        <v/>
      </c>
      <c r="O66" s="8"/>
      <c r="P66" s="8"/>
      <c r="Q66" s="8"/>
      <c r="R66" s="8"/>
      <c r="S66" s="8"/>
      <c r="T66" s="8"/>
      <c r="U66" s="8"/>
      <c r="V66" s="8"/>
      <c r="W66" s="8"/>
      <c r="X66" s="8"/>
      <c r="Y66" s="8"/>
      <c r="Z66" s="8"/>
    </row>
    <row r="67" ht="18.0" customHeight="1">
      <c r="A67" s="8"/>
      <c r="B67" s="8"/>
      <c r="C67" s="8"/>
      <c r="D67" s="25"/>
      <c r="E67" s="25"/>
      <c r="F67" s="25" t="str">
        <f t="shared" si="1"/>
        <v>No</v>
      </c>
      <c r="G67" s="25"/>
      <c r="H67" s="25" t="str">
        <f t="shared" si="2"/>
        <v>No</v>
      </c>
      <c r="I67" s="8"/>
      <c r="J67" s="30" t="str">
        <f t="shared" si="3"/>
        <v/>
      </c>
      <c r="K67" s="30" t="str">
        <f t="shared" si="4"/>
        <v/>
      </c>
      <c r="L67" s="30" t="str">
        <f t="shared" si="5"/>
        <v/>
      </c>
      <c r="M67" s="30" t="str">
        <f t="shared" si="6"/>
        <v/>
      </c>
      <c r="N67" s="30" t="str">
        <f t="shared" si="7"/>
        <v/>
      </c>
      <c r="O67" s="8"/>
      <c r="P67" s="8"/>
      <c r="Q67" s="8"/>
      <c r="R67" s="8"/>
      <c r="S67" s="8"/>
      <c r="T67" s="8"/>
      <c r="U67" s="8"/>
      <c r="V67" s="8"/>
      <c r="W67" s="8"/>
      <c r="X67" s="8"/>
      <c r="Y67" s="8"/>
      <c r="Z67" s="8"/>
    </row>
    <row r="68" ht="18.0" customHeight="1">
      <c r="A68" s="8"/>
      <c r="B68" s="8"/>
      <c r="C68" s="8"/>
      <c r="D68" s="25"/>
      <c r="E68" s="25"/>
      <c r="F68" s="25" t="str">
        <f t="shared" si="1"/>
        <v>No</v>
      </c>
      <c r="G68" s="25"/>
      <c r="H68" s="25" t="str">
        <f t="shared" si="2"/>
        <v>No</v>
      </c>
      <c r="I68" s="8"/>
      <c r="J68" s="30" t="str">
        <f t="shared" si="3"/>
        <v/>
      </c>
      <c r="K68" s="30" t="str">
        <f t="shared" si="4"/>
        <v/>
      </c>
      <c r="L68" s="30" t="str">
        <f t="shared" si="5"/>
        <v/>
      </c>
      <c r="M68" s="30" t="str">
        <f t="shared" si="6"/>
        <v/>
      </c>
      <c r="N68" s="30" t="str">
        <f t="shared" si="7"/>
        <v/>
      </c>
      <c r="O68" s="8"/>
      <c r="P68" s="8"/>
      <c r="Q68" s="8"/>
      <c r="R68" s="8"/>
      <c r="S68" s="8"/>
      <c r="T68" s="8"/>
      <c r="U68" s="8"/>
      <c r="V68" s="8"/>
      <c r="W68" s="8"/>
      <c r="X68" s="8"/>
      <c r="Y68" s="8"/>
      <c r="Z68" s="8"/>
    </row>
    <row r="69" ht="18.0" customHeight="1">
      <c r="A69" s="8"/>
      <c r="B69" s="8"/>
      <c r="C69" s="8"/>
      <c r="D69" s="25"/>
      <c r="E69" s="25"/>
      <c r="F69" s="25" t="str">
        <f t="shared" si="1"/>
        <v>No</v>
      </c>
      <c r="G69" s="25"/>
      <c r="H69" s="25" t="str">
        <f t="shared" si="2"/>
        <v>No</v>
      </c>
      <c r="I69" s="8"/>
      <c r="J69" s="30" t="str">
        <f t="shared" si="3"/>
        <v/>
      </c>
      <c r="K69" s="30" t="str">
        <f t="shared" si="4"/>
        <v/>
      </c>
      <c r="L69" s="30" t="str">
        <f t="shared" si="5"/>
        <v/>
      </c>
      <c r="M69" s="30" t="str">
        <f t="shared" si="6"/>
        <v/>
      </c>
      <c r="N69" s="30" t="str">
        <f t="shared" si="7"/>
        <v/>
      </c>
      <c r="O69" s="8"/>
      <c r="P69" s="8"/>
      <c r="Q69" s="8"/>
      <c r="R69" s="8"/>
      <c r="S69" s="8"/>
      <c r="T69" s="8"/>
      <c r="U69" s="8"/>
      <c r="V69" s="8"/>
      <c r="W69" s="8"/>
      <c r="X69" s="8"/>
      <c r="Y69" s="8"/>
      <c r="Z69" s="8"/>
    </row>
    <row r="70" ht="18.0" customHeight="1">
      <c r="A70" s="8"/>
      <c r="B70" s="8"/>
      <c r="C70" s="8"/>
      <c r="D70" s="25"/>
      <c r="E70" s="25"/>
      <c r="F70" s="25" t="str">
        <f t="shared" si="1"/>
        <v>No</v>
      </c>
      <c r="G70" s="25"/>
      <c r="H70" s="25" t="str">
        <f t="shared" si="2"/>
        <v>No</v>
      </c>
      <c r="I70" s="8"/>
      <c r="J70" s="30" t="str">
        <f t="shared" si="3"/>
        <v/>
      </c>
      <c r="K70" s="30" t="str">
        <f t="shared" si="4"/>
        <v/>
      </c>
      <c r="L70" s="30" t="str">
        <f t="shared" si="5"/>
        <v/>
      </c>
      <c r="M70" s="30" t="str">
        <f t="shared" si="6"/>
        <v/>
      </c>
      <c r="N70" s="30" t="str">
        <f t="shared" si="7"/>
        <v/>
      </c>
      <c r="O70" s="8"/>
      <c r="P70" s="8"/>
      <c r="Q70" s="8"/>
      <c r="R70" s="8"/>
      <c r="S70" s="8"/>
      <c r="T70" s="8"/>
      <c r="U70" s="8"/>
      <c r="V70" s="8"/>
      <c r="W70" s="8"/>
      <c r="X70" s="8"/>
      <c r="Y70" s="8"/>
      <c r="Z70" s="8"/>
    </row>
    <row r="71" ht="18.0" customHeight="1">
      <c r="A71" s="8"/>
      <c r="B71" s="8"/>
      <c r="C71" s="8"/>
      <c r="D71" s="25"/>
      <c r="E71" s="25"/>
      <c r="F71" s="25" t="str">
        <f t="shared" si="1"/>
        <v>No</v>
      </c>
      <c r="G71" s="25"/>
      <c r="H71" s="25" t="str">
        <f t="shared" si="2"/>
        <v>No</v>
      </c>
      <c r="I71" s="8"/>
      <c r="J71" s="30" t="str">
        <f t="shared" si="3"/>
        <v/>
      </c>
      <c r="K71" s="30" t="str">
        <f t="shared" si="4"/>
        <v/>
      </c>
      <c r="L71" s="30" t="str">
        <f t="shared" si="5"/>
        <v/>
      </c>
      <c r="M71" s="30" t="str">
        <f t="shared" si="6"/>
        <v/>
      </c>
      <c r="N71" s="30" t="str">
        <f t="shared" si="7"/>
        <v/>
      </c>
      <c r="O71" s="8"/>
      <c r="P71" s="8"/>
      <c r="Q71" s="8"/>
      <c r="R71" s="8"/>
      <c r="S71" s="8"/>
      <c r="T71" s="8"/>
      <c r="U71" s="8"/>
      <c r="V71" s="8"/>
      <c r="W71" s="8"/>
      <c r="X71" s="8"/>
      <c r="Y71" s="8"/>
      <c r="Z71" s="8"/>
    </row>
    <row r="72" ht="18.0" customHeight="1">
      <c r="A72" s="8"/>
      <c r="B72" s="8"/>
      <c r="C72" s="8"/>
      <c r="D72" s="25"/>
      <c r="E72" s="25"/>
      <c r="F72" s="25" t="str">
        <f t="shared" si="1"/>
        <v>No</v>
      </c>
      <c r="G72" s="25"/>
      <c r="H72" s="25" t="str">
        <f t="shared" si="2"/>
        <v>No</v>
      </c>
      <c r="I72" s="8"/>
      <c r="J72" s="30" t="str">
        <f t="shared" si="3"/>
        <v/>
      </c>
      <c r="K72" s="30" t="str">
        <f t="shared" si="4"/>
        <v/>
      </c>
      <c r="L72" s="30" t="str">
        <f t="shared" si="5"/>
        <v/>
      </c>
      <c r="M72" s="30" t="str">
        <f t="shared" si="6"/>
        <v/>
      </c>
      <c r="N72" s="30" t="str">
        <f t="shared" si="7"/>
        <v/>
      </c>
      <c r="O72" s="8"/>
      <c r="P72" s="8"/>
      <c r="Q72" s="8"/>
      <c r="R72" s="8"/>
      <c r="S72" s="8"/>
      <c r="T72" s="8"/>
      <c r="U72" s="8"/>
      <c r="V72" s="8"/>
      <c r="W72" s="8"/>
      <c r="X72" s="8"/>
      <c r="Y72" s="8"/>
      <c r="Z72" s="8"/>
    </row>
    <row r="73" ht="18.0" customHeight="1">
      <c r="A73" s="8"/>
      <c r="B73" s="8"/>
      <c r="C73" s="8"/>
      <c r="D73" s="25"/>
      <c r="E73" s="25"/>
      <c r="F73" s="25" t="str">
        <f t="shared" si="1"/>
        <v>No</v>
      </c>
      <c r="G73" s="25"/>
      <c r="H73" s="25" t="str">
        <f t="shared" si="2"/>
        <v>No</v>
      </c>
      <c r="I73" s="8"/>
      <c r="J73" s="30" t="str">
        <f t="shared" si="3"/>
        <v/>
      </c>
      <c r="K73" s="30" t="str">
        <f t="shared" si="4"/>
        <v/>
      </c>
      <c r="L73" s="30" t="str">
        <f t="shared" si="5"/>
        <v/>
      </c>
      <c r="M73" s="30" t="str">
        <f t="shared" si="6"/>
        <v/>
      </c>
      <c r="N73" s="30" t="str">
        <f t="shared" si="7"/>
        <v/>
      </c>
      <c r="O73" s="8"/>
      <c r="P73" s="8"/>
      <c r="Q73" s="8"/>
      <c r="R73" s="8"/>
      <c r="S73" s="8"/>
      <c r="T73" s="8"/>
      <c r="U73" s="8"/>
      <c r="V73" s="8"/>
      <c r="W73" s="8"/>
      <c r="X73" s="8"/>
      <c r="Y73" s="8"/>
      <c r="Z73" s="8"/>
    </row>
    <row r="74" ht="18.0" customHeight="1">
      <c r="A74" s="8"/>
      <c r="B74" s="8"/>
      <c r="C74" s="8"/>
      <c r="D74" s="25"/>
      <c r="E74" s="25"/>
      <c r="F74" s="25" t="str">
        <f t="shared" si="1"/>
        <v>No</v>
      </c>
      <c r="G74" s="25"/>
      <c r="H74" s="25" t="str">
        <f t="shared" si="2"/>
        <v>No</v>
      </c>
      <c r="I74" s="8"/>
      <c r="J74" s="30" t="str">
        <f t="shared" si="3"/>
        <v/>
      </c>
      <c r="K74" s="30" t="str">
        <f t="shared" si="4"/>
        <v/>
      </c>
      <c r="L74" s="30" t="str">
        <f t="shared" si="5"/>
        <v/>
      </c>
      <c r="M74" s="30" t="str">
        <f t="shared" si="6"/>
        <v/>
      </c>
      <c r="N74" s="30" t="str">
        <f t="shared" si="7"/>
        <v/>
      </c>
      <c r="O74" s="8"/>
      <c r="P74" s="8"/>
      <c r="Q74" s="8"/>
      <c r="R74" s="8"/>
      <c r="S74" s="8"/>
      <c r="T74" s="8"/>
      <c r="U74" s="8"/>
      <c r="V74" s="8"/>
      <c r="W74" s="8"/>
      <c r="X74" s="8"/>
      <c r="Y74" s="8"/>
      <c r="Z74" s="8"/>
    </row>
    <row r="75" ht="18.0" customHeight="1">
      <c r="A75" s="8"/>
      <c r="B75" s="8"/>
      <c r="C75" s="8"/>
      <c r="D75" s="25"/>
      <c r="E75" s="25"/>
      <c r="F75" s="25" t="str">
        <f t="shared" si="1"/>
        <v>No</v>
      </c>
      <c r="G75" s="25"/>
      <c r="H75" s="25" t="str">
        <f t="shared" si="2"/>
        <v>No</v>
      </c>
      <c r="I75" s="8"/>
      <c r="J75" s="30" t="str">
        <f t="shared" si="3"/>
        <v/>
      </c>
      <c r="K75" s="30" t="str">
        <f t="shared" si="4"/>
        <v/>
      </c>
      <c r="L75" s="30" t="str">
        <f t="shared" si="5"/>
        <v/>
      </c>
      <c r="M75" s="30" t="str">
        <f t="shared" si="6"/>
        <v/>
      </c>
      <c r="N75" s="30" t="str">
        <f t="shared" si="7"/>
        <v/>
      </c>
      <c r="O75" s="8"/>
      <c r="P75" s="8"/>
      <c r="Q75" s="8"/>
      <c r="R75" s="8"/>
      <c r="S75" s="8"/>
      <c r="T75" s="8"/>
      <c r="U75" s="8"/>
      <c r="V75" s="8"/>
      <c r="W75" s="8"/>
      <c r="X75" s="8"/>
      <c r="Y75" s="8"/>
      <c r="Z75" s="8"/>
    </row>
    <row r="76" ht="18.0" customHeight="1">
      <c r="A76" s="8"/>
      <c r="B76" s="8"/>
      <c r="C76" s="8"/>
      <c r="D76" s="25"/>
      <c r="E76" s="25"/>
      <c r="F76" s="25" t="str">
        <f t="shared" si="1"/>
        <v>No</v>
      </c>
      <c r="G76" s="25"/>
      <c r="H76" s="25" t="str">
        <f t="shared" si="2"/>
        <v>No</v>
      </c>
      <c r="I76" s="8"/>
      <c r="J76" s="30" t="str">
        <f t="shared" si="3"/>
        <v/>
      </c>
      <c r="K76" s="30" t="str">
        <f t="shared" si="4"/>
        <v/>
      </c>
      <c r="L76" s="30" t="str">
        <f t="shared" si="5"/>
        <v/>
      </c>
      <c r="M76" s="30" t="str">
        <f t="shared" si="6"/>
        <v/>
      </c>
      <c r="N76" s="30" t="str">
        <f t="shared" si="7"/>
        <v/>
      </c>
      <c r="O76" s="8"/>
      <c r="P76" s="8"/>
      <c r="Q76" s="8"/>
      <c r="R76" s="8"/>
      <c r="S76" s="8"/>
      <c r="T76" s="8"/>
      <c r="U76" s="8"/>
      <c r="V76" s="8"/>
      <c r="W76" s="8"/>
      <c r="X76" s="8"/>
      <c r="Y76" s="8"/>
      <c r="Z76" s="8"/>
    </row>
    <row r="77" ht="18.0" customHeight="1">
      <c r="A77" s="8"/>
      <c r="B77" s="8"/>
      <c r="C77" s="8"/>
      <c r="D77" s="25"/>
      <c r="E77" s="25"/>
      <c r="F77" s="25" t="str">
        <f t="shared" si="1"/>
        <v>No</v>
      </c>
      <c r="G77" s="25"/>
      <c r="H77" s="25" t="str">
        <f t="shared" si="2"/>
        <v>No</v>
      </c>
      <c r="I77" s="8"/>
      <c r="J77" s="30" t="str">
        <f t="shared" si="3"/>
        <v/>
      </c>
      <c r="K77" s="30" t="str">
        <f t="shared" si="4"/>
        <v/>
      </c>
      <c r="L77" s="30" t="str">
        <f t="shared" si="5"/>
        <v/>
      </c>
      <c r="M77" s="30" t="str">
        <f t="shared" si="6"/>
        <v/>
      </c>
      <c r="N77" s="30" t="str">
        <f t="shared" si="7"/>
        <v/>
      </c>
      <c r="O77" s="8"/>
      <c r="P77" s="8"/>
      <c r="Q77" s="8"/>
      <c r="R77" s="8"/>
      <c r="S77" s="8"/>
      <c r="T77" s="8"/>
      <c r="U77" s="8"/>
      <c r="V77" s="8"/>
      <c r="W77" s="8"/>
      <c r="X77" s="8"/>
      <c r="Y77" s="8"/>
      <c r="Z77" s="8"/>
    </row>
    <row r="78" ht="18.0" customHeight="1">
      <c r="A78" s="8"/>
      <c r="B78" s="8"/>
      <c r="C78" s="8"/>
      <c r="D78" s="25"/>
      <c r="E78" s="25"/>
      <c r="F78" s="25" t="str">
        <f t="shared" si="1"/>
        <v>No</v>
      </c>
      <c r="G78" s="25"/>
      <c r="H78" s="25" t="str">
        <f t="shared" si="2"/>
        <v>No</v>
      </c>
      <c r="I78" s="8"/>
      <c r="J78" s="30" t="str">
        <f t="shared" si="3"/>
        <v/>
      </c>
      <c r="K78" s="30" t="str">
        <f t="shared" si="4"/>
        <v/>
      </c>
      <c r="L78" s="30" t="str">
        <f t="shared" si="5"/>
        <v/>
      </c>
      <c r="M78" s="30" t="str">
        <f t="shared" si="6"/>
        <v/>
      </c>
      <c r="N78" s="30" t="str">
        <f t="shared" si="7"/>
        <v/>
      </c>
      <c r="O78" s="8"/>
      <c r="P78" s="8"/>
      <c r="Q78" s="8"/>
      <c r="R78" s="8"/>
      <c r="S78" s="8"/>
      <c r="T78" s="8"/>
      <c r="U78" s="8"/>
      <c r="V78" s="8"/>
      <c r="W78" s="8"/>
      <c r="X78" s="8"/>
      <c r="Y78" s="8"/>
      <c r="Z78" s="8"/>
    </row>
    <row r="79" ht="18.0" customHeight="1">
      <c r="A79" s="8"/>
      <c r="B79" s="8"/>
      <c r="C79" s="8"/>
      <c r="D79" s="25"/>
      <c r="E79" s="25"/>
      <c r="F79" s="25" t="str">
        <f t="shared" si="1"/>
        <v>No</v>
      </c>
      <c r="G79" s="25"/>
      <c r="H79" s="25" t="str">
        <f t="shared" si="2"/>
        <v>No</v>
      </c>
      <c r="I79" s="8"/>
      <c r="J79" s="30" t="str">
        <f t="shared" si="3"/>
        <v/>
      </c>
      <c r="K79" s="30" t="str">
        <f t="shared" si="4"/>
        <v/>
      </c>
      <c r="L79" s="30" t="str">
        <f t="shared" si="5"/>
        <v/>
      </c>
      <c r="M79" s="30" t="str">
        <f t="shared" si="6"/>
        <v/>
      </c>
      <c r="N79" s="30" t="str">
        <f t="shared" si="7"/>
        <v/>
      </c>
      <c r="O79" s="8"/>
      <c r="P79" s="8"/>
      <c r="Q79" s="8"/>
      <c r="R79" s="8"/>
      <c r="S79" s="8"/>
      <c r="T79" s="8"/>
      <c r="U79" s="8"/>
      <c r="V79" s="8"/>
      <c r="W79" s="8"/>
      <c r="X79" s="8"/>
      <c r="Y79" s="8"/>
      <c r="Z79" s="8"/>
    </row>
    <row r="80" ht="18.0" customHeight="1">
      <c r="A80" s="8"/>
      <c r="B80" s="8"/>
      <c r="C80" s="8"/>
      <c r="D80" s="25"/>
      <c r="E80" s="25"/>
      <c r="F80" s="25" t="str">
        <f t="shared" si="1"/>
        <v>No</v>
      </c>
      <c r="G80" s="25"/>
      <c r="H80" s="25" t="str">
        <f t="shared" si="2"/>
        <v>No</v>
      </c>
      <c r="I80" s="8"/>
      <c r="J80" s="30" t="str">
        <f t="shared" si="3"/>
        <v/>
      </c>
      <c r="K80" s="30" t="str">
        <f t="shared" si="4"/>
        <v/>
      </c>
      <c r="L80" s="30" t="str">
        <f t="shared" si="5"/>
        <v/>
      </c>
      <c r="M80" s="30" t="str">
        <f t="shared" si="6"/>
        <v/>
      </c>
      <c r="N80" s="30" t="str">
        <f t="shared" si="7"/>
        <v/>
      </c>
      <c r="O80" s="8"/>
      <c r="P80" s="8"/>
      <c r="Q80" s="8"/>
      <c r="R80" s="8"/>
      <c r="S80" s="8"/>
      <c r="T80" s="8"/>
      <c r="U80" s="8"/>
      <c r="V80" s="8"/>
      <c r="W80" s="8"/>
      <c r="X80" s="8"/>
      <c r="Y80" s="8"/>
      <c r="Z80" s="8"/>
    </row>
    <row r="81" ht="18.0" customHeight="1">
      <c r="A81" s="8"/>
      <c r="B81" s="8"/>
      <c r="C81" s="8"/>
      <c r="D81" s="25"/>
      <c r="E81" s="25"/>
      <c r="F81" s="25" t="str">
        <f t="shared" si="1"/>
        <v>No</v>
      </c>
      <c r="G81" s="25"/>
      <c r="H81" s="25" t="str">
        <f t="shared" si="2"/>
        <v>No</v>
      </c>
      <c r="I81" s="8"/>
      <c r="J81" s="30" t="str">
        <f t="shared" si="3"/>
        <v/>
      </c>
      <c r="K81" s="30" t="str">
        <f t="shared" si="4"/>
        <v/>
      </c>
      <c r="L81" s="30" t="str">
        <f t="shared" si="5"/>
        <v/>
      </c>
      <c r="M81" s="30" t="str">
        <f t="shared" si="6"/>
        <v/>
      </c>
      <c r="N81" s="30" t="str">
        <f t="shared" si="7"/>
        <v/>
      </c>
      <c r="O81" s="8"/>
      <c r="P81" s="8"/>
      <c r="Q81" s="8"/>
      <c r="R81" s="8"/>
      <c r="S81" s="8"/>
      <c r="T81" s="8"/>
      <c r="U81" s="8"/>
      <c r="V81" s="8"/>
      <c r="W81" s="8"/>
      <c r="X81" s="8"/>
      <c r="Y81" s="8"/>
      <c r="Z81" s="8"/>
    </row>
    <row r="82" ht="18.0" customHeight="1">
      <c r="A82" s="8"/>
      <c r="B82" s="8"/>
      <c r="C82" s="8"/>
      <c r="D82" s="25"/>
      <c r="E82" s="25"/>
      <c r="F82" s="25" t="str">
        <f t="shared" si="1"/>
        <v>No</v>
      </c>
      <c r="G82" s="25"/>
      <c r="H82" s="25" t="str">
        <f t="shared" si="2"/>
        <v>No</v>
      </c>
      <c r="I82" s="8"/>
      <c r="J82" s="30" t="str">
        <f t="shared" si="3"/>
        <v/>
      </c>
      <c r="K82" s="30" t="str">
        <f t="shared" si="4"/>
        <v/>
      </c>
      <c r="L82" s="30" t="str">
        <f t="shared" si="5"/>
        <v/>
      </c>
      <c r="M82" s="30" t="str">
        <f t="shared" si="6"/>
        <v/>
      </c>
      <c r="N82" s="30" t="str">
        <f t="shared" si="7"/>
        <v/>
      </c>
      <c r="O82" s="8"/>
      <c r="P82" s="8"/>
      <c r="Q82" s="8"/>
      <c r="R82" s="8"/>
      <c r="S82" s="8"/>
      <c r="T82" s="8"/>
      <c r="U82" s="8"/>
      <c r="V82" s="8"/>
      <c r="W82" s="8"/>
      <c r="X82" s="8"/>
      <c r="Y82" s="8"/>
      <c r="Z82" s="8"/>
    </row>
    <row r="83" ht="18.0" customHeight="1">
      <c r="A83" s="8"/>
      <c r="B83" s="8"/>
      <c r="C83" s="8"/>
      <c r="D83" s="25"/>
      <c r="E83" s="25"/>
      <c r="F83" s="25" t="str">
        <f t="shared" si="1"/>
        <v>No</v>
      </c>
      <c r="G83" s="25"/>
      <c r="H83" s="25" t="str">
        <f t="shared" si="2"/>
        <v>No</v>
      </c>
      <c r="I83" s="8"/>
      <c r="J83" s="30" t="str">
        <f t="shared" si="3"/>
        <v/>
      </c>
      <c r="K83" s="30" t="str">
        <f t="shared" si="4"/>
        <v/>
      </c>
      <c r="L83" s="30" t="str">
        <f t="shared" si="5"/>
        <v/>
      </c>
      <c r="M83" s="30" t="str">
        <f t="shared" si="6"/>
        <v/>
      </c>
      <c r="N83" s="30" t="str">
        <f t="shared" si="7"/>
        <v/>
      </c>
      <c r="O83" s="8"/>
      <c r="P83" s="8"/>
      <c r="Q83" s="8"/>
      <c r="R83" s="8"/>
      <c r="S83" s="8"/>
      <c r="T83" s="8"/>
      <c r="U83" s="8"/>
      <c r="V83" s="8"/>
      <c r="W83" s="8"/>
      <c r="X83" s="8"/>
      <c r="Y83" s="8"/>
      <c r="Z83" s="8"/>
    </row>
    <row r="84" ht="18.0" customHeight="1">
      <c r="A84" s="8"/>
      <c r="B84" s="8"/>
      <c r="C84" s="8"/>
      <c r="D84" s="25"/>
      <c r="E84" s="25"/>
      <c r="F84" s="25" t="str">
        <f t="shared" si="1"/>
        <v>No</v>
      </c>
      <c r="G84" s="25"/>
      <c r="H84" s="25" t="str">
        <f t="shared" si="2"/>
        <v>No</v>
      </c>
      <c r="I84" s="8"/>
      <c r="J84" s="30" t="str">
        <f t="shared" si="3"/>
        <v/>
      </c>
      <c r="K84" s="30" t="str">
        <f t="shared" si="4"/>
        <v/>
      </c>
      <c r="L84" s="30" t="str">
        <f t="shared" si="5"/>
        <v/>
      </c>
      <c r="M84" s="30" t="str">
        <f t="shared" si="6"/>
        <v/>
      </c>
      <c r="N84" s="30" t="str">
        <f t="shared" si="7"/>
        <v/>
      </c>
      <c r="O84" s="8"/>
      <c r="P84" s="8"/>
      <c r="Q84" s="8"/>
      <c r="R84" s="8"/>
      <c r="S84" s="8"/>
      <c r="T84" s="8"/>
      <c r="U84" s="8"/>
      <c r="V84" s="8"/>
      <c r="W84" s="8"/>
      <c r="X84" s="8"/>
      <c r="Y84" s="8"/>
      <c r="Z84" s="8"/>
    </row>
    <row r="85" ht="18.0" customHeight="1">
      <c r="A85" s="8"/>
      <c r="B85" s="8"/>
      <c r="C85" s="8"/>
      <c r="D85" s="25"/>
      <c r="E85" s="25"/>
      <c r="F85" s="25" t="str">
        <f t="shared" si="1"/>
        <v>No</v>
      </c>
      <c r="G85" s="25"/>
      <c r="H85" s="25" t="str">
        <f t="shared" si="2"/>
        <v>No</v>
      </c>
      <c r="I85" s="8"/>
      <c r="J85" s="30" t="str">
        <f t="shared" si="3"/>
        <v/>
      </c>
      <c r="K85" s="30" t="str">
        <f t="shared" si="4"/>
        <v/>
      </c>
      <c r="L85" s="30" t="str">
        <f t="shared" si="5"/>
        <v/>
      </c>
      <c r="M85" s="30" t="str">
        <f t="shared" si="6"/>
        <v/>
      </c>
      <c r="N85" s="30" t="str">
        <f t="shared" si="7"/>
        <v/>
      </c>
      <c r="O85" s="8"/>
      <c r="P85" s="8"/>
      <c r="Q85" s="8"/>
      <c r="R85" s="8"/>
      <c r="S85" s="8"/>
      <c r="T85" s="8"/>
      <c r="U85" s="8"/>
      <c r="V85" s="8"/>
      <c r="W85" s="8"/>
      <c r="X85" s="8"/>
      <c r="Y85" s="8"/>
      <c r="Z85" s="8"/>
    </row>
    <row r="86" ht="18.0" customHeight="1">
      <c r="A86" s="8"/>
      <c r="B86" s="8"/>
      <c r="C86" s="8"/>
      <c r="D86" s="25"/>
      <c r="E86" s="25"/>
      <c r="F86" s="25" t="str">
        <f t="shared" si="1"/>
        <v>No</v>
      </c>
      <c r="G86" s="25"/>
      <c r="H86" s="25" t="str">
        <f t="shared" si="2"/>
        <v>No</v>
      </c>
      <c r="I86" s="8"/>
      <c r="J86" s="30" t="str">
        <f t="shared" si="3"/>
        <v/>
      </c>
      <c r="K86" s="30" t="str">
        <f t="shared" si="4"/>
        <v/>
      </c>
      <c r="L86" s="30" t="str">
        <f t="shared" si="5"/>
        <v/>
      </c>
      <c r="M86" s="30" t="str">
        <f t="shared" si="6"/>
        <v/>
      </c>
      <c r="N86" s="30" t="str">
        <f t="shared" si="7"/>
        <v/>
      </c>
      <c r="O86" s="8"/>
      <c r="P86" s="8"/>
      <c r="Q86" s="8"/>
      <c r="R86" s="8"/>
      <c r="S86" s="8"/>
      <c r="T86" s="8"/>
      <c r="U86" s="8"/>
      <c r="V86" s="8"/>
      <c r="W86" s="8"/>
      <c r="X86" s="8"/>
      <c r="Y86" s="8"/>
      <c r="Z86" s="8"/>
    </row>
    <row r="87" ht="18.0" customHeight="1">
      <c r="A87" s="8"/>
      <c r="B87" s="8"/>
      <c r="C87" s="8"/>
      <c r="D87" s="25"/>
      <c r="E87" s="25"/>
      <c r="F87" s="25" t="str">
        <f t="shared" si="1"/>
        <v>No</v>
      </c>
      <c r="G87" s="25"/>
      <c r="H87" s="25" t="str">
        <f t="shared" si="2"/>
        <v>No</v>
      </c>
      <c r="I87" s="8"/>
      <c r="J87" s="30" t="str">
        <f t="shared" si="3"/>
        <v/>
      </c>
      <c r="K87" s="30" t="str">
        <f t="shared" si="4"/>
        <v/>
      </c>
      <c r="L87" s="30" t="str">
        <f t="shared" si="5"/>
        <v/>
      </c>
      <c r="M87" s="30" t="str">
        <f t="shared" si="6"/>
        <v/>
      </c>
      <c r="N87" s="30" t="str">
        <f t="shared" si="7"/>
        <v/>
      </c>
      <c r="O87" s="8"/>
      <c r="P87" s="8"/>
      <c r="Q87" s="8"/>
      <c r="R87" s="8"/>
      <c r="S87" s="8"/>
      <c r="T87" s="8"/>
      <c r="U87" s="8"/>
      <c r="V87" s="8"/>
      <c r="W87" s="8"/>
      <c r="X87" s="8"/>
      <c r="Y87" s="8"/>
      <c r="Z87" s="8"/>
    </row>
    <row r="88" ht="18.0" customHeight="1">
      <c r="A88" s="8"/>
      <c r="B88" s="8"/>
      <c r="C88" s="8"/>
      <c r="D88" s="25"/>
      <c r="E88" s="25"/>
      <c r="F88" s="25" t="str">
        <f t="shared" si="1"/>
        <v>No</v>
      </c>
      <c r="G88" s="25"/>
      <c r="H88" s="25" t="str">
        <f t="shared" si="2"/>
        <v>No</v>
      </c>
      <c r="I88" s="8"/>
      <c r="J88" s="30" t="str">
        <f t="shared" si="3"/>
        <v/>
      </c>
      <c r="K88" s="30" t="str">
        <f t="shared" si="4"/>
        <v/>
      </c>
      <c r="L88" s="30" t="str">
        <f t="shared" si="5"/>
        <v/>
      </c>
      <c r="M88" s="30" t="str">
        <f t="shared" si="6"/>
        <v/>
      </c>
      <c r="N88" s="30" t="str">
        <f t="shared" si="7"/>
        <v/>
      </c>
      <c r="O88" s="8"/>
      <c r="P88" s="8"/>
      <c r="Q88" s="8"/>
      <c r="R88" s="8"/>
      <c r="S88" s="8"/>
      <c r="T88" s="8"/>
      <c r="U88" s="8"/>
      <c r="V88" s="8"/>
      <c r="W88" s="8"/>
      <c r="X88" s="8"/>
      <c r="Y88" s="8"/>
      <c r="Z88" s="8"/>
    </row>
    <row r="89" ht="18.0" customHeight="1">
      <c r="A89" s="8"/>
      <c r="B89" s="8"/>
      <c r="C89" s="8"/>
      <c r="D89" s="25"/>
      <c r="E89" s="25"/>
      <c r="F89" s="25" t="str">
        <f t="shared" si="1"/>
        <v>No</v>
      </c>
      <c r="G89" s="25"/>
      <c r="H89" s="25" t="str">
        <f t="shared" si="2"/>
        <v>No</v>
      </c>
      <c r="I89" s="8"/>
      <c r="J89" s="30" t="str">
        <f t="shared" si="3"/>
        <v/>
      </c>
      <c r="K89" s="30" t="str">
        <f t="shared" si="4"/>
        <v/>
      </c>
      <c r="L89" s="30" t="str">
        <f t="shared" si="5"/>
        <v/>
      </c>
      <c r="M89" s="30" t="str">
        <f t="shared" si="6"/>
        <v/>
      </c>
      <c r="N89" s="30" t="str">
        <f t="shared" si="7"/>
        <v/>
      </c>
      <c r="O89" s="8"/>
      <c r="P89" s="8"/>
      <c r="Q89" s="8"/>
      <c r="R89" s="8"/>
      <c r="S89" s="8"/>
      <c r="T89" s="8"/>
      <c r="U89" s="8"/>
      <c r="V89" s="8"/>
      <c r="W89" s="8"/>
      <c r="X89" s="8"/>
      <c r="Y89" s="8"/>
      <c r="Z89" s="8"/>
    </row>
    <row r="90" ht="18.0" customHeight="1">
      <c r="A90" s="8"/>
      <c r="B90" s="8"/>
      <c r="C90" s="8"/>
      <c r="D90" s="25"/>
      <c r="E90" s="25"/>
      <c r="F90" s="25" t="str">
        <f t="shared" si="1"/>
        <v>No</v>
      </c>
      <c r="G90" s="25"/>
      <c r="H90" s="25" t="str">
        <f t="shared" si="2"/>
        <v>No</v>
      </c>
      <c r="I90" s="8"/>
      <c r="J90" s="30" t="str">
        <f t="shared" si="3"/>
        <v/>
      </c>
      <c r="K90" s="30" t="str">
        <f t="shared" si="4"/>
        <v/>
      </c>
      <c r="L90" s="30" t="str">
        <f t="shared" si="5"/>
        <v/>
      </c>
      <c r="M90" s="30" t="str">
        <f t="shared" si="6"/>
        <v/>
      </c>
      <c r="N90" s="30" t="str">
        <f t="shared" si="7"/>
        <v/>
      </c>
      <c r="O90" s="8"/>
      <c r="P90" s="8"/>
      <c r="Q90" s="8"/>
      <c r="R90" s="8"/>
      <c r="S90" s="8"/>
      <c r="T90" s="8"/>
      <c r="U90" s="8"/>
      <c r="V90" s="8"/>
      <c r="W90" s="8"/>
      <c r="X90" s="8"/>
      <c r="Y90" s="8"/>
      <c r="Z90" s="8"/>
    </row>
    <row r="91" ht="18.0" customHeight="1">
      <c r="A91" s="8"/>
      <c r="B91" s="8"/>
      <c r="C91" s="8"/>
      <c r="D91" s="25"/>
      <c r="E91" s="25"/>
      <c r="F91" s="25" t="str">
        <f t="shared" si="1"/>
        <v>No</v>
      </c>
      <c r="G91" s="25"/>
      <c r="H91" s="25" t="str">
        <f t="shared" si="2"/>
        <v>No</v>
      </c>
      <c r="I91" s="8"/>
      <c r="J91" s="30" t="str">
        <f t="shared" si="3"/>
        <v/>
      </c>
      <c r="K91" s="30" t="str">
        <f t="shared" si="4"/>
        <v/>
      </c>
      <c r="L91" s="30" t="str">
        <f t="shared" si="5"/>
        <v/>
      </c>
      <c r="M91" s="30" t="str">
        <f t="shared" si="6"/>
        <v/>
      </c>
      <c r="N91" s="30" t="str">
        <f t="shared" si="7"/>
        <v/>
      </c>
      <c r="O91" s="8"/>
      <c r="P91" s="8"/>
      <c r="Q91" s="8"/>
      <c r="R91" s="8"/>
      <c r="S91" s="8"/>
      <c r="T91" s="8"/>
      <c r="U91" s="8"/>
      <c r="V91" s="8"/>
      <c r="W91" s="8"/>
      <c r="X91" s="8"/>
      <c r="Y91" s="8"/>
      <c r="Z91" s="8"/>
    </row>
    <row r="92" ht="18.0" customHeight="1">
      <c r="A92" s="8"/>
      <c r="B92" s="8"/>
      <c r="C92" s="8"/>
      <c r="D92" s="25"/>
      <c r="E92" s="25"/>
      <c r="F92" s="25" t="str">
        <f t="shared" si="1"/>
        <v>No</v>
      </c>
      <c r="G92" s="25"/>
      <c r="H92" s="25" t="str">
        <f t="shared" si="2"/>
        <v>No</v>
      </c>
      <c r="I92" s="8"/>
      <c r="J92" s="30" t="str">
        <f t="shared" si="3"/>
        <v/>
      </c>
      <c r="K92" s="30" t="str">
        <f t="shared" si="4"/>
        <v/>
      </c>
      <c r="L92" s="30" t="str">
        <f t="shared" si="5"/>
        <v/>
      </c>
      <c r="M92" s="30" t="str">
        <f t="shared" si="6"/>
        <v/>
      </c>
      <c r="N92" s="30" t="str">
        <f t="shared" si="7"/>
        <v/>
      </c>
      <c r="O92" s="8"/>
      <c r="P92" s="8"/>
      <c r="Q92" s="8"/>
      <c r="R92" s="8"/>
      <c r="S92" s="8"/>
      <c r="T92" s="8"/>
      <c r="U92" s="8"/>
      <c r="V92" s="8"/>
      <c r="W92" s="8"/>
      <c r="X92" s="8"/>
      <c r="Y92" s="8"/>
      <c r="Z92" s="8"/>
    </row>
    <row r="93" ht="18.0" customHeight="1">
      <c r="A93" s="8"/>
      <c r="B93" s="8"/>
      <c r="C93" s="8"/>
      <c r="D93" s="25"/>
      <c r="E93" s="25"/>
      <c r="F93" s="25" t="str">
        <f t="shared" si="1"/>
        <v>No</v>
      </c>
      <c r="G93" s="25"/>
      <c r="H93" s="25" t="str">
        <f t="shared" si="2"/>
        <v>No</v>
      </c>
      <c r="I93" s="8"/>
      <c r="J93" s="30" t="str">
        <f t="shared" si="3"/>
        <v/>
      </c>
      <c r="K93" s="30" t="str">
        <f t="shared" si="4"/>
        <v/>
      </c>
      <c r="L93" s="30" t="str">
        <f t="shared" si="5"/>
        <v/>
      </c>
      <c r="M93" s="30" t="str">
        <f t="shared" si="6"/>
        <v/>
      </c>
      <c r="N93" s="30" t="str">
        <f t="shared" si="7"/>
        <v/>
      </c>
      <c r="O93" s="8"/>
      <c r="P93" s="8"/>
      <c r="Q93" s="8"/>
      <c r="R93" s="8"/>
      <c r="S93" s="8"/>
      <c r="T93" s="8"/>
      <c r="U93" s="8"/>
      <c r="V93" s="8"/>
      <c r="W93" s="8"/>
      <c r="X93" s="8"/>
      <c r="Y93" s="8"/>
      <c r="Z93" s="8"/>
    </row>
    <row r="94" ht="18.0" customHeight="1">
      <c r="A94" s="8"/>
      <c r="B94" s="8"/>
      <c r="C94" s="8"/>
      <c r="D94" s="25"/>
      <c r="E94" s="25"/>
      <c r="F94" s="25" t="str">
        <f t="shared" si="1"/>
        <v>No</v>
      </c>
      <c r="G94" s="25"/>
      <c r="H94" s="25" t="str">
        <f t="shared" si="2"/>
        <v>No</v>
      </c>
      <c r="I94" s="8"/>
      <c r="J94" s="30" t="str">
        <f t="shared" si="3"/>
        <v/>
      </c>
      <c r="K94" s="30" t="str">
        <f t="shared" si="4"/>
        <v/>
      </c>
      <c r="L94" s="30" t="str">
        <f t="shared" si="5"/>
        <v/>
      </c>
      <c r="M94" s="30" t="str">
        <f t="shared" si="6"/>
        <v/>
      </c>
      <c r="N94" s="30" t="str">
        <f t="shared" si="7"/>
        <v/>
      </c>
      <c r="O94" s="8"/>
      <c r="P94" s="8"/>
      <c r="Q94" s="8"/>
      <c r="R94" s="8"/>
      <c r="S94" s="8"/>
      <c r="T94" s="8"/>
      <c r="U94" s="8"/>
      <c r="V94" s="8"/>
      <c r="W94" s="8"/>
      <c r="X94" s="8"/>
      <c r="Y94" s="8"/>
      <c r="Z94" s="8"/>
    </row>
    <row r="95" ht="18.0" customHeight="1">
      <c r="A95" s="8"/>
      <c r="B95" s="8"/>
      <c r="C95" s="8"/>
      <c r="D95" s="25"/>
      <c r="E95" s="25"/>
      <c r="F95" s="25" t="str">
        <f t="shared" si="1"/>
        <v>No</v>
      </c>
      <c r="G95" s="25"/>
      <c r="H95" s="25" t="str">
        <f t="shared" si="2"/>
        <v>No</v>
      </c>
      <c r="I95" s="8"/>
      <c r="J95" s="30" t="str">
        <f t="shared" si="3"/>
        <v/>
      </c>
      <c r="K95" s="30" t="str">
        <f t="shared" si="4"/>
        <v/>
      </c>
      <c r="L95" s="30" t="str">
        <f t="shared" si="5"/>
        <v/>
      </c>
      <c r="M95" s="30" t="str">
        <f t="shared" si="6"/>
        <v/>
      </c>
      <c r="N95" s="30" t="str">
        <f t="shared" si="7"/>
        <v/>
      </c>
      <c r="O95" s="8"/>
      <c r="P95" s="8"/>
      <c r="Q95" s="8"/>
      <c r="R95" s="8"/>
      <c r="S95" s="8"/>
      <c r="T95" s="8"/>
      <c r="U95" s="8"/>
      <c r="V95" s="8"/>
      <c r="W95" s="8"/>
      <c r="X95" s="8"/>
      <c r="Y95" s="8"/>
      <c r="Z95" s="8"/>
    </row>
    <row r="96" ht="18.0" customHeight="1">
      <c r="A96" s="8"/>
      <c r="B96" s="8"/>
      <c r="C96" s="8"/>
      <c r="D96" s="25"/>
      <c r="E96" s="25"/>
      <c r="F96" s="25" t="str">
        <f t="shared" si="1"/>
        <v>No</v>
      </c>
      <c r="G96" s="25"/>
      <c r="H96" s="25" t="str">
        <f t="shared" si="2"/>
        <v>No</v>
      </c>
      <c r="I96" s="8"/>
      <c r="J96" s="30" t="str">
        <f t="shared" si="3"/>
        <v/>
      </c>
      <c r="K96" s="30" t="str">
        <f t="shared" si="4"/>
        <v/>
      </c>
      <c r="L96" s="30" t="str">
        <f t="shared" si="5"/>
        <v/>
      </c>
      <c r="M96" s="30" t="str">
        <f t="shared" si="6"/>
        <v/>
      </c>
      <c r="N96" s="30" t="str">
        <f t="shared" si="7"/>
        <v/>
      </c>
      <c r="O96" s="8"/>
      <c r="P96" s="8"/>
      <c r="Q96" s="8"/>
      <c r="R96" s="8"/>
      <c r="S96" s="8"/>
      <c r="T96" s="8"/>
      <c r="U96" s="8"/>
      <c r="V96" s="8"/>
      <c r="W96" s="8"/>
      <c r="X96" s="8"/>
      <c r="Y96" s="8"/>
      <c r="Z96" s="8"/>
    </row>
    <row r="97" ht="18.0" customHeight="1">
      <c r="A97" s="8"/>
      <c r="B97" s="8"/>
      <c r="C97" s="8"/>
      <c r="D97" s="25"/>
      <c r="E97" s="25"/>
      <c r="F97" s="25" t="str">
        <f t="shared" si="1"/>
        <v>No</v>
      </c>
      <c r="G97" s="25"/>
      <c r="H97" s="25" t="str">
        <f t="shared" si="2"/>
        <v>No</v>
      </c>
      <c r="I97" s="8"/>
      <c r="J97" s="30" t="str">
        <f t="shared" si="3"/>
        <v/>
      </c>
      <c r="K97" s="30" t="str">
        <f t="shared" si="4"/>
        <v/>
      </c>
      <c r="L97" s="30" t="str">
        <f t="shared" si="5"/>
        <v/>
      </c>
      <c r="M97" s="30" t="str">
        <f t="shared" si="6"/>
        <v/>
      </c>
      <c r="N97" s="30" t="str">
        <f t="shared" si="7"/>
        <v/>
      </c>
      <c r="O97" s="8"/>
      <c r="P97" s="8"/>
      <c r="Q97" s="8"/>
      <c r="R97" s="8"/>
      <c r="S97" s="8"/>
      <c r="T97" s="8"/>
      <c r="U97" s="8"/>
      <c r="V97" s="8"/>
      <c r="W97" s="8"/>
      <c r="X97" s="8"/>
      <c r="Y97" s="8"/>
      <c r="Z97" s="8"/>
    </row>
    <row r="98" ht="18.0" customHeight="1">
      <c r="A98" s="8"/>
      <c r="B98" s="8"/>
      <c r="C98" s="8"/>
      <c r="D98" s="25"/>
      <c r="E98" s="25"/>
      <c r="F98" s="25" t="str">
        <f t="shared" si="1"/>
        <v>No</v>
      </c>
      <c r="G98" s="25"/>
      <c r="H98" s="25" t="str">
        <f t="shared" si="2"/>
        <v>No</v>
      </c>
      <c r="I98" s="8"/>
      <c r="J98" s="30" t="str">
        <f t="shared" si="3"/>
        <v/>
      </c>
      <c r="K98" s="30" t="str">
        <f t="shared" si="4"/>
        <v/>
      </c>
      <c r="L98" s="30" t="str">
        <f t="shared" si="5"/>
        <v/>
      </c>
      <c r="M98" s="30" t="str">
        <f t="shared" si="6"/>
        <v/>
      </c>
      <c r="N98" s="30" t="str">
        <f t="shared" si="7"/>
        <v/>
      </c>
      <c r="O98" s="8"/>
      <c r="P98" s="8"/>
      <c r="Q98" s="8"/>
      <c r="R98" s="8"/>
      <c r="S98" s="8"/>
      <c r="T98" s="8"/>
      <c r="U98" s="8"/>
      <c r="V98" s="8"/>
      <c r="W98" s="8"/>
      <c r="X98" s="8"/>
      <c r="Y98" s="8"/>
      <c r="Z98" s="8"/>
    </row>
    <row r="99" ht="18.0" customHeight="1">
      <c r="A99" s="8"/>
      <c r="B99" s="8"/>
      <c r="C99" s="8"/>
      <c r="D99" s="25"/>
      <c r="E99" s="25"/>
      <c r="F99" s="25" t="str">
        <f t="shared" si="1"/>
        <v>No</v>
      </c>
      <c r="G99" s="25"/>
      <c r="H99" s="25" t="str">
        <f t="shared" si="2"/>
        <v>No</v>
      </c>
      <c r="I99" s="8"/>
      <c r="J99" s="30" t="str">
        <f t="shared" si="3"/>
        <v/>
      </c>
      <c r="K99" s="30" t="str">
        <f t="shared" si="4"/>
        <v/>
      </c>
      <c r="L99" s="30" t="str">
        <f t="shared" si="5"/>
        <v/>
      </c>
      <c r="M99" s="30" t="str">
        <f t="shared" si="6"/>
        <v/>
      </c>
      <c r="N99" s="30" t="str">
        <f t="shared" si="7"/>
        <v/>
      </c>
      <c r="O99" s="8"/>
      <c r="P99" s="8"/>
      <c r="Q99" s="8"/>
      <c r="R99" s="8"/>
      <c r="S99" s="8"/>
      <c r="T99" s="8"/>
      <c r="U99" s="8"/>
      <c r="V99" s="8"/>
      <c r="W99" s="8"/>
      <c r="X99" s="8"/>
      <c r="Y99" s="8"/>
      <c r="Z99" s="8"/>
    </row>
    <row r="100" ht="18.0" customHeight="1">
      <c r="A100" s="8"/>
      <c r="B100" s="8"/>
      <c r="C100" s="8"/>
      <c r="D100" s="25"/>
      <c r="E100" s="25"/>
      <c r="F100" s="25" t="str">
        <f t="shared" si="1"/>
        <v>No</v>
      </c>
      <c r="G100" s="25"/>
      <c r="H100" s="25" t="str">
        <f t="shared" si="2"/>
        <v>No</v>
      </c>
      <c r="I100" s="8"/>
      <c r="J100" s="30" t="str">
        <f t="shared" si="3"/>
        <v/>
      </c>
      <c r="K100" s="30" t="str">
        <f t="shared" si="4"/>
        <v/>
      </c>
      <c r="L100" s="30" t="str">
        <f t="shared" si="5"/>
        <v/>
      </c>
      <c r="M100" s="30" t="str">
        <f t="shared" si="6"/>
        <v/>
      </c>
      <c r="N100" s="30" t="str">
        <f t="shared" si="7"/>
        <v/>
      </c>
      <c r="O100" s="8"/>
      <c r="P100" s="8"/>
      <c r="Q100" s="8"/>
      <c r="R100" s="8"/>
      <c r="S100" s="8"/>
      <c r="T100" s="8"/>
      <c r="U100" s="8"/>
      <c r="V100" s="8"/>
      <c r="W100" s="8"/>
      <c r="X100" s="8"/>
      <c r="Y100" s="8"/>
      <c r="Z100" s="8"/>
    </row>
    <row r="101" ht="18.0" customHeight="1">
      <c r="A101" s="8"/>
      <c r="B101" s="8"/>
      <c r="C101" s="8"/>
      <c r="D101" s="25"/>
      <c r="E101" s="25"/>
      <c r="F101" s="25" t="str">
        <f t="shared" si="1"/>
        <v>No</v>
      </c>
      <c r="G101" s="25"/>
      <c r="H101" s="25" t="str">
        <f t="shared" si="2"/>
        <v>No</v>
      </c>
      <c r="I101" s="8"/>
      <c r="J101" s="30" t="str">
        <f t="shared" si="3"/>
        <v/>
      </c>
      <c r="K101" s="30" t="str">
        <f t="shared" si="4"/>
        <v/>
      </c>
      <c r="L101" s="30" t="str">
        <f t="shared" si="5"/>
        <v/>
      </c>
      <c r="M101" s="30" t="str">
        <f t="shared" si="6"/>
        <v/>
      </c>
      <c r="N101" s="30" t="str">
        <f t="shared" si="7"/>
        <v/>
      </c>
      <c r="O101" s="8"/>
      <c r="P101" s="8"/>
      <c r="Q101" s="8"/>
      <c r="R101" s="8"/>
      <c r="S101" s="8"/>
      <c r="T101" s="8"/>
      <c r="U101" s="8"/>
      <c r="V101" s="8"/>
      <c r="W101" s="8"/>
      <c r="X101" s="8"/>
      <c r="Y101" s="8"/>
      <c r="Z101" s="8"/>
    </row>
    <row r="102" ht="18.0" customHeight="1">
      <c r="A102" s="8"/>
      <c r="B102" s="8"/>
      <c r="C102" s="8"/>
      <c r="D102" s="25"/>
      <c r="E102" s="25"/>
      <c r="F102" s="25" t="str">
        <f t="shared" si="1"/>
        <v>No</v>
      </c>
      <c r="G102" s="25"/>
      <c r="H102" s="25" t="str">
        <f t="shared" si="2"/>
        <v>No</v>
      </c>
      <c r="I102" s="8"/>
      <c r="J102" s="30" t="str">
        <f t="shared" si="3"/>
        <v/>
      </c>
      <c r="K102" s="30" t="str">
        <f t="shared" si="4"/>
        <v/>
      </c>
      <c r="L102" s="30" t="str">
        <f t="shared" si="5"/>
        <v/>
      </c>
      <c r="M102" s="30" t="str">
        <f t="shared" si="6"/>
        <v/>
      </c>
      <c r="N102" s="30" t="str">
        <f t="shared" si="7"/>
        <v/>
      </c>
      <c r="O102" s="8"/>
      <c r="P102" s="8"/>
      <c r="Q102" s="8"/>
      <c r="R102" s="8"/>
      <c r="S102" s="8"/>
      <c r="T102" s="8"/>
      <c r="U102" s="8"/>
      <c r="V102" s="8"/>
      <c r="W102" s="8"/>
      <c r="X102" s="8"/>
      <c r="Y102" s="8"/>
      <c r="Z102" s="8"/>
    </row>
    <row r="103" ht="18.0" customHeight="1">
      <c r="A103" s="8"/>
      <c r="B103" s="8"/>
      <c r="C103" s="8"/>
      <c r="D103" s="25"/>
      <c r="E103" s="25"/>
      <c r="F103" s="25" t="str">
        <f t="shared" si="1"/>
        <v>No</v>
      </c>
      <c r="G103" s="25"/>
      <c r="H103" s="25" t="str">
        <f t="shared" si="2"/>
        <v>No</v>
      </c>
      <c r="I103" s="8"/>
      <c r="J103" s="30" t="str">
        <f t="shared" si="3"/>
        <v/>
      </c>
      <c r="K103" s="30" t="str">
        <f t="shared" si="4"/>
        <v/>
      </c>
      <c r="L103" s="30" t="str">
        <f t="shared" si="5"/>
        <v/>
      </c>
      <c r="M103" s="30" t="str">
        <f t="shared" si="6"/>
        <v/>
      </c>
      <c r="N103" s="30" t="str">
        <f t="shared" si="7"/>
        <v/>
      </c>
      <c r="O103" s="8"/>
      <c r="P103" s="8"/>
      <c r="Q103" s="8"/>
      <c r="R103" s="8"/>
      <c r="S103" s="8"/>
      <c r="T103" s="8"/>
      <c r="U103" s="8"/>
      <c r="V103" s="8"/>
      <c r="W103" s="8"/>
      <c r="X103" s="8"/>
      <c r="Y103" s="8"/>
      <c r="Z103" s="8"/>
    </row>
    <row r="104" ht="18.0" customHeight="1">
      <c r="A104" s="8"/>
      <c r="B104" s="8"/>
      <c r="C104" s="8"/>
      <c r="D104" s="25"/>
      <c r="E104" s="25"/>
      <c r="F104" s="25" t="str">
        <f t="shared" si="1"/>
        <v>No</v>
      </c>
      <c r="G104" s="25"/>
      <c r="H104" s="25" t="str">
        <f t="shared" si="2"/>
        <v>No</v>
      </c>
      <c r="I104" s="8"/>
      <c r="J104" s="30" t="str">
        <f t="shared" si="3"/>
        <v/>
      </c>
      <c r="K104" s="30" t="str">
        <f t="shared" si="4"/>
        <v/>
      </c>
      <c r="L104" s="30" t="str">
        <f t="shared" si="5"/>
        <v/>
      </c>
      <c r="M104" s="30" t="str">
        <f t="shared" si="6"/>
        <v/>
      </c>
      <c r="N104" s="30" t="str">
        <f t="shared" si="7"/>
        <v/>
      </c>
      <c r="O104" s="8"/>
      <c r="P104" s="8"/>
      <c r="Q104" s="8"/>
      <c r="R104" s="8"/>
      <c r="S104" s="8"/>
      <c r="T104" s="8"/>
      <c r="U104" s="8"/>
      <c r="V104" s="8"/>
      <c r="W104" s="8"/>
      <c r="X104" s="8"/>
      <c r="Y104" s="8"/>
      <c r="Z104" s="8"/>
    </row>
    <row r="105" ht="18.0" customHeight="1">
      <c r="A105" s="8"/>
      <c r="B105" s="8"/>
      <c r="C105" s="8"/>
      <c r="D105" s="25"/>
      <c r="E105" s="25"/>
      <c r="F105" s="25" t="str">
        <f t="shared" si="1"/>
        <v>No</v>
      </c>
      <c r="G105" s="25"/>
      <c r="H105" s="25" t="str">
        <f t="shared" si="2"/>
        <v>No</v>
      </c>
      <c r="I105" s="8"/>
      <c r="J105" s="30" t="str">
        <f t="shared" si="3"/>
        <v/>
      </c>
      <c r="K105" s="30" t="str">
        <f t="shared" si="4"/>
        <v/>
      </c>
      <c r="L105" s="30" t="str">
        <f t="shared" si="5"/>
        <v/>
      </c>
      <c r="M105" s="30" t="str">
        <f t="shared" si="6"/>
        <v/>
      </c>
      <c r="N105" s="30" t="str">
        <f t="shared" si="7"/>
        <v/>
      </c>
      <c r="O105" s="8"/>
      <c r="P105" s="8"/>
      <c r="Q105" s="8"/>
      <c r="R105" s="8"/>
      <c r="S105" s="8"/>
      <c r="T105" s="8"/>
      <c r="U105" s="8"/>
      <c r="V105" s="8"/>
      <c r="W105" s="8"/>
      <c r="X105" s="8"/>
      <c r="Y105" s="8"/>
      <c r="Z105" s="8"/>
    </row>
    <row r="106" ht="18.0" customHeight="1">
      <c r="A106" s="8"/>
      <c r="B106" s="8"/>
      <c r="C106" s="8"/>
      <c r="D106" s="25"/>
      <c r="E106" s="25"/>
      <c r="F106" s="25" t="str">
        <f t="shared" si="1"/>
        <v>No</v>
      </c>
      <c r="G106" s="25"/>
      <c r="H106" s="25" t="str">
        <f t="shared" si="2"/>
        <v>No</v>
      </c>
      <c r="I106" s="8"/>
      <c r="J106" s="30" t="str">
        <f t="shared" si="3"/>
        <v/>
      </c>
      <c r="K106" s="30" t="str">
        <f t="shared" si="4"/>
        <v/>
      </c>
      <c r="L106" s="30" t="str">
        <f t="shared" si="5"/>
        <v/>
      </c>
      <c r="M106" s="30" t="str">
        <f t="shared" si="6"/>
        <v/>
      </c>
      <c r="N106" s="30" t="str">
        <f t="shared" si="7"/>
        <v/>
      </c>
      <c r="O106" s="8"/>
      <c r="P106" s="8"/>
      <c r="Q106" s="8"/>
      <c r="R106" s="8"/>
      <c r="S106" s="8"/>
      <c r="T106" s="8"/>
      <c r="U106" s="8"/>
      <c r="V106" s="8"/>
      <c r="W106" s="8"/>
      <c r="X106" s="8"/>
      <c r="Y106" s="8"/>
      <c r="Z106" s="8"/>
    </row>
    <row r="107" ht="18.0" customHeight="1">
      <c r="A107" s="8"/>
      <c r="B107" s="8"/>
      <c r="C107" s="8"/>
      <c r="D107" s="25"/>
      <c r="E107" s="25"/>
      <c r="F107" s="25" t="str">
        <f t="shared" si="1"/>
        <v>No</v>
      </c>
      <c r="G107" s="25"/>
      <c r="H107" s="25" t="str">
        <f t="shared" si="2"/>
        <v>No</v>
      </c>
      <c r="I107" s="8"/>
      <c r="J107" s="30" t="str">
        <f t="shared" si="3"/>
        <v/>
      </c>
      <c r="K107" s="30" t="str">
        <f t="shared" si="4"/>
        <v/>
      </c>
      <c r="L107" s="30" t="str">
        <f t="shared" si="5"/>
        <v/>
      </c>
      <c r="M107" s="30" t="str">
        <f t="shared" si="6"/>
        <v/>
      </c>
      <c r="N107" s="30" t="str">
        <f t="shared" si="7"/>
        <v/>
      </c>
      <c r="O107" s="8"/>
      <c r="P107" s="8"/>
      <c r="Q107" s="8"/>
      <c r="R107" s="8"/>
      <c r="S107" s="8"/>
      <c r="T107" s="8"/>
      <c r="U107" s="8"/>
      <c r="V107" s="8"/>
      <c r="W107" s="8"/>
      <c r="X107" s="8"/>
      <c r="Y107" s="8"/>
      <c r="Z107" s="8"/>
    </row>
    <row r="108" ht="18.0" customHeight="1">
      <c r="A108" s="8"/>
      <c r="B108" s="8"/>
      <c r="C108" s="8"/>
      <c r="D108" s="25"/>
      <c r="E108" s="25"/>
      <c r="F108" s="25" t="str">
        <f t="shared" si="1"/>
        <v>No</v>
      </c>
      <c r="G108" s="25"/>
      <c r="H108" s="25" t="str">
        <f t="shared" si="2"/>
        <v>No</v>
      </c>
      <c r="I108" s="8"/>
      <c r="J108" s="30" t="str">
        <f t="shared" si="3"/>
        <v/>
      </c>
      <c r="K108" s="30" t="str">
        <f t="shared" si="4"/>
        <v/>
      </c>
      <c r="L108" s="30" t="str">
        <f t="shared" si="5"/>
        <v/>
      </c>
      <c r="M108" s="30" t="str">
        <f t="shared" si="6"/>
        <v/>
      </c>
      <c r="N108" s="30" t="str">
        <f t="shared" si="7"/>
        <v/>
      </c>
      <c r="O108" s="8"/>
      <c r="P108" s="8"/>
      <c r="Q108" s="8"/>
      <c r="R108" s="8"/>
      <c r="S108" s="8"/>
      <c r="T108" s="8"/>
      <c r="U108" s="8"/>
      <c r="V108" s="8"/>
      <c r="W108" s="8"/>
      <c r="X108" s="8"/>
      <c r="Y108" s="8"/>
      <c r="Z108" s="8"/>
    </row>
    <row r="109" ht="18.0" customHeight="1">
      <c r="A109" s="8"/>
      <c r="B109" s="8"/>
      <c r="C109" s="8"/>
      <c r="D109" s="25"/>
      <c r="E109" s="25"/>
      <c r="F109" s="25" t="str">
        <f t="shared" si="1"/>
        <v>No</v>
      </c>
      <c r="G109" s="25"/>
      <c r="H109" s="25" t="str">
        <f t="shared" si="2"/>
        <v>No</v>
      </c>
      <c r="I109" s="8"/>
      <c r="J109" s="30" t="str">
        <f t="shared" si="3"/>
        <v/>
      </c>
      <c r="K109" s="30" t="str">
        <f t="shared" si="4"/>
        <v/>
      </c>
      <c r="L109" s="30" t="str">
        <f t="shared" si="5"/>
        <v/>
      </c>
      <c r="M109" s="30" t="str">
        <f t="shared" si="6"/>
        <v/>
      </c>
      <c r="N109" s="30" t="str">
        <f t="shared" si="7"/>
        <v/>
      </c>
      <c r="O109" s="8"/>
      <c r="P109" s="8"/>
      <c r="Q109" s="8"/>
      <c r="R109" s="8"/>
      <c r="S109" s="8"/>
      <c r="T109" s="8"/>
      <c r="U109" s="8"/>
      <c r="V109" s="8"/>
      <c r="W109" s="8"/>
      <c r="X109" s="8"/>
      <c r="Y109" s="8"/>
      <c r="Z109" s="8"/>
    </row>
    <row r="110" ht="18.0" customHeight="1">
      <c r="A110" s="8"/>
      <c r="B110" s="8"/>
      <c r="C110" s="8"/>
      <c r="D110" s="25"/>
      <c r="E110" s="25"/>
      <c r="F110" s="25" t="str">
        <f t="shared" si="1"/>
        <v>No</v>
      </c>
      <c r="G110" s="25"/>
      <c r="H110" s="25" t="str">
        <f t="shared" si="2"/>
        <v>No</v>
      </c>
      <c r="I110" s="8"/>
      <c r="J110" s="30" t="str">
        <f t="shared" si="3"/>
        <v/>
      </c>
      <c r="K110" s="30" t="str">
        <f t="shared" si="4"/>
        <v/>
      </c>
      <c r="L110" s="30" t="str">
        <f t="shared" si="5"/>
        <v/>
      </c>
      <c r="M110" s="30" t="str">
        <f t="shared" si="6"/>
        <v/>
      </c>
      <c r="N110" s="30" t="str">
        <f t="shared" si="7"/>
        <v/>
      </c>
      <c r="O110" s="8"/>
      <c r="P110" s="8"/>
      <c r="Q110" s="8"/>
      <c r="R110" s="8"/>
      <c r="S110" s="8"/>
      <c r="T110" s="8"/>
      <c r="U110" s="8"/>
      <c r="V110" s="8"/>
      <c r="W110" s="8"/>
      <c r="X110" s="8"/>
      <c r="Y110" s="8"/>
      <c r="Z110" s="8"/>
    </row>
    <row r="111" ht="18.0" customHeight="1">
      <c r="A111" s="8"/>
      <c r="B111" s="8"/>
      <c r="C111" s="8"/>
      <c r="D111" s="25"/>
      <c r="E111" s="25"/>
      <c r="F111" s="25" t="str">
        <f t="shared" si="1"/>
        <v>No</v>
      </c>
      <c r="G111" s="25"/>
      <c r="H111" s="25" t="str">
        <f t="shared" si="2"/>
        <v>No</v>
      </c>
      <c r="I111" s="8"/>
      <c r="J111" s="30" t="str">
        <f t="shared" si="3"/>
        <v/>
      </c>
      <c r="K111" s="30" t="str">
        <f t="shared" si="4"/>
        <v/>
      </c>
      <c r="L111" s="30" t="str">
        <f t="shared" si="5"/>
        <v/>
      </c>
      <c r="M111" s="30" t="str">
        <f t="shared" si="6"/>
        <v/>
      </c>
      <c r="N111" s="30" t="str">
        <f t="shared" si="7"/>
        <v/>
      </c>
      <c r="O111" s="8"/>
      <c r="P111" s="8"/>
      <c r="Q111" s="8"/>
      <c r="R111" s="8"/>
      <c r="S111" s="8"/>
      <c r="T111" s="8"/>
      <c r="U111" s="8"/>
      <c r="V111" s="8"/>
      <c r="W111" s="8"/>
      <c r="X111" s="8"/>
      <c r="Y111" s="8"/>
      <c r="Z111" s="8"/>
    </row>
    <row r="112" ht="18.0" customHeight="1">
      <c r="A112" s="8"/>
      <c r="B112" s="8"/>
      <c r="C112" s="8"/>
      <c r="D112" s="25"/>
      <c r="E112" s="25"/>
      <c r="F112" s="25" t="str">
        <f t="shared" si="1"/>
        <v>No</v>
      </c>
      <c r="G112" s="25"/>
      <c r="H112" s="25" t="str">
        <f t="shared" si="2"/>
        <v>No</v>
      </c>
      <c r="I112" s="8"/>
      <c r="J112" s="30" t="str">
        <f t="shared" si="3"/>
        <v/>
      </c>
      <c r="K112" s="30" t="str">
        <f t="shared" si="4"/>
        <v/>
      </c>
      <c r="L112" s="30" t="str">
        <f t="shared" si="5"/>
        <v/>
      </c>
      <c r="M112" s="30" t="str">
        <f t="shared" si="6"/>
        <v/>
      </c>
      <c r="N112" s="30" t="str">
        <f t="shared" si="7"/>
        <v/>
      </c>
      <c r="O112" s="8"/>
      <c r="P112" s="8"/>
      <c r="Q112" s="8"/>
      <c r="R112" s="8"/>
      <c r="S112" s="8"/>
      <c r="T112" s="8"/>
      <c r="U112" s="8"/>
      <c r="V112" s="8"/>
      <c r="W112" s="8"/>
      <c r="X112" s="8"/>
      <c r="Y112" s="8"/>
      <c r="Z112" s="8"/>
    </row>
    <row r="113" ht="18.0" customHeight="1">
      <c r="A113" s="8"/>
      <c r="B113" s="8"/>
      <c r="C113" s="8"/>
      <c r="D113" s="25"/>
      <c r="E113" s="25"/>
      <c r="F113" s="25" t="str">
        <f t="shared" si="1"/>
        <v>No</v>
      </c>
      <c r="G113" s="25"/>
      <c r="H113" s="25" t="str">
        <f t="shared" si="2"/>
        <v>No</v>
      </c>
      <c r="I113" s="8"/>
      <c r="J113" s="30" t="str">
        <f t="shared" si="3"/>
        <v/>
      </c>
      <c r="K113" s="30" t="str">
        <f t="shared" si="4"/>
        <v/>
      </c>
      <c r="L113" s="30" t="str">
        <f t="shared" si="5"/>
        <v/>
      </c>
      <c r="M113" s="30" t="str">
        <f t="shared" si="6"/>
        <v/>
      </c>
      <c r="N113" s="30" t="str">
        <f t="shared" si="7"/>
        <v/>
      </c>
      <c r="O113" s="8"/>
      <c r="P113" s="8"/>
      <c r="Q113" s="8"/>
      <c r="R113" s="8"/>
      <c r="S113" s="8"/>
      <c r="T113" s="8"/>
      <c r="U113" s="8"/>
      <c r="V113" s="8"/>
      <c r="W113" s="8"/>
      <c r="X113" s="8"/>
      <c r="Y113" s="8"/>
      <c r="Z113" s="8"/>
    </row>
    <row r="114" ht="18.0" customHeight="1">
      <c r="A114" s="8"/>
      <c r="B114" s="8"/>
      <c r="C114" s="8"/>
      <c r="D114" s="25"/>
      <c r="E114" s="25"/>
      <c r="F114" s="25" t="str">
        <f t="shared" si="1"/>
        <v>No</v>
      </c>
      <c r="G114" s="25"/>
      <c r="H114" s="25" t="str">
        <f t="shared" si="2"/>
        <v>No</v>
      </c>
      <c r="I114" s="8"/>
      <c r="J114" s="30" t="str">
        <f t="shared" si="3"/>
        <v/>
      </c>
      <c r="K114" s="30" t="str">
        <f t="shared" si="4"/>
        <v/>
      </c>
      <c r="L114" s="30" t="str">
        <f t="shared" si="5"/>
        <v/>
      </c>
      <c r="M114" s="30" t="str">
        <f t="shared" si="6"/>
        <v/>
      </c>
      <c r="N114" s="30" t="str">
        <f t="shared" si="7"/>
        <v/>
      </c>
      <c r="O114" s="8"/>
      <c r="P114" s="8"/>
      <c r="Q114" s="8"/>
      <c r="R114" s="8"/>
      <c r="S114" s="8"/>
      <c r="T114" s="8"/>
      <c r="U114" s="8"/>
      <c r="V114" s="8"/>
      <c r="W114" s="8"/>
      <c r="X114" s="8"/>
      <c r="Y114" s="8"/>
      <c r="Z114" s="8"/>
    </row>
    <row r="115" ht="18.0" customHeight="1">
      <c r="A115" s="8"/>
      <c r="B115" s="8"/>
      <c r="C115" s="8"/>
      <c r="D115" s="25"/>
      <c r="E115" s="25"/>
      <c r="F115" s="25" t="str">
        <f t="shared" si="1"/>
        <v>No</v>
      </c>
      <c r="G115" s="25"/>
      <c r="H115" s="25" t="str">
        <f t="shared" si="2"/>
        <v>No</v>
      </c>
      <c r="I115" s="8"/>
      <c r="J115" s="30" t="str">
        <f t="shared" si="3"/>
        <v/>
      </c>
      <c r="K115" s="30" t="str">
        <f t="shared" si="4"/>
        <v/>
      </c>
      <c r="L115" s="30" t="str">
        <f t="shared" si="5"/>
        <v/>
      </c>
      <c r="M115" s="30" t="str">
        <f t="shared" si="6"/>
        <v/>
      </c>
      <c r="N115" s="30" t="str">
        <f t="shared" si="7"/>
        <v/>
      </c>
      <c r="O115" s="8"/>
      <c r="P115" s="8"/>
      <c r="Q115" s="8"/>
      <c r="R115" s="8"/>
      <c r="S115" s="8"/>
      <c r="T115" s="8"/>
      <c r="U115" s="8"/>
      <c r="V115" s="8"/>
      <c r="W115" s="8"/>
      <c r="X115" s="8"/>
      <c r="Y115" s="8"/>
      <c r="Z115" s="8"/>
    </row>
    <row r="116" ht="18.0" customHeight="1">
      <c r="A116" s="8"/>
      <c r="B116" s="8"/>
      <c r="C116" s="8"/>
      <c r="D116" s="25"/>
      <c r="E116" s="25"/>
      <c r="F116" s="25" t="str">
        <f t="shared" si="1"/>
        <v>No</v>
      </c>
      <c r="G116" s="25"/>
      <c r="H116" s="25" t="str">
        <f t="shared" si="2"/>
        <v>No</v>
      </c>
      <c r="I116" s="8"/>
      <c r="J116" s="30" t="str">
        <f t="shared" si="3"/>
        <v/>
      </c>
      <c r="K116" s="30" t="str">
        <f t="shared" si="4"/>
        <v/>
      </c>
      <c r="L116" s="30" t="str">
        <f t="shared" si="5"/>
        <v/>
      </c>
      <c r="M116" s="30" t="str">
        <f t="shared" si="6"/>
        <v/>
      </c>
      <c r="N116" s="30" t="str">
        <f t="shared" si="7"/>
        <v/>
      </c>
      <c r="O116" s="8"/>
      <c r="P116" s="8"/>
      <c r="Q116" s="8"/>
      <c r="R116" s="8"/>
      <c r="S116" s="8"/>
      <c r="T116" s="8"/>
      <c r="U116" s="8"/>
      <c r="V116" s="8"/>
      <c r="W116" s="8"/>
      <c r="X116" s="8"/>
      <c r="Y116" s="8"/>
      <c r="Z116" s="8"/>
    </row>
    <row r="117" ht="18.0" customHeight="1">
      <c r="A117" s="8"/>
      <c r="B117" s="8"/>
      <c r="C117" s="8"/>
      <c r="D117" s="25"/>
      <c r="E117" s="25"/>
      <c r="F117" s="25" t="str">
        <f t="shared" si="1"/>
        <v>No</v>
      </c>
      <c r="G117" s="25"/>
      <c r="H117" s="25" t="str">
        <f t="shared" si="2"/>
        <v>No</v>
      </c>
      <c r="I117" s="8"/>
      <c r="J117" s="30" t="str">
        <f t="shared" si="3"/>
        <v/>
      </c>
      <c r="K117" s="30" t="str">
        <f t="shared" si="4"/>
        <v/>
      </c>
      <c r="L117" s="30" t="str">
        <f t="shared" si="5"/>
        <v/>
      </c>
      <c r="M117" s="30" t="str">
        <f t="shared" si="6"/>
        <v/>
      </c>
      <c r="N117" s="30" t="str">
        <f t="shared" si="7"/>
        <v/>
      </c>
      <c r="O117" s="8"/>
      <c r="P117" s="8"/>
      <c r="Q117" s="8"/>
      <c r="R117" s="8"/>
      <c r="S117" s="8"/>
      <c r="T117" s="8"/>
      <c r="U117" s="8"/>
      <c r="V117" s="8"/>
      <c r="W117" s="8"/>
      <c r="X117" s="8"/>
      <c r="Y117" s="8"/>
      <c r="Z117" s="8"/>
    </row>
    <row r="118" ht="18.0" customHeight="1">
      <c r="A118" s="8"/>
      <c r="B118" s="8"/>
      <c r="C118" s="8"/>
      <c r="D118" s="25"/>
      <c r="E118" s="25"/>
      <c r="F118" s="25" t="str">
        <f t="shared" si="1"/>
        <v>No</v>
      </c>
      <c r="G118" s="25"/>
      <c r="H118" s="25" t="str">
        <f t="shared" si="2"/>
        <v>No</v>
      </c>
      <c r="I118" s="8"/>
      <c r="J118" s="30" t="str">
        <f t="shared" si="3"/>
        <v/>
      </c>
      <c r="K118" s="30" t="str">
        <f t="shared" si="4"/>
        <v/>
      </c>
      <c r="L118" s="30" t="str">
        <f t="shared" si="5"/>
        <v/>
      </c>
      <c r="M118" s="30" t="str">
        <f t="shared" si="6"/>
        <v/>
      </c>
      <c r="N118" s="30" t="str">
        <f t="shared" si="7"/>
        <v/>
      </c>
      <c r="O118" s="8"/>
      <c r="P118" s="8"/>
      <c r="Q118" s="8"/>
      <c r="R118" s="8"/>
      <c r="S118" s="8"/>
      <c r="T118" s="8"/>
      <c r="U118" s="8"/>
      <c r="V118" s="8"/>
      <c r="W118" s="8"/>
      <c r="X118" s="8"/>
      <c r="Y118" s="8"/>
      <c r="Z118" s="8"/>
    </row>
    <row r="119" ht="18.0" customHeight="1">
      <c r="A119" s="8"/>
      <c r="B119" s="8"/>
      <c r="C119" s="8"/>
      <c r="D119" s="25"/>
      <c r="E119" s="25"/>
      <c r="F119" s="25" t="str">
        <f t="shared" si="1"/>
        <v>No</v>
      </c>
      <c r="G119" s="25"/>
      <c r="H119" s="25" t="str">
        <f t="shared" si="2"/>
        <v>No</v>
      </c>
      <c r="I119" s="8"/>
      <c r="J119" s="30" t="str">
        <f t="shared" si="3"/>
        <v/>
      </c>
      <c r="K119" s="30" t="str">
        <f t="shared" si="4"/>
        <v/>
      </c>
      <c r="L119" s="30" t="str">
        <f t="shared" si="5"/>
        <v/>
      </c>
      <c r="M119" s="30" t="str">
        <f t="shared" si="6"/>
        <v/>
      </c>
      <c r="N119" s="30" t="str">
        <f t="shared" si="7"/>
        <v/>
      </c>
      <c r="O119" s="8"/>
      <c r="P119" s="8"/>
      <c r="Q119" s="8"/>
      <c r="R119" s="8"/>
      <c r="S119" s="8"/>
      <c r="T119" s="8"/>
      <c r="U119" s="8"/>
      <c r="V119" s="8"/>
      <c r="W119" s="8"/>
      <c r="X119" s="8"/>
      <c r="Y119" s="8"/>
      <c r="Z119" s="8"/>
    </row>
    <row r="120" ht="18.0" customHeight="1">
      <c r="A120" s="8"/>
      <c r="B120" s="8"/>
      <c r="C120" s="8"/>
      <c r="D120" s="25"/>
      <c r="E120" s="25"/>
      <c r="F120" s="25" t="str">
        <f t="shared" si="1"/>
        <v>No</v>
      </c>
      <c r="G120" s="25"/>
      <c r="H120" s="25" t="str">
        <f t="shared" si="2"/>
        <v>No</v>
      </c>
      <c r="I120" s="8"/>
      <c r="J120" s="30" t="str">
        <f t="shared" si="3"/>
        <v/>
      </c>
      <c r="K120" s="30" t="str">
        <f t="shared" si="4"/>
        <v/>
      </c>
      <c r="L120" s="30" t="str">
        <f t="shared" si="5"/>
        <v/>
      </c>
      <c r="M120" s="30" t="str">
        <f t="shared" si="6"/>
        <v/>
      </c>
      <c r="N120" s="30" t="str">
        <f t="shared" si="7"/>
        <v/>
      </c>
      <c r="O120" s="8"/>
      <c r="P120" s="8"/>
      <c r="Q120" s="8"/>
      <c r="R120" s="8"/>
      <c r="S120" s="8"/>
      <c r="T120" s="8"/>
      <c r="U120" s="8"/>
      <c r="V120" s="8"/>
      <c r="W120" s="8"/>
      <c r="X120" s="8"/>
      <c r="Y120" s="8"/>
      <c r="Z120" s="8"/>
    </row>
    <row r="121" ht="18.0" customHeight="1">
      <c r="A121" s="8"/>
      <c r="B121" s="8"/>
      <c r="C121" s="8"/>
      <c r="D121" s="25"/>
      <c r="E121" s="25"/>
      <c r="F121" s="25" t="str">
        <f t="shared" si="1"/>
        <v>No</v>
      </c>
      <c r="G121" s="25"/>
      <c r="H121" s="25" t="str">
        <f t="shared" si="2"/>
        <v>No</v>
      </c>
      <c r="I121" s="8"/>
      <c r="J121" s="30" t="str">
        <f t="shared" si="3"/>
        <v/>
      </c>
      <c r="K121" s="30" t="str">
        <f t="shared" si="4"/>
        <v/>
      </c>
      <c r="L121" s="30" t="str">
        <f t="shared" si="5"/>
        <v/>
      </c>
      <c r="M121" s="30" t="str">
        <f t="shared" si="6"/>
        <v/>
      </c>
      <c r="N121" s="30" t="str">
        <f t="shared" si="7"/>
        <v/>
      </c>
      <c r="O121" s="8"/>
      <c r="P121" s="8"/>
      <c r="Q121" s="8"/>
      <c r="R121" s="8"/>
      <c r="S121" s="8"/>
      <c r="T121" s="8"/>
      <c r="U121" s="8"/>
      <c r="V121" s="8"/>
      <c r="W121" s="8"/>
      <c r="X121" s="8"/>
      <c r="Y121" s="8"/>
      <c r="Z121" s="8"/>
    </row>
    <row r="122" ht="18.0" customHeight="1">
      <c r="A122" s="8"/>
      <c r="B122" s="8"/>
      <c r="C122" s="8"/>
      <c r="D122" s="25"/>
      <c r="E122" s="25"/>
      <c r="F122" s="25" t="str">
        <f t="shared" si="1"/>
        <v>No</v>
      </c>
      <c r="G122" s="25"/>
      <c r="H122" s="25" t="str">
        <f t="shared" si="2"/>
        <v>No</v>
      </c>
      <c r="I122" s="8"/>
      <c r="J122" s="30" t="str">
        <f t="shared" si="3"/>
        <v/>
      </c>
      <c r="K122" s="30" t="str">
        <f t="shared" si="4"/>
        <v/>
      </c>
      <c r="L122" s="30" t="str">
        <f t="shared" si="5"/>
        <v/>
      </c>
      <c r="M122" s="30" t="str">
        <f t="shared" si="6"/>
        <v/>
      </c>
      <c r="N122" s="30" t="str">
        <f t="shared" si="7"/>
        <v/>
      </c>
      <c r="O122" s="8"/>
      <c r="P122" s="8"/>
      <c r="Q122" s="8"/>
      <c r="R122" s="8"/>
      <c r="S122" s="8"/>
      <c r="T122" s="8"/>
      <c r="U122" s="8"/>
      <c r="V122" s="8"/>
      <c r="W122" s="8"/>
      <c r="X122" s="8"/>
      <c r="Y122" s="8"/>
      <c r="Z122" s="8"/>
    </row>
    <row r="123" ht="18.0" customHeight="1">
      <c r="A123" s="8"/>
      <c r="B123" s="8"/>
      <c r="C123" s="8"/>
      <c r="D123" s="25"/>
      <c r="E123" s="25"/>
      <c r="F123" s="25" t="str">
        <f t="shared" si="1"/>
        <v>No</v>
      </c>
      <c r="G123" s="25"/>
      <c r="H123" s="25" t="str">
        <f t="shared" si="2"/>
        <v>No</v>
      </c>
      <c r="I123" s="8"/>
      <c r="J123" s="30" t="str">
        <f t="shared" si="3"/>
        <v/>
      </c>
      <c r="K123" s="30" t="str">
        <f t="shared" si="4"/>
        <v/>
      </c>
      <c r="L123" s="30" t="str">
        <f t="shared" si="5"/>
        <v/>
      </c>
      <c r="M123" s="30" t="str">
        <f t="shared" si="6"/>
        <v/>
      </c>
      <c r="N123" s="30" t="str">
        <f t="shared" si="7"/>
        <v/>
      </c>
      <c r="O123" s="8"/>
      <c r="P123" s="8"/>
      <c r="Q123" s="8"/>
      <c r="R123" s="8"/>
      <c r="S123" s="8"/>
      <c r="T123" s="8"/>
      <c r="U123" s="8"/>
      <c r="V123" s="8"/>
      <c r="W123" s="8"/>
      <c r="X123" s="8"/>
      <c r="Y123" s="8"/>
      <c r="Z123" s="8"/>
    </row>
    <row r="124" ht="18.0" customHeight="1">
      <c r="A124" s="8"/>
      <c r="B124" s="8"/>
      <c r="C124" s="8"/>
      <c r="D124" s="25"/>
      <c r="E124" s="25"/>
      <c r="F124" s="25" t="str">
        <f t="shared" si="1"/>
        <v>No</v>
      </c>
      <c r="G124" s="25"/>
      <c r="H124" s="25" t="str">
        <f t="shared" si="2"/>
        <v>No</v>
      </c>
      <c r="I124" s="8"/>
      <c r="J124" s="30" t="str">
        <f t="shared" si="3"/>
        <v/>
      </c>
      <c r="K124" s="30" t="str">
        <f t="shared" si="4"/>
        <v/>
      </c>
      <c r="L124" s="30" t="str">
        <f t="shared" si="5"/>
        <v/>
      </c>
      <c r="M124" s="30" t="str">
        <f t="shared" si="6"/>
        <v/>
      </c>
      <c r="N124" s="30" t="str">
        <f t="shared" si="7"/>
        <v/>
      </c>
      <c r="O124" s="8"/>
      <c r="P124" s="8"/>
      <c r="Q124" s="8"/>
      <c r="R124" s="8"/>
      <c r="S124" s="8"/>
      <c r="T124" s="8"/>
      <c r="U124" s="8"/>
      <c r="V124" s="8"/>
      <c r="W124" s="8"/>
      <c r="X124" s="8"/>
      <c r="Y124" s="8"/>
      <c r="Z124" s="8"/>
    </row>
    <row r="125" ht="18.0" customHeight="1">
      <c r="A125" s="8"/>
      <c r="B125" s="8"/>
      <c r="C125" s="8"/>
      <c r="D125" s="25"/>
      <c r="E125" s="25"/>
      <c r="F125" s="25" t="str">
        <f t="shared" si="1"/>
        <v>No</v>
      </c>
      <c r="G125" s="25"/>
      <c r="H125" s="25" t="str">
        <f t="shared" si="2"/>
        <v>No</v>
      </c>
      <c r="I125" s="8"/>
      <c r="J125" s="30" t="str">
        <f t="shared" si="3"/>
        <v/>
      </c>
      <c r="K125" s="30" t="str">
        <f t="shared" si="4"/>
        <v/>
      </c>
      <c r="L125" s="30" t="str">
        <f t="shared" si="5"/>
        <v/>
      </c>
      <c r="M125" s="30" t="str">
        <f t="shared" si="6"/>
        <v/>
      </c>
      <c r="N125" s="30" t="str">
        <f t="shared" si="7"/>
        <v/>
      </c>
      <c r="O125" s="8"/>
      <c r="P125" s="8"/>
      <c r="Q125" s="8"/>
      <c r="R125" s="8"/>
      <c r="S125" s="8"/>
      <c r="T125" s="8"/>
      <c r="U125" s="8"/>
      <c r="V125" s="8"/>
      <c r="W125" s="8"/>
      <c r="X125" s="8"/>
      <c r="Y125" s="8"/>
      <c r="Z125" s="8"/>
    </row>
    <row r="126" ht="18.0" customHeight="1">
      <c r="A126" s="8"/>
      <c r="B126" s="8"/>
      <c r="C126" s="8"/>
      <c r="D126" s="25"/>
      <c r="E126" s="25"/>
      <c r="F126" s="25" t="str">
        <f t="shared" si="1"/>
        <v>No</v>
      </c>
      <c r="G126" s="25"/>
      <c r="H126" s="25" t="str">
        <f t="shared" si="2"/>
        <v>No</v>
      </c>
      <c r="I126" s="8"/>
      <c r="J126" s="30" t="str">
        <f t="shared" si="3"/>
        <v/>
      </c>
      <c r="K126" s="30" t="str">
        <f t="shared" si="4"/>
        <v/>
      </c>
      <c r="L126" s="30" t="str">
        <f t="shared" si="5"/>
        <v/>
      </c>
      <c r="M126" s="30" t="str">
        <f t="shared" si="6"/>
        <v/>
      </c>
      <c r="N126" s="30" t="str">
        <f t="shared" si="7"/>
        <v/>
      </c>
      <c r="O126" s="8"/>
      <c r="P126" s="8"/>
      <c r="Q126" s="8"/>
      <c r="R126" s="8"/>
      <c r="S126" s="8"/>
      <c r="T126" s="8"/>
      <c r="U126" s="8"/>
      <c r="V126" s="8"/>
      <c r="W126" s="8"/>
      <c r="X126" s="8"/>
      <c r="Y126" s="8"/>
      <c r="Z126" s="8"/>
    </row>
    <row r="127" ht="18.0" customHeight="1">
      <c r="A127" s="8"/>
      <c r="B127" s="8"/>
      <c r="C127" s="8"/>
      <c r="D127" s="25"/>
      <c r="E127" s="25"/>
      <c r="F127" s="25" t="str">
        <f t="shared" si="1"/>
        <v>No</v>
      </c>
      <c r="G127" s="25"/>
      <c r="H127" s="25" t="str">
        <f t="shared" si="2"/>
        <v>No</v>
      </c>
      <c r="I127" s="8"/>
      <c r="J127" s="30" t="str">
        <f t="shared" si="3"/>
        <v/>
      </c>
      <c r="K127" s="30" t="str">
        <f t="shared" si="4"/>
        <v/>
      </c>
      <c r="L127" s="30" t="str">
        <f t="shared" si="5"/>
        <v/>
      </c>
      <c r="M127" s="30" t="str">
        <f t="shared" si="6"/>
        <v/>
      </c>
      <c r="N127" s="30" t="str">
        <f t="shared" si="7"/>
        <v/>
      </c>
      <c r="O127" s="8"/>
      <c r="P127" s="8"/>
      <c r="Q127" s="8"/>
      <c r="R127" s="8"/>
      <c r="S127" s="8"/>
      <c r="T127" s="8"/>
      <c r="U127" s="8"/>
      <c r="V127" s="8"/>
      <c r="W127" s="8"/>
      <c r="X127" s="8"/>
      <c r="Y127" s="8"/>
      <c r="Z127" s="8"/>
    </row>
    <row r="128" ht="18.0" customHeight="1">
      <c r="A128" s="8"/>
      <c r="B128" s="8"/>
      <c r="C128" s="8"/>
      <c r="D128" s="25"/>
      <c r="E128" s="25"/>
      <c r="F128" s="25" t="str">
        <f t="shared" si="1"/>
        <v>No</v>
      </c>
      <c r="G128" s="25"/>
      <c r="H128" s="25" t="str">
        <f t="shared" si="2"/>
        <v>No</v>
      </c>
      <c r="I128" s="8"/>
      <c r="J128" s="30" t="str">
        <f t="shared" si="3"/>
        <v/>
      </c>
      <c r="K128" s="30" t="str">
        <f t="shared" si="4"/>
        <v/>
      </c>
      <c r="L128" s="30" t="str">
        <f t="shared" si="5"/>
        <v/>
      </c>
      <c r="M128" s="30" t="str">
        <f t="shared" si="6"/>
        <v/>
      </c>
      <c r="N128" s="30" t="str">
        <f t="shared" si="7"/>
        <v/>
      </c>
      <c r="O128" s="8"/>
      <c r="P128" s="8"/>
      <c r="Q128" s="8"/>
      <c r="R128" s="8"/>
      <c r="S128" s="8"/>
      <c r="T128" s="8"/>
      <c r="U128" s="8"/>
      <c r="V128" s="8"/>
      <c r="W128" s="8"/>
      <c r="X128" s="8"/>
      <c r="Y128" s="8"/>
      <c r="Z128" s="8"/>
    </row>
    <row r="129" ht="18.0" customHeight="1">
      <c r="A129" s="8"/>
      <c r="B129" s="8"/>
      <c r="C129" s="8"/>
      <c r="D129" s="25"/>
      <c r="E129" s="25"/>
      <c r="F129" s="25" t="str">
        <f t="shared" si="1"/>
        <v>No</v>
      </c>
      <c r="G129" s="25"/>
      <c r="H129" s="25" t="str">
        <f t="shared" si="2"/>
        <v>No</v>
      </c>
      <c r="I129" s="8"/>
      <c r="J129" s="30" t="str">
        <f t="shared" si="3"/>
        <v/>
      </c>
      <c r="K129" s="30" t="str">
        <f t="shared" si="4"/>
        <v/>
      </c>
      <c r="L129" s="30" t="str">
        <f t="shared" si="5"/>
        <v/>
      </c>
      <c r="M129" s="30" t="str">
        <f t="shared" si="6"/>
        <v/>
      </c>
      <c r="N129" s="30" t="str">
        <f t="shared" si="7"/>
        <v/>
      </c>
      <c r="O129" s="8"/>
      <c r="P129" s="8"/>
      <c r="Q129" s="8"/>
      <c r="R129" s="8"/>
      <c r="S129" s="8"/>
      <c r="T129" s="8"/>
      <c r="U129" s="8"/>
      <c r="V129" s="8"/>
      <c r="W129" s="8"/>
      <c r="X129" s="8"/>
      <c r="Y129" s="8"/>
      <c r="Z129" s="8"/>
    </row>
    <row r="130" ht="18.0" customHeight="1">
      <c r="A130" s="8"/>
      <c r="B130" s="8"/>
      <c r="C130" s="8"/>
      <c r="D130" s="25"/>
      <c r="E130" s="25"/>
      <c r="F130" s="25" t="str">
        <f t="shared" si="1"/>
        <v>No</v>
      </c>
      <c r="G130" s="25"/>
      <c r="H130" s="25" t="str">
        <f t="shared" si="2"/>
        <v>No</v>
      </c>
      <c r="I130" s="8"/>
      <c r="J130" s="30" t="str">
        <f t="shared" si="3"/>
        <v/>
      </c>
      <c r="K130" s="30" t="str">
        <f t="shared" si="4"/>
        <v/>
      </c>
      <c r="L130" s="30" t="str">
        <f t="shared" si="5"/>
        <v/>
      </c>
      <c r="M130" s="30" t="str">
        <f t="shared" si="6"/>
        <v/>
      </c>
      <c r="N130" s="30" t="str">
        <f t="shared" si="7"/>
        <v/>
      </c>
      <c r="O130" s="8"/>
      <c r="P130" s="8"/>
      <c r="Q130" s="8"/>
      <c r="R130" s="8"/>
      <c r="S130" s="8"/>
      <c r="T130" s="8"/>
      <c r="U130" s="8"/>
      <c r="V130" s="8"/>
      <c r="W130" s="8"/>
      <c r="X130" s="8"/>
      <c r="Y130" s="8"/>
      <c r="Z130" s="8"/>
    </row>
    <row r="131" ht="18.0" customHeight="1">
      <c r="A131" s="8"/>
      <c r="B131" s="8"/>
      <c r="C131" s="8"/>
      <c r="D131" s="25"/>
      <c r="E131" s="25"/>
      <c r="F131" s="25" t="str">
        <f t="shared" si="1"/>
        <v>No</v>
      </c>
      <c r="G131" s="25"/>
      <c r="H131" s="25" t="str">
        <f t="shared" si="2"/>
        <v>No</v>
      </c>
      <c r="I131" s="8"/>
      <c r="J131" s="30" t="str">
        <f t="shared" si="3"/>
        <v/>
      </c>
      <c r="K131" s="30" t="str">
        <f t="shared" si="4"/>
        <v/>
      </c>
      <c r="L131" s="30" t="str">
        <f t="shared" si="5"/>
        <v/>
      </c>
      <c r="M131" s="30" t="str">
        <f t="shared" si="6"/>
        <v/>
      </c>
      <c r="N131" s="30" t="str">
        <f t="shared" si="7"/>
        <v/>
      </c>
      <c r="O131" s="8"/>
      <c r="P131" s="8"/>
      <c r="Q131" s="8"/>
      <c r="R131" s="8"/>
      <c r="S131" s="8"/>
      <c r="T131" s="8"/>
      <c r="U131" s="8"/>
      <c r="V131" s="8"/>
      <c r="W131" s="8"/>
      <c r="X131" s="8"/>
      <c r="Y131" s="8"/>
      <c r="Z131" s="8"/>
    </row>
    <row r="132" ht="18.0" customHeight="1">
      <c r="A132" s="8"/>
      <c r="B132" s="8"/>
      <c r="C132" s="8"/>
      <c r="D132" s="25"/>
      <c r="E132" s="25"/>
      <c r="F132" s="25" t="str">
        <f t="shared" si="1"/>
        <v>No</v>
      </c>
      <c r="G132" s="25"/>
      <c r="H132" s="25" t="str">
        <f t="shared" si="2"/>
        <v>No</v>
      </c>
      <c r="I132" s="8"/>
      <c r="J132" s="30" t="str">
        <f t="shared" si="3"/>
        <v/>
      </c>
      <c r="K132" s="30" t="str">
        <f t="shared" si="4"/>
        <v/>
      </c>
      <c r="L132" s="30" t="str">
        <f t="shared" si="5"/>
        <v/>
      </c>
      <c r="M132" s="30" t="str">
        <f t="shared" si="6"/>
        <v/>
      </c>
      <c r="N132" s="30" t="str">
        <f t="shared" si="7"/>
        <v/>
      </c>
      <c r="O132" s="8"/>
      <c r="P132" s="8"/>
      <c r="Q132" s="8"/>
      <c r="R132" s="8"/>
      <c r="S132" s="8"/>
      <c r="T132" s="8"/>
      <c r="U132" s="8"/>
      <c r="V132" s="8"/>
      <c r="W132" s="8"/>
      <c r="X132" s="8"/>
      <c r="Y132" s="8"/>
      <c r="Z132" s="8"/>
    </row>
    <row r="133" ht="18.0" customHeight="1">
      <c r="A133" s="8"/>
      <c r="B133" s="8"/>
      <c r="C133" s="8"/>
      <c r="D133" s="25"/>
      <c r="E133" s="25"/>
      <c r="F133" s="25" t="str">
        <f t="shared" si="1"/>
        <v>No</v>
      </c>
      <c r="G133" s="25"/>
      <c r="H133" s="25" t="str">
        <f t="shared" si="2"/>
        <v>No</v>
      </c>
      <c r="I133" s="8"/>
      <c r="J133" s="30" t="str">
        <f t="shared" si="3"/>
        <v/>
      </c>
      <c r="K133" s="30" t="str">
        <f t="shared" si="4"/>
        <v/>
      </c>
      <c r="L133" s="30" t="str">
        <f t="shared" si="5"/>
        <v/>
      </c>
      <c r="M133" s="30" t="str">
        <f t="shared" si="6"/>
        <v/>
      </c>
      <c r="N133" s="30" t="str">
        <f t="shared" si="7"/>
        <v/>
      </c>
      <c r="O133" s="8"/>
      <c r="P133" s="8"/>
      <c r="Q133" s="8"/>
      <c r="R133" s="8"/>
      <c r="S133" s="8"/>
      <c r="T133" s="8"/>
      <c r="U133" s="8"/>
      <c r="V133" s="8"/>
      <c r="W133" s="8"/>
      <c r="X133" s="8"/>
      <c r="Y133" s="8"/>
      <c r="Z133" s="8"/>
    </row>
    <row r="134" ht="18.0" customHeight="1">
      <c r="A134" s="8"/>
      <c r="B134" s="8"/>
      <c r="C134" s="8"/>
      <c r="D134" s="25"/>
      <c r="E134" s="25"/>
      <c r="F134" s="25" t="str">
        <f t="shared" si="1"/>
        <v>No</v>
      </c>
      <c r="G134" s="25"/>
      <c r="H134" s="25" t="str">
        <f t="shared" si="2"/>
        <v>No</v>
      </c>
      <c r="I134" s="8"/>
      <c r="J134" s="30" t="str">
        <f t="shared" si="3"/>
        <v/>
      </c>
      <c r="K134" s="30" t="str">
        <f t="shared" si="4"/>
        <v/>
      </c>
      <c r="L134" s="30" t="str">
        <f t="shared" si="5"/>
        <v/>
      </c>
      <c r="M134" s="30" t="str">
        <f t="shared" si="6"/>
        <v/>
      </c>
      <c r="N134" s="30" t="str">
        <f t="shared" si="7"/>
        <v/>
      </c>
      <c r="O134" s="8"/>
      <c r="P134" s="8"/>
      <c r="Q134" s="8"/>
      <c r="R134" s="8"/>
      <c r="S134" s="8"/>
      <c r="T134" s="8"/>
      <c r="U134" s="8"/>
      <c r="V134" s="8"/>
      <c r="W134" s="8"/>
      <c r="X134" s="8"/>
      <c r="Y134" s="8"/>
      <c r="Z134" s="8"/>
    </row>
    <row r="135" ht="18.0" customHeight="1">
      <c r="A135" s="8"/>
      <c r="B135" s="8"/>
      <c r="C135" s="8"/>
      <c r="D135" s="25"/>
      <c r="E135" s="25"/>
      <c r="F135" s="25" t="str">
        <f t="shared" si="1"/>
        <v>No</v>
      </c>
      <c r="G135" s="25"/>
      <c r="H135" s="25" t="str">
        <f t="shared" si="2"/>
        <v>No</v>
      </c>
      <c r="I135" s="8"/>
      <c r="J135" s="30" t="str">
        <f t="shared" si="3"/>
        <v/>
      </c>
      <c r="K135" s="30" t="str">
        <f t="shared" si="4"/>
        <v/>
      </c>
      <c r="L135" s="30" t="str">
        <f t="shared" si="5"/>
        <v/>
      </c>
      <c r="M135" s="30" t="str">
        <f t="shared" si="6"/>
        <v/>
      </c>
      <c r="N135" s="30" t="str">
        <f t="shared" si="7"/>
        <v/>
      </c>
      <c r="O135" s="8"/>
      <c r="P135" s="8"/>
      <c r="Q135" s="8"/>
      <c r="R135" s="8"/>
      <c r="S135" s="8"/>
      <c r="T135" s="8"/>
      <c r="U135" s="8"/>
      <c r="V135" s="8"/>
      <c r="W135" s="8"/>
      <c r="X135" s="8"/>
      <c r="Y135" s="8"/>
      <c r="Z135" s="8"/>
    </row>
    <row r="136" ht="18.0" customHeight="1">
      <c r="A136" s="8"/>
      <c r="B136" s="8"/>
      <c r="C136" s="8"/>
      <c r="D136" s="25"/>
      <c r="E136" s="25"/>
      <c r="F136" s="25" t="str">
        <f t="shared" si="1"/>
        <v>No</v>
      </c>
      <c r="G136" s="25"/>
      <c r="H136" s="25" t="str">
        <f t="shared" si="2"/>
        <v>No</v>
      </c>
      <c r="I136" s="8"/>
      <c r="J136" s="30" t="str">
        <f t="shared" si="3"/>
        <v/>
      </c>
      <c r="K136" s="30" t="str">
        <f t="shared" si="4"/>
        <v/>
      </c>
      <c r="L136" s="30" t="str">
        <f t="shared" si="5"/>
        <v/>
      </c>
      <c r="M136" s="30" t="str">
        <f t="shared" si="6"/>
        <v/>
      </c>
      <c r="N136" s="30" t="str">
        <f t="shared" si="7"/>
        <v/>
      </c>
      <c r="O136" s="8"/>
      <c r="P136" s="8"/>
      <c r="Q136" s="8"/>
      <c r="R136" s="8"/>
      <c r="S136" s="8"/>
      <c r="T136" s="8"/>
      <c r="U136" s="8"/>
      <c r="V136" s="8"/>
      <c r="W136" s="8"/>
      <c r="X136" s="8"/>
      <c r="Y136" s="8"/>
      <c r="Z136" s="8"/>
    </row>
    <row r="137" ht="18.0" customHeight="1">
      <c r="A137" s="8"/>
      <c r="B137" s="8"/>
      <c r="C137" s="8"/>
      <c r="D137" s="25"/>
      <c r="E137" s="25"/>
      <c r="F137" s="25" t="str">
        <f t="shared" si="1"/>
        <v>No</v>
      </c>
      <c r="G137" s="25"/>
      <c r="H137" s="25" t="str">
        <f t="shared" si="2"/>
        <v>No</v>
      </c>
      <c r="I137" s="8"/>
      <c r="J137" s="30" t="str">
        <f t="shared" si="3"/>
        <v/>
      </c>
      <c r="K137" s="30" t="str">
        <f t="shared" si="4"/>
        <v/>
      </c>
      <c r="L137" s="30" t="str">
        <f t="shared" si="5"/>
        <v/>
      </c>
      <c r="M137" s="30" t="str">
        <f t="shared" si="6"/>
        <v/>
      </c>
      <c r="N137" s="30" t="str">
        <f t="shared" si="7"/>
        <v/>
      </c>
      <c r="O137" s="8"/>
      <c r="P137" s="8"/>
      <c r="Q137" s="8"/>
      <c r="R137" s="8"/>
      <c r="S137" s="8"/>
      <c r="T137" s="8"/>
      <c r="U137" s="8"/>
      <c r="V137" s="8"/>
      <c r="W137" s="8"/>
      <c r="X137" s="8"/>
      <c r="Y137" s="8"/>
      <c r="Z137" s="8"/>
    </row>
    <row r="138" ht="18.0" customHeight="1">
      <c r="A138" s="8"/>
      <c r="B138" s="8"/>
      <c r="C138" s="8"/>
      <c r="D138" s="25"/>
      <c r="E138" s="25"/>
      <c r="F138" s="25" t="str">
        <f t="shared" si="1"/>
        <v>No</v>
      </c>
      <c r="G138" s="25"/>
      <c r="H138" s="25" t="str">
        <f t="shared" si="2"/>
        <v>No</v>
      </c>
      <c r="I138" s="8"/>
      <c r="J138" s="30" t="str">
        <f t="shared" si="3"/>
        <v/>
      </c>
      <c r="K138" s="30" t="str">
        <f t="shared" si="4"/>
        <v/>
      </c>
      <c r="L138" s="30" t="str">
        <f t="shared" si="5"/>
        <v/>
      </c>
      <c r="M138" s="30" t="str">
        <f t="shared" si="6"/>
        <v/>
      </c>
      <c r="N138" s="30" t="str">
        <f t="shared" si="7"/>
        <v/>
      </c>
      <c r="O138" s="8"/>
      <c r="P138" s="8"/>
      <c r="Q138" s="8"/>
      <c r="R138" s="8"/>
      <c r="S138" s="8"/>
      <c r="T138" s="8"/>
      <c r="U138" s="8"/>
      <c r="V138" s="8"/>
      <c r="W138" s="8"/>
      <c r="X138" s="8"/>
      <c r="Y138" s="8"/>
      <c r="Z138" s="8"/>
    </row>
    <row r="139" ht="18.0" customHeight="1">
      <c r="A139" s="8"/>
      <c r="B139" s="8"/>
      <c r="C139" s="8"/>
      <c r="D139" s="25"/>
      <c r="E139" s="25"/>
      <c r="F139" s="25" t="str">
        <f t="shared" si="1"/>
        <v>No</v>
      </c>
      <c r="G139" s="25"/>
      <c r="H139" s="25" t="str">
        <f t="shared" si="2"/>
        <v>No</v>
      </c>
      <c r="I139" s="8"/>
      <c r="J139" s="30" t="str">
        <f t="shared" si="3"/>
        <v/>
      </c>
      <c r="K139" s="30" t="str">
        <f t="shared" si="4"/>
        <v/>
      </c>
      <c r="L139" s="30" t="str">
        <f t="shared" si="5"/>
        <v/>
      </c>
      <c r="M139" s="30" t="str">
        <f t="shared" si="6"/>
        <v/>
      </c>
      <c r="N139" s="30" t="str">
        <f t="shared" si="7"/>
        <v/>
      </c>
      <c r="O139" s="8"/>
      <c r="P139" s="8"/>
      <c r="Q139" s="8"/>
      <c r="R139" s="8"/>
      <c r="S139" s="8"/>
      <c r="T139" s="8"/>
      <c r="U139" s="8"/>
      <c r="V139" s="8"/>
      <c r="W139" s="8"/>
      <c r="X139" s="8"/>
      <c r="Y139" s="8"/>
      <c r="Z139" s="8"/>
    </row>
    <row r="140" ht="18.0" customHeight="1">
      <c r="A140" s="8"/>
      <c r="B140" s="8"/>
      <c r="C140" s="8"/>
      <c r="D140" s="25"/>
      <c r="E140" s="25"/>
      <c r="F140" s="25" t="str">
        <f t="shared" si="1"/>
        <v>No</v>
      </c>
      <c r="G140" s="25"/>
      <c r="H140" s="25" t="str">
        <f t="shared" si="2"/>
        <v>No</v>
      </c>
      <c r="I140" s="8"/>
      <c r="J140" s="30" t="str">
        <f t="shared" si="3"/>
        <v/>
      </c>
      <c r="K140" s="30" t="str">
        <f t="shared" si="4"/>
        <v/>
      </c>
      <c r="L140" s="30" t="str">
        <f t="shared" si="5"/>
        <v/>
      </c>
      <c r="M140" s="30" t="str">
        <f t="shared" si="6"/>
        <v/>
      </c>
      <c r="N140" s="30" t="str">
        <f t="shared" si="7"/>
        <v/>
      </c>
      <c r="O140" s="8"/>
      <c r="P140" s="8"/>
      <c r="Q140" s="8"/>
      <c r="R140" s="8"/>
      <c r="S140" s="8"/>
      <c r="T140" s="8"/>
      <c r="U140" s="8"/>
      <c r="V140" s="8"/>
      <c r="W140" s="8"/>
      <c r="X140" s="8"/>
      <c r="Y140" s="8"/>
      <c r="Z140" s="8"/>
    </row>
    <row r="141" ht="18.0" customHeight="1">
      <c r="A141" s="8"/>
      <c r="B141" s="8"/>
      <c r="C141" s="8"/>
      <c r="D141" s="25"/>
      <c r="E141" s="25"/>
      <c r="F141" s="25" t="str">
        <f t="shared" si="1"/>
        <v>No</v>
      </c>
      <c r="G141" s="25"/>
      <c r="H141" s="25" t="str">
        <f t="shared" si="2"/>
        <v>No</v>
      </c>
      <c r="I141" s="8"/>
      <c r="J141" s="30" t="str">
        <f t="shared" si="3"/>
        <v/>
      </c>
      <c r="K141" s="30" t="str">
        <f t="shared" si="4"/>
        <v/>
      </c>
      <c r="L141" s="30" t="str">
        <f t="shared" si="5"/>
        <v/>
      </c>
      <c r="M141" s="30" t="str">
        <f t="shared" si="6"/>
        <v/>
      </c>
      <c r="N141" s="30" t="str">
        <f t="shared" si="7"/>
        <v/>
      </c>
      <c r="O141" s="8"/>
      <c r="P141" s="8"/>
      <c r="Q141" s="8"/>
      <c r="R141" s="8"/>
      <c r="S141" s="8"/>
      <c r="T141" s="8"/>
      <c r="U141" s="8"/>
      <c r="V141" s="8"/>
      <c r="W141" s="8"/>
      <c r="X141" s="8"/>
      <c r="Y141" s="8"/>
      <c r="Z141" s="8"/>
    </row>
    <row r="142" ht="18.0" customHeight="1">
      <c r="A142" s="8"/>
      <c r="B142" s="8"/>
      <c r="C142" s="8"/>
      <c r="D142" s="25"/>
      <c r="E142" s="25"/>
      <c r="F142" s="25" t="str">
        <f t="shared" si="1"/>
        <v>No</v>
      </c>
      <c r="G142" s="25"/>
      <c r="H142" s="25" t="str">
        <f t="shared" si="2"/>
        <v>No</v>
      </c>
      <c r="I142" s="8"/>
      <c r="J142" s="30" t="str">
        <f t="shared" si="3"/>
        <v/>
      </c>
      <c r="K142" s="30" t="str">
        <f t="shared" si="4"/>
        <v/>
      </c>
      <c r="L142" s="30" t="str">
        <f t="shared" si="5"/>
        <v/>
      </c>
      <c r="M142" s="30" t="str">
        <f t="shared" si="6"/>
        <v/>
      </c>
      <c r="N142" s="30" t="str">
        <f t="shared" si="7"/>
        <v/>
      </c>
      <c r="O142" s="8"/>
      <c r="P142" s="8"/>
      <c r="Q142" s="8"/>
      <c r="R142" s="8"/>
      <c r="S142" s="8"/>
      <c r="T142" s="8"/>
      <c r="U142" s="8"/>
      <c r="V142" s="8"/>
      <c r="W142" s="8"/>
      <c r="X142" s="8"/>
      <c r="Y142" s="8"/>
      <c r="Z142" s="8"/>
    </row>
    <row r="143" ht="18.0" customHeight="1">
      <c r="A143" s="8"/>
      <c r="B143" s="8"/>
      <c r="C143" s="8"/>
      <c r="D143" s="25"/>
      <c r="E143" s="25"/>
      <c r="F143" s="25" t="str">
        <f t="shared" si="1"/>
        <v>No</v>
      </c>
      <c r="G143" s="25"/>
      <c r="H143" s="25" t="str">
        <f t="shared" si="2"/>
        <v>No</v>
      </c>
      <c r="I143" s="8"/>
      <c r="J143" s="30" t="str">
        <f t="shared" si="3"/>
        <v/>
      </c>
      <c r="K143" s="30" t="str">
        <f t="shared" si="4"/>
        <v/>
      </c>
      <c r="L143" s="30" t="str">
        <f t="shared" si="5"/>
        <v/>
      </c>
      <c r="M143" s="30" t="str">
        <f t="shared" si="6"/>
        <v/>
      </c>
      <c r="N143" s="30" t="str">
        <f t="shared" si="7"/>
        <v/>
      </c>
      <c r="O143" s="8"/>
      <c r="P143" s="8"/>
      <c r="Q143" s="8"/>
      <c r="R143" s="8"/>
      <c r="S143" s="8"/>
      <c r="T143" s="8"/>
      <c r="U143" s="8"/>
      <c r="V143" s="8"/>
      <c r="W143" s="8"/>
      <c r="X143" s="8"/>
      <c r="Y143" s="8"/>
      <c r="Z143" s="8"/>
    </row>
    <row r="144" ht="18.0" customHeight="1">
      <c r="A144" s="8"/>
      <c r="B144" s="8"/>
      <c r="C144" s="8"/>
      <c r="D144" s="25"/>
      <c r="E144" s="25"/>
      <c r="F144" s="25" t="str">
        <f t="shared" si="1"/>
        <v>No</v>
      </c>
      <c r="G144" s="25"/>
      <c r="H144" s="25" t="str">
        <f t="shared" si="2"/>
        <v>No</v>
      </c>
      <c r="I144" s="8"/>
      <c r="J144" s="30" t="str">
        <f t="shared" si="3"/>
        <v/>
      </c>
      <c r="K144" s="30" t="str">
        <f t="shared" si="4"/>
        <v/>
      </c>
      <c r="L144" s="30" t="str">
        <f t="shared" si="5"/>
        <v/>
      </c>
      <c r="M144" s="30" t="str">
        <f t="shared" si="6"/>
        <v/>
      </c>
      <c r="N144" s="30" t="str">
        <f t="shared" si="7"/>
        <v/>
      </c>
      <c r="O144" s="8"/>
      <c r="P144" s="8"/>
      <c r="Q144" s="8"/>
      <c r="R144" s="8"/>
      <c r="S144" s="8"/>
      <c r="T144" s="8"/>
      <c r="U144" s="8"/>
      <c r="V144" s="8"/>
      <c r="W144" s="8"/>
      <c r="X144" s="8"/>
      <c r="Y144" s="8"/>
      <c r="Z144" s="8"/>
    </row>
    <row r="145" ht="18.0" customHeight="1">
      <c r="A145" s="8"/>
      <c r="B145" s="8"/>
      <c r="C145" s="8"/>
      <c r="D145" s="25"/>
      <c r="E145" s="25"/>
      <c r="F145" s="25" t="str">
        <f t="shared" si="1"/>
        <v>No</v>
      </c>
      <c r="G145" s="25"/>
      <c r="H145" s="25" t="str">
        <f t="shared" si="2"/>
        <v>No</v>
      </c>
      <c r="I145" s="8"/>
      <c r="J145" s="30" t="str">
        <f t="shared" si="3"/>
        <v/>
      </c>
      <c r="K145" s="30" t="str">
        <f t="shared" si="4"/>
        <v/>
      </c>
      <c r="L145" s="30" t="str">
        <f t="shared" si="5"/>
        <v/>
      </c>
      <c r="M145" s="30" t="str">
        <f t="shared" si="6"/>
        <v/>
      </c>
      <c r="N145" s="30" t="str">
        <f t="shared" si="7"/>
        <v/>
      </c>
      <c r="O145" s="8"/>
      <c r="P145" s="8"/>
      <c r="Q145" s="8"/>
      <c r="R145" s="8"/>
      <c r="S145" s="8"/>
      <c r="T145" s="8"/>
      <c r="U145" s="8"/>
      <c r="V145" s="8"/>
      <c r="W145" s="8"/>
      <c r="X145" s="8"/>
      <c r="Y145" s="8"/>
      <c r="Z145" s="8"/>
    </row>
    <row r="146" ht="18.0" customHeight="1">
      <c r="A146" s="8"/>
      <c r="B146" s="8"/>
      <c r="C146" s="8"/>
      <c r="D146" s="25"/>
      <c r="E146" s="25"/>
      <c r="F146" s="25" t="str">
        <f t="shared" si="1"/>
        <v>No</v>
      </c>
      <c r="G146" s="25"/>
      <c r="H146" s="25" t="str">
        <f t="shared" si="2"/>
        <v>No</v>
      </c>
      <c r="I146" s="8"/>
      <c r="J146" s="30" t="str">
        <f t="shared" si="3"/>
        <v/>
      </c>
      <c r="K146" s="30" t="str">
        <f t="shared" si="4"/>
        <v/>
      </c>
      <c r="L146" s="30" t="str">
        <f t="shared" si="5"/>
        <v/>
      </c>
      <c r="M146" s="30" t="str">
        <f t="shared" si="6"/>
        <v/>
      </c>
      <c r="N146" s="30" t="str">
        <f t="shared" si="7"/>
        <v/>
      </c>
      <c r="O146" s="8"/>
      <c r="P146" s="8"/>
      <c r="Q146" s="8"/>
      <c r="R146" s="8"/>
      <c r="S146" s="8"/>
      <c r="T146" s="8"/>
      <c r="U146" s="8"/>
      <c r="V146" s="8"/>
      <c r="W146" s="8"/>
      <c r="X146" s="8"/>
      <c r="Y146" s="8"/>
      <c r="Z146" s="8"/>
    </row>
    <row r="147" ht="18.0" customHeight="1">
      <c r="A147" s="8"/>
      <c r="B147" s="8"/>
      <c r="C147" s="8"/>
      <c r="D147" s="25"/>
      <c r="E147" s="25"/>
      <c r="F147" s="25" t="str">
        <f t="shared" si="1"/>
        <v>No</v>
      </c>
      <c r="G147" s="25"/>
      <c r="H147" s="25" t="str">
        <f t="shared" si="2"/>
        <v>No</v>
      </c>
      <c r="I147" s="8"/>
      <c r="J147" s="30" t="str">
        <f t="shared" si="3"/>
        <v/>
      </c>
      <c r="K147" s="30" t="str">
        <f t="shared" si="4"/>
        <v/>
      </c>
      <c r="L147" s="30" t="str">
        <f t="shared" si="5"/>
        <v/>
      </c>
      <c r="M147" s="30" t="str">
        <f t="shared" si="6"/>
        <v/>
      </c>
      <c r="N147" s="30" t="str">
        <f t="shared" si="7"/>
        <v/>
      </c>
      <c r="O147" s="8"/>
      <c r="P147" s="8"/>
      <c r="Q147" s="8"/>
      <c r="R147" s="8"/>
      <c r="S147" s="8"/>
      <c r="T147" s="8"/>
      <c r="U147" s="8"/>
      <c r="V147" s="8"/>
      <c r="W147" s="8"/>
      <c r="X147" s="8"/>
      <c r="Y147" s="8"/>
      <c r="Z147" s="8"/>
    </row>
    <row r="148" ht="18.0" customHeight="1">
      <c r="A148" s="8"/>
      <c r="B148" s="8"/>
      <c r="C148" s="8"/>
      <c r="D148" s="25"/>
      <c r="E148" s="25"/>
      <c r="F148" s="25" t="str">
        <f t="shared" si="1"/>
        <v>No</v>
      </c>
      <c r="G148" s="25"/>
      <c r="H148" s="25" t="str">
        <f t="shared" si="2"/>
        <v>No</v>
      </c>
      <c r="I148" s="8"/>
      <c r="J148" s="30" t="str">
        <f t="shared" si="3"/>
        <v/>
      </c>
      <c r="K148" s="30" t="str">
        <f t="shared" si="4"/>
        <v/>
      </c>
      <c r="L148" s="30" t="str">
        <f t="shared" si="5"/>
        <v/>
      </c>
      <c r="M148" s="30" t="str">
        <f t="shared" si="6"/>
        <v/>
      </c>
      <c r="N148" s="30" t="str">
        <f t="shared" si="7"/>
        <v/>
      </c>
      <c r="O148" s="8"/>
      <c r="P148" s="8"/>
      <c r="Q148" s="8"/>
      <c r="R148" s="8"/>
      <c r="S148" s="8"/>
      <c r="T148" s="8"/>
      <c r="U148" s="8"/>
      <c r="V148" s="8"/>
      <c r="W148" s="8"/>
      <c r="X148" s="8"/>
      <c r="Y148" s="8"/>
      <c r="Z148" s="8"/>
    </row>
    <row r="149" ht="18.0" customHeight="1">
      <c r="A149" s="8"/>
      <c r="B149" s="8"/>
      <c r="C149" s="8"/>
      <c r="D149" s="25"/>
      <c r="E149" s="25"/>
      <c r="F149" s="25" t="str">
        <f t="shared" si="1"/>
        <v>No</v>
      </c>
      <c r="G149" s="25"/>
      <c r="H149" s="25" t="str">
        <f t="shared" si="2"/>
        <v>No</v>
      </c>
      <c r="I149" s="8"/>
      <c r="J149" s="30" t="str">
        <f t="shared" si="3"/>
        <v/>
      </c>
      <c r="K149" s="30" t="str">
        <f t="shared" si="4"/>
        <v/>
      </c>
      <c r="L149" s="30" t="str">
        <f t="shared" si="5"/>
        <v/>
      </c>
      <c r="M149" s="30" t="str">
        <f t="shared" si="6"/>
        <v/>
      </c>
      <c r="N149" s="30" t="str">
        <f t="shared" si="7"/>
        <v/>
      </c>
      <c r="O149" s="8"/>
      <c r="P149" s="8"/>
      <c r="Q149" s="8"/>
      <c r="R149" s="8"/>
      <c r="S149" s="8"/>
      <c r="T149" s="8"/>
      <c r="U149" s="8"/>
      <c r="V149" s="8"/>
      <c r="W149" s="8"/>
      <c r="X149" s="8"/>
      <c r="Y149" s="8"/>
      <c r="Z149" s="8"/>
    </row>
    <row r="150" ht="18.0" customHeight="1">
      <c r="A150" s="8"/>
      <c r="B150" s="8"/>
      <c r="C150" s="8"/>
      <c r="D150" s="25"/>
      <c r="E150" s="25"/>
      <c r="F150" s="25" t="str">
        <f t="shared" si="1"/>
        <v>No</v>
      </c>
      <c r="G150" s="25"/>
      <c r="H150" s="25" t="str">
        <f t="shared" si="2"/>
        <v>No</v>
      </c>
      <c r="I150" s="8"/>
      <c r="J150" s="30" t="str">
        <f t="shared" si="3"/>
        <v/>
      </c>
      <c r="K150" s="30" t="str">
        <f t="shared" si="4"/>
        <v/>
      </c>
      <c r="L150" s="30" t="str">
        <f t="shared" si="5"/>
        <v/>
      </c>
      <c r="M150" s="30" t="str">
        <f t="shared" si="6"/>
        <v/>
      </c>
      <c r="N150" s="30" t="str">
        <f t="shared" si="7"/>
        <v/>
      </c>
      <c r="O150" s="8"/>
      <c r="P150" s="8"/>
      <c r="Q150" s="8"/>
      <c r="R150" s="8"/>
      <c r="S150" s="8"/>
      <c r="T150" s="8"/>
      <c r="U150" s="8"/>
      <c r="V150" s="8"/>
      <c r="W150" s="8"/>
      <c r="X150" s="8"/>
      <c r="Y150" s="8"/>
      <c r="Z150" s="8"/>
    </row>
    <row r="151" ht="18.0" customHeight="1">
      <c r="A151" s="8"/>
      <c r="B151" s="8"/>
      <c r="C151" s="8"/>
      <c r="D151" s="25"/>
      <c r="E151" s="25"/>
      <c r="F151" s="25" t="str">
        <f t="shared" si="1"/>
        <v>No</v>
      </c>
      <c r="G151" s="25"/>
      <c r="H151" s="25" t="str">
        <f t="shared" si="2"/>
        <v>No</v>
      </c>
      <c r="I151" s="8"/>
      <c r="J151" s="30" t="str">
        <f t="shared" si="3"/>
        <v/>
      </c>
      <c r="K151" s="30" t="str">
        <f t="shared" si="4"/>
        <v/>
      </c>
      <c r="L151" s="30" t="str">
        <f t="shared" si="5"/>
        <v/>
      </c>
      <c r="M151" s="30" t="str">
        <f t="shared" si="6"/>
        <v/>
      </c>
      <c r="N151" s="30" t="str">
        <f t="shared" si="7"/>
        <v/>
      </c>
      <c r="O151" s="8"/>
      <c r="P151" s="8"/>
      <c r="Q151" s="8"/>
      <c r="R151" s="8"/>
      <c r="S151" s="8"/>
      <c r="T151" s="8"/>
      <c r="U151" s="8"/>
      <c r="V151" s="8"/>
      <c r="W151" s="8"/>
      <c r="X151" s="8"/>
      <c r="Y151" s="8"/>
      <c r="Z151" s="8"/>
    </row>
    <row r="152" ht="18.0" customHeight="1">
      <c r="A152" s="8"/>
      <c r="B152" s="8"/>
      <c r="C152" s="8"/>
      <c r="D152" s="25"/>
      <c r="E152" s="25"/>
      <c r="F152" s="25" t="str">
        <f t="shared" si="1"/>
        <v>No</v>
      </c>
      <c r="G152" s="25"/>
      <c r="H152" s="25" t="str">
        <f t="shared" si="2"/>
        <v>No</v>
      </c>
      <c r="I152" s="8"/>
      <c r="J152" s="30" t="str">
        <f t="shared" si="3"/>
        <v/>
      </c>
      <c r="K152" s="30" t="str">
        <f t="shared" si="4"/>
        <v/>
      </c>
      <c r="L152" s="30" t="str">
        <f t="shared" si="5"/>
        <v/>
      </c>
      <c r="M152" s="30" t="str">
        <f t="shared" si="6"/>
        <v/>
      </c>
      <c r="N152" s="30" t="str">
        <f t="shared" si="7"/>
        <v/>
      </c>
      <c r="O152" s="8"/>
      <c r="P152" s="8"/>
      <c r="Q152" s="8"/>
      <c r="R152" s="8"/>
      <c r="S152" s="8"/>
      <c r="T152" s="8"/>
      <c r="U152" s="8"/>
      <c r="V152" s="8"/>
      <c r="W152" s="8"/>
      <c r="X152" s="8"/>
      <c r="Y152" s="8"/>
      <c r="Z152" s="8"/>
    </row>
    <row r="153" ht="18.0" customHeight="1">
      <c r="A153" s="8"/>
      <c r="B153" s="8"/>
      <c r="C153" s="8"/>
      <c r="D153" s="25"/>
      <c r="E153" s="25"/>
      <c r="F153" s="25" t="str">
        <f t="shared" si="1"/>
        <v>No</v>
      </c>
      <c r="G153" s="25"/>
      <c r="H153" s="25" t="str">
        <f t="shared" si="2"/>
        <v>No</v>
      </c>
      <c r="I153" s="8"/>
      <c r="J153" s="30" t="str">
        <f t="shared" si="3"/>
        <v/>
      </c>
      <c r="K153" s="30" t="str">
        <f t="shared" si="4"/>
        <v/>
      </c>
      <c r="L153" s="30" t="str">
        <f t="shared" si="5"/>
        <v/>
      </c>
      <c r="M153" s="30" t="str">
        <f t="shared" si="6"/>
        <v/>
      </c>
      <c r="N153" s="30" t="str">
        <f t="shared" si="7"/>
        <v/>
      </c>
      <c r="O153" s="8"/>
      <c r="P153" s="8"/>
      <c r="Q153" s="8"/>
      <c r="R153" s="8"/>
      <c r="S153" s="8"/>
      <c r="T153" s="8"/>
      <c r="U153" s="8"/>
      <c r="V153" s="8"/>
      <c r="W153" s="8"/>
      <c r="X153" s="8"/>
      <c r="Y153" s="8"/>
      <c r="Z153" s="8"/>
    </row>
    <row r="154" ht="18.0" customHeight="1">
      <c r="A154" s="8"/>
      <c r="B154" s="8"/>
      <c r="C154" s="8"/>
      <c r="D154" s="25"/>
      <c r="E154" s="25"/>
      <c r="F154" s="25" t="str">
        <f t="shared" si="1"/>
        <v>No</v>
      </c>
      <c r="G154" s="25"/>
      <c r="H154" s="25" t="str">
        <f t="shared" si="2"/>
        <v>No</v>
      </c>
      <c r="I154" s="8"/>
      <c r="J154" s="30" t="str">
        <f t="shared" si="3"/>
        <v/>
      </c>
      <c r="K154" s="30" t="str">
        <f t="shared" si="4"/>
        <v/>
      </c>
      <c r="L154" s="30" t="str">
        <f t="shared" si="5"/>
        <v/>
      </c>
      <c r="M154" s="30" t="str">
        <f t="shared" si="6"/>
        <v/>
      </c>
      <c r="N154" s="30" t="str">
        <f t="shared" si="7"/>
        <v/>
      </c>
      <c r="O154" s="8"/>
      <c r="P154" s="8"/>
      <c r="Q154" s="8"/>
      <c r="R154" s="8"/>
      <c r="S154" s="8"/>
      <c r="T154" s="8"/>
      <c r="U154" s="8"/>
      <c r="V154" s="8"/>
      <c r="W154" s="8"/>
      <c r="X154" s="8"/>
      <c r="Y154" s="8"/>
      <c r="Z154" s="8"/>
    </row>
    <row r="155" ht="18.0" customHeight="1">
      <c r="A155" s="8"/>
      <c r="B155" s="8"/>
      <c r="C155" s="8"/>
      <c r="D155" s="25"/>
      <c r="E155" s="25"/>
      <c r="F155" s="25" t="str">
        <f t="shared" si="1"/>
        <v>No</v>
      </c>
      <c r="G155" s="25"/>
      <c r="H155" s="25" t="str">
        <f t="shared" si="2"/>
        <v>No</v>
      </c>
      <c r="I155" s="8"/>
      <c r="J155" s="30" t="str">
        <f t="shared" si="3"/>
        <v/>
      </c>
      <c r="K155" s="30" t="str">
        <f t="shared" si="4"/>
        <v/>
      </c>
      <c r="L155" s="30" t="str">
        <f t="shared" si="5"/>
        <v/>
      </c>
      <c r="M155" s="30" t="str">
        <f t="shared" si="6"/>
        <v/>
      </c>
      <c r="N155" s="30" t="str">
        <f t="shared" si="7"/>
        <v/>
      </c>
      <c r="O155" s="8"/>
      <c r="P155" s="8"/>
      <c r="Q155" s="8"/>
      <c r="R155" s="8"/>
      <c r="S155" s="8"/>
      <c r="T155" s="8"/>
      <c r="U155" s="8"/>
      <c r="V155" s="8"/>
      <c r="W155" s="8"/>
      <c r="X155" s="8"/>
      <c r="Y155" s="8"/>
      <c r="Z155" s="8"/>
    </row>
    <row r="156" ht="18.0" customHeight="1">
      <c r="A156" s="8"/>
      <c r="B156" s="8"/>
      <c r="C156" s="8"/>
      <c r="D156" s="25"/>
      <c r="E156" s="25"/>
      <c r="F156" s="25" t="str">
        <f t="shared" si="1"/>
        <v>No</v>
      </c>
      <c r="G156" s="25"/>
      <c r="H156" s="25" t="str">
        <f t="shared" si="2"/>
        <v>No</v>
      </c>
      <c r="I156" s="8"/>
      <c r="J156" s="30" t="str">
        <f t="shared" si="3"/>
        <v/>
      </c>
      <c r="K156" s="30" t="str">
        <f t="shared" si="4"/>
        <v/>
      </c>
      <c r="L156" s="30" t="str">
        <f t="shared" si="5"/>
        <v/>
      </c>
      <c r="M156" s="30" t="str">
        <f t="shared" si="6"/>
        <v/>
      </c>
      <c r="N156" s="30" t="str">
        <f t="shared" si="7"/>
        <v/>
      </c>
      <c r="O156" s="8"/>
      <c r="P156" s="8"/>
      <c r="Q156" s="8"/>
      <c r="R156" s="8"/>
      <c r="S156" s="8"/>
      <c r="T156" s="8"/>
      <c r="U156" s="8"/>
      <c r="V156" s="8"/>
      <c r="W156" s="8"/>
      <c r="X156" s="8"/>
      <c r="Y156" s="8"/>
      <c r="Z156" s="8"/>
    </row>
    <row r="157" ht="18.0" customHeight="1">
      <c r="A157" s="8"/>
      <c r="B157" s="8"/>
      <c r="C157" s="8"/>
      <c r="D157" s="25"/>
      <c r="E157" s="25"/>
      <c r="F157" s="25" t="str">
        <f t="shared" si="1"/>
        <v>No</v>
      </c>
      <c r="G157" s="25"/>
      <c r="H157" s="25" t="str">
        <f t="shared" si="2"/>
        <v>No</v>
      </c>
      <c r="I157" s="8"/>
      <c r="J157" s="30" t="str">
        <f t="shared" si="3"/>
        <v/>
      </c>
      <c r="K157" s="30" t="str">
        <f t="shared" si="4"/>
        <v/>
      </c>
      <c r="L157" s="30" t="str">
        <f t="shared" si="5"/>
        <v/>
      </c>
      <c r="M157" s="30" t="str">
        <f t="shared" si="6"/>
        <v/>
      </c>
      <c r="N157" s="30" t="str">
        <f t="shared" si="7"/>
        <v/>
      </c>
      <c r="O157" s="8"/>
      <c r="P157" s="8"/>
      <c r="Q157" s="8"/>
      <c r="R157" s="8"/>
      <c r="S157" s="8"/>
      <c r="T157" s="8"/>
      <c r="U157" s="8"/>
      <c r="V157" s="8"/>
      <c r="W157" s="8"/>
      <c r="X157" s="8"/>
      <c r="Y157" s="8"/>
      <c r="Z157" s="8"/>
    </row>
    <row r="158" ht="18.0" customHeight="1">
      <c r="A158" s="8"/>
      <c r="B158" s="8"/>
      <c r="C158" s="8"/>
      <c r="D158" s="25"/>
      <c r="E158" s="25"/>
      <c r="F158" s="25" t="str">
        <f t="shared" si="1"/>
        <v>No</v>
      </c>
      <c r="G158" s="25"/>
      <c r="H158" s="25" t="str">
        <f t="shared" si="2"/>
        <v>No</v>
      </c>
      <c r="I158" s="8"/>
      <c r="J158" s="30" t="str">
        <f t="shared" si="3"/>
        <v/>
      </c>
      <c r="K158" s="30" t="str">
        <f t="shared" si="4"/>
        <v/>
      </c>
      <c r="L158" s="30" t="str">
        <f t="shared" si="5"/>
        <v/>
      </c>
      <c r="M158" s="30" t="str">
        <f t="shared" si="6"/>
        <v/>
      </c>
      <c r="N158" s="30" t="str">
        <f t="shared" si="7"/>
        <v/>
      </c>
      <c r="O158" s="8"/>
      <c r="P158" s="8"/>
      <c r="Q158" s="8"/>
      <c r="R158" s="8"/>
      <c r="S158" s="8"/>
      <c r="T158" s="8"/>
      <c r="U158" s="8"/>
      <c r="V158" s="8"/>
      <c r="W158" s="8"/>
      <c r="X158" s="8"/>
      <c r="Y158" s="8"/>
      <c r="Z158" s="8"/>
    </row>
    <row r="159" ht="18.0" customHeight="1">
      <c r="A159" s="8"/>
      <c r="B159" s="8"/>
      <c r="C159" s="8"/>
      <c r="D159" s="25"/>
      <c r="E159" s="25"/>
      <c r="F159" s="25" t="str">
        <f t="shared" si="1"/>
        <v>No</v>
      </c>
      <c r="G159" s="25"/>
      <c r="H159" s="25" t="str">
        <f t="shared" si="2"/>
        <v>No</v>
      </c>
      <c r="I159" s="8"/>
      <c r="J159" s="30" t="str">
        <f t="shared" si="3"/>
        <v/>
      </c>
      <c r="K159" s="30" t="str">
        <f t="shared" si="4"/>
        <v/>
      </c>
      <c r="L159" s="30" t="str">
        <f t="shared" si="5"/>
        <v/>
      </c>
      <c r="M159" s="30" t="str">
        <f t="shared" si="6"/>
        <v/>
      </c>
      <c r="N159" s="30" t="str">
        <f t="shared" si="7"/>
        <v/>
      </c>
      <c r="O159" s="8"/>
      <c r="P159" s="8"/>
      <c r="Q159" s="8"/>
      <c r="R159" s="8"/>
      <c r="S159" s="8"/>
      <c r="T159" s="8"/>
      <c r="U159" s="8"/>
      <c r="V159" s="8"/>
      <c r="W159" s="8"/>
      <c r="X159" s="8"/>
      <c r="Y159" s="8"/>
      <c r="Z159" s="8"/>
    </row>
    <row r="160" ht="18.0" customHeight="1">
      <c r="A160" s="8"/>
      <c r="B160" s="8"/>
      <c r="C160" s="8"/>
      <c r="D160" s="25"/>
      <c r="E160" s="25"/>
      <c r="F160" s="25" t="str">
        <f t="shared" si="1"/>
        <v>No</v>
      </c>
      <c r="G160" s="25"/>
      <c r="H160" s="25" t="str">
        <f t="shared" si="2"/>
        <v>No</v>
      </c>
      <c r="I160" s="8"/>
      <c r="J160" s="30" t="str">
        <f t="shared" si="3"/>
        <v/>
      </c>
      <c r="K160" s="30" t="str">
        <f t="shared" si="4"/>
        <v/>
      </c>
      <c r="L160" s="30" t="str">
        <f t="shared" si="5"/>
        <v/>
      </c>
      <c r="M160" s="30" t="str">
        <f t="shared" si="6"/>
        <v/>
      </c>
      <c r="N160" s="30" t="str">
        <f t="shared" si="7"/>
        <v/>
      </c>
      <c r="O160" s="8"/>
      <c r="P160" s="8"/>
      <c r="Q160" s="8"/>
      <c r="R160" s="8"/>
      <c r="S160" s="8"/>
      <c r="T160" s="8"/>
      <c r="U160" s="8"/>
      <c r="V160" s="8"/>
      <c r="W160" s="8"/>
      <c r="X160" s="8"/>
      <c r="Y160" s="8"/>
      <c r="Z160" s="8"/>
    </row>
    <row r="161" ht="18.0" customHeight="1">
      <c r="A161" s="8"/>
      <c r="B161" s="8"/>
      <c r="C161" s="8"/>
      <c r="D161" s="25"/>
      <c r="E161" s="25"/>
      <c r="F161" s="25" t="str">
        <f t="shared" si="1"/>
        <v>No</v>
      </c>
      <c r="G161" s="25"/>
      <c r="H161" s="25" t="str">
        <f t="shared" si="2"/>
        <v>No</v>
      </c>
      <c r="I161" s="8"/>
      <c r="J161" s="30" t="str">
        <f t="shared" si="3"/>
        <v/>
      </c>
      <c r="K161" s="30" t="str">
        <f t="shared" si="4"/>
        <v/>
      </c>
      <c r="L161" s="30" t="str">
        <f t="shared" si="5"/>
        <v/>
      </c>
      <c r="M161" s="30" t="str">
        <f t="shared" si="6"/>
        <v/>
      </c>
      <c r="N161" s="30" t="str">
        <f t="shared" si="7"/>
        <v/>
      </c>
      <c r="O161" s="8"/>
      <c r="P161" s="8"/>
      <c r="Q161" s="8"/>
      <c r="R161" s="8"/>
      <c r="S161" s="8"/>
      <c r="T161" s="8"/>
      <c r="U161" s="8"/>
      <c r="V161" s="8"/>
      <c r="W161" s="8"/>
      <c r="X161" s="8"/>
      <c r="Y161" s="8"/>
      <c r="Z161" s="8"/>
    </row>
    <row r="162" ht="18.0" customHeight="1">
      <c r="A162" s="8"/>
      <c r="B162" s="8"/>
      <c r="C162" s="8"/>
      <c r="D162" s="25"/>
      <c r="E162" s="25"/>
      <c r="F162" s="25" t="str">
        <f t="shared" si="1"/>
        <v>No</v>
      </c>
      <c r="G162" s="25"/>
      <c r="H162" s="25" t="str">
        <f t="shared" si="2"/>
        <v>No</v>
      </c>
      <c r="I162" s="8"/>
      <c r="J162" s="30" t="str">
        <f t="shared" si="3"/>
        <v/>
      </c>
      <c r="K162" s="30" t="str">
        <f t="shared" si="4"/>
        <v/>
      </c>
      <c r="L162" s="30" t="str">
        <f t="shared" si="5"/>
        <v/>
      </c>
      <c r="M162" s="30" t="str">
        <f t="shared" si="6"/>
        <v/>
      </c>
      <c r="N162" s="30" t="str">
        <f t="shared" si="7"/>
        <v/>
      </c>
      <c r="O162" s="8"/>
      <c r="P162" s="8"/>
      <c r="Q162" s="8"/>
      <c r="R162" s="8"/>
      <c r="S162" s="8"/>
      <c r="T162" s="8"/>
      <c r="U162" s="8"/>
      <c r="V162" s="8"/>
      <c r="W162" s="8"/>
      <c r="X162" s="8"/>
      <c r="Y162" s="8"/>
      <c r="Z162" s="8"/>
    </row>
    <row r="163" ht="18.0" customHeight="1">
      <c r="A163" s="8"/>
      <c r="B163" s="8"/>
      <c r="C163" s="8"/>
      <c r="D163" s="25"/>
      <c r="E163" s="25"/>
      <c r="F163" s="25" t="str">
        <f t="shared" si="1"/>
        <v>No</v>
      </c>
      <c r="G163" s="25"/>
      <c r="H163" s="25" t="str">
        <f t="shared" si="2"/>
        <v>No</v>
      </c>
      <c r="I163" s="8"/>
      <c r="J163" s="30" t="str">
        <f t="shared" si="3"/>
        <v/>
      </c>
      <c r="K163" s="30" t="str">
        <f t="shared" si="4"/>
        <v/>
      </c>
      <c r="L163" s="30" t="str">
        <f t="shared" si="5"/>
        <v/>
      </c>
      <c r="M163" s="30" t="str">
        <f t="shared" si="6"/>
        <v/>
      </c>
      <c r="N163" s="30" t="str">
        <f t="shared" si="7"/>
        <v/>
      </c>
      <c r="O163" s="8"/>
      <c r="P163" s="8"/>
      <c r="Q163" s="8"/>
      <c r="R163" s="8"/>
      <c r="S163" s="8"/>
      <c r="T163" s="8"/>
      <c r="U163" s="8"/>
      <c r="V163" s="8"/>
      <c r="W163" s="8"/>
      <c r="X163" s="8"/>
      <c r="Y163" s="8"/>
      <c r="Z163" s="8"/>
    </row>
    <row r="164" ht="18.0" customHeight="1">
      <c r="A164" s="8"/>
      <c r="B164" s="8"/>
      <c r="C164" s="8"/>
      <c r="D164" s="25"/>
      <c r="E164" s="25"/>
      <c r="F164" s="25" t="str">
        <f t="shared" si="1"/>
        <v>No</v>
      </c>
      <c r="G164" s="25"/>
      <c r="H164" s="25" t="str">
        <f t="shared" si="2"/>
        <v>No</v>
      </c>
      <c r="I164" s="8"/>
      <c r="J164" s="30" t="str">
        <f t="shared" si="3"/>
        <v/>
      </c>
      <c r="K164" s="30" t="str">
        <f t="shared" si="4"/>
        <v/>
      </c>
      <c r="L164" s="30" t="str">
        <f t="shared" si="5"/>
        <v/>
      </c>
      <c r="M164" s="30" t="str">
        <f t="shared" si="6"/>
        <v/>
      </c>
      <c r="N164" s="30" t="str">
        <f t="shared" si="7"/>
        <v/>
      </c>
      <c r="O164" s="8"/>
      <c r="P164" s="8"/>
      <c r="Q164" s="8"/>
      <c r="R164" s="8"/>
      <c r="S164" s="8"/>
      <c r="T164" s="8"/>
      <c r="U164" s="8"/>
      <c r="V164" s="8"/>
      <c r="W164" s="8"/>
      <c r="X164" s="8"/>
      <c r="Y164" s="8"/>
      <c r="Z164" s="8"/>
    </row>
    <row r="165" ht="18.0" customHeight="1">
      <c r="A165" s="8"/>
      <c r="B165" s="8"/>
      <c r="C165" s="8"/>
      <c r="D165" s="25"/>
      <c r="E165" s="25"/>
      <c r="F165" s="25" t="str">
        <f t="shared" si="1"/>
        <v>No</v>
      </c>
      <c r="G165" s="25"/>
      <c r="H165" s="25" t="str">
        <f t="shared" si="2"/>
        <v>No</v>
      </c>
      <c r="I165" s="8"/>
      <c r="J165" s="30" t="str">
        <f t="shared" si="3"/>
        <v/>
      </c>
      <c r="K165" s="30" t="str">
        <f t="shared" si="4"/>
        <v/>
      </c>
      <c r="L165" s="30" t="str">
        <f t="shared" si="5"/>
        <v/>
      </c>
      <c r="M165" s="30" t="str">
        <f t="shared" si="6"/>
        <v/>
      </c>
      <c r="N165" s="30" t="str">
        <f t="shared" si="7"/>
        <v/>
      </c>
      <c r="O165" s="8"/>
      <c r="P165" s="8"/>
      <c r="Q165" s="8"/>
      <c r="R165" s="8"/>
      <c r="S165" s="8"/>
      <c r="T165" s="8"/>
      <c r="U165" s="8"/>
      <c r="V165" s="8"/>
      <c r="W165" s="8"/>
      <c r="X165" s="8"/>
      <c r="Y165" s="8"/>
      <c r="Z165" s="8"/>
    </row>
    <row r="166" ht="18.0" customHeight="1">
      <c r="A166" s="8"/>
      <c r="B166" s="8"/>
      <c r="C166" s="8"/>
      <c r="D166" s="25"/>
      <c r="E166" s="25"/>
      <c r="F166" s="25" t="str">
        <f t="shared" si="1"/>
        <v>No</v>
      </c>
      <c r="G166" s="25"/>
      <c r="H166" s="25" t="str">
        <f t="shared" si="2"/>
        <v>No</v>
      </c>
      <c r="I166" s="8"/>
      <c r="J166" s="30" t="str">
        <f t="shared" si="3"/>
        <v/>
      </c>
      <c r="K166" s="30" t="str">
        <f t="shared" si="4"/>
        <v/>
      </c>
      <c r="L166" s="30" t="str">
        <f t="shared" si="5"/>
        <v/>
      </c>
      <c r="M166" s="30" t="str">
        <f t="shared" si="6"/>
        <v/>
      </c>
      <c r="N166" s="30" t="str">
        <f t="shared" si="7"/>
        <v/>
      </c>
      <c r="O166" s="8"/>
      <c r="P166" s="8"/>
      <c r="Q166" s="8"/>
      <c r="R166" s="8"/>
      <c r="S166" s="8"/>
      <c r="T166" s="8"/>
      <c r="U166" s="8"/>
      <c r="V166" s="8"/>
      <c r="W166" s="8"/>
      <c r="X166" s="8"/>
      <c r="Y166" s="8"/>
      <c r="Z166" s="8"/>
    </row>
    <row r="167" ht="18.0" customHeight="1">
      <c r="A167" s="8"/>
      <c r="B167" s="8"/>
      <c r="C167" s="8"/>
      <c r="D167" s="25"/>
      <c r="E167" s="25"/>
      <c r="F167" s="25" t="str">
        <f t="shared" si="1"/>
        <v>No</v>
      </c>
      <c r="G167" s="25"/>
      <c r="H167" s="25" t="str">
        <f t="shared" si="2"/>
        <v>No</v>
      </c>
      <c r="I167" s="8"/>
      <c r="J167" s="30" t="str">
        <f t="shared" si="3"/>
        <v/>
      </c>
      <c r="K167" s="30" t="str">
        <f t="shared" si="4"/>
        <v/>
      </c>
      <c r="L167" s="30" t="str">
        <f t="shared" si="5"/>
        <v/>
      </c>
      <c r="M167" s="30" t="str">
        <f t="shared" si="6"/>
        <v/>
      </c>
      <c r="N167" s="30" t="str">
        <f t="shared" si="7"/>
        <v/>
      </c>
      <c r="O167" s="8"/>
      <c r="P167" s="8"/>
      <c r="Q167" s="8"/>
      <c r="R167" s="8"/>
      <c r="S167" s="8"/>
      <c r="T167" s="8"/>
      <c r="U167" s="8"/>
      <c r="V167" s="8"/>
      <c r="W167" s="8"/>
      <c r="X167" s="8"/>
      <c r="Y167" s="8"/>
      <c r="Z167" s="8"/>
    </row>
    <row r="168" ht="18.0" customHeight="1">
      <c r="A168" s="8"/>
      <c r="B168" s="8"/>
      <c r="C168" s="8"/>
      <c r="D168" s="25"/>
      <c r="E168" s="25"/>
      <c r="F168" s="25" t="str">
        <f t="shared" si="1"/>
        <v>No</v>
      </c>
      <c r="G168" s="25"/>
      <c r="H168" s="25" t="str">
        <f t="shared" si="2"/>
        <v>No</v>
      </c>
      <c r="I168" s="8"/>
      <c r="J168" s="30" t="str">
        <f t="shared" si="3"/>
        <v/>
      </c>
      <c r="K168" s="30" t="str">
        <f t="shared" si="4"/>
        <v/>
      </c>
      <c r="L168" s="30" t="str">
        <f t="shared" si="5"/>
        <v/>
      </c>
      <c r="M168" s="30" t="str">
        <f t="shared" si="6"/>
        <v/>
      </c>
      <c r="N168" s="30" t="str">
        <f t="shared" si="7"/>
        <v/>
      </c>
      <c r="O168" s="8"/>
      <c r="P168" s="8"/>
      <c r="Q168" s="8"/>
      <c r="R168" s="8"/>
      <c r="S168" s="8"/>
      <c r="T168" s="8"/>
      <c r="U168" s="8"/>
      <c r="V168" s="8"/>
      <c r="W168" s="8"/>
      <c r="X168" s="8"/>
      <c r="Y168" s="8"/>
      <c r="Z168" s="8"/>
    </row>
    <row r="169" ht="18.0" customHeight="1">
      <c r="A169" s="8"/>
      <c r="B169" s="8"/>
      <c r="C169" s="8"/>
      <c r="D169" s="25"/>
      <c r="E169" s="25"/>
      <c r="F169" s="25" t="str">
        <f t="shared" si="1"/>
        <v>No</v>
      </c>
      <c r="G169" s="25"/>
      <c r="H169" s="25" t="str">
        <f t="shared" si="2"/>
        <v>No</v>
      </c>
      <c r="I169" s="8"/>
      <c r="J169" s="30" t="str">
        <f t="shared" si="3"/>
        <v/>
      </c>
      <c r="K169" s="30" t="str">
        <f t="shared" si="4"/>
        <v/>
      </c>
      <c r="L169" s="30" t="str">
        <f t="shared" si="5"/>
        <v/>
      </c>
      <c r="M169" s="30" t="str">
        <f t="shared" si="6"/>
        <v/>
      </c>
      <c r="N169" s="30" t="str">
        <f t="shared" si="7"/>
        <v/>
      </c>
      <c r="O169" s="8"/>
      <c r="P169" s="8"/>
      <c r="Q169" s="8"/>
      <c r="R169" s="8"/>
      <c r="S169" s="8"/>
      <c r="T169" s="8"/>
      <c r="U169" s="8"/>
      <c r="V169" s="8"/>
      <c r="W169" s="8"/>
      <c r="X169" s="8"/>
      <c r="Y169" s="8"/>
      <c r="Z169" s="8"/>
    </row>
    <row r="170" ht="18.0" customHeight="1">
      <c r="A170" s="8"/>
      <c r="B170" s="8"/>
      <c r="C170" s="8"/>
      <c r="D170" s="25"/>
      <c r="E170" s="25"/>
      <c r="F170" s="25" t="str">
        <f t="shared" si="1"/>
        <v>No</v>
      </c>
      <c r="G170" s="25"/>
      <c r="H170" s="25" t="str">
        <f t="shared" si="2"/>
        <v>No</v>
      </c>
      <c r="I170" s="8"/>
      <c r="J170" s="30" t="str">
        <f t="shared" si="3"/>
        <v/>
      </c>
      <c r="K170" s="30" t="str">
        <f t="shared" si="4"/>
        <v/>
      </c>
      <c r="L170" s="30" t="str">
        <f t="shared" si="5"/>
        <v/>
      </c>
      <c r="M170" s="30" t="str">
        <f t="shared" si="6"/>
        <v/>
      </c>
      <c r="N170" s="30" t="str">
        <f t="shared" si="7"/>
        <v/>
      </c>
      <c r="O170" s="8"/>
      <c r="P170" s="8"/>
      <c r="Q170" s="8"/>
      <c r="R170" s="8"/>
      <c r="S170" s="8"/>
      <c r="T170" s="8"/>
      <c r="U170" s="8"/>
      <c r="V170" s="8"/>
      <c r="W170" s="8"/>
      <c r="X170" s="8"/>
      <c r="Y170" s="8"/>
      <c r="Z170" s="8"/>
    </row>
    <row r="171" ht="18.0" customHeight="1">
      <c r="A171" s="8"/>
      <c r="B171" s="8"/>
      <c r="C171" s="8"/>
      <c r="D171" s="25"/>
      <c r="E171" s="25"/>
      <c r="F171" s="25" t="str">
        <f t="shared" si="1"/>
        <v>No</v>
      </c>
      <c r="G171" s="25"/>
      <c r="H171" s="25" t="str">
        <f t="shared" si="2"/>
        <v>No</v>
      </c>
      <c r="I171" s="8"/>
      <c r="J171" s="30" t="str">
        <f t="shared" si="3"/>
        <v/>
      </c>
      <c r="K171" s="30" t="str">
        <f t="shared" si="4"/>
        <v/>
      </c>
      <c r="L171" s="30" t="str">
        <f t="shared" si="5"/>
        <v/>
      </c>
      <c r="M171" s="30" t="str">
        <f t="shared" si="6"/>
        <v/>
      </c>
      <c r="N171" s="30" t="str">
        <f t="shared" si="7"/>
        <v/>
      </c>
      <c r="O171" s="8"/>
      <c r="P171" s="8"/>
      <c r="Q171" s="8"/>
      <c r="R171" s="8"/>
      <c r="S171" s="8"/>
      <c r="T171" s="8"/>
      <c r="U171" s="8"/>
      <c r="V171" s="8"/>
      <c r="W171" s="8"/>
      <c r="X171" s="8"/>
      <c r="Y171" s="8"/>
      <c r="Z171" s="8"/>
    </row>
    <row r="172" ht="18.0" customHeight="1">
      <c r="A172" s="8"/>
      <c r="B172" s="8"/>
      <c r="C172" s="8"/>
      <c r="D172" s="25"/>
      <c r="E172" s="25"/>
      <c r="F172" s="25" t="str">
        <f t="shared" si="1"/>
        <v>No</v>
      </c>
      <c r="G172" s="25"/>
      <c r="H172" s="25" t="str">
        <f t="shared" si="2"/>
        <v>No</v>
      </c>
      <c r="I172" s="8"/>
      <c r="J172" s="30" t="str">
        <f t="shared" si="3"/>
        <v/>
      </c>
      <c r="K172" s="30" t="str">
        <f t="shared" si="4"/>
        <v/>
      </c>
      <c r="L172" s="30" t="str">
        <f t="shared" si="5"/>
        <v/>
      </c>
      <c r="M172" s="30" t="str">
        <f t="shared" si="6"/>
        <v/>
      </c>
      <c r="N172" s="30" t="str">
        <f t="shared" si="7"/>
        <v/>
      </c>
      <c r="O172" s="8"/>
      <c r="P172" s="8"/>
      <c r="Q172" s="8"/>
      <c r="R172" s="8"/>
      <c r="S172" s="8"/>
      <c r="T172" s="8"/>
      <c r="U172" s="8"/>
      <c r="V172" s="8"/>
      <c r="W172" s="8"/>
      <c r="X172" s="8"/>
      <c r="Y172" s="8"/>
      <c r="Z172" s="8"/>
    </row>
    <row r="173" ht="18.0" customHeight="1">
      <c r="A173" s="8"/>
      <c r="B173" s="8"/>
      <c r="C173" s="8"/>
      <c r="D173" s="25"/>
      <c r="E173" s="25"/>
      <c r="F173" s="25" t="str">
        <f t="shared" si="1"/>
        <v>No</v>
      </c>
      <c r="G173" s="25"/>
      <c r="H173" s="25" t="str">
        <f t="shared" si="2"/>
        <v>No</v>
      </c>
      <c r="I173" s="8"/>
      <c r="J173" s="30" t="str">
        <f t="shared" si="3"/>
        <v/>
      </c>
      <c r="K173" s="30" t="str">
        <f t="shared" si="4"/>
        <v/>
      </c>
      <c r="L173" s="30" t="str">
        <f t="shared" si="5"/>
        <v/>
      </c>
      <c r="M173" s="30" t="str">
        <f t="shared" si="6"/>
        <v/>
      </c>
      <c r="N173" s="30" t="str">
        <f t="shared" si="7"/>
        <v/>
      </c>
      <c r="O173" s="8"/>
      <c r="P173" s="8"/>
      <c r="Q173" s="8"/>
      <c r="R173" s="8"/>
      <c r="S173" s="8"/>
      <c r="T173" s="8"/>
      <c r="U173" s="8"/>
      <c r="V173" s="8"/>
      <c r="W173" s="8"/>
      <c r="X173" s="8"/>
      <c r="Y173" s="8"/>
      <c r="Z173" s="8"/>
    </row>
    <row r="174" ht="18.0" customHeight="1">
      <c r="A174" s="8"/>
      <c r="B174" s="8"/>
      <c r="C174" s="8"/>
      <c r="D174" s="25"/>
      <c r="E174" s="25"/>
      <c r="F174" s="25" t="str">
        <f t="shared" si="1"/>
        <v>No</v>
      </c>
      <c r="G174" s="25"/>
      <c r="H174" s="25" t="str">
        <f t="shared" si="2"/>
        <v>No</v>
      </c>
      <c r="I174" s="8"/>
      <c r="J174" s="30" t="str">
        <f t="shared" si="3"/>
        <v/>
      </c>
      <c r="K174" s="30" t="str">
        <f t="shared" si="4"/>
        <v/>
      </c>
      <c r="L174" s="30" t="str">
        <f t="shared" si="5"/>
        <v/>
      </c>
      <c r="M174" s="30" t="str">
        <f t="shared" si="6"/>
        <v/>
      </c>
      <c r="N174" s="30" t="str">
        <f t="shared" si="7"/>
        <v/>
      </c>
      <c r="O174" s="8"/>
      <c r="P174" s="8"/>
      <c r="Q174" s="8"/>
      <c r="R174" s="8"/>
      <c r="S174" s="8"/>
      <c r="T174" s="8"/>
      <c r="U174" s="8"/>
      <c r="V174" s="8"/>
      <c r="W174" s="8"/>
      <c r="X174" s="8"/>
      <c r="Y174" s="8"/>
      <c r="Z174" s="8"/>
    </row>
    <row r="175" ht="18.0" customHeight="1">
      <c r="A175" s="8"/>
      <c r="B175" s="8"/>
      <c r="C175" s="8"/>
      <c r="D175" s="25"/>
      <c r="E175" s="25"/>
      <c r="F175" s="25" t="str">
        <f t="shared" si="1"/>
        <v>No</v>
      </c>
      <c r="G175" s="25"/>
      <c r="H175" s="25" t="str">
        <f t="shared" si="2"/>
        <v>No</v>
      </c>
      <c r="I175" s="8"/>
      <c r="J175" s="30" t="str">
        <f t="shared" si="3"/>
        <v/>
      </c>
      <c r="K175" s="30" t="str">
        <f t="shared" si="4"/>
        <v/>
      </c>
      <c r="L175" s="30" t="str">
        <f t="shared" si="5"/>
        <v/>
      </c>
      <c r="M175" s="30" t="str">
        <f t="shared" si="6"/>
        <v/>
      </c>
      <c r="N175" s="30" t="str">
        <f t="shared" si="7"/>
        <v/>
      </c>
      <c r="O175" s="8"/>
      <c r="P175" s="8"/>
      <c r="Q175" s="8"/>
      <c r="R175" s="8"/>
      <c r="S175" s="8"/>
      <c r="T175" s="8"/>
      <c r="U175" s="8"/>
      <c r="V175" s="8"/>
      <c r="W175" s="8"/>
      <c r="X175" s="8"/>
      <c r="Y175" s="8"/>
      <c r="Z175" s="8"/>
    </row>
    <row r="176" ht="18.0" customHeight="1">
      <c r="A176" s="8"/>
      <c r="B176" s="8"/>
      <c r="C176" s="8"/>
      <c r="D176" s="25"/>
      <c r="E176" s="25"/>
      <c r="F176" s="25" t="str">
        <f t="shared" si="1"/>
        <v>No</v>
      </c>
      <c r="G176" s="25"/>
      <c r="H176" s="25" t="str">
        <f t="shared" si="2"/>
        <v>No</v>
      </c>
      <c r="I176" s="8"/>
      <c r="J176" s="30" t="str">
        <f t="shared" si="3"/>
        <v/>
      </c>
      <c r="K176" s="30" t="str">
        <f t="shared" si="4"/>
        <v/>
      </c>
      <c r="L176" s="30" t="str">
        <f t="shared" si="5"/>
        <v/>
      </c>
      <c r="M176" s="30" t="str">
        <f t="shared" si="6"/>
        <v/>
      </c>
      <c r="N176" s="30" t="str">
        <f t="shared" si="7"/>
        <v/>
      </c>
      <c r="O176" s="8"/>
      <c r="P176" s="8"/>
      <c r="Q176" s="8"/>
      <c r="R176" s="8"/>
      <c r="S176" s="8"/>
      <c r="T176" s="8"/>
      <c r="U176" s="8"/>
      <c r="V176" s="8"/>
      <c r="W176" s="8"/>
      <c r="X176" s="8"/>
      <c r="Y176" s="8"/>
      <c r="Z176" s="8"/>
    </row>
    <row r="177" ht="18.0" customHeight="1">
      <c r="A177" s="8"/>
      <c r="B177" s="8"/>
      <c r="C177" s="8"/>
      <c r="D177" s="25"/>
      <c r="E177" s="25"/>
      <c r="F177" s="25" t="str">
        <f t="shared" si="1"/>
        <v>No</v>
      </c>
      <c r="G177" s="25"/>
      <c r="H177" s="25" t="str">
        <f t="shared" si="2"/>
        <v>No</v>
      </c>
      <c r="I177" s="8"/>
      <c r="J177" s="30" t="str">
        <f t="shared" si="3"/>
        <v/>
      </c>
      <c r="K177" s="30" t="str">
        <f t="shared" si="4"/>
        <v/>
      </c>
      <c r="L177" s="30" t="str">
        <f t="shared" si="5"/>
        <v/>
      </c>
      <c r="M177" s="30" t="str">
        <f t="shared" si="6"/>
        <v/>
      </c>
      <c r="N177" s="30" t="str">
        <f t="shared" si="7"/>
        <v/>
      </c>
      <c r="O177" s="8"/>
      <c r="P177" s="8"/>
      <c r="Q177" s="8"/>
      <c r="R177" s="8"/>
      <c r="S177" s="8"/>
      <c r="T177" s="8"/>
      <c r="U177" s="8"/>
      <c r="V177" s="8"/>
      <c r="W177" s="8"/>
      <c r="X177" s="8"/>
      <c r="Y177" s="8"/>
      <c r="Z177" s="8"/>
    </row>
    <row r="178" ht="18.0" customHeight="1">
      <c r="A178" s="8"/>
      <c r="B178" s="8"/>
      <c r="C178" s="8"/>
      <c r="D178" s="25"/>
      <c r="E178" s="25"/>
      <c r="F178" s="25" t="str">
        <f t="shared" si="1"/>
        <v>No</v>
      </c>
      <c r="G178" s="25"/>
      <c r="H178" s="25" t="str">
        <f t="shared" si="2"/>
        <v>No</v>
      </c>
      <c r="I178" s="8"/>
      <c r="J178" s="30" t="str">
        <f t="shared" si="3"/>
        <v/>
      </c>
      <c r="K178" s="30" t="str">
        <f t="shared" si="4"/>
        <v/>
      </c>
      <c r="L178" s="30" t="str">
        <f t="shared" si="5"/>
        <v/>
      </c>
      <c r="M178" s="30" t="str">
        <f t="shared" si="6"/>
        <v/>
      </c>
      <c r="N178" s="30" t="str">
        <f t="shared" si="7"/>
        <v/>
      </c>
      <c r="O178" s="8"/>
      <c r="P178" s="8"/>
      <c r="Q178" s="8"/>
      <c r="R178" s="8"/>
      <c r="S178" s="8"/>
      <c r="T178" s="8"/>
      <c r="U178" s="8"/>
      <c r="V178" s="8"/>
      <c r="W178" s="8"/>
      <c r="X178" s="8"/>
      <c r="Y178" s="8"/>
      <c r="Z178" s="8"/>
    </row>
    <row r="179" ht="18.0" customHeight="1">
      <c r="A179" s="8"/>
      <c r="B179" s="8"/>
      <c r="C179" s="8"/>
      <c r="D179" s="25"/>
      <c r="E179" s="25"/>
      <c r="F179" s="25" t="str">
        <f t="shared" si="1"/>
        <v>No</v>
      </c>
      <c r="G179" s="25"/>
      <c r="H179" s="25" t="str">
        <f t="shared" si="2"/>
        <v>No</v>
      </c>
      <c r="I179" s="8"/>
      <c r="J179" s="30" t="str">
        <f t="shared" si="3"/>
        <v/>
      </c>
      <c r="K179" s="30" t="str">
        <f t="shared" si="4"/>
        <v/>
      </c>
      <c r="L179" s="30" t="str">
        <f t="shared" si="5"/>
        <v/>
      </c>
      <c r="M179" s="30" t="str">
        <f t="shared" si="6"/>
        <v/>
      </c>
      <c r="N179" s="30" t="str">
        <f t="shared" si="7"/>
        <v/>
      </c>
      <c r="O179" s="8"/>
      <c r="P179" s="8"/>
      <c r="Q179" s="8"/>
      <c r="R179" s="8"/>
      <c r="S179" s="8"/>
      <c r="T179" s="8"/>
      <c r="U179" s="8"/>
      <c r="V179" s="8"/>
      <c r="W179" s="8"/>
      <c r="X179" s="8"/>
      <c r="Y179" s="8"/>
      <c r="Z179" s="8"/>
    </row>
    <row r="180" ht="18.0" customHeight="1">
      <c r="A180" s="8"/>
      <c r="B180" s="8"/>
      <c r="C180" s="8"/>
      <c r="D180" s="25"/>
      <c r="E180" s="25"/>
      <c r="F180" s="25" t="str">
        <f t="shared" si="1"/>
        <v>No</v>
      </c>
      <c r="G180" s="25"/>
      <c r="H180" s="25" t="str">
        <f t="shared" si="2"/>
        <v>No</v>
      </c>
      <c r="I180" s="8"/>
      <c r="J180" s="30" t="str">
        <f t="shared" si="3"/>
        <v/>
      </c>
      <c r="K180" s="30" t="str">
        <f t="shared" si="4"/>
        <v/>
      </c>
      <c r="L180" s="30" t="str">
        <f t="shared" si="5"/>
        <v/>
      </c>
      <c r="M180" s="30" t="str">
        <f t="shared" si="6"/>
        <v/>
      </c>
      <c r="N180" s="30" t="str">
        <f t="shared" si="7"/>
        <v/>
      </c>
      <c r="O180" s="8"/>
      <c r="P180" s="8"/>
      <c r="Q180" s="8"/>
      <c r="R180" s="8"/>
      <c r="S180" s="8"/>
      <c r="T180" s="8"/>
      <c r="U180" s="8"/>
      <c r="V180" s="8"/>
      <c r="W180" s="8"/>
      <c r="X180" s="8"/>
      <c r="Y180" s="8"/>
      <c r="Z180" s="8"/>
    </row>
    <row r="181" ht="18.0" customHeight="1">
      <c r="A181" s="8"/>
      <c r="B181" s="8"/>
      <c r="C181" s="8"/>
      <c r="D181" s="25"/>
      <c r="E181" s="25"/>
      <c r="F181" s="25" t="str">
        <f t="shared" si="1"/>
        <v>No</v>
      </c>
      <c r="G181" s="25"/>
      <c r="H181" s="25" t="str">
        <f t="shared" si="2"/>
        <v>No</v>
      </c>
      <c r="I181" s="8"/>
      <c r="J181" s="30" t="str">
        <f t="shared" si="3"/>
        <v/>
      </c>
      <c r="K181" s="30" t="str">
        <f t="shared" si="4"/>
        <v/>
      </c>
      <c r="L181" s="30" t="str">
        <f t="shared" si="5"/>
        <v/>
      </c>
      <c r="M181" s="30" t="str">
        <f t="shared" si="6"/>
        <v/>
      </c>
      <c r="N181" s="30" t="str">
        <f t="shared" si="7"/>
        <v/>
      </c>
      <c r="O181" s="8"/>
      <c r="P181" s="8"/>
      <c r="Q181" s="8"/>
      <c r="R181" s="8"/>
      <c r="S181" s="8"/>
      <c r="T181" s="8"/>
      <c r="U181" s="8"/>
      <c r="V181" s="8"/>
      <c r="W181" s="8"/>
      <c r="X181" s="8"/>
      <c r="Y181" s="8"/>
      <c r="Z181" s="8"/>
    </row>
    <row r="182" ht="18.0" customHeight="1">
      <c r="A182" s="8"/>
      <c r="B182" s="8"/>
      <c r="C182" s="8"/>
      <c r="D182" s="25"/>
      <c r="E182" s="25"/>
      <c r="F182" s="25" t="str">
        <f t="shared" si="1"/>
        <v>No</v>
      </c>
      <c r="G182" s="25"/>
      <c r="H182" s="25" t="str">
        <f t="shared" si="2"/>
        <v>No</v>
      </c>
      <c r="I182" s="8"/>
      <c r="J182" s="30" t="str">
        <f t="shared" si="3"/>
        <v/>
      </c>
      <c r="K182" s="30" t="str">
        <f t="shared" si="4"/>
        <v/>
      </c>
      <c r="L182" s="30" t="str">
        <f t="shared" si="5"/>
        <v/>
      </c>
      <c r="M182" s="30" t="str">
        <f t="shared" si="6"/>
        <v/>
      </c>
      <c r="N182" s="30" t="str">
        <f t="shared" si="7"/>
        <v/>
      </c>
      <c r="O182" s="8"/>
      <c r="P182" s="8"/>
      <c r="Q182" s="8"/>
      <c r="R182" s="8"/>
      <c r="S182" s="8"/>
      <c r="T182" s="8"/>
      <c r="U182" s="8"/>
      <c r="V182" s="8"/>
      <c r="W182" s="8"/>
      <c r="X182" s="8"/>
      <c r="Y182" s="8"/>
      <c r="Z182" s="8"/>
    </row>
    <row r="183" ht="18.0" customHeight="1">
      <c r="A183" s="8"/>
      <c r="B183" s="8"/>
      <c r="C183" s="8"/>
      <c r="D183" s="25"/>
      <c r="E183" s="25"/>
      <c r="F183" s="25" t="str">
        <f t="shared" si="1"/>
        <v>No</v>
      </c>
      <c r="G183" s="25"/>
      <c r="H183" s="25" t="str">
        <f t="shared" si="2"/>
        <v>No</v>
      </c>
      <c r="I183" s="8"/>
      <c r="J183" s="30" t="str">
        <f t="shared" si="3"/>
        <v/>
      </c>
      <c r="K183" s="30" t="str">
        <f t="shared" si="4"/>
        <v/>
      </c>
      <c r="L183" s="30" t="str">
        <f t="shared" si="5"/>
        <v/>
      </c>
      <c r="M183" s="30" t="str">
        <f t="shared" si="6"/>
        <v/>
      </c>
      <c r="N183" s="30" t="str">
        <f t="shared" si="7"/>
        <v/>
      </c>
      <c r="O183" s="8"/>
      <c r="P183" s="8"/>
      <c r="Q183" s="8"/>
      <c r="R183" s="8"/>
      <c r="S183" s="8"/>
      <c r="T183" s="8"/>
      <c r="U183" s="8"/>
      <c r="V183" s="8"/>
      <c r="W183" s="8"/>
      <c r="X183" s="8"/>
      <c r="Y183" s="8"/>
      <c r="Z183" s="8"/>
    </row>
    <row r="184" ht="18.0" customHeight="1">
      <c r="A184" s="8"/>
      <c r="B184" s="8"/>
      <c r="C184" s="8"/>
      <c r="D184" s="25"/>
      <c r="E184" s="25"/>
      <c r="F184" s="25" t="str">
        <f t="shared" si="1"/>
        <v>No</v>
      </c>
      <c r="G184" s="25"/>
      <c r="H184" s="25" t="str">
        <f t="shared" si="2"/>
        <v>No</v>
      </c>
      <c r="I184" s="8"/>
      <c r="J184" s="30" t="str">
        <f t="shared" si="3"/>
        <v/>
      </c>
      <c r="K184" s="30" t="str">
        <f t="shared" si="4"/>
        <v/>
      </c>
      <c r="L184" s="30" t="str">
        <f t="shared" si="5"/>
        <v/>
      </c>
      <c r="M184" s="30" t="str">
        <f t="shared" si="6"/>
        <v/>
      </c>
      <c r="N184" s="30" t="str">
        <f t="shared" si="7"/>
        <v/>
      </c>
      <c r="O184" s="8"/>
      <c r="P184" s="8"/>
      <c r="Q184" s="8"/>
      <c r="R184" s="8"/>
      <c r="S184" s="8"/>
      <c r="T184" s="8"/>
      <c r="U184" s="8"/>
      <c r="V184" s="8"/>
      <c r="W184" s="8"/>
      <c r="X184" s="8"/>
      <c r="Y184" s="8"/>
      <c r="Z184" s="8"/>
    </row>
    <row r="185" ht="18.0" customHeight="1">
      <c r="A185" s="8"/>
      <c r="B185" s="8"/>
      <c r="C185" s="8"/>
      <c r="D185" s="25"/>
      <c r="E185" s="25"/>
      <c r="F185" s="25" t="str">
        <f t="shared" si="1"/>
        <v>No</v>
      </c>
      <c r="G185" s="25"/>
      <c r="H185" s="25" t="str">
        <f t="shared" si="2"/>
        <v>No</v>
      </c>
      <c r="I185" s="8"/>
      <c r="J185" s="30" t="str">
        <f t="shared" si="3"/>
        <v/>
      </c>
      <c r="K185" s="30" t="str">
        <f t="shared" si="4"/>
        <v/>
      </c>
      <c r="L185" s="30" t="str">
        <f t="shared" si="5"/>
        <v/>
      </c>
      <c r="M185" s="30" t="str">
        <f t="shared" si="6"/>
        <v/>
      </c>
      <c r="N185" s="30" t="str">
        <f t="shared" si="7"/>
        <v/>
      </c>
      <c r="O185" s="8"/>
      <c r="P185" s="8"/>
      <c r="Q185" s="8"/>
      <c r="R185" s="8"/>
      <c r="S185" s="8"/>
      <c r="T185" s="8"/>
      <c r="U185" s="8"/>
      <c r="V185" s="8"/>
      <c r="W185" s="8"/>
      <c r="X185" s="8"/>
      <c r="Y185" s="8"/>
      <c r="Z185" s="8"/>
    </row>
    <row r="186" ht="18.0" customHeight="1">
      <c r="A186" s="8"/>
      <c r="B186" s="8"/>
      <c r="C186" s="8"/>
      <c r="D186" s="25"/>
      <c r="E186" s="25"/>
      <c r="F186" s="25" t="str">
        <f t="shared" si="1"/>
        <v>No</v>
      </c>
      <c r="G186" s="25"/>
      <c r="H186" s="25" t="str">
        <f t="shared" si="2"/>
        <v>No</v>
      </c>
      <c r="I186" s="8"/>
      <c r="J186" s="30" t="str">
        <f t="shared" si="3"/>
        <v/>
      </c>
      <c r="K186" s="30" t="str">
        <f t="shared" si="4"/>
        <v/>
      </c>
      <c r="L186" s="30" t="str">
        <f t="shared" si="5"/>
        <v/>
      </c>
      <c r="M186" s="30" t="str">
        <f t="shared" si="6"/>
        <v/>
      </c>
      <c r="N186" s="30" t="str">
        <f t="shared" si="7"/>
        <v/>
      </c>
      <c r="O186" s="8"/>
      <c r="P186" s="8"/>
      <c r="Q186" s="8"/>
      <c r="R186" s="8"/>
      <c r="S186" s="8"/>
      <c r="T186" s="8"/>
      <c r="U186" s="8"/>
      <c r="V186" s="8"/>
      <c r="W186" s="8"/>
      <c r="X186" s="8"/>
      <c r="Y186" s="8"/>
      <c r="Z186" s="8"/>
    </row>
    <row r="187" ht="18.0" customHeight="1">
      <c r="A187" s="8"/>
      <c r="B187" s="8"/>
      <c r="C187" s="8"/>
      <c r="D187" s="25"/>
      <c r="E187" s="25"/>
      <c r="F187" s="25" t="str">
        <f t="shared" si="1"/>
        <v>No</v>
      </c>
      <c r="G187" s="25"/>
      <c r="H187" s="25" t="str">
        <f t="shared" si="2"/>
        <v>No</v>
      </c>
      <c r="I187" s="8"/>
      <c r="J187" s="30" t="str">
        <f t="shared" si="3"/>
        <v/>
      </c>
      <c r="K187" s="30" t="str">
        <f t="shared" si="4"/>
        <v/>
      </c>
      <c r="L187" s="30" t="str">
        <f t="shared" si="5"/>
        <v/>
      </c>
      <c r="M187" s="30" t="str">
        <f t="shared" si="6"/>
        <v/>
      </c>
      <c r="N187" s="30" t="str">
        <f t="shared" si="7"/>
        <v/>
      </c>
      <c r="O187" s="8"/>
      <c r="P187" s="8"/>
      <c r="Q187" s="8"/>
      <c r="R187" s="8"/>
      <c r="S187" s="8"/>
      <c r="T187" s="8"/>
      <c r="U187" s="8"/>
      <c r="V187" s="8"/>
      <c r="W187" s="8"/>
      <c r="X187" s="8"/>
      <c r="Y187" s="8"/>
      <c r="Z187" s="8"/>
    </row>
    <row r="188" ht="18.0" customHeight="1">
      <c r="A188" s="8"/>
      <c r="B188" s="8"/>
      <c r="C188" s="8"/>
      <c r="D188" s="25"/>
      <c r="E188" s="25"/>
      <c r="F188" s="25" t="str">
        <f t="shared" si="1"/>
        <v>No</v>
      </c>
      <c r="G188" s="25"/>
      <c r="H188" s="25" t="str">
        <f t="shared" si="2"/>
        <v>No</v>
      </c>
      <c r="I188" s="8"/>
      <c r="J188" s="30" t="str">
        <f t="shared" si="3"/>
        <v/>
      </c>
      <c r="K188" s="30" t="str">
        <f t="shared" si="4"/>
        <v/>
      </c>
      <c r="L188" s="30" t="str">
        <f t="shared" si="5"/>
        <v/>
      </c>
      <c r="M188" s="30" t="str">
        <f t="shared" si="6"/>
        <v/>
      </c>
      <c r="N188" s="30" t="str">
        <f t="shared" si="7"/>
        <v/>
      </c>
      <c r="O188" s="8"/>
      <c r="P188" s="8"/>
      <c r="Q188" s="8"/>
      <c r="R188" s="8"/>
      <c r="S188" s="8"/>
      <c r="T188" s="8"/>
      <c r="U188" s="8"/>
      <c r="V188" s="8"/>
      <c r="W188" s="8"/>
      <c r="X188" s="8"/>
      <c r="Y188" s="8"/>
      <c r="Z188" s="8"/>
    </row>
    <row r="189" ht="18.0" customHeight="1">
      <c r="A189" s="8"/>
      <c r="B189" s="8"/>
      <c r="C189" s="8"/>
      <c r="D189" s="25"/>
      <c r="E189" s="25"/>
      <c r="F189" s="25" t="str">
        <f t="shared" si="1"/>
        <v>No</v>
      </c>
      <c r="G189" s="25"/>
      <c r="H189" s="25" t="str">
        <f t="shared" si="2"/>
        <v>No</v>
      </c>
      <c r="I189" s="8"/>
      <c r="J189" s="30" t="str">
        <f t="shared" si="3"/>
        <v/>
      </c>
      <c r="K189" s="30" t="str">
        <f t="shared" si="4"/>
        <v/>
      </c>
      <c r="L189" s="30" t="str">
        <f t="shared" si="5"/>
        <v/>
      </c>
      <c r="M189" s="30" t="str">
        <f t="shared" si="6"/>
        <v/>
      </c>
      <c r="N189" s="30" t="str">
        <f t="shared" si="7"/>
        <v/>
      </c>
      <c r="O189" s="8"/>
      <c r="P189" s="8"/>
      <c r="Q189" s="8"/>
      <c r="R189" s="8"/>
      <c r="S189" s="8"/>
      <c r="T189" s="8"/>
      <c r="U189" s="8"/>
      <c r="V189" s="8"/>
      <c r="W189" s="8"/>
      <c r="X189" s="8"/>
      <c r="Y189" s="8"/>
      <c r="Z189" s="8"/>
    </row>
    <row r="190" ht="18.0" customHeight="1">
      <c r="A190" s="8"/>
      <c r="B190" s="8"/>
      <c r="C190" s="8"/>
      <c r="D190" s="25"/>
      <c r="E190" s="25"/>
      <c r="F190" s="25" t="str">
        <f t="shared" si="1"/>
        <v>No</v>
      </c>
      <c r="G190" s="25"/>
      <c r="H190" s="25" t="str">
        <f t="shared" si="2"/>
        <v>No</v>
      </c>
      <c r="I190" s="8"/>
      <c r="J190" s="30" t="str">
        <f t="shared" si="3"/>
        <v/>
      </c>
      <c r="K190" s="30" t="str">
        <f t="shared" si="4"/>
        <v/>
      </c>
      <c r="L190" s="30" t="str">
        <f t="shared" si="5"/>
        <v/>
      </c>
      <c r="M190" s="30" t="str">
        <f t="shared" si="6"/>
        <v/>
      </c>
      <c r="N190" s="30" t="str">
        <f t="shared" si="7"/>
        <v/>
      </c>
      <c r="O190" s="8"/>
      <c r="P190" s="8"/>
      <c r="Q190" s="8"/>
      <c r="R190" s="8"/>
      <c r="S190" s="8"/>
      <c r="T190" s="8"/>
      <c r="U190" s="8"/>
      <c r="V190" s="8"/>
      <c r="W190" s="8"/>
      <c r="X190" s="8"/>
      <c r="Y190" s="8"/>
      <c r="Z190" s="8"/>
    </row>
    <row r="191" ht="18.0" customHeight="1">
      <c r="A191" s="8"/>
      <c r="B191" s="8"/>
      <c r="C191" s="8"/>
      <c r="D191" s="25"/>
      <c r="E191" s="25"/>
      <c r="F191" s="25" t="str">
        <f t="shared" si="1"/>
        <v>No</v>
      </c>
      <c r="G191" s="25"/>
      <c r="H191" s="25" t="str">
        <f t="shared" si="2"/>
        <v>No</v>
      </c>
      <c r="I191" s="8"/>
      <c r="J191" s="30" t="str">
        <f t="shared" si="3"/>
        <v/>
      </c>
      <c r="K191" s="30" t="str">
        <f t="shared" si="4"/>
        <v/>
      </c>
      <c r="L191" s="30" t="str">
        <f t="shared" si="5"/>
        <v/>
      </c>
      <c r="M191" s="30" t="str">
        <f t="shared" si="6"/>
        <v/>
      </c>
      <c r="N191" s="30" t="str">
        <f t="shared" si="7"/>
        <v/>
      </c>
      <c r="O191" s="8"/>
      <c r="P191" s="8"/>
      <c r="Q191" s="8"/>
      <c r="R191" s="8"/>
      <c r="S191" s="8"/>
      <c r="T191" s="8"/>
      <c r="U191" s="8"/>
      <c r="V191" s="8"/>
      <c r="W191" s="8"/>
      <c r="X191" s="8"/>
      <c r="Y191" s="8"/>
      <c r="Z191" s="8"/>
    </row>
    <row r="192" ht="18.0" customHeight="1">
      <c r="A192" s="8"/>
      <c r="B192" s="8"/>
      <c r="C192" s="8"/>
      <c r="D192" s="25"/>
      <c r="E192" s="25"/>
      <c r="F192" s="25" t="str">
        <f t="shared" si="1"/>
        <v>No</v>
      </c>
      <c r="G192" s="25"/>
      <c r="H192" s="25" t="str">
        <f t="shared" si="2"/>
        <v>No</v>
      </c>
      <c r="I192" s="8"/>
      <c r="J192" s="30" t="str">
        <f t="shared" si="3"/>
        <v/>
      </c>
      <c r="K192" s="30" t="str">
        <f t="shared" si="4"/>
        <v/>
      </c>
      <c r="L192" s="30" t="str">
        <f t="shared" si="5"/>
        <v/>
      </c>
      <c r="M192" s="30" t="str">
        <f t="shared" si="6"/>
        <v/>
      </c>
      <c r="N192" s="30" t="str">
        <f t="shared" si="7"/>
        <v/>
      </c>
      <c r="O192" s="8"/>
      <c r="P192" s="8"/>
      <c r="Q192" s="8"/>
      <c r="R192" s="8"/>
      <c r="S192" s="8"/>
      <c r="T192" s="8"/>
      <c r="U192" s="8"/>
      <c r="V192" s="8"/>
      <c r="W192" s="8"/>
      <c r="X192" s="8"/>
      <c r="Y192" s="8"/>
      <c r="Z192" s="8"/>
    </row>
    <row r="193" ht="18.0" customHeight="1">
      <c r="A193" s="8"/>
      <c r="B193" s="8"/>
      <c r="C193" s="8"/>
      <c r="D193" s="25"/>
      <c r="E193" s="25"/>
      <c r="F193" s="25" t="str">
        <f t="shared" si="1"/>
        <v>No</v>
      </c>
      <c r="G193" s="25"/>
      <c r="H193" s="25" t="str">
        <f t="shared" si="2"/>
        <v>No</v>
      </c>
      <c r="I193" s="8"/>
      <c r="J193" s="30" t="str">
        <f t="shared" si="3"/>
        <v/>
      </c>
      <c r="K193" s="30" t="str">
        <f t="shared" si="4"/>
        <v/>
      </c>
      <c r="L193" s="30" t="str">
        <f t="shared" si="5"/>
        <v/>
      </c>
      <c r="M193" s="30" t="str">
        <f t="shared" si="6"/>
        <v/>
      </c>
      <c r="N193" s="30" t="str">
        <f t="shared" si="7"/>
        <v/>
      </c>
      <c r="O193" s="8"/>
      <c r="P193" s="8"/>
      <c r="Q193" s="8"/>
      <c r="R193" s="8"/>
      <c r="S193" s="8"/>
      <c r="T193" s="8"/>
      <c r="U193" s="8"/>
      <c r="V193" s="8"/>
      <c r="W193" s="8"/>
      <c r="X193" s="8"/>
      <c r="Y193" s="8"/>
      <c r="Z193" s="8"/>
    </row>
    <row r="194" ht="18.0" customHeight="1">
      <c r="A194" s="8"/>
      <c r="B194" s="8"/>
      <c r="C194" s="8"/>
      <c r="D194" s="25"/>
      <c r="E194" s="25"/>
      <c r="F194" s="25" t="str">
        <f t="shared" si="1"/>
        <v>No</v>
      </c>
      <c r="G194" s="25"/>
      <c r="H194" s="25" t="str">
        <f t="shared" si="2"/>
        <v>No</v>
      </c>
      <c r="I194" s="8"/>
      <c r="J194" s="30" t="str">
        <f t="shared" si="3"/>
        <v/>
      </c>
      <c r="K194" s="30" t="str">
        <f t="shared" si="4"/>
        <v/>
      </c>
      <c r="L194" s="30" t="str">
        <f t="shared" si="5"/>
        <v/>
      </c>
      <c r="M194" s="30" t="str">
        <f t="shared" si="6"/>
        <v/>
      </c>
      <c r="N194" s="30" t="str">
        <f t="shared" si="7"/>
        <v/>
      </c>
      <c r="O194" s="8"/>
      <c r="P194" s="8"/>
      <c r="Q194" s="8"/>
      <c r="R194" s="8"/>
      <c r="S194" s="8"/>
      <c r="T194" s="8"/>
      <c r="U194" s="8"/>
      <c r="V194" s="8"/>
      <c r="W194" s="8"/>
      <c r="X194" s="8"/>
      <c r="Y194" s="8"/>
      <c r="Z194" s="8"/>
    </row>
    <row r="195" ht="18.0" customHeight="1">
      <c r="A195" s="8"/>
      <c r="B195" s="8"/>
      <c r="C195" s="8"/>
      <c r="D195" s="25"/>
      <c r="E195" s="25"/>
      <c r="F195" s="25" t="str">
        <f t="shared" si="1"/>
        <v>No</v>
      </c>
      <c r="G195" s="25"/>
      <c r="H195" s="25" t="str">
        <f t="shared" si="2"/>
        <v>No</v>
      </c>
      <c r="I195" s="8"/>
      <c r="J195" s="30" t="str">
        <f t="shared" si="3"/>
        <v/>
      </c>
      <c r="K195" s="30" t="str">
        <f t="shared" si="4"/>
        <v/>
      </c>
      <c r="L195" s="30" t="str">
        <f t="shared" si="5"/>
        <v/>
      </c>
      <c r="M195" s="30" t="str">
        <f t="shared" si="6"/>
        <v/>
      </c>
      <c r="N195" s="30" t="str">
        <f t="shared" si="7"/>
        <v/>
      </c>
      <c r="O195" s="8"/>
      <c r="P195" s="8"/>
      <c r="Q195" s="8"/>
      <c r="R195" s="8"/>
      <c r="S195" s="8"/>
      <c r="T195" s="8"/>
      <c r="U195" s="8"/>
      <c r="V195" s="8"/>
      <c r="W195" s="8"/>
      <c r="X195" s="8"/>
      <c r="Y195" s="8"/>
      <c r="Z195" s="8"/>
    </row>
    <row r="196" ht="18.0" customHeight="1">
      <c r="A196" s="8"/>
      <c r="B196" s="8"/>
      <c r="C196" s="8"/>
      <c r="D196" s="25"/>
      <c r="E196" s="25"/>
      <c r="F196" s="25" t="str">
        <f t="shared" si="1"/>
        <v>No</v>
      </c>
      <c r="G196" s="25"/>
      <c r="H196" s="25" t="str">
        <f t="shared" si="2"/>
        <v>No</v>
      </c>
      <c r="I196" s="8"/>
      <c r="J196" s="30" t="str">
        <f t="shared" si="3"/>
        <v/>
      </c>
      <c r="K196" s="30" t="str">
        <f t="shared" si="4"/>
        <v/>
      </c>
      <c r="L196" s="30" t="str">
        <f t="shared" si="5"/>
        <v/>
      </c>
      <c r="M196" s="30" t="str">
        <f t="shared" si="6"/>
        <v/>
      </c>
      <c r="N196" s="30" t="str">
        <f t="shared" si="7"/>
        <v/>
      </c>
      <c r="O196" s="8"/>
      <c r="P196" s="8"/>
      <c r="Q196" s="8"/>
      <c r="R196" s="8"/>
      <c r="S196" s="8"/>
      <c r="T196" s="8"/>
      <c r="U196" s="8"/>
      <c r="V196" s="8"/>
      <c r="W196" s="8"/>
      <c r="X196" s="8"/>
      <c r="Y196" s="8"/>
      <c r="Z196" s="8"/>
    </row>
    <row r="197" ht="18.0" customHeight="1">
      <c r="A197" s="8"/>
      <c r="B197" s="8"/>
      <c r="C197" s="8"/>
      <c r="D197" s="25"/>
      <c r="E197" s="25"/>
      <c r="F197" s="25" t="str">
        <f t="shared" si="1"/>
        <v>No</v>
      </c>
      <c r="G197" s="25"/>
      <c r="H197" s="25" t="str">
        <f t="shared" si="2"/>
        <v>No</v>
      </c>
      <c r="I197" s="8"/>
      <c r="J197" s="30" t="str">
        <f t="shared" si="3"/>
        <v/>
      </c>
      <c r="K197" s="30" t="str">
        <f t="shared" si="4"/>
        <v/>
      </c>
      <c r="L197" s="30" t="str">
        <f t="shared" si="5"/>
        <v/>
      </c>
      <c r="M197" s="30" t="str">
        <f t="shared" si="6"/>
        <v/>
      </c>
      <c r="N197" s="30" t="str">
        <f t="shared" si="7"/>
        <v/>
      </c>
      <c r="O197" s="8"/>
      <c r="P197" s="8"/>
      <c r="Q197" s="8"/>
      <c r="R197" s="8"/>
      <c r="S197" s="8"/>
      <c r="T197" s="8"/>
      <c r="U197" s="8"/>
      <c r="V197" s="8"/>
      <c r="W197" s="8"/>
      <c r="X197" s="8"/>
      <c r="Y197" s="8"/>
      <c r="Z197" s="8"/>
    </row>
    <row r="198" ht="18.0" customHeight="1">
      <c r="A198" s="8"/>
      <c r="B198" s="8"/>
      <c r="C198" s="8"/>
      <c r="D198" s="25"/>
      <c r="E198" s="25"/>
      <c r="F198" s="25" t="str">
        <f t="shared" si="1"/>
        <v>No</v>
      </c>
      <c r="G198" s="25"/>
      <c r="H198" s="25" t="str">
        <f t="shared" si="2"/>
        <v>No</v>
      </c>
      <c r="I198" s="8"/>
      <c r="J198" s="30" t="str">
        <f t="shared" si="3"/>
        <v/>
      </c>
      <c r="K198" s="30" t="str">
        <f t="shared" si="4"/>
        <v/>
      </c>
      <c r="L198" s="30" t="str">
        <f t="shared" si="5"/>
        <v/>
      </c>
      <c r="M198" s="30" t="str">
        <f t="shared" si="6"/>
        <v/>
      </c>
      <c r="N198" s="30" t="str">
        <f t="shared" si="7"/>
        <v/>
      </c>
      <c r="O198" s="8"/>
      <c r="P198" s="8"/>
      <c r="Q198" s="8"/>
      <c r="R198" s="8"/>
      <c r="S198" s="8"/>
      <c r="T198" s="8"/>
      <c r="U198" s="8"/>
      <c r="V198" s="8"/>
      <c r="W198" s="8"/>
      <c r="X198" s="8"/>
      <c r="Y198" s="8"/>
      <c r="Z198" s="8"/>
    </row>
    <row r="199" ht="18.0" customHeight="1">
      <c r="A199" s="8"/>
      <c r="B199" s="8"/>
      <c r="C199" s="8"/>
      <c r="D199" s="25"/>
      <c r="E199" s="25"/>
      <c r="F199" s="25" t="str">
        <f t="shared" si="1"/>
        <v>No</v>
      </c>
      <c r="G199" s="25"/>
      <c r="H199" s="25" t="str">
        <f t="shared" si="2"/>
        <v>No</v>
      </c>
      <c r="I199" s="8"/>
      <c r="J199" s="30" t="str">
        <f t="shared" si="3"/>
        <v/>
      </c>
      <c r="K199" s="30" t="str">
        <f t="shared" si="4"/>
        <v/>
      </c>
      <c r="L199" s="30" t="str">
        <f t="shared" si="5"/>
        <v/>
      </c>
      <c r="M199" s="30" t="str">
        <f t="shared" si="6"/>
        <v/>
      </c>
      <c r="N199" s="30" t="str">
        <f t="shared" si="7"/>
        <v/>
      </c>
      <c r="O199" s="8"/>
      <c r="P199" s="8"/>
      <c r="Q199" s="8"/>
      <c r="R199" s="8"/>
      <c r="S199" s="8"/>
      <c r="T199" s="8"/>
      <c r="U199" s="8"/>
      <c r="V199" s="8"/>
      <c r="W199" s="8"/>
      <c r="X199" s="8"/>
      <c r="Y199" s="8"/>
      <c r="Z199" s="8"/>
    </row>
    <row r="200" ht="18.0" customHeight="1">
      <c r="A200" s="8"/>
      <c r="B200" s="8"/>
      <c r="C200" s="8"/>
      <c r="D200" s="25"/>
      <c r="E200" s="25"/>
      <c r="F200" s="25" t="str">
        <f t="shared" si="1"/>
        <v>No</v>
      </c>
      <c r="G200" s="25"/>
      <c r="H200" s="25" t="str">
        <f t="shared" si="2"/>
        <v>No</v>
      </c>
      <c r="I200" s="8"/>
      <c r="J200" s="30" t="str">
        <f t="shared" si="3"/>
        <v/>
      </c>
      <c r="K200" s="30" t="str">
        <f t="shared" si="4"/>
        <v/>
      </c>
      <c r="L200" s="30" t="str">
        <f t="shared" si="5"/>
        <v/>
      </c>
      <c r="M200" s="30" t="str">
        <f t="shared" si="6"/>
        <v/>
      </c>
      <c r="N200" s="30" t="str">
        <f t="shared" si="7"/>
        <v/>
      </c>
      <c r="O200" s="8"/>
      <c r="P200" s="8"/>
      <c r="Q200" s="8"/>
      <c r="R200" s="8"/>
      <c r="S200" s="8"/>
      <c r="T200" s="8"/>
      <c r="U200" s="8"/>
      <c r="V200" s="8"/>
      <c r="W200" s="8"/>
      <c r="X200" s="8"/>
      <c r="Y200" s="8"/>
      <c r="Z200" s="8"/>
    </row>
    <row r="201" ht="18.0" customHeight="1">
      <c r="A201" s="8"/>
      <c r="B201" s="8"/>
      <c r="C201" s="8"/>
      <c r="D201" s="25"/>
      <c r="E201" s="25"/>
      <c r="F201" s="25" t="str">
        <f t="shared" si="1"/>
        <v>No</v>
      </c>
      <c r="G201" s="25"/>
      <c r="H201" s="25" t="str">
        <f t="shared" si="2"/>
        <v>No</v>
      </c>
      <c r="I201" s="8"/>
      <c r="J201" s="30" t="str">
        <f t="shared" si="3"/>
        <v/>
      </c>
      <c r="K201" s="30" t="str">
        <f t="shared" si="4"/>
        <v/>
      </c>
      <c r="L201" s="30" t="str">
        <f t="shared" si="5"/>
        <v/>
      </c>
      <c r="M201" s="30" t="str">
        <f t="shared" si="6"/>
        <v/>
      </c>
      <c r="N201" s="30" t="str">
        <f t="shared" si="7"/>
        <v/>
      </c>
      <c r="O201" s="8"/>
      <c r="P201" s="8"/>
      <c r="Q201" s="8"/>
      <c r="R201" s="8"/>
      <c r="S201" s="8"/>
      <c r="T201" s="8"/>
      <c r="U201" s="8"/>
      <c r="V201" s="8"/>
      <c r="W201" s="8"/>
      <c r="X201" s="8"/>
      <c r="Y201" s="8"/>
      <c r="Z201" s="8"/>
    </row>
    <row r="202" ht="18.0" customHeight="1">
      <c r="A202" s="8"/>
      <c r="B202" s="8"/>
      <c r="C202" s="8"/>
      <c r="D202" s="25"/>
      <c r="E202" s="25"/>
      <c r="F202" s="8"/>
      <c r="G202" s="25"/>
      <c r="H202" s="8"/>
      <c r="I202" s="8"/>
      <c r="J202" s="30" t="str">
        <f t="shared" ref="J202:J401" si="8">IF($A2="","",$A2)</f>
        <v>Suravi Akhter</v>
      </c>
      <c r="K202" s="30" t="str">
        <f t="shared" ref="K202:K401" si="9">$G2</f>
        <v/>
      </c>
      <c r="L202" s="30" t="str">
        <f t="shared" ref="L202:L401" si="10">IF($A2="","",$C2)</f>
        <v>suravi.akhter@ulab.edu.bd</v>
      </c>
      <c r="M202" s="34" t="str">
        <f t="shared" ref="M202:M401" si="11">IF($A2="","",$D2)</f>
        <v>01308395394</v>
      </c>
      <c r="N202" s="30" t="str">
        <f t="shared" si="7"/>
        <v/>
      </c>
      <c r="O202" s="8"/>
      <c r="P202" s="8"/>
      <c r="Q202" s="8"/>
      <c r="R202" s="8"/>
      <c r="S202" s="8"/>
      <c r="T202" s="8"/>
      <c r="U202" s="8"/>
      <c r="V202" s="8"/>
      <c r="W202" s="8"/>
      <c r="X202" s="8"/>
      <c r="Y202" s="8"/>
      <c r="Z202" s="8"/>
    </row>
    <row r="203" ht="18.0" customHeight="1">
      <c r="A203" s="8"/>
      <c r="B203" s="8"/>
      <c r="C203" s="8"/>
      <c r="D203" s="25"/>
      <c r="E203" s="25"/>
      <c r="F203" s="8"/>
      <c r="G203" s="25"/>
      <c r="H203" s="8"/>
      <c r="I203" s="8"/>
      <c r="J203" s="30" t="str">
        <f t="shared" si="8"/>
        <v>Nazmul Abdal</v>
      </c>
      <c r="K203" s="30" t="str">
        <f t="shared" si="9"/>
        <v>T3P3</v>
      </c>
      <c r="L203" s="30" t="str">
        <f t="shared" si="10"/>
        <v>nazmul.abdal@ulab.edu.bd</v>
      </c>
      <c r="M203" s="34" t="str">
        <f t="shared" si="11"/>
        <v>01752813855</v>
      </c>
      <c r="N203" s="30">
        <f t="shared" si="7"/>
        <v>2</v>
      </c>
      <c r="O203" s="8"/>
      <c r="P203" s="8"/>
      <c r="Q203" s="8"/>
      <c r="R203" s="8"/>
      <c r="S203" s="8"/>
      <c r="T203" s="8"/>
      <c r="U203" s="8"/>
      <c r="V203" s="8"/>
      <c r="W203" s="8"/>
      <c r="X203" s="8"/>
      <c r="Y203" s="8"/>
      <c r="Z203" s="8"/>
    </row>
    <row r="204" ht="18.0" customHeight="1">
      <c r="A204" s="8"/>
      <c r="B204" s="8"/>
      <c r="C204" s="8"/>
      <c r="D204" s="25"/>
      <c r="E204" s="25"/>
      <c r="F204" s="8"/>
      <c r="G204" s="25"/>
      <c r="H204" s="8"/>
      <c r="I204" s="8"/>
      <c r="J204" s="30" t="str">
        <f t="shared" si="8"/>
        <v>Fatema Khan</v>
      </c>
      <c r="K204" s="30" t="str">
        <f t="shared" si="9"/>
        <v>T3P1</v>
      </c>
      <c r="L204" s="30" t="str">
        <f t="shared" si="10"/>
        <v>fatema.khan@ulab.edu.bd</v>
      </c>
      <c r="M204" s="34" t="str">
        <f t="shared" si="11"/>
        <v>01781527079</v>
      </c>
      <c r="N204" s="30">
        <f t="shared" si="7"/>
        <v>2</v>
      </c>
      <c r="O204" s="8"/>
      <c r="P204" s="8"/>
      <c r="Q204" s="8"/>
      <c r="R204" s="8"/>
      <c r="S204" s="8"/>
      <c r="T204" s="8"/>
      <c r="U204" s="8"/>
      <c r="V204" s="8"/>
      <c r="W204" s="8"/>
      <c r="X204" s="8"/>
      <c r="Y204" s="8"/>
      <c r="Z204" s="8"/>
    </row>
    <row r="205" ht="18.0" customHeight="1">
      <c r="A205" s="8"/>
      <c r="B205" s="8"/>
      <c r="C205" s="8"/>
      <c r="D205" s="25"/>
      <c r="E205" s="25"/>
      <c r="F205" s="8"/>
      <c r="G205" s="25"/>
      <c r="H205" s="8"/>
      <c r="I205" s="8"/>
      <c r="J205" s="30" t="str">
        <f t="shared" si="8"/>
        <v>Md Kaviul Hossain</v>
      </c>
      <c r="K205" s="30" t="str">
        <f t="shared" si="9"/>
        <v/>
      </c>
      <c r="L205" s="30" t="str">
        <f t="shared" si="10"/>
        <v>kaviul.hossain@ulab.edu.bd</v>
      </c>
      <c r="M205" s="34" t="str">
        <f t="shared" si="11"/>
        <v>01775520904</v>
      </c>
      <c r="N205" s="30" t="str">
        <f t="shared" si="7"/>
        <v/>
      </c>
      <c r="O205" s="8"/>
      <c r="P205" s="8"/>
      <c r="Q205" s="8"/>
      <c r="R205" s="8"/>
      <c r="S205" s="8"/>
      <c r="T205" s="8"/>
      <c r="U205" s="8"/>
      <c r="V205" s="8"/>
      <c r="W205" s="8"/>
      <c r="X205" s="8"/>
      <c r="Y205" s="8"/>
      <c r="Z205" s="8"/>
    </row>
    <row r="206" ht="18.0" customHeight="1">
      <c r="A206" s="8"/>
      <c r="B206" s="8"/>
      <c r="C206" s="8"/>
      <c r="D206" s="25"/>
      <c r="E206" s="25"/>
      <c r="F206" s="8"/>
      <c r="G206" s="25"/>
      <c r="H206" s="8"/>
      <c r="I206" s="8"/>
      <c r="J206" s="30" t="str">
        <f t="shared" si="8"/>
        <v>Nasir Uddin Ahmed</v>
      </c>
      <c r="K206" s="30" t="str">
        <f t="shared" si="9"/>
        <v>T2P4</v>
      </c>
      <c r="L206" s="30" t="str">
        <f t="shared" si="10"/>
        <v>nasir.uddin1@ulab.edu.bd</v>
      </c>
      <c r="M206" s="34" t="str">
        <f t="shared" si="11"/>
        <v>01818009809</v>
      </c>
      <c r="N206" s="30">
        <f t="shared" si="7"/>
        <v>2</v>
      </c>
      <c r="O206" s="8"/>
      <c r="P206" s="8"/>
      <c r="Q206" s="8"/>
      <c r="R206" s="8"/>
      <c r="S206" s="8"/>
      <c r="T206" s="8"/>
      <c r="U206" s="8"/>
      <c r="V206" s="8"/>
      <c r="W206" s="8"/>
      <c r="X206" s="8"/>
      <c r="Y206" s="8"/>
      <c r="Z206" s="8"/>
    </row>
    <row r="207" ht="18.0" customHeight="1">
      <c r="A207" s="8"/>
      <c r="B207" s="8"/>
      <c r="C207" s="8"/>
      <c r="D207" s="25"/>
      <c r="E207" s="25"/>
      <c r="F207" s="8"/>
      <c r="G207" s="25"/>
      <c r="H207" s="8"/>
      <c r="I207" s="8"/>
      <c r="J207" s="30" t="str">
        <f t="shared" si="8"/>
        <v>Wahida Ferdose Urmi</v>
      </c>
      <c r="K207" s="30" t="str">
        <f t="shared" si="9"/>
        <v>T2P3</v>
      </c>
      <c r="L207" s="30" t="str">
        <f t="shared" si="10"/>
        <v>wahida.ferdose@ulab.edu.bd</v>
      </c>
      <c r="M207" s="34" t="str">
        <f t="shared" si="11"/>
        <v>01756629803</v>
      </c>
      <c r="N207" s="30">
        <f t="shared" si="7"/>
        <v>2</v>
      </c>
      <c r="O207" s="8"/>
      <c r="P207" s="8"/>
      <c r="Q207" s="8"/>
      <c r="R207" s="8"/>
      <c r="S207" s="8"/>
      <c r="T207" s="8"/>
      <c r="U207" s="8"/>
      <c r="V207" s="8"/>
      <c r="W207" s="8"/>
      <c r="X207" s="8"/>
      <c r="Y207" s="8"/>
      <c r="Z207" s="8"/>
    </row>
    <row r="208" ht="18.0" customHeight="1">
      <c r="A208" s="8"/>
      <c r="B208" s="8"/>
      <c r="C208" s="8"/>
      <c r="D208" s="25"/>
      <c r="E208" s="25"/>
      <c r="F208" s="8"/>
      <c r="G208" s="25"/>
      <c r="H208" s="8"/>
      <c r="I208" s="8"/>
      <c r="J208" s="30" t="str">
        <f t="shared" si="8"/>
        <v>Shah Jafor Sadeek Quaderi</v>
      </c>
      <c r="K208" s="30" t="str">
        <f t="shared" si="9"/>
        <v>T2P2</v>
      </c>
      <c r="L208" s="30" t="str">
        <f t="shared" si="10"/>
        <v>jafor.sadeek@ulab.edu.bd</v>
      </c>
      <c r="M208" s="34" t="str">
        <f t="shared" si="11"/>
        <v>01725828062</v>
      </c>
      <c r="N208" s="30">
        <f t="shared" si="7"/>
        <v>2</v>
      </c>
      <c r="O208" s="8"/>
      <c r="P208" s="8"/>
      <c r="Q208" s="8"/>
      <c r="R208" s="8"/>
      <c r="S208" s="8"/>
      <c r="T208" s="8"/>
      <c r="U208" s="8"/>
      <c r="V208" s="8"/>
      <c r="W208" s="8"/>
      <c r="X208" s="8"/>
      <c r="Y208" s="8"/>
      <c r="Z208" s="8"/>
    </row>
    <row r="209" ht="18.0" customHeight="1">
      <c r="A209" s="8"/>
      <c r="B209" s="8"/>
      <c r="C209" s="8"/>
      <c r="D209" s="25"/>
      <c r="E209" s="25"/>
      <c r="F209" s="8"/>
      <c r="G209" s="25"/>
      <c r="H209" s="8"/>
      <c r="I209" s="8"/>
      <c r="J209" s="30" t="str">
        <f t="shared" si="8"/>
        <v>Dewan Ahmed Muhtasim</v>
      </c>
      <c r="K209" s="30" t="str">
        <f t="shared" si="9"/>
        <v>T2P1</v>
      </c>
      <c r="L209" s="30" t="str">
        <f t="shared" si="10"/>
        <v>ahmed.muhtasim@ulab.edu.bd</v>
      </c>
      <c r="M209" s="34" t="str">
        <f t="shared" si="11"/>
        <v>01602654504</v>
      </c>
      <c r="N209" s="30">
        <f t="shared" si="7"/>
        <v>2</v>
      </c>
      <c r="O209" s="8"/>
      <c r="P209" s="8"/>
      <c r="Q209" s="8"/>
      <c r="R209" s="8"/>
      <c r="S209" s="8"/>
      <c r="T209" s="8"/>
      <c r="U209" s="8"/>
      <c r="V209" s="8"/>
      <c r="W209" s="8"/>
      <c r="X209" s="8"/>
      <c r="Y209" s="8"/>
      <c r="Z209" s="8"/>
    </row>
    <row r="210" ht="18.0" customHeight="1">
      <c r="A210" s="8"/>
      <c r="B210" s="8"/>
      <c r="C210" s="8"/>
      <c r="D210" s="25"/>
      <c r="E210" s="25"/>
      <c r="F210" s="8"/>
      <c r="G210" s="25"/>
      <c r="H210" s="8"/>
      <c r="I210" s="8"/>
      <c r="J210" s="30" t="str">
        <f t="shared" si="8"/>
        <v>Atanu Shuvam Roy</v>
      </c>
      <c r="K210" s="30" t="str">
        <f t="shared" si="9"/>
        <v>T1P3</v>
      </c>
      <c r="L210" s="30" t="str">
        <f t="shared" si="10"/>
        <v>atanu.shuvam@ulab.edu.bd</v>
      </c>
      <c r="M210" s="34" t="str">
        <f t="shared" si="11"/>
        <v>01937545261</v>
      </c>
      <c r="N210" s="30">
        <f t="shared" si="7"/>
        <v>2</v>
      </c>
      <c r="O210" s="8"/>
      <c r="P210" s="8"/>
      <c r="Q210" s="8"/>
      <c r="R210" s="8"/>
      <c r="S210" s="8"/>
      <c r="T210" s="8"/>
      <c r="U210" s="8"/>
      <c r="V210" s="8"/>
      <c r="W210" s="8"/>
      <c r="X210" s="8"/>
      <c r="Y210" s="8"/>
      <c r="Z210" s="8"/>
    </row>
    <row r="211" ht="18.0" customHeight="1">
      <c r="A211" s="8"/>
      <c r="B211" s="8"/>
      <c r="C211" s="8"/>
      <c r="D211" s="25"/>
      <c r="E211" s="25"/>
      <c r="F211" s="8"/>
      <c r="G211" s="25"/>
      <c r="H211" s="8"/>
      <c r="I211" s="8"/>
      <c r="J211" s="30" t="str">
        <f t="shared" si="8"/>
        <v>Foysal Ahmed</v>
      </c>
      <c r="K211" s="30" t="str">
        <f t="shared" si="9"/>
        <v>T1P2</v>
      </c>
      <c r="L211" s="30" t="str">
        <f t="shared" si="10"/>
        <v>foysal.ahmed@ulab.edu.bd</v>
      </c>
      <c r="M211" s="34" t="str">
        <f t="shared" si="11"/>
        <v>01632917360</v>
      </c>
      <c r="N211" s="30">
        <f t="shared" si="7"/>
        <v>2</v>
      </c>
      <c r="O211" s="8"/>
      <c r="P211" s="8"/>
      <c r="Q211" s="8"/>
      <c r="R211" s="8"/>
      <c r="S211" s="8"/>
      <c r="T211" s="8"/>
      <c r="U211" s="8"/>
      <c r="V211" s="8"/>
      <c r="W211" s="8"/>
      <c r="X211" s="8"/>
      <c r="Y211" s="8"/>
      <c r="Z211" s="8"/>
    </row>
    <row r="212" ht="18.0" customHeight="1">
      <c r="A212" s="8"/>
      <c r="B212" s="8"/>
      <c r="C212" s="8"/>
      <c r="D212" s="25"/>
      <c r="E212" s="25"/>
      <c r="F212" s="8"/>
      <c r="G212" s="25"/>
      <c r="H212" s="8"/>
      <c r="I212" s="8"/>
      <c r="J212" s="30" t="str">
        <f t="shared" si="8"/>
        <v>Abir Bin Yousuf</v>
      </c>
      <c r="K212" s="30" t="str">
        <f t="shared" si="9"/>
        <v>T1P1</v>
      </c>
      <c r="L212" s="30" t="str">
        <f t="shared" si="10"/>
        <v>abir.yousuf@ulab.edu.bd</v>
      </c>
      <c r="M212" s="34" t="str">
        <f t="shared" si="11"/>
        <v>01628312807</v>
      </c>
      <c r="N212" s="30">
        <f t="shared" si="7"/>
        <v>2</v>
      </c>
      <c r="O212" s="8"/>
      <c r="P212" s="8"/>
      <c r="Q212" s="8"/>
      <c r="R212" s="8"/>
      <c r="S212" s="8"/>
      <c r="T212" s="8"/>
      <c r="U212" s="8"/>
      <c r="V212" s="8"/>
      <c r="W212" s="8"/>
      <c r="X212" s="8"/>
      <c r="Y212" s="8"/>
      <c r="Z212" s="8"/>
    </row>
    <row r="213" ht="18.0" customHeight="1">
      <c r="A213" s="8"/>
      <c r="B213" s="8"/>
      <c r="C213" s="8"/>
      <c r="D213" s="25"/>
      <c r="E213" s="25"/>
      <c r="F213" s="8"/>
      <c r="G213" s="25"/>
      <c r="H213" s="8"/>
      <c r="I213" s="8"/>
      <c r="J213" s="30" t="str">
        <f t="shared" si="8"/>
        <v>A O M Shamsuddoha</v>
      </c>
      <c r="K213" s="30" t="str">
        <f t="shared" si="9"/>
        <v>T4P6</v>
      </c>
      <c r="L213" s="30" t="str">
        <f t="shared" si="10"/>
        <v>shamsud.doha@ulab.edu.bd</v>
      </c>
      <c r="M213" s="34" t="str">
        <f t="shared" si="11"/>
        <v>01982279906</v>
      </c>
      <c r="N213" s="30">
        <f t="shared" si="7"/>
        <v>1</v>
      </c>
      <c r="O213" s="8"/>
      <c r="P213" s="8"/>
      <c r="Q213" s="8"/>
      <c r="R213" s="8"/>
      <c r="S213" s="8"/>
      <c r="T213" s="8"/>
      <c r="U213" s="8"/>
      <c r="V213" s="8"/>
      <c r="W213" s="8"/>
      <c r="X213" s="8"/>
      <c r="Y213" s="8"/>
      <c r="Z213" s="8"/>
    </row>
    <row r="214" ht="18.0" customHeight="1">
      <c r="A214" s="8"/>
      <c r="B214" s="8"/>
      <c r="C214" s="8"/>
      <c r="D214" s="25"/>
      <c r="E214" s="25"/>
      <c r="F214" s="8"/>
      <c r="G214" s="25"/>
      <c r="H214" s="8"/>
      <c r="I214" s="8"/>
      <c r="J214" s="30" t="str">
        <f t="shared" si="8"/>
        <v>Abdullah Md. Zobayer</v>
      </c>
      <c r="K214" s="30" t="str">
        <f t="shared" si="9"/>
        <v>T4P5</v>
      </c>
      <c r="L214" s="30" t="str">
        <f t="shared" si="10"/>
        <v>abdullah.zobayer@ulab.edu.bd</v>
      </c>
      <c r="M214" s="34" t="str">
        <f t="shared" si="11"/>
        <v>01921999286</v>
      </c>
      <c r="N214" s="30">
        <f t="shared" si="7"/>
        <v>1</v>
      </c>
      <c r="O214" s="8"/>
      <c r="P214" s="8"/>
      <c r="Q214" s="8"/>
      <c r="R214" s="8"/>
      <c r="S214" s="8"/>
      <c r="T214" s="8"/>
      <c r="U214" s="8"/>
      <c r="V214" s="8"/>
      <c r="W214" s="8"/>
      <c r="X214" s="8"/>
      <c r="Y214" s="8"/>
      <c r="Z214" s="8"/>
    </row>
    <row r="215" ht="18.0" customHeight="1">
      <c r="A215" s="8"/>
      <c r="B215" s="8"/>
      <c r="C215" s="8"/>
      <c r="D215" s="25"/>
      <c r="E215" s="25"/>
      <c r="F215" s="8"/>
      <c r="G215" s="25"/>
      <c r="H215" s="8"/>
      <c r="I215" s="8"/>
      <c r="J215" s="30" t="str">
        <f t="shared" si="8"/>
        <v>Md. Monzurul Haque</v>
      </c>
      <c r="K215" s="30" t="str">
        <f t="shared" si="9"/>
        <v>T4P4</v>
      </c>
      <c r="L215" s="30" t="str">
        <f t="shared" si="10"/>
        <v>monzurul.haque@ulab.edu.bd</v>
      </c>
      <c r="M215" s="34" t="str">
        <f t="shared" si="11"/>
        <v>01621853028</v>
      </c>
      <c r="N215" s="30">
        <f t="shared" si="7"/>
        <v>1</v>
      </c>
      <c r="O215" s="8"/>
      <c r="P215" s="8"/>
      <c r="Q215" s="8"/>
      <c r="R215" s="8"/>
      <c r="S215" s="8"/>
      <c r="T215" s="8"/>
      <c r="U215" s="8"/>
      <c r="V215" s="8"/>
      <c r="W215" s="8"/>
      <c r="X215" s="8"/>
      <c r="Y215" s="8"/>
      <c r="Z215" s="8"/>
    </row>
    <row r="216" ht="18.0" customHeight="1">
      <c r="A216" s="8"/>
      <c r="B216" s="8"/>
      <c r="C216" s="8"/>
      <c r="D216" s="25"/>
      <c r="E216" s="25"/>
      <c r="F216" s="8"/>
      <c r="G216" s="25"/>
      <c r="H216" s="8"/>
      <c r="I216" s="8"/>
      <c r="J216" s="30" t="str">
        <f t="shared" si="8"/>
        <v>Imran Hossain</v>
      </c>
      <c r="K216" s="30" t="str">
        <f t="shared" si="9"/>
        <v>T4P3</v>
      </c>
      <c r="L216" s="30" t="str">
        <f t="shared" si="10"/>
        <v>imran.hossain3@ulab.edu.bd</v>
      </c>
      <c r="M216" s="34" t="str">
        <f t="shared" si="11"/>
        <v>01621853028</v>
      </c>
      <c r="N216" s="30">
        <f t="shared" si="7"/>
        <v>1</v>
      </c>
      <c r="O216" s="8"/>
      <c r="P216" s="8"/>
      <c r="Q216" s="8"/>
      <c r="R216" s="8"/>
      <c r="S216" s="8"/>
      <c r="T216" s="8"/>
      <c r="U216" s="8"/>
      <c r="V216" s="8"/>
      <c r="W216" s="8"/>
      <c r="X216" s="8"/>
      <c r="Y216" s="8"/>
      <c r="Z216" s="8"/>
    </row>
    <row r="217" ht="18.0" customHeight="1">
      <c r="A217" s="8"/>
      <c r="B217" s="8"/>
      <c r="C217" s="8"/>
      <c r="D217" s="25"/>
      <c r="E217" s="25"/>
      <c r="F217" s="8"/>
      <c r="G217" s="25"/>
      <c r="H217" s="8"/>
      <c r="I217" s="8"/>
      <c r="J217" s="30" t="str">
        <f t="shared" si="8"/>
        <v/>
      </c>
      <c r="K217" s="30" t="str">
        <f t="shared" si="9"/>
        <v/>
      </c>
      <c r="L217" s="30" t="str">
        <f t="shared" si="10"/>
        <v/>
      </c>
      <c r="M217" s="30" t="str">
        <f t="shared" si="11"/>
        <v/>
      </c>
      <c r="N217" s="30" t="str">
        <f t="shared" si="7"/>
        <v/>
      </c>
      <c r="O217" s="8"/>
      <c r="P217" s="8"/>
      <c r="Q217" s="8"/>
      <c r="R217" s="8"/>
      <c r="S217" s="8"/>
      <c r="T217" s="8"/>
      <c r="U217" s="8"/>
      <c r="V217" s="8"/>
      <c r="W217" s="8"/>
      <c r="X217" s="8"/>
      <c r="Y217" s="8"/>
      <c r="Z217" s="8"/>
    </row>
    <row r="218" ht="18.0" customHeight="1">
      <c r="A218" s="8"/>
      <c r="B218" s="8"/>
      <c r="C218" s="8"/>
      <c r="D218" s="25"/>
      <c r="E218" s="25"/>
      <c r="F218" s="8"/>
      <c r="G218" s="25"/>
      <c r="H218" s="8"/>
      <c r="I218" s="8"/>
      <c r="J218" s="30" t="str">
        <f t="shared" si="8"/>
        <v/>
      </c>
      <c r="K218" s="30" t="str">
        <f t="shared" si="9"/>
        <v/>
      </c>
      <c r="L218" s="30" t="str">
        <f t="shared" si="10"/>
        <v/>
      </c>
      <c r="M218" s="30" t="str">
        <f t="shared" si="11"/>
        <v/>
      </c>
      <c r="N218" s="30" t="str">
        <f t="shared" si="7"/>
        <v/>
      </c>
      <c r="O218" s="8"/>
      <c r="P218" s="8"/>
      <c r="Q218" s="8"/>
      <c r="R218" s="8"/>
      <c r="S218" s="8"/>
      <c r="T218" s="8"/>
      <c r="U218" s="8"/>
      <c r="V218" s="8"/>
      <c r="W218" s="8"/>
      <c r="X218" s="8"/>
      <c r="Y218" s="8"/>
      <c r="Z218" s="8"/>
    </row>
    <row r="219" ht="18.0" customHeight="1">
      <c r="A219" s="8"/>
      <c r="B219" s="8"/>
      <c r="C219" s="8"/>
      <c r="D219" s="25"/>
      <c r="E219" s="25"/>
      <c r="F219" s="8"/>
      <c r="G219" s="25"/>
      <c r="H219" s="8"/>
      <c r="I219" s="8"/>
      <c r="J219" s="30" t="str">
        <f t="shared" si="8"/>
        <v/>
      </c>
      <c r="K219" s="30" t="str">
        <f t="shared" si="9"/>
        <v/>
      </c>
      <c r="L219" s="30" t="str">
        <f t="shared" si="10"/>
        <v/>
      </c>
      <c r="M219" s="30" t="str">
        <f t="shared" si="11"/>
        <v/>
      </c>
      <c r="N219" s="30" t="str">
        <f t="shared" si="7"/>
        <v/>
      </c>
      <c r="O219" s="8"/>
      <c r="P219" s="8"/>
      <c r="Q219" s="8"/>
      <c r="R219" s="8"/>
      <c r="S219" s="8"/>
      <c r="T219" s="8"/>
      <c r="U219" s="8"/>
      <c r="V219" s="8"/>
      <c r="W219" s="8"/>
      <c r="X219" s="8"/>
      <c r="Y219" s="8"/>
      <c r="Z219" s="8"/>
    </row>
    <row r="220" ht="18.0" customHeight="1">
      <c r="A220" s="8"/>
      <c r="B220" s="8"/>
      <c r="C220" s="8"/>
      <c r="D220" s="25"/>
      <c r="E220" s="25"/>
      <c r="F220" s="8"/>
      <c r="G220" s="25"/>
      <c r="H220" s="8"/>
      <c r="I220" s="8"/>
      <c r="J220" s="30" t="str">
        <f t="shared" si="8"/>
        <v/>
      </c>
      <c r="K220" s="30" t="str">
        <f t="shared" si="9"/>
        <v/>
      </c>
      <c r="L220" s="30" t="str">
        <f t="shared" si="10"/>
        <v/>
      </c>
      <c r="M220" s="30" t="str">
        <f t="shared" si="11"/>
        <v/>
      </c>
      <c r="N220" s="30" t="str">
        <f t="shared" si="7"/>
        <v/>
      </c>
      <c r="O220" s="8"/>
      <c r="P220" s="8"/>
      <c r="Q220" s="8"/>
      <c r="R220" s="8"/>
      <c r="S220" s="8"/>
      <c r="T220" s="8"/>
      <c r="U220" s="8"/>
      <c r="V220" s="8"/>
      <c r="W220" s="8"/>
      <c r="X220" s="8"/>
      <c r="Y220" s="8"/>
      <c r="Z220" s="8"/>
    </row>
    <row r="221" ht="18.0" customHeight="1">
      <c r="A221" s="8"/>
      <c r="B221" s="8"/>
      <c r="C221" s="8"/>
      <c r="D221" s="25"/>
      <c r="E221" s="25"/>
      <c r="F221" s="8"/>
      <c r="G221" s="25"/>
      <c r="H221" s="8"/>
      <c r="I221" s="8"/>
      <c r="J221" s="30" t="str">
        <f t="shared" si="8"/>
        <v/>
      </c>
      <c r="K221" s="30" t="str">
        <f t="shared" si="9"/>
        <v/>
      </c>
      <c r="L221" s="30" t="str">
        <f t="shared" si="10"/>
        <v/>
      </c>
      <c r="M221" s="30" t="str">
        <f t="shared" si="11"/>
        <v/>
      </c>
      <c r="N221" s="30" t="str">
        <f t="shared" si="7"/>
        <v/>
      </c>
      <c r="O221" s="8"/>
      <c r="P221" s="8"/>
      <c r="Q221" s="8"/>
      <c r="R221" s="8"/>
      <c r="S221" s="8"/>
      <c r="T221" s="8"/>
      <c r="U221" s="8"/>
      <c r="V221" s="8"/>
      <c r="W221" s="8"/>
      <c r="X221" s="8"/>
      <c r="Y221" s="8"/>
      <c r="Z221" s="8"/>
    </row>
    <row r="222" ht="18.0" customHeight="1">
      <c r="A222" s="8"/>
      <c r="B222" s="8"/>
      <c r="C222" s="8"/>
      <c r="D222" s="25"/>
      <c r="E222" s="25"/>
      <c r="F222" s="8"/>
      <c r="G222" s="25"/>
      <c r="H222" s="8"/>
      <c r="I222" s="8"/>
      <c r="J222" s="30" t="str">
        <f t="shared" si="8"/>
        <v/>
      </c>
      <c r="K222" s="30" t="str">
        <f t="shared" si="9"/>
        <v/>
      </c>
      <c r="L222" s="30" t="str">
        <f t="shared" si="10"/>
        <v/>
      </c>
      <c r="M222" s="30" t="str">
        <f t="shared" si="11"/>
        <v/>
      </c>
      <c r="N222" s="30" t="str">
        <f t="shared" si="7"/>
        <v/>
      </c>
      <c r="O222" s="8"/>
      <c r="P222" s="8"/>
      <c r="Q222" s="8"/>
      <c r="R222" s="8"/>
      <c r="S222" s="8"/>
      <c r="T222" s="8"/>
      <c r="U222" s="8"/>
      <c r="V222" s="8"/>
      <c r="W222" s="8"/>
      <c r="X222" s="8"/>
      <c r="Y222" s="8"/>
      <c r="Z222" s="8"/>
    </row>
    <row r="223" ht="18.0" customHeight="1">
      <c r="A223" s="8"/>
      <c r="B223" s="8"/>
      <c r="C223" s="8"/>
      <c r="D223" s="25"/>
      <c r="E223" s="25"/>
      <c r="F223" s="8"/>
      <c r="G223" s="25"/>
      <c r="H223" s="8"/>
      <c r="I223" s="8"/>
      <c r="J223" s="30" t="str">
        <f t="shared" si="8"/>
        <v/>
      </c>
      <c r="K223" s="30" t="str">
        <f t="shared" si="9"/>
        <v/>
      </c>
      <c r="L223" s="30" t="str">
        <f t="shared" si="10"/>
        <v/>
      </c>
      <c r="M223" s="30" t="str">
        <f t="shared" si="11"/>
        <v/>
      </c>
      <c r="N223" s="30" t="str">
        <f t="shared" si="7"/>
        <v/>
      </c>
      <c r="O223" s="8"/>
      <c r="P223" s="8"/>
      <c r="Q223" s="8"/>
      <c r="R223" s="8"/>
      <c r="S223" s="8"/>
      <c r="T223" s="8"/>
      <c r="U223" s="8"/>
      <c r="V223" s="8"/>
      <c r="W223" s="8"/>
      <c r="X223" s="8"/>
      <c r="Y223" s="8"/>
      <c r="Z223" s="8"/>
    </row>
    <row r="224" ht="18.0" customHeight="1">
      <c r="A224" s="8"/>
      <c r="B224" s="8"/>
      <c r="C224" s="8"/>
      <c r="D224" s="25"/>
      <c r="E224" s="25"/>
      <c r="F224" s="8"/>
      <c r="G224" s="25"/>
      <c r="H224" s="8"/>
      <c r="I224" s="8"/>
      <c r="J224" s="30" t="str">
        <f t="shared" si="8"/>
        <v/>
      </c>
      <c r="K224" s="30" t="str">
        <f t="shared" si="9"/>
        <v/>
      </c>
      <c r="L224" s="30" t="str">
        <f t="shared" si="10"/>
        <v/>
      </c>
      <c r="M224" s="30" t="str">
        <f t="shared" si="11"/>
        <v/>
      </c>
      <c r="N224" s="30" t="str">
        <f t="shared" si="7"/>
        <v/>
      </c>
      <c r="O224" s="8"/>
      <c r="P224" s="8"/>
      <c r="Q224" s="8"/>
      <c r="R224" s="8"/>
      <c r="S224" s="8"/>
      <c r="T224" s="8"/>
      <c r="U224" s="8"/>
      <c r="V224" s="8"/>
      <c r="W224" s="8"/>
      <c r="X224" s="8"/>
      <c r="Y224" s="8"/>
      <c r="Z224" s="8"/>
    </row>
    <row r="225" ht="18.0" customHeight="1">
      <c r="A225" s="8"/>
      <c r="B225" s="8"/>
      <c r="C225" s="8"/>
      <c r="D225" s="25"/>
      <c r="E225" s="25"/>
      <c r="F225" s="8"/>
      <c r="G225" s="25"/>
      <c r="H225" s="8"/>
      <c r="I225" s="8"/>
      <c r="J225" s="30" t="str">
        <f t="shared" si="8"/>
        <v/>
      </c>
      <c r="K225" s="30" t="str">
        <f t="shared" si="9"/>
        <v/>
      </c>
      <c r="L225" s="30" t="str">
        <f t="shared" si="10"/>
        <v/>
      </c>
      <c r="M225" s="30" t="str">
        <f t="shared" si="11"/>
        <v/>
      </c>
      <c r="N225" s="30" t="str">
        <f t="shared" si="7"/>
        <v/>
      </c>
      <c r="O225" s="8"/>
      <c r="P225" s="8"/>
      <c r="Q225" s="8"/>
      <c r="R225" s="8"/>
      <c r="S225" s="8"/>
      <c r="T225" s="8"/>
      <c r="U225" s="8"/>
      <c r="V225" s="8"/>
      <c r="W225" s="8"/>
      <c r="X225" s="8"/>
      <c r="Y225" s="8"/>
      <c r="Z225" s="8"/>
    </row>
    <row r="226" ht="18.0" customHeight="1">
      <c r="A226" s="8"/>
      <c r="B226" s="8"/>
      <c r="C226" s="8"/>
      <c r="D226" s="25"/>
      <c r="E226" s="25"/>
      <c r="F226" s="8"/>
      <c r="G226" s="25"/>
      <c r="H226" s="8"/>
      <c r="I226" s="8"/>
      <c r="J226" s="30" t="str">
        <f t="shared" si="8"/>
        <v/>
      </c>
      <c r="K226" s="30" t="str">
        <f t="shared" si="9"/>
        <v/>
      </c>
      <c r="L226" s="30" t="str">
        <f t="shared" si="10"/>
        <v/>
      </c>
      <c r="M226" s="30" t="str">
        <f t="shared" si="11"/>
        <v/>
      </c>
      <c r="N226" s="30" t="str">
        <f t="shared" si="7"/>
        <v/>
      </c>
      <c r="O226" s="8"/>
      <c r="P226" s="8"/>
      <c r="Q226" s="8"/>
      <c r="R226" s="8"/>
      <c r="S226" s="8"/>
      <c r="T226" s="8"/>
      <c r="U226" s="8"/>
      <c r="V226" s="8"/>
      <c r="W226" s="8"/>
      <c r="X226" s="8"/>
      <c r="Y226" s="8"/>
      <c r="Z226" s="8"/>
    </row>
    <row r="227" ht="18.0" customHeight="1">
      <c r="A227" s="8"/>
      <c r="B227" s="8"/>
      <c r="C227" s="8"/>
      <c r="D227" s="25"/>
      <c r="E227" s="25"/>
      <c r="F227" s="8"/>
      <c r="G227" s="25"/>
      <c r="H227" s="8"/>
      <c r="I227" s="8"/>
      <c r="J227" s="30" t="str">
        <f t="shared" si="8"/>
        <v/>
      </c>
      <c r="K227" s="30" t="str">
        <f t="shared" si="9"/>
        <v/>
      </c>
      <c r="L227" s="30" t="str">
        <f t="shared" si="10"/>
        <v/>
      </c>
      <c r="M227" s="30" t="str">
        <f t="shared" si="11"/>
        <v/>
      </c>
      <c r="N227" s="30" t="str">
        <f t="shared" si="7"/>
        <v/>
      </c>
      <c r="O227" s="8"/>
      <c r="P227" s="8"/>
      <c r="Q227" s="8"/>
      <c r="R227" s="8"/>
      <c r="S227" s="8"/>
      <c r="T227" s="8"/>
      <c r="U227" s="8"/>
      <c r="V227" s="8"/>
      <c r="W227" s="8"/>
      <c r="X227" s="8"/>
      <c r="Y227" s="8"/>
      <c r="Z227" s="8"/>
    </row>
    <row r="228" ht="18.0" customHeight="1">
      <c r="A228" s="8"/>
      <c r="B228" s="8"/>
      <c r="C228" s="8"/>
      <c r="D228" s="25"/>
      <c r="E228" s="25"/>
      <c r="F228" s="8"/>
      <c r="G228" s="25"/>
      <c r="H228" s="8"/>
      <c r="I228" s="8"/>
      <c r="J228" s="30" t="str">
        <f t="shared" si="8"/>
        <v/>
      </c>
      <c r="K228" s="30" t="str">
        <f t="shared" si="9"/>
        <v/>
      </c>
      <c r="L228" s="30" t="str">
        <f t="shared" si="10"/>
        <v/>
      </c>
      <c r="M228" s="30" t="str">
        <f t="shared" si="11"/>
        <v/>
      </c>
      <c r="N228" s="30" t="str">
        <f t="shared" si="7"/>
        <v/>
      </c>
      <c r="O228" s="8"/>
      <c r="P228" s="8"/>
      <c r="Q228" s="8"/>
      <c r="R228" s="8"/>
      <c r="S228" s="8"/>
      <c r="T228" s="8"/>
      <c r="U228" s="8"/>
      <c r="V228" s="8"/>
      <c r="W228" s="8"/>
      <c r="X228" s="8"/>
      <c r="Y228" s="8"/>
      <c r="Z228" s="8"/>
    </row>
    <row r="229" ht="18.0" customHeight="1">
      <c r="A229" s="8"/>
      <c r="B229" s="8"/>
      <c r="C229" s="8"/>
      <c r="D229" s="25"/>
      <c r="E229" s="25"/>
      <c r="F229" s="8"/>
      <c r="G229" s="25"/>
      <c r="H229" s="8"/>
      <c r="I229" s="8"/>
      <c r="J229" s="30" t="str">
        <f t="shared" si="8"/>
        <v/>
      </c>
      <c r="K229" s="30" t="str">
        <f t="shared" si="9"/>
        <v/>
      </c>
      <c r="L229" s="30" t="str">
        <f t="shared" si="10"/>
        <v/>
      </c>
      <c r="M229" s="30" t="str">
        <f t="shared" si="11"/>
        <v/>
      </c>
      <c r="N229" s="30" t="str">
        <f t="shared" si="7"/>
        <v/>
      </c>
      <c r="O229" s="8"/>
      <c r="P229" s="8"/>
      <c r="Q229" s="8"/>
      <c r="R229" s="8"/>
      <c r="S229" s="8"/>
      <c r="T229" s="8"/>
      <c r="U229" s="8"/>
      <c r="V229" s="8"/>
      <c r="W229" s="8"/>
      <c r="X229" s="8"/>
      <c r="Y229" s="8"/>
      <c r="Z229" s="8"/>
    </row>
    <row r="230" ht="18.0" customHeight="1">
      <c r="A230" s="8"/>
      <c r="B230" s="8"/>
      <c r="C230" s="8"/>
      <c r="D230" s="25"/>
      <c r="E230" s="25"/>
      <c r="F230" s="8"/>
      <c r="G230" s="25"/>
      <c r="H230" s="8"/>
      <c r="I230" s="8"/>
      <c r="J230" s="30" t="str">
        <f t="shared" si="8"/>
        <v/>
      </c>
      <c r="K230" s="30" t="str">
        <f t="shared" si="9"/>
        <v/>
      </c>
      <c r="L230" s="30" t="str">
        <f t="shared" si="10"/>
        <v/>
      </c>
      <c r="M230" s="30" t="str">
        <f t="shared" si="11"/>
        <v/>
      </c>
      <c r="N230" s="30" t="str">
        <f t="shared" si="7"/>
        <v/>
      </c>
      <c r="O230" s="8"/>
      <c r="P230" s="8"/>
      <c r="Q230" s="8"/>
      <c r="R230" s="8"/>
      <c r="S230" s="8"/>
      <c r="T230" s="8"/>
      <c r="U230" s="8"/>
      <c r="V230" s="8"/>
      <c r="W230" s="8"/>
      <c r="X230" s="8"/>
      <c r="Y230" s="8"/>
      <c r="Z230" s="8"/>
    </row>
    <row r="231" ht="18.0" customHeight="1">
      <c r="A231" s="8"/>
      <c r="B231" s="8"/>
      <c r="C231" s="8"/>
      <c r="D231" s="25"/>
      <c r="E231" s="25"/>
      <c r="F231" s="8"/>
      <c r="G231" s="25"/>
      <c r="H231" s="8"/>
      <c r="I231" s="8"/>
      <c r="J231" s="30" t="str">
        <f t="shared" si="8"/>
        <v/>
      </c>
      <c r="K231" s="30" t="str">
        <f t="shared" si="9"/>
        <v/>
      </c>
      <c r="L231" s="30" t="str">
        <f t="shared" si="10"/>
        <v/>
      </c>
      <c r="M231" s="30" t="str">
        <f t="shared" si="11"/>
        <v/>
      </c>
      <c r="N231" s="30" t="str">
        <f t="shared" si="7"/>
        <v/>
      </c>
      <c r="O231" s="8"/>
      <c r="P231" s="8"/>
      <c r="Q231" s="8"/>
      <c r="R231" s="8"/>
      <c r="S231" s="8"/>
      <c r="T231" s="8"/>
      <c r="U231" s="8"/>
      <c r="V231" s="8"/>
      <c r="W231" s="8"/>
      <c r="X231" s="8"/>
      <c r="Y231" s="8"/>
      <c r="Z231" s="8"/>
    </row>
    <row r="232" ht="18.0" customHeight="1">
      <c r="A232" s="8"/>
      <c r="B232" s="8"/>
      <c r="C232" s="8"/>
      <c r="D232" s="25"/>
      <c r="E232" s="25"/>
      <c r="F232" s="8"/>
      <c r="G232" s="25"/>
      <c r="H232" s="8"/>
      <c r="I232" s="8"/>
      <c r="J232" s="30" t="str">
        <f t="shared" si="8"/>
        <v/>
      </c>
      <c r="K232" s="30" t="str">
        <f t="shared" si="9"/>
        <v/>
      </c>
      <c r="L232" s="30" t="str">
        <f t="shared" si="10"/>
        <v/>
      </c>
      <c r="M232" s="30" t="str">
        <f t="shared" si="11"/>
        <v/>
      </c>
      <c r="N232" s="30" t="str">
        <f t="shared" si="7"/>
        <v/>
      </c>
      <c r="O232" s="8"/>
      <c r="P232" s="8"/>
      <c r="Q232" s="8"/>
      <c r="R232" s="8"/>
      <c r="S232" s="8"/>
      <c r="T232" s="8"/>
      <c r="U232" s="8"/>
      <c r="V232" s="8"/>
      <c r="W232" s="8"/>
      <c r="X232" s="8"/>
      <c r="Y232" s="8"/>
      <c r="Z232" s="8"/>
    </row>
    <row r="233" ht="18.0" customHeight="1">
      <c r="A233" s="8"/>
      <c r="B233" s="8"/>
      <c r="C233" s="8"/>
      <c r="D233" s="25"/>
      <c r="E233" s="25"/>
      <c r="F233" s="8"/>
      <c r="G233" s="25"/>
      <c r="H233" s="8"/>
      <c r="I233" s="8"/>
      <c r="J233" s="30" t="str">
        <f t="shared" si="8"/>
        <v/>
      </c>
      <c r="K233" s="30" t="str">
        <f t="shared" si="9"/>
        <v/>
      </c>
      <c r="L233" s="30" t="str">
        <f t="shared" si="10"/>
        <v/>
      </c>
      <c r="M233" s="30" t="str">
        <f t="shared" si="11"/>
        <v/>
      </c>
      <c r="N233" s="30" t="str">
        <f t="shared" si="7"/>
        <v/>
      </c>
      <c r="O233" s="8"/>
      <c r="P233" s="8"/>
      <c r="Q233" s="8"/>
      <c r="R233" s="8"/>
      <c r="S233" s="8"/>
      <c r="T233" s="8"/>
      <c r="U233" s="8"/>
      <c r="V233" s="8"/>
      <c r="W233" s="8"/>
      <c r="X233" s="8"/>
      <c r="Y233" s="8"/>
      <c r="Z233" s="8"/>
    </row>
    <row r="234" ht="18.0" customHeight="1">
      <c r="A234" s="8"/>
      <c r="B234" s="8"/>
      <c r="C234" s="8"/>
      <c r="D234" s="25"/>
      <c r="E234" s="25"/>
      <c r="F234" s="8"/>
      <c r="G234" s="25"/>
      <c r="H234" s="8"/>
      <c r="I234" s="8"/>
      <c r="J234" s="30" t="str">
        <f t="shared" si="8"/>
        <v/>
      </c>
      <c r="K234" s="30" t="str">
        <f t="shared" si="9"/>
        <v/>
      </c>
      <c r="L234" s="30" t="str">
        <f t="shared" si="10"/>
        <v/>
      </c>
      <c r="M234" s="30" t="str">
        <f t="shared" si="11"/>
        <v/>
      </c>
      <c r="N234" s="30" t="str">
        <f t="shared" si="7"/>
        <v/>
      </c>
      <c r="O234" s="8"/>
      <c r="P234" s="8"/>
      <c r="Q234" s="8"/>
      <c r="R234" s="8"/>
      <c r="S234" s="8"/>
      <c r="T234" s="8"/>
      <c r="U234" s="8"/>
      <c r="V234" s="8"/>
      <c r="W234" s="8"/>
      <c r="X234" s="8"/>
      <c r="Y234" s="8"/>
      <c r="Z234" s="8"/>
    </row>
    <row r="235" ht="18.0" customHeight="1">
      <c r="A235" s="8"/>
      <c r="B235" s="8"/>
      <c r="C235" s="8"/>
      <c r="D235" s="25"/>
      <c r="E235" s="25"/>
      <c r="F235" s="8"/>
      <c r="G235" s="25"/>
      <c r="H235" s="8"/>
      <c r="I235" s="8"/>
      <c r="J235" s="30" t="str">
        <f t="shared" si="8"/>
        <v/>
      </c>
      <c r="K235" s="30" t="str">
        <f t="shared" si="9"/>
        <v/>
      </c>
      <c r="L235" s="30" t="str">
        <f t="shared" si="10"/>
        <v/>
      </c>
      <c r="M235" s="30" t="str">
        <f t="shared" si="11"/>
        <v/>
      </c>
      <c r="N235" s="30" t="str">
        <f t="shared" si="7"/>
        <v/>
      </c>
      <c r="O235" s="8"/>
      <c r="P235" s="8"/>
      <c r="Q235" s="8"/>
      <c r="R235" s="8"/>
      <c r="S235" s="8"/>
      <c r="T235" s="8"/>
      <c r="U235" s="8"/>
      <c r="V235" s="8"/>
      <c r="W235" s="8"/>
      <c r="X235" s="8"/>
      <c r="Y235" s="8"/>
      <c r="Z235" s="8"/>
    </row>
    <row r="236" ht="18.0" customHeight="1">
      <c r="A236" s="8"/>
      <c r="B236" s="8"/>
      <c r="C236" s="8"/>
      <c r="D236" s="25"/>
      <c r="E236" s="25"/>
      <c r="F236" s="8"/>
      <c r="G236" s="25"/>
      <c r="H236" s="8"/>
      <c r="I236" s="8"/>
      <c r="J236" s="30" t="str">
        <f t="shared" si="8"/>
        <v/>
      </c>
      <c r="K236" s="30" t="str">
        <f t="shared" si="9"/>
        <v/>
      </c>
      <c r="L236" s="30" t="str">
        <f t="shared" si="10"/>
        <v/>
      </c>
      <c r="M236" s="30" t="str">
        <f t="shared" si="11"/>
        <v/>
      </c>
      <c r="N236" s="30" t="str">
        <f t="shared" si="7"/>
        <v/>
      </c>
      <c r="O236" s="8"/>
      <c r="P236" s="8"/>
      <c r="Q236" s="8"/>
      <c r="R236" s="8"/>
      <c r="S236" s="8"/>
      <c r="T236" s="8"/>
      <c r="U236" s="8"/>
      <c r="V236" s="8"/>
      <c r="W236" s="8"/>
      <c r="X236" s="8"/>
      <c r="Y236" s="8"/>
      <c r="Z236" s="8"/>
    </row>
    <row r="237" ht="18.0" customHeight="1">
      <c r="A237" s="8"/>
      <c r="B237" s="8"/>
      <c r="C237" s="8"/>
      <c r="D237" s="25"/>
      <c r="E237" s="25"/>
      <c r="F237" s="8"/>
      <c r="G237" s="25"/>
      <c r="H237" s="8"/>
      <c r="I237" s="8"/>
      <c r="J237" s="30" t="str">
        <f t="shared" si="8"/>
        <v/>
      </c>
      <c r="K237" s="30" t="str">
        <f t="shared" si="9"/>
        <v/>
      </c>
      <c r="L237" s="30" t="str">
        <f t="shared" si="10"/>
        <v/>
      </c>
      <c r="M237" s="30" t="str">
        <f t="shared" si="11"/>
        <v/>
      </c>
      <c r="N237" s="30" t="str">
        <f t="shared" si="7"/>
        <v/>
      </c>
      <c r="O237" s="8"/>
      <c r="P237" s="8"/>
      <c r="Q237" s="8"/>
      <c r="R237" s="8"/>
      <c r="S237" s="8"/>
      <c r="T237" s="8"/>
      <c r="U237" s="8"/>
      <c r="V237" s="8"/>
      <c r="W237" s="8"/>
      <c r="X237" s="8"/>
      <c r="Y237" s="8"/>
      <c r="Z237" s="8"/>
    </row>
    <row r="238" ht="18.0" customHeight="1">
      <c r="A238" s="8"/>
      <c r="B238" s="8"/>
      <c r="C238" s="8"/>
      <c r="D238" s="25"/>
      <c r="E238" s="25"/>
      <c r="F238" s="8"/>
      <c r="G238" s="25"/>
      <c r="H238" s="8"/>
      <c r="I238" s="8"/>
      <c r="J238" s="30" t="str">
        <f t="shared" si="8"/>
        <v/>
      </c>
      <c r="K238" s="30" t="str">
        <f t="shared" si="9"/>
        <v/>
      </c>
      <c r="L238" s="30" t="str">
        <f t="shared" si="10"/>
        <v/>
      </c>
      <c r="M238" s="30" t="str">
        <f t="shared" si="11"/>
        <v/>
      </c>
      <c r="N238" s="30" t="str">
        <f t="shared" si="7"/>
        <v/>
      </c>
      <c r="O238" s="8"/>
      <c r="P238" s="8"/>
      <c r="Q238" s="8"/>
      <c r="R238" s="8"/>
      <c r="S238" s="8"/>
      <c r="T238" s="8"/>
      <c r="U238" s="8"/>
      <c r="V238" s="8"/>
      <c r="W238" s="8"/>
      <c r="X238" s="8"/>
      <c r="Y238" s="8"/>
      <c r="Z238" s="8"/>
    </row>
    <row r="239" ht="18.0" customHeight="1">
      <c r="A239" s="8"/>
      <c r="B239" s="8"/>
      <c r="C239" s="8"/>
      <c r="D239" s="25"/>
      <c r="E239" s="25"/>
      <c r="F239" s="8"/>
      <c r="G239" s="25"/>
      <c r="H239" s="8"/>
      <c r="I239" s="8"/>
      <c r="J239" s="30" t="str">
        <f t="shared" si="8"/>
        <v/>
      </c>
      <c r="K239" s="30" t="str">
        <f t="shared" si="9"/>
        <v/>
      </c>
      <c r="L239" s="30" t="str">
        <f t="shared" si="10"/>
        <v/>
      </c>
      <c r="M239" s="30" t="str">
        <f t="shared" si="11"/>
        <v/>
      </c>
      <c r="N239" s="30" t="str">
        <f t="shared" si="7"/>
        <v/>
      </c>
      <c r="O239" s="8"/>
      <c r="P239" s="8"/>
      <c r="Q239" s="8"/>
      <c r="R239" s="8"/>
      <c r="S239" s="8"/>
      <c r="T239" s="8"/>
      <c r="U239" s="8"/>
      <c r="V239" s="8"/>
      <c r="W239" s="8"/>
      <c r="X239" s="8"/>
      <c r="Y239" s="8"/>
      <c r="Z239" s="8"/>
    </row>
    <row r="240" ht="18.0" customHeight="1">
      <c r="A240" s="8"/>
      <c r="B240" s="8"/>
      <c r="C240" s="8"/>
      <c r="D240" s="25"/>
      <c r="E240" s="25"/>
      <c r="F240" s="8"/>
      <c r="G240" s="25"/>
      <c r="H240" s="8"/>
      <c r="I240" s="8"/>
      <c r="J240" s="30" t="str">
        <f t="shared" si="8"/>
        <v/>
      </c>
      <c r="K240" s="30" t="str">
        <f t="shared" si="9"/>
        <v/>
      </c>
      <c r="L240" s="30" t="str">
        <f t="shared" si="10"/>
        <v/>
      </c>
      <c r="M240" s="30" t="str">
        <f t="shared" si="11"/>
        <v/>
      </c>
      <c r="N240" s="30" t="str">
        <f t="shared" si="7"/>
        <v/>
      </c>
      <c r="O240" s="8"/>
      <c r="P240" s="8"/>
      <c r="Q240" s="8"/>
      <c r="R240" s="8"/>
      <c r="S240" s="8"/>
      <c r="T240" s="8"/>
      <c r="U240" s="8"/>
      <c r="V240" s="8"/>
      <c r="W240" s="8"/>
      <c r="X240" s="8"/>
      <c r="Y240" s="8"/>
      <c r="Z240" s="8"/>
    </row>
    <row r="241" ht="18.0" customHeight="1">
      <c r="A241" s="8"/>
      <c r="B241" s="8"/>
      <c r="C241" s="8"/>
      <c r="D241" s="25"/>
      <c r="E241" s="25"/>
      <c r="F241" s="8"/>
      <c r="G241" s="25"/>
      <c r="H241" s="8"/>
      <c r="I241" s="8"/>
      <c r="J241" s="30" t="str">
        <f t="shared" si="8"/>
        <v/>
      </c>
      <c r="K241" s="30" t="str">
        <f t="shared" si="9"/>
        <v/>
      </c>
      <c r="L241" s="30" t="str">
        <f t="shared" si="10"/>
        <v/>
      </c>
      <c r="M241" s="30" t="str">
        <f t="shared" si="11"/>
        <v/>
      </c>
      <c r="N241" s="30" t="str">
        <f t="shared" si="7"/>
        <v/>
      </c>
      <c r="O241" s="8"/>
      <c r="P241" s="8"/>
      <c r="Q241" s="8"/>
      <c r="R241" s="8"/>
      <c r="S241" s="8"/>
      <c r="T241" s="8"/>
      <c r="U241" s="8"/>
      <c r="V241" s="8"/>
      <c r="W241" s="8"/>
      <c r="X241" s="8"/>
      <c r="Y241" s="8"/>
      <c r="Z241" s="8"/>
    </row>
    <row r="242" ht="18.0" customHeight="1">
      <c r="A242" s="8"/>
      <c r="B242" s="8"/>
      <c r="C242" s="8"/>
      <c r="D242" s="25"/>
      <c r="E242" s="25"/>
      <c r="F242" s="8"/>
      <c r="G242" s="25"/>
      <c r="H242" s="8"/>
      <c r="I242" s="8"/>
      <c r="J242" s="30" t="str">
        <f t="shared" si="8"/>
        <v/>
      </c>
      <c r="K242" s="30" t="str">
        <f t="shared" si="9"/>
        <v/>
      </c>
      <c r="L242" s="30" t="str">
        <f t="shared" si="10"/>
        <v/>
      </c>
      <c r="M242" s="30" t="str">
        <f t="shared" si="11"/>
        <v/>
      </c>
      <c r="N242" s="30" t="str">
        <f t="shared" si="7"/>
        <v/>
      </c>
      <c r="O242" s="8"/>
      <c r="P242" s="8"/>
      <c r="Q242" s="8"/>
      <c r="R242" s="8"/>
      <c r="S242" s="8"/>
      <c r="T242" s="8"/>
      <c r="U242" s="8"/>
      <c r="V242" s="8"/>
      <c r="W242" s="8"/>
      <c r="X242" s="8"/>
      <c r="Y242" s="8"/>
      <c r="Z242" s="8"/>
    </row>
    <row r="243" ht="18.0" customHeight="1">
      <c r="A243" s="8"/>
      <c r="B243" s="8"/>
      <c r="C243" s="8"/>
      <c r="D243" s="25"/>
      <c r="E243" s="25"/>
      <c r="F243" s="8"/>
      <c r="G243" s="25"/>
      <c r="H243" s="8"/>
      <c r="I243" s="8"/>
      <c r="J243" s="30" t="str">
        <f t="shared" si="8"/>
        <v/>
      </c>
      <c r="K243" s="30" t="str">
        <f t="shared" si="9"/>
        <v/>
      </c>
      <c r="L243" s="30" t="str">
        <f t="shared" si="10"/>
        <v/>
      </c>
      <c r="M243" s="30" t="str">
        <f t="shared" si="11"/>
        <v/>
      </c>
      <c r="N243" s="30" t="str">
        <f t="shared" si="7"/>
        <v/>
      </c>
      <c r="O243" s="8"/>
      <c r="P243" s="8"/>
      <c r="Q243" s="8"/>
      <c r="R243" s="8"/>
      <c r="S243" s="8"/>
      <c r="T243" s="8"/>
      <c r="U243" s="8"/>
      <c r="V243" s="8"/>
      <c r="W243" s="8"/>
      <c r="X243" s="8"/>
      <c r="Y243" s="8"/>
      <c r="Z243" s="8"/>
    </row>
    <row r="244" ht="18.0" customHeight="1">
      <c r="A244" s="8"/>
      <c r="B244" s="8"/>
      <c r="C244" s="8"/>
      <c r="D244" s="25"/>
      <c r="E244" s="25"/>
      <c r="F244" s="8"/>
      <c r="G244" s="25"/>
      <c r="H244" s="8"/>
      <c r="I244" s="8"/>
      <c r="J244" s="30" t="str">
        <f t="shared" si="8"/>
        <v/>
      </c>
      <c r="K244" s="30" t="str">
        <f t="shared" si="9"/>
        <v/>
      </c>
      <c r="L244" s="30" t="str">
        <f t="shared" si="10"/>
        <v/>
      </c>
      <c r="M244" s="30" t="str">
        <f t="shared" si="11"/>
        <v/>
      </c>
      <c r="N244" s="30" t="str">
        <f t="shared" si="7"/>
        <v/>
      </c>
      <c r="O244" s="8"/>
      <c r="P244" s="8"/>
      <c r="Q244" s="8"/>
      <c r="R244" s="8"/>
      <c r="S244" s="8"/>
      <c r="T244" s="8"/>
      <c r="U244" s="8"/>
      <c r="V244" s="8"/>
      <c r="W244" s="8"/>
      <c r="X244" s="8"/>
      <c r="Y244" s="8"/>
      <c r="Z244" s="8"/>
    </row>
    <row r="245" ht="18.0" customHeight="1">
      <c r="A245" s="8"/>
      <c r="B245" s="8"/>
      <c r="C245" s="8"/>
      <c r="D245" s="25"/>
      <c r="E245" s="25"/>
      <c r="F245" s="8"/>
      <c r="G245" s="25"/>
      <c r="H245" s="8"/>
      <c r="I245" s="8"/>
      <c r="J245" s="30" t="str">
        <f t="shared" si="8"/>
        <v/>
      </c>
      <c r="K245" s="30" t="str">
        <f t="shared" si="9"/>
        <v/>
      </c>
      <c r="L245" s="30" t="str">
        <f t="shared" si="10"/>
        <v/>
      </c>
      <c r="M245" s="30" t="str">
        <f t="shared" si="11"/>
        <v/>
      </c>
      <c r="N245" s="30" t="str">
        <f t="shared" si="7"/>
        <v/>
      </c>
      <c r="O245" s="8"/>
      <c r="P245" s="8"/>
      <c r="Q245" s="8"/>
      <c r="R245" s="8"/>
      <c r="S245" s="8"/>
      <c r="T245" s="8"/>
      <c r="U245" s="8"/>
      <c r="V245" s="8"/>
      <c r="W245" s="8"/>
      <c r="X245" s="8"/>
      <c r="Y245" s="8"/>
      <c r="Z245" s="8"/>
    </row>
    <row r="246" ht="18.0" customHeight="1">
      <c r="A246" s="8"/>
      <c r="B246" s="8"/>
      <c r="C246" s="8"/>
      <c r="D246" s="25"/>
      <c r="E246" s="25"/>
      <c r="F246" s="8"/>
      <c r="G246" s="25"/>
      <c r="H246" s="8"/>
      <c r="I246" s="8"/>
      <c r="J246" s="30" t="str">
        <f t="shared" si="8"/>
        <v/>
      </c>
      <c r="K246" s="30" t="str">
        <f t="shared" si="9"/>
        <v/>
      </c>
      <c r="L246" s="30" t="str">
        <f t="shared" si="10"/>
        <v/>
      </c>
      <c r="M246" s="30" t="str">
        <f t="shared" si="11"/>
        <v/>
      </c>
      <c r="N246" s="30" t="str">
        <f t="shared" si="7"/>
        <v/>
      </c>
      <c r="O246" s="8"/>
      <c r="P246" s="8"/>
      <c r="Q246" s="8"/>
      <c r="R246" s="8"/>
      <c r="S246" s="8"/>
      <c r="T246" s="8"/>
      <c r="U246" s="8"/>
      <c r="V246" s="8"/>
      <c r="W246" s="8"/>
      <c r="X246" s="8"/>
      <c r="Y246" s="8"/>
      <c r="Z246" s="8"/>
    </row>
    <row r="247" ht="18.0" customHeight="1">
      <c r="A247" s="8"/>
      <c r="B247" s="8"/>
      <c r="C247" s="8"/>
      <c r="D247" s="25"/>
      <c r="E247" s="25"/>
      <c r="F247" s="8"/>
      <c r="G247" s="25"/>
      <c r="H247" s="8"/>
      <c r="I247" s="8"/>
      <c r="J247" s="30" t="str">
        <f t="shared" si="8"/>
        <v/>
      </c>
      <c r="K247" s="30" t="str">
        <f t="shared" si="9"/>
        <v/>
      </c>
      <c r="L247" s="30" t="str">
        <f t="shared" si="10"/>
        <v/>
      </c>
      <c r="M247" s="30" t="str">
        <f t="shared" si="11"/>
        <v/>
      </c>
      <c r="N247" s="30" t="str">
        <f t="shared" si="7"/>
        <v/>
      </c>
      <c r="O247" s="8"/>
      <c r="P247" s="8"/>
      <c r="Q247" s="8"/>
      <c r="R247" s="8"/>
      <c r="S247" s="8"/>
      <c r="T247" s="8"/>
      <c r="U247" s="8"/>
      <c r="V247" s="8"/>
      <c r="W247" s="8"/>
      <c r="X247" s="8"/>
      <c r="Y247" s="8"/>
      <c r="Z247" s="8"/>
    </row>
    <row r="248" ht="18.0" customHeight="1">
      <c r="A248" s="8"/>
      <c r="B248" s="8"/>
      <c r="C248" s="8"/>
      <c r="D248" s="25"/>
      <c r="E248" s="25"/>
      <c r="F248" s="8"/>
      <c r="G248" s="25"/>
      <c r="H248" s="8"/>
      <c r="I248" s="8"/>
      <c r="J248" s="30" t="str">
        <f t="shared" si="8"/>
        <v/>
      </c>
      <c r="K248" s="30" t="str">
        <f t="shared" si="9"/>
        <v/>
      </c>
      <c r="L248" s="30" t="str">
        <f t="shared" si="10"/>
        <v/>
      </c>
      <c r="M248" s="30" t="str">
        <f t="shared" si="11"/>
        <v/>
      </c>
      <c r="N248" s="30" t="str">
        <f t="shared" si="7"/>
        <v/>
      </c>
      <c r="O248" s="8"/>
      <c r="P248" s="8"/>
      <c r="Q248" s="8"/>
      <c r="R248" s="8"/>
      <c r="S248" s="8"/>
      <c r="T248" s="8"/>
      <c r="U248" s="8"/>
      <c r="V248" s="8"/>
      <c r="W248" s="8"/>
      <c r="X248" s="8"/>
      <c r="Y248" s="8"/>
      <c r="Z248" s="8"/>
    </row>
    <row r="249" ht="18.0" customHeight="1">
      <c r="A249" s="8"/>
      <c r="B249" s="8"/>
      <c r="C249" s="8"/>
      <c r="D249" s="25"/>
      <c r="E249" s="25"/>
      <c r="F249" s="8"/>
      <c r="G249" s="25"/>
      <c r="H249" s="8"/>
      <c r="I249" s="8"/>
      <c r="J249" s="30" t="str">
        <f t="shared" si="8"/>
        <v/>
      </c>
      <c r="K249" s="30" t="str">
        <f t="shared" si="9"/>
        <v/>
      </c>
      <c r="L249" s="30" t="str">
        <f t="shared" si="10"/>
        <v/>
      </c>
      <c r="M249" s="30" t="str">
        <f t="shared" si="11"/>
        <v/>
      </c>
      <c r="N249" s="30" t="str">
        <f t="shared" si="7"/>
        <v/>
      </c>
      <c r="O249" s="8"/>
      <c r="P249" s="8"/>
      <c r="Q249" s="8"/>
      <c r="R249" s="8"/>
      <c r="S249" s="8"/>
      <c r="T249" s="8"/>
      <c r="U249" s="8"/>
      <c r="V249" s="8"/>
      <c r="W249" s="8"/>
      <c r="X249" s="8"/>
      <c r="Y249" s="8"/>
      <c r="Z249" s="8"/>
    </row>
    <row r="250" ht="18.0" customHeight="1">
      <c r="A250" s="8"/>
      <c r="B250" s="8"/>
      <c r="C250" s="8"/>
      <c r="D250" s="25"/>
      <c r="E250" s="25"/>
      <c r="F250" s="8"/>
      <c r="G250" s="25"/>
      <c r="H250" s="8"/>
      <c r="I250" s="8"/>
      <c r="J250" s="30" t="str">
        <f t="shared" si="8"/>
        <v/>
      </c>
      <c r="K250" s="30" t="str">
        <f t="shared" si="9"/>
        <v/>
      </c>
      <c r="L250" s="30" t="str">
        <f t="shared" si="10"/>
        <v/>
      </c>
      <c r="M250" s="30" t="str">
        <f t="shared" si="11"/>
        <v/>
      </c>
      <c r="N250" s="30" t="str">
        <f t="shared" si="7"/>
        <v/>
      </c>
      <c r="O250" s="8"/>
      <c r="P250" s="8"/>
      <c r="Q250" s="8"/>
      <c r="R250" s="8"/>
      <c r="S250" s="8"/>
      <c r="T250" s="8"/>
      <c r="U250" s="8"/>
      <c r="V250" s="8"/>
      <c r="W250" s="8"/>
      <c r="X250" s="8"/>
      <c r="Y250" s="8"/>
      <c r="Z250" s="8"/>
    </row>
    <row r="251" ht="18.0" customHeight="1">
      <c r="A251" s="8"/>
      <c r="B251" s="8"/>
      <c r="C251" s="8"/>
      <c r="D251" s="25"/>
      <c r="E251" s="25"/>
      <c r="F251" s="8"/>
      <c r="G251" s="25"/>
      <c r="H251" s="8"/>
      <c r="I251" s="8"/>
      <c r="J251" s="30" t="str">
        <f t="shared" si="8"/>
        <v/>
      </c>
      <c r="K251" s="30" t="str">
        <f t="shared" si="9"/>
        <v/>
      </c>
      <c r="L251" s="30" t="str">
        <f t="shared" si="10"/>
        <v/>
      </c>
      <c r="M251" s="30" t="str">
        <f t="shared" si="11"/>
        <v/>
      </c>
      <c r="N251" s="30" t="str">
        <f t="shared" si="7"/>
        <v/>
      </c>
      <c r="O251" s="8"/>
      <c r="P251" s="8"/>
      <c r="Q251" s="8"/>
      <c r="R251" s="8"/>
      <c r="S251" s="8"/>
      <c r="T251" s="8"/>
      <c r="U251" s="8"/>
      <c r="V251" s="8"/>
      <c r="W251" s="8"/>
      <c r="X251" s="8"/>
      <c r="Y251" s="8"/>
      <c r="Z251" s="8"/>
    </row>
    <row r="252" ht="18.0" customHeight="1">
      <c r="A252" s="8"/>
      <c r="B252" s="8"/>
      <c r="C252" s="8"/>
      <c r="D252" s="25"/>
      <c r="E252" s="25"/>
      <c r="F252" s="8"/>
      <c r="G252" s="25"/>
      <c r="H252" s="8"/>
      <c r="I252" s="8"/>
      <c r="J252" s="30" t="str">
        <f t="shared" si="8"/>
        <v/>
      </c>
      <c r="K252" s="30" t="str">
        <f t="shared" si="9"/>
        <v/>
      </c>
      <c r="L252" s="30" t="str">
        <f t="shared" si="10"/>
        <v/>
      </c>
      <c r="M252" s="30" t="str">
        <f t="shared" si="11"/>
        <v/>
      </c>
      <c r="N252" s="30" t="str">
        <f t="shared" si="7"/>
        <v/>
      </c>
      <c r="O252" s="8"/>
      <c r="P252" s="8"/>
      <c r="Q252" s="8"/>
      <c r="R252" s="8"/>
      <c r="S252" s="8"/>
      <c r="T252" s="8"/>
      <c r="U252" s="8"/>
      <c r="V252" s="8"/>
      <c r="W252" s="8"/>
      <c r="X252" s="8"/>
      <c r="Y252" s="8"/>
      <c r="Z252" s="8"/>
    </row>
    <row r="253" ht="18.0" customHeight="1">
      <c r="A253" s="8"/>
      <c r="B253" s="8"/>
      <c r="C253" s="8"/>
      <c r="D253" s="25"/>
      <c r="E253" s="25"/>
      <c r="F253" s="8"/>
      <c r="G253" s="25"/>
      <c r="H253" s="8"/>
      <c r="I253" s="8"/>
      <c r="J253" s="30" t="str">
        <f t="shared" si="8"/>
        <v/>
      </c>
      <c r="K253" s="30" t="str">
        <f t="shared" si="9"/>
        <v/>
      </c>
      <c r="L253" s="30" t="str">
        <f t="shared" si="10"/>
        <v/>
      </c>
      <c r="M253" s="30" t="str">
        <f t="shared" si="11"/>
        <v/>
      </c>
      <c r="N253" s="30" t="str">
        <f t="shared" si="7"/>
        <v/>
      </c>
      <c r="O253" s="8"/>
      <c r="P253" s="8"/>
      <c r="Q253" s="8"/>
      <c r="R253" s="8"/>
      <c r="S253" s="8"/>
      <c r="T253" s="8"/>
      <c r="U253" s="8"/>
      <c r="V253" s="8"/>
      <c r="W253" s="8"/>
      <c r="X253" s="8"/>
      <c r="Y253" s="8"/>
      <c r="Z253" s="8"/>
    </row>
    <row r="254" ht="18.0" customHeight="1">
      <c r="A254" s="8"/>
      <c r="B254" s="8"/>
      <c r="C254" s="8"/>
      <c r="D254" s="25"/>
      <c r="E254" s="25"/>
      <c r="F254" s="8"/>
      <c r="G254" s="25"/>
      <c r="H254" s="8"/>
      <c r="I254" s="8"/>
      <c r="J254" s="30" t="str">
        <f t="shared" si="8"/>
        <v/>
      </c>
      <c r="K254" s="30" t="str">
        <f t="shared" si="9"/>
        <v/>
      </c>
      <c r="L254" s="30" t="str">
        <f t="shared" si="10"/>
        <v/>
      </c>
      <c r="M254" s="30" t="str">
        <f t="shared" si="11"/>
        <v/>
      </c>
      <c r="N254" s="30" t="str">
        <f t="shared" si="7"/>
        <v/>
      </c>
      <c r="O254" s="8"/>
      <c r="P254" s="8"/>
      <c r="Q254" s="8"/>
      <c r="R254" s="8"/>
      <c r="S254" s="8"/>
      <c r="T254" s="8"/>
      <c r="U254" s="8"/>
      <c r="V254" s="8"/>
      <c r="W254" s="8"/>
      <c r="X254" s="8"/>
      <c r="Y254" s="8"/>
      <c r="Z254" s="8"/>
    </row>
    <row r="255" ht="18.0" customHeight="1">
      <c r="A255" s="8"/>
      <c r="B255" s="8"/>
      <c r="C255" s="8"/>
      <c r="D255" s="25"/>
      <c r="E255" s="25"/>
      <c r="F255" s="8"/>
      <c r="G255" s="25"/>
      <c r="H255" s="8"/>
      <c r="I255" s="8"/>
      <c r="J255" s="30" t="str">
        <f t="shared" si="8"/>
        <v/>
      </c>
      <c r="K255" s="30" t="str">
        <f t="shared" si="9"/>
        <v/>
      </c>
      <c r="L255" s="30" t="str">
        <f t="shared" si="10"/>
        <v/>
      </c>
      <c r="M255" s="30" t="str">
        <f t="shared" si="11"/>
        <v/>
      </c>
      <c r="N255" s="30" t="str">
        <f t="shared" si="7"/>
        <v/>
      </c>
      <c r="O255" s="8"/>
      <c r="P255" s="8"/>
      <c r="Q255" s="8"/>
      <c r="R255" s="8"/>
      <c r="S255" s="8"/>
      <c r="T255" s="8"/>
      <c r="U255" s="8"/>
      <c r="V255" s="8"/>
      <c r="W255" s="8"/>
      <c r="X255" s="8"/>
      <c r="Y255" s="8"/>
      <c r="Z255" s="8"/>
    </row>
    <row r="256" ht="18.0" customHeight="1">
      <c r="A256" s="8"/>
      <c r="B256" s="8"/>
      <c r="C256" s="8"/>
      <c r="D256" s="25"/>
      <c r="E256" s="25"/>
      <c r="F256" s="8"/>
      <c r="G256" s="25"/>
      <c r="H256" s="8"/>
      <c r="I256" s="8"/>
      <c r="J256" s="30" t="str">
        <f t="shared" si="8"/>
        <v/>
      </c>
      <c r="K256" s="30" t="str">
        <f t="shared" si="9"/>
        <v/>
      </c>
      <c r="L256" s="30" t="str">
        <f t="shared" si="10"/>
        <v/>
      </c>
      <c r="M256" s="30" t="str">
        <f t="shared" si="11"/>
        <v/>
      </c>
      <c r="N256" s="30" t="str">
        <f t="shared" si="7"/>
        <v/>
      </c>
      <c r="O256" s="8"/>
      <c r="P256" s="8"/>
      <c r="Q256" s="8"/>
      <c r="R256" s="8"/>
      <c r="S256" s="8"/>
      <c r="T256" s="8"/>
      <c r="U256" s="8"/>
      <c r="V256" s="8"/>
      <c r="W256" s="8"/>
      <c r="X256" s="8"/>
      <c r="Y256" s="8"/>
      <c r="Z256" s="8"/>
    </row>
    <row r="257" ht="18.0" customHeight="1">
      <c r="A257" s="8"/>
      <c r="B257" s="8"/>
      <c r="C257" s="8"/>
      <c r="D257" s="25"/>
      <c r="E257" s="25"/>
      <c r="F257" s="8"/>
      <c r="G257" s="25"/>
      <c r="H257" s="8"/>
      <c r="I257" s="8"/>
      <c r="J257" s="30" t="str">
        <f t="shared" si="8"/>
        <v/>
      </c>
      <c r="K257" s="30" t="str">
        <f t="shared" si="9"/>
        <v/>
      </c>
      <c r="L257" s="30" t="str">
        <f t="shared" si="10"/>
        <v/>
      </c>
      <c r="M257" s="30" t="str">
        <f t="shared" si="11"/>
        <v/>
      </c>
      <c r="N257" s="30" t="str">
        <f t="shared" si="7"/>
        <v/>
      </c>
      <c r="O257" s="8"/>
      <c r="P257" s="8"/>
      <c r="Q257" s="8"/>
      <c r="R257" s="8"/>
      <c r="S257" s="8"/>
      <c r="T257" s="8"/>
      <c r="U257" s="8"/>
      <c r="V257" s="8"/>
      <c r="W257" s="8"/>
      <c r="X257" s="8"/>
      <c r="Y257" s="8"/>
      <c r="Z257" s="8"/>
    </row>
    <row r="258" ht="18.0" customHeight="1">
      <c r="A258" s="8"/>
      <c r="B258" s="8"/>
      <c r="C258" s="8"/>
      <c r="D258" s="25"/>
      <c r="E258" s="25"/>
      <c r="F258" s="8"/>
      <c r="G258" s="25"/>
      <c r="H258" s="8"/>
      <c r="I258" s="8"/>
      <c r="J258" s="30" t="str">
        <f t="shared" si="8"/>
        <v/>
      </c>
      <c r="K258" s="30" t="str">
        <f t="shared" si="9"/>
        <v/>
      </c>
      <c r="L258" s="30" t="str">
        <f t="shared" si="10"/>
        <v/>
      </c>
      <c r="M258" s="30" t="str">
        <f t="shared" si="11"/>
        <v/>
      </c>
      <c r="N258" s="30" t="str">
        <f t="shared" si="7"/>
        <v/>
      </c>
      <c r="O258" s="8"/>
      <c r="P258" s="8"/>
      <c r="Q258" s="8"/>
      <c r="R258" s="8"/>
      <c r="S258" s="8"/>
      <c r="T258" s="8"/>
      <c r="U258" s="8"/>
      <c r="V258" s="8"/>
      <c r="W258" s="8"/>
      <c r="X258" s="8"/>
      <c r="Y258" s="8"/>
      <c r="Z258" s="8"/>
    </row>
    <row r="259" ht="18.0" customHeight="1">
      <c r="A259" s="8"/>
      <c r="B259" s="8"/>
      <c r="C259" s="8"/>
      <c r="D259" s="25"/>
      <c r="E259" s="25"/>
      <c r="F259" s="8"/>
      <c r="G259" s="25"/>
      <c r="H259" s="8"/>
      <c r="I259" s="8"/>
      <c r="J259" s="30" t="str">
        <f t="shared" si="8"/>
        <v/>
      </c>
      <c r="K259" s="30" t="str">
        <f t="shared" si="9"/>
        <v/>
      </c>
      <c r="L259" s="30" t="str">
        <f t="shared" si="10"/>
        <v/>
      </c>
      <c r="M259" s="30" t="str">
        <f t="shared" si="11"/>
        <v/>
      </c>
      <c r="N259" s="30" t="str">
        <f t="shared" si="7"/>
        <v/>
      </c>
      <c r="O259" s="8"/>
      <c r="P259" s="8"/>
      <c r="Q259" s="8"/>
      <c r="R259" s="8"/>
      <c r="S259" s="8"/>
      <c r="T259" s="8"/>
      <c r="U259" s="8"/>
      <c r="V259" s="8"/>
      <c r="W259" s="8"/>
      <c r="X259" s="8"/>
      <c r="Y259" s="8"/>
      <c r="Z259" s="8"/>
    </row>
    <row r="260" ht="18.0" customHeight="1">
      <c r="A260" s="8"/>
      <c r="B260" s="8"/>
      <c r="C260" s="8"/>
      <c r="D260" s="25"/>
      <c r="E260" s="25"/>
      <c r="F260" s="8"/>
      <c r="G260" s="25"/>
      <c r="H260" s="8"/>
      <c r="I260" s="8"/>
      <c r="J260" s="30" t="str">
        <f t="shared" si="8"/>
        <v/>
      </c>
      <c r="K260" s="30" t="str">
        <f t="shared" si="9"/>
        <v/>
      </c>
      <c r="L260" s="30" t="str">
        <f t="shared" si="10"/>
        <v/>
      </c>
      <c r="M260" s="30" t="str">
        <f t="shared" si="11"/>
        <v/>
      </c>
      <c r="N260" s="30" t="str">
        <f t="shared" si="7"/>
        <v/>
      </c>
      <c r="O260" s="8"/>
      <c r="P260" s="8"/>
      <c r="Q260" s="8"/>
      <c r="R260" s="8"/>
      <c r="S260" s="8"/>
      <c r="T260" s="8"/>
      <c r="U260" s="8"/>
      <c r="V260" s="8"/>
      <c r="W260" s="8"/>
      <c r="X260" s="8"/>
      <c r="Y260" s="8"/>
      <c r="Z260" s="8"/>
    </row>
    <row r="261" ht="18.0" customHeight="1">
      <c r="A261" s="8"/>
      <c r="B261" s="8"/>
      <c r="C261" s="8"/>
      <c r="D261" s="25"/>
      <c r="E261" s="25"/>
      <c r="F261" s="8"/>
      <c r="G261" s="25"/>
      <c r="H261" s="8"/>
      <c r="I261" s="8"/>
      <c r="J261" s="30" t="str">
        <f t="shared" si="8"/>
        <v/>
      </c>
      <c r="K261" s="30" t="str">
        <f t="shared" si="9"/>
        <v/>
      </c>
      <c r="L261" s="30" t="str">
        <f t="shared" si="10"/>
        <v/>
      </c>
      <c r="M261" s="30" t="str">
        <f t="shared" si="11"/>
        <v/>
      </c>
      <c r="N261" s="30" t="str">
        <f t="shared" si="7"/>
        <v/>
      </c>
      <c r="O261" s="8"/>
      <c r="P261" s="8"/>
      <c r="Q261" s="8"/>
      <c r="R261" s="8"/>
      <c r="S261" s="8"/>
      <c r="T261" s="8"/>
      <c r="U261" s="8"/>
      <c r="V261" s="8"/>
      <c r="W261" s="8"/>
      <c r="X261" s="8"/>
      <c r="Y261" s="8"/>
      <c r="Z261" s="8"/>
    </row>
    <row r="262" ht="18.0" customHeight="1">
      <c r="A262" s="8"/>
      <c r="B262" s="8"/>
      <c r="C262" s="8"/>
      <c r="D262" s="25"/>
      <c r="E262" s="25"/>
      <c r="F262" s="8"/>
      <c r="G262" s="25"/>
      <c r="H262" s="8"/>
      <c r="I262" s="8"/>
      <c r="J262" s="30" t="str">
        <f t="shared" si="8"/>
        <v/>
      </c>
      <c r="K262" s="30" t="str">
        <f t="shared" si="9"/>
        <v/>
      </c>
      <c r="L262" s="30" t="str">
        <f t="shared" si="10"/>
        <v/>
      </c>
      <c r="M262" s="30" t="str">
        <f t="shared" si="11"/>
        <v/>
      </c>
      <c r="N262" s="30" t="str">
        <f t="shared" si="7"/>
        <v/>
      </c>
      <c r="O262" s="8"/>
      <c r="P262" s="8"/>
      <c r="Q262" s="8"/>
      <c r="R262" s="8"/>
      <c r="S262" s="8"/>
      <c r="T262" s="8"/>
      <c r="U262" s="8"/>
      <c r="V262" s="8"/>
      <c r="W262" s="8"/>
      <c r="X262" s="8"/>
      <c r="Y262" s="8"/>
      <c r="Z262" s="8"/>
    </row>
    <row r="263" ht="18.0" customHeight="1">
      <c r="A263" s="8"/>
      <c r="B263" s="8"/>
      <c r="C263" s="8"/>
      <c r="D263" s="25"/>
      <c r="E263" s="25"/>
      <c r="F263" s="8"/>
      <c r="G263" s="25"/>
      <c r="H263" s="8"/>
      <c r="I263" s="8"/>
      <c r="J263" s="30" t="str">
        <f t="shared" si="8"/>
        <v/>
      </c>
      <c r="K263" s="30" t="str">
        <f t="shared" si="9"/>
        <v/>
      </c>
      <c r="L263" s="30" t="str">
        <f t="shared" si="10"/>
        <v/>
      </c>
      <c r="M263" s="30" t="str">
        <f t="shared" si="11"/>
        <v/>
      </c>
      <c r="N263" s="30" t="str">
        <f t="shared" si="7"/>
        <v/>
      </c>
      <c r="O263" s="8"/>
      <c r="P263" s="8"/>
      <c r="Q263" s="8"/>
      <c r="R263" s="8"/>
      <c r="S263" s="8"/>
      <c r="T263" s="8"/>
      <c r="U263" s="8"/>
      <c r="V263" s="8"/>
      <c r="W263" s="8"/>
      <c r="X263" s="8"/>
      <c r="Y263" s="8"/>
      <c r="Z263" s="8"/>
    </row>
    <row r="264" ht="18.0" customHeight="1">
      <c r="A264" s="8"/>
      <c r="B264" s="8"/>
      <c r="C264" s="8"/>
      <c r="D264" s="25"/>
      <c r="E264" s="25"/>
      <c r="F264" s="8"/>
      <c r="G264" s="25"/>
      <c r="H264" s="8"/>
      <c r="I264" s="8"/>
      <c r="J264" s="30" t="str">
        <f t="shared" si="8"/>
        <v/>
      </c>
      <c r="K264" s="30" t="str">
        <f t="shared" si="9"/>
        <v/>
      </c>
      <c r="L264" s="30" t="str">
        <f t="shared" si="10"/>
        <v/>
      </c>
      <c r="M264" s="30" t="str">
        <f t="shared" si="11"/>
        <v/>
      </c>
      <c r="N264" s="30" t="str">
        <f t="shared" si="7"/>
        <v/>
      </c>
      <c r="O264" s="8"/>
      <c r="P264" s="8"/>
      <c r="Q264" s="8"/>
      <c r="R264" s="8"/>
      <c r="S264" s="8"/>
      <c r="T264" s="8"/>
      <c r="U264" s="8"/>
      <c r="V264" s="8"/>
      <c r="W264" s="8"/>
      <c r="X264" s="8"/>
      <c r="Y264" s="8"/>
      <c r="Z264" s="8"/>
    </row>
    <row r="265" ht="18.0" customHeight="1">
      <c r="A265" s="8"/>
      <c r="B265" s="8"/>
      <c r="C265" s="8"/>
      <c r="D265" s="25"/>
      <c r="E265" s="25"/>
      <c r="F265" s="8"/>
      <c r="G265" s="25"/>
      <c r="H265" s="8"/>
      <c r="I265" s="8"/>
      <c r="J265" s="30" t="str">
        <f t="shared" si="8"/>
        <v/>
      </c>
      <c r="K265" s="30" t="str">
        <f t="shared" si="9"/>
        <v/>
      </c>
      <c r="L265" s="30" t="str">
        <f t="shared" si="10"/>
        <v/>
      </c>
      <c r="M265" s="30" t="str">
        <f t="shared" si="11"/>
        <v/>
      </c>
      <c r="N265" s="30" t="str">
        <f t="shared" si="7"/>
        <v/>
      </c>
      <c r="O265" s="8"/>
      <c r="P265" s="8"/>
      <c r="Q265" s="8"/>
      <c r="R265" s="8"/>
      <c r="S265" s="8"/>
      <c r="T265" s="8"/>
      <c r="U265" s="8"/>
      <c r="V265" s="8"/>
      <c r="W265" s="8"/>
      <c r="X265" s="8"/>
      <c r="Y265" s="8"/>
      <c r="Z265" s="8"/>
    </row>
    <row r="266" ht="18.0" customHeight="1">
      <c r="A266" s="8"/>
      <c r="B266" s="8"/>
      <c r="C266" s="8"/>
      <c r="D266" s="25"/>
      <c r="E266" s="25"/>
      <c r="F266" s="8"/>
      <c r="G266" s="25"/>
      <c r="H266" s="8"/>
      <c r="I266" s="8"/>
      <c r="J266" s="30" t="str">
        <f t="shared" si="8"/>
        <v/>
      </c>
      <c r="K266" s="30" t="str">
        <f t="shared" si="9"/>
        <v/>
      </c>
      <c r="L266" s="30" t="str">
        <f t="shared" si="10"/>
        <v/>
      </c>
      <c r="M266" s="30" t="str">
        <f t="shared" si="11"/>
        <v/>
      </c>
      <c r="N266" s="30" t="str">
        <f t="shared" si="7"/>
        <v/>
      </c>
      <c r="O266" s="8"/>
      <c r="P266" s="8"/>
      <c r="Q266" s="8"/>
      <c r="R266" s="8"/>
      <c r="S266" s="8"/>
      <c r="T266" s="8"/>
      <c r="U266" s="8"/>
      <c r="V266" s="8"/>
      <c r="W266" s="8"/>
      <c r="X266" s="8"/>
      <c r="Y266" s="8"/>
      <c r="Z266" s="8"/>
    </row>
    <row r="267" ht="18.0" customHeight="1">
      <c r="A267" s="8"/>
      <c r="B267" s="8"/>
      <c r="C267" s="8"/>
      <c r="D267" s="25"/>
      <c r="E267" s="25"/>
      <c r="F267" s="8"/>
      <c r="G267" s="25"/>
      <c r="H267" s="8"/>
      <c r="I267" s="8"/>
      <c r="J267" s="30" t="str">
        <f t="shared" si="8"/>
        <v/>
      </c>
      <c r="K267" s="30" t="str">
        <f t="shared" si="9"/>
        <v/>
      </c>
      <c r="L267" s="30" t="str">
        <f t="shared" si="10"/>
        <v/>
      </c>
      <c r="M267" s="30" t="str">
        <f t="shared" si="11"/>
        <v/>
      </c>
      <c r="N267" s="30" t="str">
        <f t="shared" si="7"/>
        <v/>
      </c>
      <c r="O267" s="8"/>
      <c r="P267" s="8"/>
      <c r="Q267" s="8"/>
      <c r="R267" s="8"/>
      <c r="S267" s="8"/>
      <c r="T267" s="8"/>
      <c r="U267" s="8"/>
      <c r="V267" s="8"/>
      <c r="W267" s="8"/>
      <c r="X267" s="8"/>
      <c r="Y267" s="8"/>
      <c r="Z267" s="8"/>
    </row>
    <row r="268" ht="18.0" customHeight="1">
      <c r="A268" s="8"/>
      <c r="B268" s="8"/>
      <c r="C268" s="8"/>
      <c r="D268" s="25"/>
      <c r="E268" s="25"/>
      <c r="F268" s="8"/>
      <c r="G268" s="25"/>
      <c r="H268" s="8"/>
      <c r="I268" s="8"/>
      <c r="J268" s="30" t="str">
        <f t="shared" si="8"/>
        <v/>
      </c>
      <c r="K268" s="30" t="str">
        <f t="shared" si="9"/>
        <v/>
      </c>
      <c r="L268" s="30" t="str">
        <f t="shared" si="10"/>
        <v/>
      </c>
      <c r="M268" s="30" t="str">
        <f t="shared" si="11"/>
        <v/>
      </c>
      <c r="N268" s="30" t="str">
        <f t="shared" si="7"/>
        <v/>
      </c>
      <c r="O268" s="8"/>
      <c r="P268" s="8"/>
      <c r="Q268" s="8"/>
      <c r="R268" s="8"/>
      <c r="S268" s="8"/>
      <c r="T268" s="8"/>
      <c r="U268" s="8"/>
      <c r="V268" s="8"/>
      <c r="W268" s="8"/>
      <c r="X268" s="8"/>
      <c r="Y268" s="8"/>
      <c r="Z268" s="8"/>
    </row>
    <row r="269" ht="18.0" customHeight="1">
      <c r="A269" s="8"/>
      <c r="B269" s="8"/>
      <c r="C269" s="8"/>
      <c r="D269" s="25"/>
      <c r="E269" s="25"/>
      <c r="F269" s="8"/>
      <c r="G269" s="25"/>
      <c r="H269" s="8"/>
      <c r="I269" s="8"/>
      <c r="J269" s="30" t="str">
        <f t="shared" si="8"/>
        <v/>
      </c>
      <c r="K269" s="30" t="str">
        <f t="shared" si="9"/>
        <v/>
      </c>
      <c r="L269" s="30" t="str">
        <f t="shared" si="10"/>
        <v/>
      </c>
      <c r="M269" s="30" t="str">
        <f t="shared" si="11"/>
        <v/>
      </c>
      <c r="N269" s="30" t="str">
        <f t="shared" si="7"/>
        <v/>
      </c>
      <c r="O269" s="8"/>
      <c r="P269" s="8"/>
      <c r="Q269" s="8"/>
      <c r="R269" s="8"/>
      <c r="S269" s="8"/>
      <c r="T269" s="8"/>
      <c r="U269" s="8"/>
      <c r="V269" s="8"/>
      <c r="W269" s="8"/>
      <c r="X269" s="8"/>
      <c r="Y269" s="8"/>
      <c r="Z269" s="8"/>
    </row>
    <row r="270" ht="18.0" customHeight="1">
      <c r="A270" s="8"/>
      <c r="B270" s="8"/>
      <c r="C270" s="8"/>
      <c r="D270" s="25"/>
      <c r="E270" s="25"/>
      <c r="F270" s="8"/>
      <c r="G270" s="25"/>
      <c r="H270" s="8"/>
      <c r="I270" s="8"/>
      <c r="J270" s="30" t="str">
        <f t="shared" si="8"/>
        <v/>
      </c>
      <c r="K270" s="30" t="str">
        <f t="shared" si="9"/>
        <v/>
      </c>
      <c r="L270" s="30" t="str">
        <f t="shared" si="10"/>
        <v/>
      </c>
      <c r="M270" s="30" t="str">
        <f t="shared" si="11"/>
        <v/>
      </c>
      <c r="N270" s="30" t="str">
        <f t="shared" si="7"/>
        <v/>
      </c>
      <c r="O270" s="8"/>
      <c r="P270" s="8"/>
      <c r="Q270" s="8"/>
      <c r="R270" s="8"/>
      <c r="S270" s="8"/>
      <c r="T270" s="8"/>
      <c r="U270" s="8"/>
      <c r="V270" s="8"/>
      <c r="W270" s="8"/>
      <c r="X270" s="8"/>
      <c r="Y270" s="8"/>
      <c r="Z270" s="8"/>
    </row>
    <row r="271" ht="18.0" customHeight="1">
      <c r="A271" s="8"/>
      <c r="B271" s="8"/>
      <c r="C271" s="8"/>
      <c r="D271" s="25"/>
      <c r="E271" s="25"/>
      <c r="F271" s="8"/>
      <c r="G271" s="25"/>
      <c r="H271" s="8"/>
      <c r="I271" s="8"/>
      <c r="J271" s="30" t="str">
        <f t="shared" si="8"/>
        <v/>
      </c>
      <c r="K271" s="30" t="str">
        <f t="shared" si="9"/>
        <v/>
      </c>
      <c r="L271" s="30" t="str">
        <f t="shared" si="10"/>
        <v/>
      </c>
      <c r="M271" s="30" t="str">
        <f t="shared" si="11"/>
        <v/>
      </c>
      <c r="N271" s="30" t="str">
        <f t="shared" si="7"/>
        <v/>
      </c>
      <c r="O271" s="8"/>
      <c r="P271" s="8"/>
      <c r="Q271" s="8"/>
      <c r="R271" s="8"/>
      <c r="S271" s="8"/>
      <c r="T271" s="8"/>
      <c r="U271" s="8"/>
      <c r="V271" s="8"/>
      <c r="W271" s="8"/>
      <c r="X271" s="8"/>
      <c r="Y271" s="8"/>
      <c r="Z271" s="8"/>
    </row>
    <row r="272" ht="18.0" customHeight="1">
      <c r="A272" s="8"/>
      <c r="B272" s="8"/>
      <c r="C272" s="8"/>
      <c r="D272" s="25"/>
      <c r="E272" s="25"/>
      <c r="F272" s="8"/>
      <c r="G272" s="25"/>
      <c r="H272" s="8"/>
      <c r="I272" s="8"/>
      <c r="J272" s="30" t="str">
        <f t="shared" si="8"/>
        <v/>
      </c>
      <c r="K272" s="30" t="str">
        <f t="shared" si="9"/>
        <v/>
      </c>
      <c r="L272" s="30" t="str">
        <f t="shared" si="10"/>
        <v/>
      </c>
      <c r="M272" s="30" t="str">
        <f t="shared" si="11"/>
        <v/>
      </c>
      <c r="N272" s="30" t="str">
        <f t="shared" si="7"/>
        <v/>
      </c>
      <c r="O272" s="8"/>
      <c r="P272" s="8"/>
      <c r="Q272" s="8"/>
      <c r="R272" s="8"/>
      <c r="S272" s="8"/>
      <c r="T272" s="8"/>
      <c r="U272" s="8"/>
      <c r="V272" s="8"/>
      <c r="W272" s="8"/>
      <c r="X272" s="8"/>
      <c r="Y272" s="8"/>
      <c r="Z272" s="8"/>
    </row>
    <row r="273" ht="18.0" customHeight="1">
      <c r="A273" s="8"/>
      <c r="B273" s="8"/>
      <c r="C273" s="8"/>
      <c r="D273" s="25"/>
      <c r="E273" s="25"/>
      <c r="F273" s="8"/>
      <c r="G273" s="25"/>
      <c r="H273" s="8"/>
      <c r="I273" s="8"/>
      <c r="J273" s="30" t="str">
        <f t="shared" si="8"/>
        <v/>
      </c>
      <c r="K273" s="30" t="str">
        <f t="shared" si="9"/>
        <v/>
      </c>
      <c r="L273" s="30" t="str">
        <f t="shared" si="10"/>
        <v/>
      </c>
      <c r="M273" s="30" t="str">
        <f t="shared" si="11"/>
        <v/>
      </c>
      <c r="N273" s="30" t="str">
        <f t="shared" si="7"/>
        <v/>
      </c>
      <c r="O273" s="8"/>
      <c r="P273" s="8"/>
      <c r="Q273" s="8"/>
      <c r="R273" s="8"/>
      <c r="S273" s="8"/>
      <c r="T273" s="8"/>
      <c r="U273" s="8"/>
      <c r="V273" s="8"/>
      <c r="W273" s="8"/>
      <c r="X273" s="8"/>
      <c r="Y273" s="8"/>
      <c r="Z273" s="8"/>
    </row>
    <row r="274" ht="18.0" customHeight="1">
      <c r="A274" s="8"/>
      <c r="B274" s="8"/>
      <c r="C274" s="8"/>
      <c r="D274" s="25"/>
      <c r="E274" s="25"/>
      <c r="F274" s="8"/>
      <c r="G274" s="25"/>
      <c r="H274" s="8"/>
      <c r="I274" s="8"/>
      <c r="J274" s="30" t="str">
        <f t="shared" si="8"/>
        <v/>
      </c>
      <c r="K274" s="30" t="str">
        <f t="shared" si="9"/>
        <v/>
      </c>
      <c r="L274" s="30" t="str">
        <f t="shared" si="10"/>
        <v/>
      </c>
      <c r="M274" s="30" t="str">
        <f t="shared" si="11"/>
        <v/>
      </c>
      <c r="N274" s="30" t="str">
        <f t="shared" si="7"/>
        <v/>
      </c>
      <c r="O274" s="8"/>
      <c r="P274" s="8"/>
      <c r="Q274" s="8"/>
      <c r="R274" s="8"/>
      <c r="S274" s="8"/>
      <c r="T274" s="8"/>
      <c r="U274" s="8"/>
      <c r="V274" s="8"/>
      <c r="W274" s="8"/>
      <c r="X274" s="8"/>
      <c r="Y274" s="8"/>
      <c r="Z274" s="8"/>
    </row>
    <row r="275" ht="18.0" customHeight="1">
      <c r="A275" s="8"/>
      <c r="B275" s="8"/>
      <c r="C275" s="8"/>
      <c r="D275" s="25"/>
      <c r="E275" s="25"/>
      <c r="F275" s="8"/>
      <c r="G275" s="25"/>
      <c r="H275" s="8"/>
      <c r="I275" s="8"/>
      <c r="J275" s="30" t="str">
        <f t="shared" si="8"/>
        <v/>
      </c>
      <c r="K275" s="30" t="str">
        <f t="shared" si="9"/>
        <v/>
      </c>
      <c r="L275" s="30" t="str">
        <f t="shared" si="10"/>
        <v/>
      </c>
      <c r="M275" s="30" t="str">
        <f t="shared" si="11"/>
        <v/>
      </c>
      <c r="N275" s="30" t="str">
        <f t="shared" si="7"/>
        <v/>
      </c>
      <c r="O275" s="8"/>
      <c r="P275" s="8"/>
      <c r="Q275" s="8"/>
      <c r="R275" s="8"/>
      <c r="S275" s="8"/>
      <c r="T275" s="8"/>
      <c r="U275" s="8"/>
      <c r="V275" s="8"/>
      <c r="W275" s="8"/>
      <c r="X275" s="8"/>
      <c r="Y275" s="8"/>
      <c r="Z275" s="8"/>
    </row>
    <row r="276" ht="18.0" customHeight="1">
      <c r="A276" s="8"/>
      <c r="B276" s="8"/>
      <c r="C276" s="8"/>
      <c r="D276" s="25"/>
      <c r="E276" s="25"/>
      <c r="F276" s="8"/>
      <c r="G276" s="25"/>
      <c r="H276" s="8"/>
      <c r="I276" s="8"/>
      <c r="J276" s="30" t="str">
        <f t="shared" si="8"/>
        <v/>
      </c>
      <c r="K276" s="30" t="str">
        <f t="shared" si="9"/>
        <v/>
      </c>
      <c r="L276" s="30" t="str">
        <f t="shared" si="10"/>
        <v/>
      </c>
      <c r="M276" s="30" t="str">
        <f t="shared" si="11"/>
        <v/>
      </c>
      <c r="N276" s="30" t="str">
        <f t="shared" si="7"/>
        <v/>
      </c>
      <c r="O276" s="8"/>
      <c r="P276" s="8"/>
      <c r="Q276" s="8"/>
      <c r="R276" s="8"/>
      <c r="S276" s="8"/>
      <c r="T276" s="8"/>
      <c r="U276" s="8"/>
      <c r="V276" s="8"/>
      <c r="W276" s="8"/>
      <c r="X276" s="8"/>
      <c r="Y276" s="8"/>
      <c r="Z276" s="8"/>
    </row>
    <row r="277" ht="18.0" customHeight="1">
      <c r="A277" s="8"/>
      <c r="B277" s="8"/>
      <c r="C277" s="8"/>
      <c r="D277" s="25"/>
      <c r="E277" s="25"/>
      <c r="F277" s="8"/>
      <c r="G277" s="25"/>
      <c r="H277" s="8"/>
      <c r="I277" s="8"/>
      <c r="J277" s="30" t="str">
        <f t="shared" si="8"/>
        <v/>
      </c>
      <c r="K277" s="30" t="str">
        <f t="shared" si="9"/>
        <v/>
      </c>
      <c r="L277" s="30" t="str">
        <f t="shared" si="10"/>
        <v/>
      </c>
      <c r="M277" s="30" t="str">
        <f t="shared" si="11"/>
        <v/>
      </c>
      <c r="N277" s="30" t="str">
        <f t="shared" si="7"/>
        <v/>
      </c>
      <c r="O277" s="8"/>
      <c r="P277" s="8"/>
      <c r="Q277" s="8"/>
      <c r="R277" s="8"/>
      <c r="S277" s="8"/>
      <c r="T277" s="8"/>
      <c r="U277" s="8"/>
      <c r="V277" s="8"/>
      <c r="W277" s="8"/>
      <c r="X277" s="8"/>
      <c r="Y277" s="8"/>
      <c r="Z277" s="8"/>
    </row>
    <row r="278" ht="18.0" customHeight="1">
      <c r="A278" s="8"/>
      <c r="B278" s="8"/>
      <c r="C278" s="8"/>
      <c r="D278" s="25"/>
      <c r="E278" s="25"/>
      <c r="F278" s="8"/>
      <c r="G278" s="25"/>
      <c r="H278" s="8"/>
      <c r="I278" s="8"/>
      <c r="J278" s="30" t="str">
        <f t="shared" si="8"/>
        <v/>
      </c>
      <c r="K278" s="30" t="str">
        <f t="shared" si="9"/>
        <v/>
      </c>
      <c r="L278" s="30" t="str">
        <f t="shared" si="10"/>
        <v/>
      </c>
      <c r="M278" s="30" t="str">
        <f t="shared" si="11"/>
        <v/>
      </c>
      <c r="N278" s="30" t="str">
        <f t="shared" si="7"/>
        <v/>
      </c>
      <c r="O278" s="8"/>
      <c r="P278" s="8"/>
      <c r="Q278" s="8"/>
      <c r="R278" s="8"/>
      <c r="S278" s="8"/>
      <c r="T278" s="8"/>
      <c r="U278" s="8"/>
      <c r="V278" s="8"/>
      <c r="W278" s="8"/>
      <c r="X278" s="8"/>
      <c r="Y278" s="8"/>
      <c r="Z278" s="8"/>
    </row>
    <row r="279" ht="18.0" customHeight="1">
      <c r="A279" s="8"/>
      <c r="B279" s="8"/>
      <c r="C279" s="8"/>
      <c r="D279" s="25"/>
      <c r="E279" s="25"/>
      <c r="F279" s="8"/>
      <c r="G279" s="25"/>
      <c r="H279" s="8"/>
      <c r="I279" s="8"/>
      <c r="J279" s="30" t="str">
        <f t="shared" si="8"/>
        <v/>
      </c>
      <c r="K279" s="30" t="str">
        <f t="shared" si="9"/>
        <v/>
      </c>
      <c r="L279" s="30" t="str">
        <f t="shared" si="10"/>
        <v/>
      </c>
      <c r="M279" s="30" t="str">
        <f t="shared" si="11"/>
        <v/>
      </c>
      <c r="N279" s="30" t="str">
        <f t="shared" si="7"/>
        <v/>
      </c>
      <c r="O279" s="8"/>
      <c r="P279" s="8"/>
      <c r="Q279" s="8"/>
      <c r="R279" s="8"/>
      <c r="S279" s="8"/>
      <c r="T279" s="8"/>
      <c r="U279" s="8"/>
      <c r="V279" s="8"/>
      <c r="W279" s="8"/>
      <c r="X279" s="8"/>
      <c r="Y279" s="8"/>
      <c r="Z279" s="8"/>
    </row>
    <row r="280" ht="18.0" customHeight="1">
      <c r="A280" s="8"/>
      <c r="B280" s="8"/>
      <c r="C280" s="8"/>
      <c r="D280" s="25"/>
      <c r="E280" s="25"/>
      <c r="F280" s="8"/>
      <c r="G280" s="25"/>
      <c r="H280" s="8"/>
      <c r="I280" s="8"/>
      <c r="J280" s="30" t="str">
        <f t="shared" si="8"/>
        <v/>
      </c>
      <c r="K280" s="30" t="str">
        <f t="shared" si="9"/>
        <v/>
      </c>
      <c r="L280" s="30" t="str">
        <f t="shared" si="10"/>
        <v/>
      </c>
      <c r="M280" s="30" t="str">
        <f t="shared" si="11"/>
        <v/>
      </c>
      <c r="N280" s="30" t="str">
        <f t="shared" si="7"/>
        <v/>
      </c>
      <c r="O280" s="8"/>
      <c r="P280" s="8"/>
      <c r="Q280" s="8"/>
      <c r="R280" s="8"/>
      <c r="S280" s="8"/>
      <c r="T280" s="8"/>
      <c r="U280" s="8"/>
      <c r="V280" s="8"/>
      <c r="W280" s="8"/>
      <c r="X280" s="8"/>
      <c r="Y280" s="8"/>
      <c r="Z280" s="8"/>
    </row>
    <row r="281" ht="18.0" customHeight="1">
      <c r="A281" s="8"/>
      <c r="B281" s="8"/>
      <c r="C281" s="8"/>
      <c r="D281" s="25"/>
      <c r="E281" s="25"/>
      <c r="F281" s="8"/>
      <c r="G281" s="25"/>
      <c r="H281" s="8"/>
      <c r="I281" s="8"/>
      <c r="J281" s="30" t="str">
        <f t="shared" si="8"/>
        <v/>
      </c>
      <c r="K281" s="30" t="str">
        <f t="shared" si="9"/>
        <v/>
      </c>
      <c r="L281" s="30" t="str">
        <f t="shared" si="10"/>
        <v/>
      </c>
      <c r="M281" s="30" t="str">
        <f t="shared" si="11"/>
        <v/>
      </c>
      <c r="N281" s="30" t="str">
        <f t="shared" si="7"/>
        <v/>
      </c>
      <c r="O281" s="8"/>
      <c r="P281" s="8"/>
      <c r="Q281" s="8"/>
      <c r="R281" s="8"/>
      <c r="S281" s="8"/>
      <c r="T281" s="8"/>
      <c r="U281" s="8"/>
      <c r="V281" s="8"/>
      <c r="W281" s="8"/>
      <c r="X281" s="8"/>
      <c r="Y281" s="8"/>
      <c r="Z281" s="8"/>
    </row>
    <row r="282" ht="18.0" customHeight="1">
      <c r="A282" s="8"/>
      <c r="B282" s="8"/>
      <c r="C282" s="8"/>
      <c r="D282" s="25"/>
      <c r="E282" s="25"/>
      <c r="F282" s="8"/>
      <c r="G282" s="25"/>
      <c r="H282" s="8"/>
      <c r="I282" s="8"/>
      <c r="J282" s="30" t="str">
        <f t="shared" si="8"/>
        <v/>
      </c>
      <c r="K282" s="30" t="str">
        <f t="shared" si="9"/>
        <v/>
      </c>
      <c r="L282" s="30" t="str">
        <f t="shared" si="10"/>
        <v/>
      </c>
      <c r="M282" s="30" t="str">
        <f t="shared" si="11"/>
        <v/>
      </c>
      <c r="N282" s="30" t="str">
        <f t="shared" si="7"/>
        <v/>
      </c>
      <c r="O282" s="8"/>
      <c r="P282" s="8"/>
      <c r="Q282" s="8"/>
      <c r="R282" s="8"/>
      <c r="S282" s="8"/>
      <c r="T282" s="8"/>
      <c r="U282" s="8"/>
      <c r="V282" s="8"/>
      <c r="W282" s="8"/>
      <c r="X282" s="8"/>
      <c r="Y282" s="8"/>
      <c r="Z282" s="8"/>
    </row>
    <row r="283" ht="18.0" customHeight="1">
      <c r="A283" s="8"/>
      <c r="B283" s="8"/>
      <c r="C283" s="8"/>
      <c r="D283" s="25"/>
      <c r="E283" s="25"/>
      <c r="F283" s="8"/>
      <c r="G283" s="25"/>
      <c r="H283" s="8"/>
      <c r="I283" s="8"/>
      <c r="J283" s="30" t="str">
        <f t="shared" si="8"/>
        <v/>
      </c>
      <c r="K283" s="30" t="str">
        <f t="shared" si="9"/>
        <v/>
      </c>
      <c r="L283" s="30" t="str">
        <f t="shared" si="10"/>
        <v/>
      </c>
      <c r="M283" s="30" t="str">
        <f t="shared" si="11"/>
        <v/>
      </c>
      <c r="N283" s="30" t="str">
        <f t="shared" si="7"/>
        <v/>
      </c>
      <c r="O283" s="8"/>
      <c r="P283" s="8"/>
      <c r="Q283" s="8"/>
      <c r="R283" s="8"/>
      <c r="S283" s="8"/>
      <c r="T283" s="8"/>
      <c r="U283" s="8"/>
      <c r="V283" s="8"/>
      <c r="W283" s="8"/>
      <c r="X283" s="8"/>
      <c r="Y283" s="8"/>
      <c r="Z283" s="8"/>
    </row>
    <row r="284" ht="18.0" customHeight="1">
      <c r="A284" s="8"/>
      <c r="B284" s="8"/>
      <c r="C284" s="8"/>
      <c r="D284" s="25"/>
      <c r="E284" s="25"/>
      <c r="F284" s="8"/>
      <c r="G284" s="25"/>
      <c r="H284" s="8"/>
      <c r="I284" s="8"/>
      <c r="J284" s="30" t="str">
        <f t="shared" si="8"/>
        <v/>
      </c>
      <c r="K284" s="30" t="str">
        <f t="shared" si="9"/>
        <v/>
      </c>
      <c r="L284" s="30" t="str">
        <f t="shared" si="10"/>
        <v/>
      </c>
      <c r="M284" s="30" t="str">
        <f t="shared" si="11"/>
        <v/>
      </c>
      <c r="N284" s="30" t="str">
        <f t="shared" si="7"/>
        <v/>
      </c>
      <c r="O284" s="8"/>
      <c r="P284" s="8"/>
      <c r="Q284" s="8"/>
      <c r="R284" s="8"/>
      <c r="S284" s="8"/>
      <c r="T284" s="8"/>
      <c r="U284" s="8"/>
      <c r="V284" s="8"/>
      <c r="W284" s="8"/>
      <c r="X284" s="8"/>
      <c r="Y284" s="8"/>
      <c r="Z284" s="8"/>
    </row>
    <row r="285" ht="18.0" customHeight="1">
      <c r="A285" s="8"/>
      <c r="B285" s="8"/>
      <c r="C285" s="8"/>
      <c r="D285" s="25"/>
      <c r="E285" s="25"/>
      <c r="F285" s="8"/>
      <c r="G285" s="25"/>
      <c r="H285" s="8"/>
      <c r="I285" s="8"/>
      <c r="J285" s="30" t="str">
        <f t="shared" si="8"/>
        <v/>
      </c>
      <c r="K285" s="30" t="str">
        <f t="shared" si="9"/>
        <v/>
      </c>
      <c r="L285" s="30" t="str">
        <f t="shared" si="10"/>
        <v/>
      </c>
      <c r="M285" s="30" t="str">
        <f t="shared" si="11"/>
        <v/>
      </c>
      <c r="N285" s="30" t="str">
        <f t="shared" si="7"/>
        <v/>
      </c>
      <c r="O285" s="8"/>
      <c r="P285" s="8"/>
      <c r="Q285" s="8"/>
      <c r="R285" s="8"/>
      <c r="S285" s="8"/>
      <c r="T285" s="8"/>
      <c r="U285" s="8"/>
      <c r="V285" s="8"/>
      <c r="W285" s="8"/>
      <c r="X285" s="8"/>
      <c r="Y285" s="8"/>
      <c r="Z285" s="8"/>
    </row>
    <row r="286" ht="18.0" customHeight="1">
      <c r="A286" s="8"/>
      <c r="B286" s="8"/>
      <c r="C286" s="8"/>
      <c r="D286" s="25"/>
      <c r="E286" s="25"/>
      <c r="F286" s="8"/>
      <c r="G286" s="25"/>
      <c r="H286" s="8"/>
      <c r="I286" s="8"/>
      <c r="J286" s="30" t="str">
        <f t="shared" si="8"/>
        <v/>
      </c>
      <c r="K286" s="30" t="str">
        <f t="shared" si="9"/>
        <v/>
      </c>
      <c r="L286" s="30" t="str">
        <f t="shared" si="10"/>
        <v/>
      </c>
      <c r="M286" s="30" t="str">
        <f t="shared" si="11"/>
        <v/>
      </c>
      <c r="N286" s="30" t="str">
        <f t="shared" si="7"/>
        <v/>
      </c>
      <c r="O286" s="8"/>
      <c r="P286" s="8"/>
      <c r="Q286" s="8"/>
      <c r="R286" s="8"/>
      <c r="S286" s="8"/>
      <c r="T286" s="8"/>
      <c r="U286" s="8"/>
      <c r="V286" s="8"/>
      <c r="W286" s="8"/>
      <c r="X286" s="8"/>
      <c r="Y286" s="8"/>
      <c r="Z286" s="8"/>
    </row>
    <row r="287" ht="18.0" customHeight="1">
      <c r="A287" s="8"/>
      <c r="B287" s="8"/>
      <c r="C287" s="8"/>
      <c r="D287" s="25"/>
      <c r="E287" s="25"/>
      <c r="F287" s="8"/>
      <c r="G287" s="25"/>
      <c r="H287" s="8"/>
      <c r="I287" s="8"/>
      <c r="J287" s="30" t="str">
        <f t="shared" si="8"/>
        <v/>
      </c>
      <c r="K287" s="30" t="str">
        <f t="shared" si="9"/>
        <v/>
      </c>
      <c r="L287" s="30" t="str">
        <f t="shared" si="10"/>
        <v/>
      </c>
      <c r="M287" s="30" t="str">
        <f t="shared" si="11"/>
        <v/>
      </c>
      <c r="N287" s="30" t="str">
        <f t="shared" si="7"/>
        <v/>
      </c>
      <c r="O287" s="8"/>
      <c r="P287" s="8"/>
      <c r="Q287" s="8"/>
      <c r="R287" s="8"/>
      <c r="S287" s="8"/>
      <c r="T287" s="8"/>
      <c r="U287" s="8"/>
      <c r="V287" s="8"/>
      <c r="W287" s="8"/>
      <c r="X287" s="8"/>
      <c r="Y287" s="8"/>
      <c r="Z287" s="8"/>
    </row>
    <row r="288" ht="18.0" customHeight="1">
      <c r="A288" s="8"/>
      <c r="B288" s="8"/>
      <c r="C288" s="8"/>
      <c r="D288" s="25"/>
      <c r="E288" s="25"/>
      <c r="F288" s="8"/>
      <c r="G288" s="25"/>
      <c r="H288" s="8"/>
      <c r="I288" s="8"/>
      <c r="J288" s="30" t="str">
        <f t="shared" si="8"/>
        <v/>
      </c>
      <c r="K288" s="30" t="str">
        <f t="shared" si="9"/>
        <v/>
      </c>
      <c r="L288" s="30" t="str">
        <f t="shared" si="10"/>
        <v/>
      </c>
      <c r="M288" s="30" t="str">
        <f t="shared" si="11"/>
        <v/>
      </c>
      <c r="N288" s="30" t="str">
        <f t="shared" si="7"/>
        <v/>
      </c>
      <c r="O288" s="8"/>
      <c r="P288" s="8"/>
      <c r="Q288" s="8"/>
      <c r="R288" s="8"/>
      <c r="S288" s="8"/>
      <c r="T288" s="8"/>
      <c r="U288" s="8"/>
      <c r="V288" s="8"/>
      <c r="W288" s="8"/>
      <c r="X288" s="8"/>
      <c r="Y288" s="8"/>
      <c r="Z288" s="8"/>
    </row>
    <row r="289" ht="18.0" customHeight="1">
      <c r="A289" s="8"/>
      <c r="B289" s="8"/>
      <c r="C289" s="8"/>
      <c r="D289" s="25"/>
      <c r="E289" s="25"/>
      <c r="F289" s="8"/>
      <c r="G289" s="25"/>
      <c r="H289" s="8"/>
      <c r="I289" s="8"/>
      <c r="J289" s="30" t="str">
        <f t="shared" si="8"/>
        <v/>
      </c>
      <c r="K289" s="30" t="str">
        <f t="shared" si="9"/>
        <v/>
      </c>
      <c r="L289" s="30" t="str">
        <f t="shared" si="10"/>
        <v/>
      </c>
      <c r="M289" s="30" t="str">
        <f t="shared" si="11"/>
        <v/>
      </c>
      <c r="N289" s="30" t="str">
        <f t="shared" si="7"/>
        <v/>
      </c>
      <c r="O289" s="8"/>
      <c r="P289" s="8"/>
      <c r="Q289" s="8"/>
      <c r="R289" s="8"/>
      <c r="S289" s="8"/>
      <c r="T289" s="8"/>
      <c r="U289" s="8"/>
      <c r="V289" s="8"/>
      <c r="W289" s="8"/>
      <c r="X289" s="8"/>
      <c r="Y289" s="8"/>
      <c r="Z289" s="8"/>
    </row>
    <row r="290" ht="18.0" customHeight="1">
      <c r="A290" s="8"/>
      <c r="B290" s="8"/>
      <c r="C290" s="8"/>
      <c r="D290" s="25"/>
      <c r="E290" s="25"/>
      <c r="F290" s="8"/>
      <c r="G290" s="25"/>
      <c r="H290" s="8"/>
      <c r="I290" s="8"/>
      <c r="J290" s="30" t="str">
        <f t="shared" si="8"/>
        <v/>
      </c>
      <c r="K290" s="30" t="str">
        <f t="shared" si="9"/>
        <v/>
      </c>
      <c r="L290" s="30" t="str">
        <f t="shared" si="10"/>
        <v/>
      </c>
      <c r="M290" s="30" t="str">
        <f t="shared" si="11"/>
        <v/>
      </c>
      <c r="N290" s="30" t="str">
        <f t="shared" si="7"/>
        <v/>
      </c>
      <c r="O290" s="8"/>
      <c r="P290" s="8"/>
      <c r="Q290" s="8"/>
      <c r="R290" s="8"/>
      <c r="S290" s="8"/>
      <c r="T290" s="8"/>
      <c r="U290" s="8"/>
      <c r="V290" s="8"/>
      <c r="W290" s="8"/>
      <c r="X290" s="8"/>
      <c r="Y290" s="8"/>
      <c r="Z290" s="8"/>
    </row>
    <row r="291" ht="18.0" customHeight="1">
      <c r="A291" s="8"/>
      <c r="B291" s="8"/>
      <c r="C291" s="8"/>
      <c r="D291" s="25"/>
      <c r="E291" s="25"/>
      <c r="F291" s="8"/>
      <c r="G291" s="25"/>
      <c r="H291" s="8"/>
      <c r="I291" s="8"/>
      <c r="J291" s="30" t="str">
        <f t="shared" si="8"/>
        <v/>
      </c>
      <c r="K291" s="30" t="str">
        <f t="shared" si="9"/>
        <v/>
      </c>
      <c r="L291" s="30" t="str">
        <f t="shared" si="10"/>
        <v/>
      </c>
      <c r="M291" s="30" t="str">
        <f t="shared" si="11"/>
        <v/>
      </c>
      <c r="N291" s="30" t="str">
        <f t="shared" si="7"/>
        <v/>
      </c>
      <c r="O291" s="8"/>
      <c r="P291" s="8"/>
      <c r="Q291" s="8"/>
      <c r="R291" s="8"/>
      <c r="S291" s="8"/>
      <c r="T291" s="8"/>
      <c r="U291" s="8"/>
      <c r="V291" s="8"/>
      <c r="W291" s="8"/>
      <c r="X291" s="8"/>
      <c r="Y291" s="8"/>
      <c r="Z291" s="8"/>
    </row>
    <row r="292" ht="18.0" customHeight="1">
      <c r="A292" s="8"/>
      <c r="B292" s="8"/>
      <c r="C292" s="8"/>
      <c r="D292" s="25"/>
      <c r="E292" s="25"/>
      <c r="F292" s="8"/>
      <c r="G292" s="25"/>
      <c r="H292" s="8"/>
      <c r="I292" s="8"/>
      <c r="J292" s="30" t="str">
        <f t="shared" si="8"/>
        <v/>
      </c>
      <c r="K292" s="30" t="str">
        <f t="shared" si="9"/>
        <v/>
      </c>
      <c r="L292" s="30" t="str">
        <f t="shared" si="10"/>
        <v/>
      </c>
      <c r="M292" s="30" t="str">
        <f t="shared" si="11"/>
        <v/>
      </c>
      <c r="N292" s="30" t="str">
        <f t="shared" si="7"/>
        <v/>
      </c>
      <c r="O292" s="8"/>
      <c r="P292" s="8"/>
      <c r="Q292" s="8"/>
      <c r="R292" s="8"/>
      <c r="S292" s="8"/>
      <c r="T292" s="8"/>
      <c r="U292" s="8"/>
      <c r="V292" s="8"/>
      <c r="W292" s="8"/>
      <c r="X292" s="8"/>
      <c r="Y292" s="8"/>
      <c r="Z292" s="8"/>
    </row>
    <row r="293" ht="18.0" customHeight="1">
      <c r="A293" s="8"/>
      <c r="B293" s="8"/>
      <c r="C293" s="8"/>
      <c r="D293" s="25"/>
      <c r="E293" s="25"/>
      <c r="F293" s="8"/>
      <c r="G293" s="25"/>
      <c r="H293" s="8"/>
      <c r="I293" s="8"/>
      <c r="J293" s="30" t="str">
        <f t="shared" si="8"/>
        <v/>
      </c>
      <c r="K293" s="30" t="str">
        <f t="shared" si="9"/>
        <v/>
      </c>
      <c r="L293" s="30" t="str">
        <f t="shared" si="10"/>
        <v/>
      </c>
      <c r="M293" s="30" t="str">
        <f t="shared" si="11"/>
        <v/>
      </c>
      <c r="N293" s="30" t="str">
        <f t="shared" si="7"/>
        <v/>
      </c>
      <c r="O293" s="8"/>
      <c r="P293" s="8"/>
      <c r="Q293" s="8"/>
      <c r="R293" s="8"/>
      <c r="S293" s="8"/>
      <c r="T293" s="8"/>
      <c r="U293" s="8"/>
      <c r="V293" s="8"/>
      <c r="W293" s="8"/>
      <c r="X293" s="8"/>
      <c r="Y293" s="8"/>
      <c r="Z293" s="8"/>
    </row>
    <row r="294" ht="18.0" customHeight="1">
      <c r="A294" s="8"/>
      <c r="B294" s="8"/>
      <c r="C294" s="8"/>
      <c r="D294" s="25"/>
      <c r="E294" s="25"/>
      <c r="F294" s="8"/>
      <c r="G294" s="25"/>
      <c r="H294" s="8"/>
      <c r="I294" s="8"/>
      <c r="J294" s="30" t="str">
        <f t="shared" si="8"/>
        <v/>
      </c>
      <c r="K294" s="30" t="str">
        <f t="shared" si="9"/>
        <v/>
      </c>
      <c r="L294" s="30" t="str">
        <f t="shared" si="10"/>
        <v/>
      </c>
      <c r="M294" s="30" t="str">
        <f t="shared" si="11"/>
        <v/>
      </c>
      <c r="N294" s="30" t="str">
        <f t="shared" si="7"/>
        <v/>
      </c>
      <c r="O294" s="8"/>
      <c r="P294" s="8"/>
      <c r="Q294" s="8"/>
      <c r="R294" s="8"/>
      <c r="S294" s="8"/>
      <c r="T294" s="8"/>
      <c r="U294" s="8"/>
      <c r="V294" s="8"/>
      <c r="W294" s="8"/>
      <c r="X294" s="8"/>
      <c r="Y294" s="8"/>
      <c r="Z294" s="8"/>
    </row>
    <row r="295" ht="18.0" customHeight="1">
      <c r="A295" s="8"/>
      <c r="B295" s="8"/>
      <c r="C295" s="8"/>
      <c r="D295" s="25"/>
      <c r="E295" s="25"/>
      <c r="F295" s="8"/>
      <c r="G295" s="25"/>
      <c r="H295" s="8"/>
      <c r="I295" s="8"/>
      <c r="J295" s="30" t="str">
        <f t="shared" si="8"/>
        <v/>
      </c>
      <c r="K295" s="30" t="str">
        <f t="shared" si="9"/>
        <v/>
      </c>
      <c r="L295" s="30" t="str">
        <f t="shared" si="10"/>
        <v/>
      </c>
      <c r="M295" s="30" t="str">
        <f t="shared" si="11"/>
        <v/>
      </c>
      <c r="N295" s="30" t="str">
        <f t="shared" si="7"/>
        <v/>
      </c>
      <c r="O295" s="8"/>
      <c r="P295" s="8"/>
      <c r="Q295" s="8"/>
      <c r="R295" s="8"/>
      <c r="S295" s="8"/>
      <c r="T295" s="8"/>
      <c r="U295" s="8"/>
      <c r="V295" s="8"/>
      <c r="W295" s="8"/>
      <c r="X295" s="8"/>
      <c r="Y295" s="8"/>
      <c r="Z295" s="8"/>
    </row>
    <row r="296" ht="18.0" customHeight="1">
      <c r="A296" s="8"/>
      <c r="B296" s="8"/>
      <c r="C296" s="8"/>
      <c r="D296" s="25"/>
      <c r="E296" s="25"/>
      <c r="F296" s="8"/>
      <c r="G296" s="25"/>
      <c r="H296" s="8"/>
      <c r="I296" s="8"/>
      <c r="J296" s="30" t="str">
        <f t="shared" si="8"/>
        <v/>
      </c>
      <c r="K296" s="30" t="str">
        <f t="shared" si="9"/>
        <v/>
      </c>
      <c r="L296" s="30" t="str">
        <f t="shared" si="10"/>
        <v/>
      </c>
      <c r="M296" s="30" t="str">
        <f t="shared" si="11"/>
        <v/>
      </c>
      <c r="N296" s="30" t="str">
        <f t="shared" si="7"/>
        <v/>
      </c>
      <c r="O296" s="8"/>
      <c r="P296" s="8"/>
      <c r="Q296" s="8"/>
      <c r="R296" s="8"/>
      <c r="S296" s="8"/>
      <c r="T296" s="8"/>
      <c r="U296" s="8"/>
      <c r="V296" s="8"/>
      <c r="W296" s="8"/>
      <c r="X296" s="8"/>
      <c r="Y296" s="8"/>
      <c r="Z296" s="8"/>
    </row>
    <row r="297" ht="18.0" customHeight="1">
      <c r="A297" s="8"/>
      <c r="B297" s="8"/>
      <c r="C297" s="8"/>
      <c r="D297" s="25"/>
      <c r="E297" s="25"/>
      <c r="F297" s="8"/>
      <c r="G297" s="25"/>
      <c r="H297" s="8"/>
      <c r="I297" s="8"/>
      <c r="J297" s="30" t="str">
        <f t="shared" si="8"/>
        <v/>
      </c>
      <c r="K297" s="30" t="str">
        <f t="shared" si="9"/>
        <v/>
      </c>
      <c r="L297" s="30" t="str">
        <f t="shared" si="10"/>
        <v/>
      </c>
      <c r="M297" s="30" t="str">
        <f t="shared" si="11"/>
        <v/>
      </c>
      <c r="N297" s="30" t="str">
        <f t="shared" si="7"/>
        <v/>
      </c>
      <c r="O297" s="8"/>
      <c r="P297" s="8"/>
      <c r="Q297" s="8"/>
      <c r="R297" s="8"/>
      <c r="S297" s="8"/>
      <c r="T297" s="8"/>
      <c r="U297" s="8"/>
      <c r="V297" s="8"/>
      <c r="W297" s="8"/>
      <c r="X297" s="8"/>
      <c r="Y297" s="8"/>
      <c r="Z297" s="8"/>
    </row>
    <row r="298" ht="18.0" customHeight="1">
      <c r="A298" s="8"/>
      <c r="B298" s="8"/>
      <c r="C298" s="8"/>
      <c r="D298" s="25"/>
      <c r="E298" s="25"/>
      <c r="F298" s="8"/>
      <c r="G298" s="25"/>
      <c r="H298" s="8"/>
      <c r="I298" s="8"/>
      <c r="J298" s="30" t="str">
        <f t="shared" si="8"/>
        <v/>
      </c>
      <c r="K298" s="30" t="str">
        <f t="shared" si="9"/>
        <v/>
      </c>
      <c r="L298" s="30" t="str">
        <f t="shared" si="10"/>
        <v/>
      </c>
      <c r="M298" s="30" t="str">
        <f t="shared" si="11"/>
        <v/>
      </c>
      <c r="N298" s="30" t="str">
        <f t="shared" si="7"/>
        <v/>
      </c>
      <c r="O298" s="8"/>
      <c r="P298" s="8"/>
      <c r="Q298" s="8"/>
      <c r="R298" s="8"/>
      <c r="S298" s="8"/>
      <c r="T298" s="8"/>
      <c r="U298" s="8"/>
      <c r="V298" s="8"/>
      <c r="W298" s="8"/>
      <c r="X298" s="8"/>
      <c r="Y298" s="8"/>
      <c r="Z298" s="8"/>
    </row>
    <row r="299" ht="18.0" customHeight="1">
      <c r="A299" s="8"/>
      <c r="B299" s="8"/>
      <c r="C299" s="8"/>
      <c r="D299" s="25"/>
      <c r="E299" s="25"/>
      <c r="F299" s="8"/>
      <c r="G299" s="25"/>
      <c r="H299" s="8"/>
      <c r="I299" s="8"/>
      <c r="J299" s="30" t="str">
        <f t="shared" si="8"/>
        <v/>
      </c>
      <c r="K299" s="30" t="str">
        <f t="shared" si="9"/>
        <v/>
      </c>
      <c r="L299" s="30" t="str">
        <f t="shared" si="10"/>
        <v/>
      </c>
      <c r="M299" s="30" t="str">
        <f t="shared" si="11"/>
        <v/>
      </c>
      <c r="N299" s="30" t="str">
        <f t="shared" si="7"/>
        <v/>
      </c>
      <c r="O299" s="8"/>
      <c r="P299" s="8"/>
      <c r="Q299" s="8"/>
      <c r="R299" s="8"/>
      <c r="S299" s="8"/>
      <c r="T299" s="8"/>
      <c r="U299" s="8"/>
      <c r="V299" s="8"/>
      <c r="W299" s="8"/>
      <c r="X299" s="8"/>
      <c r="Y299" s="8"/>
      <c r="Z299" s="8"/>
    </row>
    <row r="300" ht="18.0" customHeight="1">
      <c r="A300" s="8"/>
      <c r="B300" s="8"/>
      <c r="C300" s="8"/>
      <c r="D300" s="25"/>
      <c r="E300" s="25"/>
      <c r="F300" s="8"/>
      <c r="G300" s="25"/>
      <c r="H300" s="8"/>
      <c r="I300" s="8"/>
      <c r="J300" s="30" t="str">
        <f t="shared" si="8"/>
        <v/>
      </c>
      <c r="K300" s="30" t="str">
        <f t="shared" si="9"/>
        <v/>
      </c>
      <c r="L300" s="30" t="str">
        <f t="shared" si="10"/>
        <v/>
      </c>
      <c r="M300" s="30" t="str">
        <f t="shared" si="11"/>
        <v/>
      </c>
      <c r="N300" s="30" t="str">
        <f t="shared" si="7"/>
        <v/>
      </c>
      <c r="O300" s="8"/>
      <c r="P300" s="8"/>
      <c r="Q300" s="8"/>
      <c r="R300" s="8"/>
      <c r="S300" s="8"/>
      <c r="T300" s="8"/>
      <c r="U300" s="8"/>
      <c r="V300" s="8"/>
      <c r="W300" s="8"/>
      <c r="X300" s="8"/>
      <c r="Y300" s="8"/>
      <c r="Z300" s="8"/>
    </row>
    <row r="301" ht="18.0" customHeight="1">
      <c r="A301" s="8"/>
      <c r="B301" s="8"/>
      <c r="C301" s="8"/>
      <c r="D301" s="25"/>
      <c r="E301" s="25"/>
      <c r="F301" s="8"/>
      <c r="G301" s="25"/>
      <c r="H301" s="8"/>
      <c r="I301" s="8"/>
      <c r="J301" s="30" t="str">
        <f t="shared" si="8"/>
        <v/>
      </c>
      <c r="K301" s="30" t="str">
        <f t="shared" si="9"/>
        <v/>
      </c>
      <c r="L301" s="30" t="str">
        <f t="shared" si="10"/>
        <v/>
      </c>
      <c r="M301" s="30" t="str">
        <f t="shared" si="11"/>
        <v/>
      </c>
      <c r="N301" s="30" t="str">
        <f t="shared" si="7"/>
        <v/>
      </c>
      <c r="O301" s="8"/>
      <c r="P301" s="8"/>
      <c r="Q301" s="8"/>
      <c r="R301" s="8"/>
      <c r="S301" s="8"/>
      <c r="T301" s="8"/>
      <c r="U301" s="8"/>
      <c r="V301" s="8"/>
      <c r="W301" s="8"/>
      <c r="X301" s="8"/>
      <c r="Y301" s="8"/>
      <c r="Z301" s="8"/>
    </row>
    <row r="302" ht="18.0" customHeight="1">
      <c r="A302" s="8"/>
      <c r="B302" s="8"/>
      <c r="C302" s="8"/>
      <c r="D302" s="25"/>
      <c r="E302" s="25"/>
      <c r="F302" s="8"/>
      <c r="G302" s="25"/>
      <c r="H302" s="8"/>
      <c r="I302" s="8"/>
      <c r="J302" s="30" t="str">
        <f t="shared" si="8"/>
        <v/>
      </c>
      <c r="K302" s="30" t="str">
        <f t="shared" si="9"/>
        <v/>
      </c>
      <c r="L302" s="30" t="str">
        <f t="shared" si="10"/>
        <v/>
      </c>
      <c r="M302" s="30" t="str">
        <f t="shared" si="11"/>
        <v/>
      </c>
      <c r="N302" s="30" t="str">
        <f t="shared" si="7"/>
        <v/>
      </c>
      <c r="O302" s="8"/>
      <c r="P302" s="8"/>
      <c r="Q302" s="8"/>
      <c r="R302" s="8"/>
      <c r="S302" s="8"/>
      <c r="T302" s="8"/>
      <c r="U302" s="8"/>
      <c r="V302" s="8"/>
      <c r="W302" s="8"/>
      <c r="X302" s="8"/>
      <c r="Y302" s="8"/>
      <c r="Z302" s="8"/>
    </row>
    <row r="303" ht="18.0" customHeight="1">
      <c r="A303" s="8"/>
      <c r="B303" s="8"/>
      <c r="C303" s="8"/>
      <c r="D303" s="25"/>
      <c r="E303" s="25"/>
      <c r="F303" s="8"/>
      <c r="G303" s="25"/>
      <c r="H303" s="8"/>
      <c r="I303" s="8"/>
      <c r="J303" s="30" t="str">
        <f t="shared" si="8"/>
        <v/>
      </c>
      <c r="K303" s="30" t="str">
        <f t="shared" si="9"/>
        <v/>
      </c>
      <c r="L303" s="30" t="str">
        <f t="shared" si="10"/>
        <v/>
      </c>
      <c r="M303" s="30" t="str">
        <f t="shared" si="11"/>
        <v/>
      </c>
      <c r="N303" s="30" t="str">
        <f t="shared" si="7"/>
        <v/>
      </c>
      <c r="O303" s="8"/>
      <c r="P303" s="8"/>
      <c r="Q303" s="8"/>
      <c r="R303" s="8"/>
      <c r="S303" s="8"/>
      <c r="T303" s="8"/>
      <c r="U303" s="8"/>
      <c r="V303" s="8"/>
      <c r="W303" s="8"/>
      <c r="X303" s="8"/>
      <c r="Y303" s="8"/>
      <c r="Z303" s="8"/>
    </row>
    <row r="304" ht="18.0" customHeight="1">
      <c r="A304" s="8"/>
      <c r="B304" s="8"/>
      <c r="C304" s="8"/>
      <c r="D304" s="25"/>
      <c r="E304" s="25"/>
      <c r="F304" s="8"/>
      <c r="G304" s="25"/>
      <c r="H304" s="8"/>
      <c r="I304" s="8"/>
      <c r="J304" s="30" t="str">
        <f t="shared" si="8"/>
        <v/>
      </c>
      <c r="K304" s="30" t="str">
        <f t="shared" si="9"/>
        <v/>
      </c>
      <c r="L304" s="30" t="str">
        <f t="shared" si="10"/>
        <v/>
      </c>
      <c r="M304" s="30" t="str">
        <f t="shared" si="11"/>
        <v/>
      </c>
      <c r="N304" s="30" t="str">
        <f t="shared" si="7"/>
        <v/>
      </c>
      <c r="O304" s="8"/>
      <c r="P304" s="8"/>
      <c r="Q304" s="8"/>
      <c r="R304" s="8"/>
      <c r="S304" s="8"/>
      <c r="T304" s="8"/>
      <c r="U304" s="8"/>
      <c r="V304" s="8"/>
      <c r="W304" s="8"/>
      <c r="X304" s="8"/>
      <c r="Y304" s="8"/>
      <c r="Z304" s="8"/>
    </row>
    <row r="305" ht="18.0" customHeight="1">
      <c r="A305" s="8"/>
      <c r="B305" s="8"/>
      <c r="C305" s="8"/>
      <c r="D305" s="25"/>
      <c r="E305" s="25"/>
      <c r="F305" s="8"/>
      <c r="G305" s="25"/>
      <c r="H305" s="8"/>
      <c r="I305" s="8"/>
      <c r="J305" s="30" t="str">
        <f t="shared" si="8"/>
        <v/>
      </c>
      <c r="K305" s="30" t="str">
        <f t="shared" si="9"/>
        <v/>
      </c>
      <c r="L305" s="30" t="str">
        <f t="shared" si="10"/>
        <v/>
      </c>
      <c r="M305" s="30" t="str">
        <f t="shared" si="11"/>
        <v/>
      </c>
      <c r="N305" s="30" t="str">
        <f t="shared" si="7"/>
        <v/>
      </c>
      <c r="O305" s="8"/>
      <c r="P305" s="8"/>
      <c r="Q305" s="8"/>
      <c r="R305" s="8"/>
      <c r="S305" s="8"/>
      <c r="T305" s="8"/>
      <c r="U305" s="8"/>
      <c r="V305" s="8"/>
      <c r="W305" s="8"/>
      <c r="X305" s="8"/>
      <c r="Y305" s="8"/>
      <c r="Z305" s="8"/>
    </row>
    <row r="306" ht="18.0" customHeight="1">
      <c r="A306" s="8"/>
      <c r="B306" s="8"/>
      <c r="C306" s="8"/>
      <c r="D306" s="25"/>
      <c r="E306" s="25"/>
      <c r="F306" s="8"/>
      <c r="G306" s="25"/>
      <c r="H306" s="8"/>
      <c r="I306" s="8"/>
      <c r="J306" s="30" t="str">
        <f t="shared" si="8"/>
        <v/>
      </c>
      <c r="K306" s="30" t="str">
        <f t="shared" si="9"/>
        <v/>
      </c>
      <c r="L306" s="30" t="str">
        <f t="shared" si="10"/>
        <v/>
      </c>
      <c r="M306" s="30" t="str">
        <f t="shared" si="11"/>
        <v/>
      </c>
      <c r="N306" s="30" t="str">
        <f t="shared" si="7"/>
        <v/>
      </c>
      <c r="O306" s="8"/>
      <c r="P306" s="8"/>
      <c r="Q306" s="8"/>
      <c r="R306" s="8"/>
      <c r="S306" s="8"/>
      <c r="T306" s="8"/>
      <c r="U306" s="8"/>
      <c r="V306" s="8"/>
      <c r="W306" s="8"/>
      <c r="X306" s="8"/>
      <c r="Y306" s="8"/>
      <c r="Z306" s="8"/>
    </row>
    <row r="307" ht="18.0" customHeight="1">
      <c r="A307" s="8"/>
      <c r="B307" s="8"/>
      <c r="C307" s="8"/>
      <c r="D307" s="25"/>
      <c r="E307" s="25"/>
      <c r="F307" s="8"/>
      <c r="G307" s="25"/>
      <c r="H307" s="8"/>
      <c r="I307" s="8"/>
      <c r="J307" s="30" t="str">
        <f t="shared" si="8"/>
        <v/>
      </c>
      <c r="K307" s="30" t="str">
        <f t="shared" si="9"/>
        <v/>
      </c>
      <c r="L307" s="30" t="str">
        <f t="shared" si="10"/>
        <v/>
      </c>
      <c r="M307" s="30" t="str">
        <f t="shared" si="11"/>
        <v/>
      </c>
      <c r="N307" s="30" t="str">
        <f t="shared" si="7"/>
        <v/>
      </c>
      <c r="O307" s="8"/>
      <c r="P307" s="8"/>
      <c r="Q307" s="8"/>
      <c r="R307" s="8"/>
      <c r="S307" s="8"/>
      <c r="T307" s="8"/>
      <c r="U307" s="8"/>
      <c r="V307" s="8"/>
      <c r="W307" s="8"/>
      <c r="X307" s="8"/>
      <c r="Y307" s="8"/>
      <c r="Z307" s="8"/>
    </row>
    <row r="308" ht="18.0" customHeight="1">
      <c r="A308" s="8"/>
      <c r="B308" s="8"/>
      <c r="C308" s="8"/>
      <c r="D308" s="25"/>
      <c r="E308" s="25"/>
      <c r="F308" s="8"/>
      <c r="G308" s="25"/>
      <c r="H308" s="8"/>
      <c r="I308" s="8"/>
      <c r="J308" s="30" t="str">
        <f t="shared" si="8"/>
        <v/>
      </c>
      <c r="K308" s="30" t="str">
        <f t="shared" si="9"/>
        <v/>
      </c>
      <c r="L308" s="30" t="str">
        <f t="shared" si="10"/>
        <v/>
      </c>
      <c r="M308" s="30" t="str">
        <f t="shared" si="11"/>
        <v/>
      </c>
      <c r="N308" s="30" t="str">
        <f t="shared" si="7"/>
        <v/>
      </c>
      <c r="O308" s="8"/>
      <c r="P308" s="8"/>
      <c r="Q308" s="8"/>
      <c r="R308" s="8"/>
      <c r="S308" s="8"/>
      <c r="T308" s="8"/>
      <c r="U308" s="8"/>
      <c r="V308" s="8"/>
      <c r="W308" s="8"/>
      <c r="X308" s="8"/>
      <c r="Y308" s="8"/>
      <c r="Z308" s="8"/>
    </row>
    <row r="309" ht="18.0" customHeight="1">
      <c r="A309" s="8"/>
      <c r="B309" s="8"/>
      <c r="C309" s="8"/>
      <c r="D309" s="25"/>
      <c r="E309" s="25"/>
      <c r="F309" s="8"/>
      <c r="G309" s="25"/>
      <c r="H309" s="8"/>
      <c r="I309" s="8"/>
      <c r="J309" s="30" t="str">
        <f t="shared" si="8"/>
        <v/>
      </c>
      <c r="K309" s="30" t="str">
        <f t="shared" si="9"/>
        <v/>
      </c>
      <c r="L309" s="30" t="str">
        <f t="shared" si="10"/>
        <v/>
      </c>
      <c r="M309" s="30" t="str">
        <f t="shared" si="11"/>
        <v/>
      </c>
      <c r="N309" s="30" t="str">
        <f t="shared" si="7"/>
        <v/>
      </c>
      <c r="O309" s="8"/>
      <c r="P309" s="8"/>
      <c r="Q309" s="8"/>
      <c r="R309" s="8"/>
      <c r="S309" s="8"/>
      <c r="T309" s="8"/>
      <c r="U309" s="8"/>
      <c r="V309" s="8"/>
      <c r="W309" s="8"/>
      <c r="X309" s="8"/>
      <c r="Y309" s="8"/>
      <c r="Z309" s="8"/>
    </row>
    <row r="310" ht="18.0" customHeight="1">
      <c r="A310" s="8"/>
      <c r="B310" s="8"/>
      <c r="C310" s="8"/>
      <c r="D310" s="25"/>
      <c r="E310" s="25"/>
      <c r="F310" s="8"/>
      <c r="G310" s="25"/>
      <c r="H310" s="8"/>
      <c r="I310" s="8"/>
      <c r="J310" s="30" t="str">
        <f t="shared" si="8"/>
        <v/>
      </c>
      <c r="K310" s="30" t="str">
        <f t="shared" si="9"/>
        <v/>
      </c>
      <c r="L310" s="30" t="str">
        <f t="shared" si="10"/>
        <v/>
      </c>
      <c r="M310" s="30" t="str">
        <f t="shared" si="11"/>
        <v/>
      </c>
      <c r="N310" s="30" t="str">
        <f t="shared" si="7"/>
        <v/>
      </c>
      <c r="O310" s="8"/>
      <c r="P310" s="8"/>
      <c r="Q310" s="8"/>
      <c r="R310" s="8"/>
      <c r="S310" s="8"/>
      <c r="T310" s="8"/>
      <c r="U310" s="8"/>
      <c r="V310" s="8"/>
      <c r="W310" s="8"/>
      <c r="X310" s="8"/>
      <c r="Y310" s="8"/>
      <c r="Z310" s="8"/>
    </row>
    <row r="311" ht="18.0" customHeight="1">
      <c r="A311" s="8"/>
      <c r="B311" s="8"/>
      <c r="C311" s="8"/>
      <c r="D311" s="25"/>
      <c r="E311" s="25"/>
      <c r="F311" s="8"/>
      <c r="G311" s="25"/>
      <c r="H311" s="8"/>
      <c r="I311" s="8"/>
      <c r="J311" s="30" t="str">
        <f t="shared" si="8"/>
        <v/>
      </c>
      <c r="K311" s="30" t="str">
        <f t="shared" si="9"/>
        <v/>
      </c>
      <c r="L311" s="30" t="str">
        <f t="shared" si="10"/>
        <v/>
      </c>
      <c r="M311" s="30" t="str">
        <f t="shared" si="11"/>
        <v/>
      </c>
      <c r="N311" s="30" t="str">
        <f t="shared" si="7"/>
        <v/>
      </c>
      <c r="O311" s="8"/>
      <c r="P311" s="8"/>
      <c r="Q311" s="8"/>
      <c r="R311" s="8"/>
      <c r="S311" s="8"/>
      <c r="T311" s="8"/>
      <c r="U311" s="8"/>
      <c r="V311" s="8"/>
      <c r="W311" s="8"/>
      <c r="X311" s="8"/>
      <c r="Y311" s="8"/>
      <c r="Z311" s="8"/>
    </row>
    <row r="312" ht="18.0" customHeight="1">
      <c r="A312" s="8"/>
      <c r="B312" s="8"/>
      <c r="C312" s="8"/>
      <c r="D312" s="25"/>
      <c r="E312" s="25"/>
      <c r="F312" s="8"/>
      <c r="G312" s="25"/>
      <c r="H312" s="8"/>
      <c r="I312" s="8"/>
      <c r="J312" s="30" t="str">
        <f t="shared" si="8"/>
        <v/>
      </c>
      <c r="K312" s="30" t="str">
        <f t="shared" si="9"/>
        <v/>
      </c>
      <c r="L312" s="30" t="str">
        <f t="shared" si="10"/>
        <v/>
      </c>
      <c r="M312" s="30" t="str">
        <f t="shared" si="11"/>
        <v/>
      </c>
      <c r="N312" s="30" t="str">
        <f t="shared" si="7"/>
        <v/>
      </c>
      <c r="O312" s="8"/>
      <c r="P312" s="8"/>
      <c r="Q312" s="8"/>
      <c r="R312" s="8"/>
      <c r="S312" s="8"/>
      <c r="T312" s="8"/>
      <c r="U312" s="8"/>
      <c r="V312" s="8"/>
      <c r="W312" s="8"/>
      <c r="X312" s="8"/>
      <c r="Y312" s="8"/>
      <c r="Z312" s="8"/>
    </row>
    <row r="313" ht="18.0" customHeight="1">
      <c r="A313" s="8"/>
      <c r="B313" s="8"/>
      <c r="C313" s="8"/>
      <c r="D313" s="25"/>
      <c r="E313" s="25"/>
      <c r="F313" s="8"/>
      <c r="G313" s="25"/>
      <c r="H313" s="8"/>
      <c r="I313" s="8"/>
      <c r="J313" s="30" t="str">
        <f t="shared" si="8"/>
        <v/>
      </c>
      <c r="K313" s="30" t="str">
        <f t="shared" si="9"/>
        <v/>
      </c>
      <c r="L313" s="30" t="str">
        <f t="shared" si="10"/>
        <v/>
      </c>
      <c r="M313" s="30" t="str">
        <f t="shared" si="11"/>
        <v/>
      </c>
      <c r="N313" s="30" t="str">
        <f t="shared" si="7"/>
        <v/>
      </c>
      <c r="O313" s="8"/>
      <c r="P313" s="8"/>
      <c r="Q313" s="8"/>
      <c r="R313" s="8"/>
      <c r="S313" s="8"/>
      <c r="T313" s="8"/>
      <c r="U313" s="8"/>
      <c r="V313" s="8"/>
      <c r="W313" s="8"/>
      <c r="X313" s="8"/>
      <c r="Y313" s="8"/>
      <c r="Z313" s="8"/>
    </row>
    <row r="314" ht="18.0" customHeight="1">
      <c r="A314" s="8"/>
      <c r="B314" s="8"/>
      <c r="C314" s="8"/>
      <c r="D314" s="25"/>
      <c r="E314" s="25"/>
      <c r="F314" s="8"/>
      <c r="G314" s="25"/>
      <c r="H314" s="8"/>
      <c r="I314" s="8"/>
      <c r="J314" s="30" t="str">
        <f t="shared" si="8"/>
        <v/>
      </c>
      <c r="K314" s="30" t="str">
        <f t="shared" si="9"/>
        <v/>
      </c>
      <c r="L314" s="30" t="str">
        <f t="shared" si="10"/>
        <v/>
      </c>
      <c r="M314" s="30" t="str">
        <f t="shared" si="11"/>
        <v/>
      </c>
      <c r="N314" s="30" t="str">
        <f t="shared" si="7"/>
        <v/>
      </c>
      <c r="O314" s="8"/>
      <c r="P314" s="8"/>
      <c r="Q314" s="8"/>
      <c r="R314" s="8"/>
      <c r="S314" s="8"/>
      <c r="T314" s="8"/>
      <c r="U314" s="8"/>
      <c r="V314" s="8"/>
      <c r="W314" s="8"/>
      <c r="X314" s="8"/>
      <c r="Y314" s="8"/>
      <c r="Z314" s="8"/>
    </row>
    <row r="315" ht="18.0" customHeight="1">
      <c r="A315" s="8"/>
      <c r="B315" s="8"/>
      <c r="C315" s="8"/>
      <c r="D315" s="25"/>
      <c r="E315" s="25"/>
      <c r="F315" s="8"/>
      <c r="G315" s="25"/>
      <c r="H315" s="8"/>
      <c r="I315" s="8"/>
      <c r="J315" s="30" t="str">
        <f t="shared" si="8"/>
        <v/>
      </c>
      <c r="K315" s="30" t="str">
        <f t="shared" si="9"/>
        <v/>
      </c>
      <c r="L315" s="30" t="str">
        <f t="shared" si="10"/>
        <v/>
      </c>
      <c r="M315" s="30" t="str">
        <f t="shared" si="11"/>
        <v/>
      </c>
      <c r="N315" s="30" t="str">
        <f t="shared" si="7"/>
        <v/>
      </c>
      <c r="O315" s="8"/>
      <c r="P315" s="8"/>
      <c r="Q315" s="8"/>
      <c r="R315" s="8"/>
      <c r="S315" s="8"/>
      <c r="T315" s="8"/>
      <c r="U315" s="8"/>
      <c r="V315" s="8"/>
      <c r="W315" s="8"/>
      <c r="X315" s="8"/>
      <c r="Y315" s="8"/>
      <c r="Z315" s="8"/>
    </row>
    <row r="316" ht="18.0" customHeight="1">
      <c r="A316" s="8"/>
      <c r="B316" s="8"/>
      <c r="C316" s="8"/>
      <c r="D316" s="25"/>
      <c r="E316" s="25"/>
      <c r="F316" s="8"/>
      <c r="G316" s="25"/>
      <c r="H316" s="8"/>
      <c r="I316" s="8"/>
      <c r="J316" s="30" t="str">
        <f t="shared" si="8"/>
        <v/>
      </c>
      <c r="K316" s="30" t="str">
        <f t="shared" si="9"/>
        <v/>
      </c>
      <c r="L316" s="30" t="str">
        <f t="shared" si="10"/>
        <v/>
      </c>
      <c r="M316" s="30" t="str">
        <f t="shared" si="11"/>
        <v/>
      </c>
      <c r="N316" s="30" t="str">
        <f t="shared" si="7"/>
        <v/>
      </c>
      <c r="O316" s="8"/>
      <c r="P316" s="8"/>
      <c r="Q316" s="8"/>
      <c r="R316" s="8"/>
      <c r="S316" s="8"/>
      <c r="T316" s="8"/>
      <c r="U316" s="8"/>
      <c r="V316" s="8"/>
      <c r="W316" s="8"/>
      <c r="X316" s="8"/>
      <c r="Y316" s="8"/>
      <c r="Z316" s="8"/>
    </row>
    <row r="317" ht="18.0" customHeight="1">
      <c r="A317" s="8"/>
      <c r="B317" s="8"/>
      <c r="C317" s="8"/>
      <c r="D317" s="25"/>
      <c r="E317" s="25"/>
      <c r="F317" s="8"/>
      <c r="G317" s="25"/>
      <c r="H317" s="8"/>
      <c r="I317" s="8"/>
      <c r="J317" s="30" t="str">
        <f t="shared" si="8"/>
        <v/>
      </c>
      <c r="K317" s="30" t="str">
        <f t="shared" si="9"/>
        <v/>
      </c>
      <c r="L317" s="30" t="str">
        <f t="shared" si="10"/>
        <v/>
      </c>
      <c r="M317" s="30" t="str">
        <f t="shared" si="11"/>
        <v/>
      </c>
      <c r="N317" s="30" t="str">
        <f t="shared" si="7"/>
        <v/>
      </c>
      <c r="O317" s="8"/>
      <c r="P317" s="8"/>
      <c r="Q317" s="8"/>
      <c r="R317" s="8"/>
      <c r="S317" s="8"/>
      <c r="T317" s="8"/>
      <c r="U317" s="8"/>
      <c r="V317" s="8"/>
      <c r="W317" s="8"/>
      <c r="X317" s="8"/>
      <c r="Y317" s="8"/>
      <c r="Z317" s="8"/>
    </row>
    <row r="318" ht="18.0" customHeight="1">
      <c r="A318" s="8"/>
      <c r="B318" s="8"/>
      <c r="C318" s="8"/>
      <c r="D318" s="25"/>
      <c r="E318" s="25"/>
      <c r="F318" s="8"/>
      <c r="G318" s="25"/>
      <c r="H318" s="8"/>
      <c r="I318" s="8"/>
      <c r="J318" s="30" t="str">
        <f t="shared" si="8"/>
        <v/>
      </c>
      <c r="K318" s="30" t="str">
        <f t="shared" si="9"/>
        <v/>
      </c>
      <c r="L318" s="30" t="str">
        <f t="shared" si="10"/>
        <v/>
      </c>
      <c r="M318" s="30" t="str">
        <f t="shared" si="11"/>
        <v/>
      </c>
      <c r="N318" s="30" t="str">
        <f t="shared" si="7"/>
        <v/>
      </c>
      <c r="O318" s="8"/>
      <c r="P318" s="8"/>
      <c r="Q318" s="8"/>
      <c r="R318" s="8"/>
      <c r="S318" s="8"/>
      <c r="T318" s="8"/>
      <c r="U318" s="8"/>
      <c r="V318" s="8"/>
      <c r="W318" s="8"/>
      <c r="X318" s="8"/>
      <c r="Y318" s="8"/>
      <c r="Z318" s="8"/>
    </row>
    <row r="319" ht="18.0" customHeight="1">
      <c r="A319" s="8"/>
      <c r="B319" s="8"/>
      <c r="C319" s="8"/>
      <c r="D319" s="25"/>
      <c r="E319" s="25"/>
      <c r="F319" s="8"/>
      <c r="G319" s="25"/>
      <c r="H319" s="8"/>
      <c r="I319" s="8"/>
      <c r="J319" s="30" t="str">
        <f t="shared" si="8"/>
        <v/>
      </c>
      <c r="K319" s="30" t="str">
        <f t="shared" si="9"/>
        <v/>
      </c>
      <c r="L319" s="30" t="str">
        <f t="shared" si="10"/>
        <v/>
      </c>
      <c r="M319" s="30" t="str">
        <f t="shared" si="11"/>
        <v/>
      </c>
      <c r="N319" s="30" t="str">
        <f t="shared" si="7"/>
        <v/>
      </c>
      <c r="O319" s="8"/>
      <c r="P319" s="8"/>
      <c r="Q319" s="8"/>
      <c r="R319" s="8"/>
      <c r="S319" s="8"/>
      <c r="T319" s="8"/>
      <c r="U319" s="8"/>
      <c r="V319" s="8"/>
      <c r="W319" s="8"/>
      <c r="X319" s="8"/>
      <c r="Y319" s="8"/>
      <c r="Z319" s="8"/>
    </row>
    <row r="320" ht="18.0" customHeight="1">
      <c r="A320" s="8"/>
      <c r="B320" s="8"/>
      <c r="C320" s="8"/>
      <c r="D320" s="25"/>
      <c r="E320" s="25"/>
      <c r="F320" s="8"/>
      <c r="G320" s="25"/>
      <c r="H320" s="8"/>
      <c r="I320" s="8"/>
      <c r="J320" s="30" t="str">
        <f t="shared" si="8"/>
        <v/>
      </c>
      <c r="K320" s="30" t="str">
        <f t="shared" si="9"/>
        <v/>
      </c>
      <c r="L320" s="30" t="str">
        <f t="shared" si="10"/>
        <v/>
      </c>
      <c r="M320" s="30" t="str">
        <f t="shared" si="11"/>
        <v/>
      </c>
      <c r="N320" s="30" t="str">
        <f t="shared" si="7"/>
        <v/>
      </c>
      <c r="O320" s="8"/>
      <c r="P320" s="8"/>
      <c r="Q320" s="8"/>
      <c r="R320" s="8"/>
      <c r="S320" s="8"/>
      <c r="T320" s="8"/>
      <c r="U320" s="8"/>
      <c r="V320" s="8"/>
      <c r="W320" s="8"/>
      <c r="X320" s="8"/>
      <c r="Y320" s="8"/>
      <c r="Z320" s="8"/>
    </row>
    <row r="321" ht="18.0" customHeight="1">
      <c r="A321" s="8"/>
      <c r="B321" s="8"/>
      <c r="C321" s="8"/>
      <c r="D321" s="25"/>
      <c r="E321" s="25"/>
      <c r="F321" s="8"/>
      <c r="G321" s="25"/>
      <c r="H321" s="8"/>
      <c r="I321" s="8"/>
      <c r="J321" s="30" t="str">
        <f t="shared" si="8"/>
        <v/>
      </c>
      <c r="K321" s="30" t="str">
        <f t="shared" si="9"/>
        <v/>
      </c>
      <c r="L321" s="30" t="str">
        <f t="shared" si="10"/>
        <v/>
      </c>
      <c r="M321" s="30" t="str">
        <f t="shared" si="11"/>
        <v/>
      </c>
      <c r="N321" s="30" t="str">
        <f t="shared" si="7"/>
        <v/>
      </c>
      <c r="O321" s="8"/>
      <c r="P321" s="8"/>
      <c r="Q321" s="8"/>
      <c r="R321" s="8"/>
      <c r="S321" s="8"/>
      <c r="T321" s="8"/>
      <c r="U321" s="8"/>
      <c r="V321" s="8"/>
      <c r="W321" s="8"/>
      <c r="X321" s="8"/>
      <c r="Y321" s="8"/>
      <c r="Z321" s="8"/>
    </row>
    <row r="322" ht="18.0" customHeight="1">
      <c r="A322" s="8"/>
      <c r="B322" s="8"/>
      <c r="C322" s="8"/>
      <c r="D322" s="25"/>
      <c r="E322" s="25"/>
      <c r="F322" s="8"/>
      <c r="G322" s="25"/>
      <c r="H322" s="8"/>
      <c r="I322" s="8"/>
      <c r="J322" s="30" t="str">
        <f t="shared" si="8"/>
        <v/>
      </c>
      <c r="K322" s="30" t="str">
        <f t="shared" si="9"/>
        <v/>
      </c>
      <c r="L322" s="30" t="str">
        <f t="shared" si="10"/>
        <v/>
      </c>
      <c r="M322" s="30" t="str">
        <f t="shared" si="11"/>
        <v/>
      </c>
      <c r="N322" s="30" t="str">
        <f t="shared" si="7"/>
        <v/>
      </c>
      <c r="O322" s="8"/>
      <c r="P322" s="8"/>
      <c r="Q322" s="8"/>
      <c r="R322" s="8"/>
      <c r="S322" s="8"/>
      <c r="T322" s="8"/>
      <c r="U322" s="8"/>
      <c r="V322" s="8"/>
      <c r="W322" s="8"/>
      <c r="X322" s="8"/>
      <c r="Y322" s="8"/>
      <c r="Z322" s="8"/>
    </row>
    <row r="323" ht="18.0" customHeight="1">
      <c r="A323" s="8"/>
      <c r="B323" s="8"/>
      <c r="C323" s="8"/>
      <c r="D323" s="25"/>
      <c r="E323" s="25"/>
      <c r="F323" s="8"/>
      <c r="G323" s="25"/>
      <c r="H323" s="8"/>
      <c r="I323" s="8"/>
      <c r="J323" s="30" t="str">
        <f t="shared" si="8"/>
        <v/>
      </c>
      <c r="K323" s="30" t="str">
        <f t="shared" si="9"/>
        <v/>
      </c>
      <c r="L323" s="30" t="str">
        <f t="shared" si="10"/>
        <v/>
      </c>
      <c r="M323" s="30" t="str">
        <f t="shared" si="11"/>
        <v/>
      </c>
      <c r="N323" s="30" t="str">
        <f t="shared" si="7"/>
        <v/>
      </c>
      <c r="O323" s="8"/>
      <c r="P323" s="8"/>
      <c r="Q323" s="8"/>
      <c r="R323" s="8"/>
      <c r="S323" s="8"/>
      <c r="T323" s="8"/>
      <c r="U323" s="8"/>
      <c r="V323" s="8"/>
      <c r="W323" s="8"/>
      <c r="X323" s="8"/>
      <c r="Y323" s="8"/>
      <c r="Z323" s="8"/>
    </row>
    <row r="324" ht="18.0" customHeight="1">
      <c r="A324" s="8"/>
      <c r="B324" s="8"/>
      <c r="C324" s="8"/>
      <c r="D324" s="25"/>
      <c r="E324" s="25"/>
      <c r="F324" s="8"/>
      <c r="G324" s="25"/>
      <c r="H324" s="8"/>
      <c r="I324" s="8"/>
      <c r="J324" s="30" t="str">
        <f t="shared" si="8"/>
        <v/>
      </c>
      <c r="K324" s="30" t="str">
        <f t="shared" si="9"/>
        <v/>
      </c>
      <c r="L324" s="30" t="str">
        <f t="shared" si="10"/>
        <v/>
      </c>
      <c r="M324" s="30" t="str">
        <f t="shared" si="11"/>
        <v/>
      </c>
      <c r="N324" s="30" t="str">
        <f t="shared" si="7"/>
        <v/>
      </c>
      <c r="O324" s="8"/>
      <c r="P324" s="8"/>
      <c r="Q324" s="8"/>
      <c r="R324" s="8"/>
      <c r="S324" s="8"/>
      <c r="T324" s="8"/>
      <c r="U324" s="8"/>
      <c r="V324" s="8"/>
      <c r="W324" s="8"/>
      <c r="X324" s="8"/>
      <c r="Y324" s="8"/>
      <c r="Z324" s="8"/>
    </row>
    <row r="325" ht="18.0" customHeight="1">
      <c r="A325" s="8"/>
      <c r="B325" s="8"/>
      <c r="C325" s="8"/>
      <c r="D325" s="25"/>
      <c r="E325" s="25"/>
      <c r="F325" s="8"/>
      <c r="G325" s="25"/>
      <c r="H325" s="8"/>
      <c r="I325" s="8"/>
      <c r="J325" s="30" t="str">
        <f t="shared" si="8"/>
        <v/>
      </c>
      <c r="K325" s="30" t="str">
        <f t="shared" si="9"/>
        <v/>
      </c>
      <c r="L325" s="30" t="str">
        <f t="shared" si="10"/>
        <v/>
      </c>
      <c r="M325" s="30" t="str">
        <f t="shared" si="11"/>
        <v/>
      </c>
      <c r="N325" s="30" t="str">
        <f t="shared" si="7"/>
        <v/>
      </c>
      <c r="O325" s="8"/>
      <c r="P325" s="8"/>
      <c r="Q325" s="8"/>
      <c r="R325" s="8"/>
      <c r="S325" s="8"/>
      <c r="T325" s="8"/>
      <c r="U325" s="8"/>
      <c r="V325" s="8"/>
      <c r="W325" s="8"/>
      <c r="X325" s="8"/>
      <c r="Y325" s="8"/>
      <c r="Z325" s="8"/>
    </row>
    <row r="326" ht="18.0" customHeight="1">
      <c r="A326" s="8"/>
      <c r="B326" s="8"/>
      <c r="C326" s="8"/>
      <c r="D326" s="25"/>
      <c r="E326" s="25"/>
      <c r="F326" s="8"/>
      <c r="G326" s="25"/>
      <c r="H326" s="8"/>
      <c r="I326" s="8"/>
      <c r="J326" s="30" t="str">
        <f t="shared" si="8"/>
        <v/>
      </c>
      <c r="K326" s="30" t="str">
        <f t="shared" si="9"/>
        <v/>
      </c>
      <c r="L326" s="30" t="str">
        <f t="shared" si="10"/>
        <v/>
      </c>
      <c r="M326" s="30" t="str">
        <f t="shared" si="11"/>
        <v/>
      </c>
      <c r="N326" s="30" t="str">
        <f t="shared" si="7"/>
        <v/>
      </c>
      <c r="O326" s="8"/>
      <c r="P326" s="8"/>
      <c r="Q326" s="8"/>
      <c r="R326" s="8"/>
      <c r="S326" s="8"/>
      <c r="T326" s="8"/>
      <c r="U326" s="8"/>
      <c r="V326" s="8"/>
      <c r="W326" s="8"/>
      <c r="X326" s="8"/>
      <c r="Y326" s="8"/>
      <c r="Z326" s="8"/>
    </row>
    <row r="327" ht="18.0" customHeight="1">
      <c r="A327" s="8"/>
      <c r="B327" s="8"/>
      <c r="C327" s="8"/>
      <c r="D327" s="25"/>
      <c r="E327" s="25"/>
      <c r="F327" s="8"/>
      <c r="G327" s="25"/>
      <c r="H327" s="8"/>
      <c r="I327" s="8"/>
      <c r="J327" s="30" t="str">
        <f t="shared" si="8"/>
        <v/>
      </c>
      <c r="K327" s="30" t="str">
        <f t="shared" si="9"/>
        <v/>
      </c>
      <c r="L327" s="30" t="str">
        <f t="shared" si="10"/>
        <v/>
      </c>
      <c r="M327" s="30" t="str">
        <f t="shared" si="11"/>
        <v/>
      </c>
      <c r="N327" s="30" t="str">
        <f t="shared" si="7"/>
        <v/>
      </c>
      <c r="O327" s="8"/>
      <c r="P327" s="8"/>
      <c r="Q327" s="8"/>
      <c r="R327" s="8"/>
      <c r="S327" s="8"/>
      <c r="T327" s="8"/>
      <c r="U327" s="8"/>
      <c r="V327" s="8"/>
      <c r="W327" s="8"/>
      <c r="X327" s="8"/>
      <c r="Y327" s="8"/>
      <c r="Z327" s="8"/>
    </row>
    <row r="328" ht="18.0" customHeight="1">
      <c r="A328" s="8"/>
      <c r="B328" s="8"/>
      <c r="C328" s="8"/>
      <c r="D328" s="25"/>
      <c r="E328" s="25"/>
      <c r="F328" s="8"/>
      <c r="G328" s="25"/>
      <c r="H328" s="8"/>
      <c r="I328" s="8"/>
      <c r="J328" s="30" t="str">
        <f t="shared" si="8"/>
        <v/>
      </c>
      <c r="K328" s="30" t="str">
        <f t="shared" si="9"/>
        <v/>
      </c>
      <c r="L328" s="30" t="str">
        <f t="shared" si="10"/>
        <v/>
      </c>
      <c r="M328" s="30" t="str">
        <f t="shared" si="11"/>
        <v/>
      </c>
      <c r="N328" s="30" t="str">
        <f t="shared" si="7"/>
        <v/>
      </c>
      <c r="O328" s="8"/>
      <c r="P328" s="8"/>
      <c r="Q328" s="8"/>
      <c r="R328" s="8"/>
      <c r="S328" s="8"/>
      <c r="T328" s="8"/>
      <c r="U328" s="8"/>
      <c r="V328" s="8"/>
      <c r="W328" s="8"/>
      <c r="X328" s="8"/>
      <c r="Y328" s="8"/>
      <c r="Z328" s="8"/>
    </row>
    <row r="329" ht="18.0" customHeight="1">
      <c r="A329" s="8"/>
      <c r="B329" s="8"/>
      <c r="C329" s="8"/>
      <c r="D329" s="25"/>
      <c r="E329" s="25"/>
      <c r="F329" s="8"/>
      <c r="G329" s="25"/>
      <c r="H329" s="8"/>
      <c r="I329" s="8"/>
      <c r="J329" s="30" t="str">
        <f t="shared" si="8"/>
        <v/>
      </c>
      <c r="K329" s="30" t="str">
        <f t="shared" si="9"/>
        <v/>
      </c>
      <c r="L329" s="30" t="str">
        <f t="shared" si="10"/>
        <v/>
      </c>
      <c r="M329" s="30" t="str">
        <f t="shared" si="11"/>
        <v/>
      </c>
      <c r="N329" s="30" t="str">
        <f t="shared" si="7"/>
        <v/>
      </c>
      <c r="O329" s="8"/>
      <c r="P329" s="8"/>
      <c r="Q329" s="8"/>
      <c r="R329" s="8"/>
      <c r="S329" s="8"/>
      <c r="T329" s="8"/>
      <c r="U329" s="8"/>
      <c r="V329" s="8"/>
      <c r="W329" s="8"/>
      <c r="X329" s="8"/>
      <c r="Y329" s="8"/>
      <c r="Z329" s="8"/>
    </row>
    <row r="330" ht="18.0" customHeight="1">
      <c r="A330" s="8"/>
      <c r="B330" s="8"/>
      <c r="C330" s="8"/>
      <c r="D330" s="25"/>
      <c r="E330" s="25"/>
      <c r="F330" s="8"/>
      <c r="G330" s="25"/>
      <c r="H330" s="8"/>
      <c r="I330" s="8"/>
      <c r="J330" s="30" t="str">
        <f t="shared" si="8"/>
        <v/>
      </c>
      <c r="K330" s="30" t="str">
        <f t="shared" si="9"/>
        <v/>
      </c>
      <c r="L330" s="30" t="str">
        <f t="shared" si="10"/>
        <v/>
      </c>
      <c r="M330" s="30" t="str">
        <f t="shared" si="11"/>
        <v/>
      </c>
      <c r="N330" s="30" t="str">
        <f t="shared" si="7"/>
        <v/>
      </c>
      <c r="O330" s="8"/>
      <c r="P330" s="8"/>
      <c r="Q330" s="8"/>
      <c r="R330" s="8"/>
      <c r="S330" s="8"/>
      <c r="T330" s="8"/>
      <c r="U330" s="8"/>
      <c r="V330" s="8"/>
      <c r="W330" s="8"/>
      <c r="X330" s="8"/>
      <c r="Y330" s="8"/>
      <c r="Z330" s="8"/>
    </row>
    <row r="331" ht="18.0" customHeight="1">
      <c r="A331" s="8"/>
      <c r="B331" s="8"/>
      <c r="C331" s="8"/>
      <c r="D331" s="25"/>
      <c r="E331" s="25"/>
      <c r="F331" s="8"/>
      <c r="G331" s="25"/>
      <c r="H331" s="8"/>
      <c r="I331" s="8"/>
      <c r="J331" s="30" t="str">
        <f t="shared" si="8"/>
        <v/>
      </c>
      <c r="K331" s="30" t="str">
        <f t="shared" si="9"/>
        <v/>
      </c>
      <c r="L331" s="30" t="str">
        <f t="shared" si="10"/>
        <v/>
      </c>
      <c r="M331" s="30" t="str">
        <f t="shared" si="11"/>
        <v/>
      </c>
      <c r="N331" s="30" t="str">
        <f t="shared" si="7"/>
        <v/>
      </c>
      <c r="O331" s="8"/>
      <c r="P331" s="8"/>
      <c r="Q331" s="8"/>
      <c r="R331" s="8"/>
      <c r="S331" s="8"/>
      <c r="T331" s="8"/>
      <c r="U331" s="8"/>
      <c r="V331" s="8"/>
      <c r="W331" s="8"/>
      <c r="X331" s="8"/>
      <c r="Y331" s="8"/>
      <c r="Z331" s="8"/>
    </row>
    <row r="332" ht="18.0" customHeight="1">
      <c r="A332" s="8"/>
      <c r="B332" s="8"/>
      <c r="C332" s="8"/>
      <c r="D332" s="25"/>
      <c r="E332" s="25"/>
      <c r="F332" s="8"/>
      <c r="G332" s="25"/>
      <c r="H332" s="8"/>
      <c r="I332" s="8"/>
      <c r="J332" s="30" t="str">
        <f t="shared" si="8"/>
        <v/>
      </c>
      <c r="K332" s="30" t="str">
        <f t="shared" si="9"/>
        <v/>
      </c>
      <c r="L332" s="30" t="str">
        <f t="shared" si="10"/>
        <v/>
      </c>
      <c r="M332" s="30" t="str">
        <f t="shared" si="11"/>
        <v/>
      </c>
      <c r="N332" s="30" t="str">
        <f t="shared" si="7"/>
        <v/>
      </c>
      <c r="O332" s="8"/>
      <c r="P332" s="8"/>
      <c r="Q332" s="8"/>
      <c r="R332" s="8"/>
      <c r="S332" s="8"/>
      <c r="T332" s="8"/>
      <c r="U332" s="8"/>
      <c r="V332" s="8"/>
      <c r="W332" s="8"/>
      <c r="X332" s="8"/>
      <c r="Y332" s="8"/>
      <c r="Z332" s="8"/>
    </row>
    <row r="333" ht="18.0" customHeight="1">
      <c r="A333" s="8"/>
      <c r="B333" s="8"/>
      <c r="C333" s="8"/>
      <c r="D333" s="25"/>
      <c r="E333" s="25"/>
      <c r="F333" s="8"/>
      <c r="G333" s="25"/>
      <c r="H333" s="8"/>
      <c r="I333" s="8"/>
      <c r="J333" s="30" t="str">
        <f t="shared" si="8"/>
        <v/>
      </c>
      <c r="K333" s="30" t="str">
        <f t="shared" si="9"/>
        <v/>
      </c>
      <c r="L333" s="30" t="str">
        <f t="shared" si="10"/>
        <v/>
      </c>
      <c r="M333" s="30" t="str">
        <f t="shared" si="11"/>
        <v/>
      </c>
      <c r="N333" s="30" t="str">
        <f t="shared" si="7"/>
        <v/>
      </c>
      <c r="O333" s="8"/>
      <c r="P333" s="8"/>
      <c r="Q333" s="8"/>
      <c r="R333" s="8"/>
      <c r="S333" s="8"/>
      <c r="T333" s="8"/>
      <c r="U333" s="8"/>
      <c r="V333" s="8"/>
      <c r="W333" s="8"/>
      <c r="X333" s="8"/>
      <c r="Y333" s="8"/>
      <c r="Z333" s="8"/>
    </row>
    <row r="334" ht="18.0" customHeight="1">
      <c r="A334" s="8"/>
      <c r="B334" s="8"/>
      <c r="C334" s="8"/>
      <c r="D334" s="25"/>
      <c r="E334" s="25"/>
      <c r="F334" s="8"/>
      <c r="G334" s="25"/>
      <c r="H334" s="8"/>
      <c r="I334" s="8"/>
      <c r="J334" s="30" t="str">
        <f t="shared" si="8"/>
        <v/>
      </c>
      <c r="K334" s="30" t="str">
        <f t="shared" si="9"/>
        <v/>
      </c>
      <c r="L334" s="30" t="str">
        <f t="shared" si="10"/>
        <v/>
      </c>
      <c r="M334" s="30" t="str">
        <f t="shared" si="11"/>
        <v/>
      </c>
      <c r="N334" s="30" t="str">
        <f t="shared" si="7"/>
        <v/>
      </c>
      <c r="O334" s="8"/>
      <c r="P334" s="8"/>
      <c r="Q334" s="8"/>
      <c r="R334" s="8"/>
      <c r="S334" s="8"/>
      <c r="T334" s="8"/>
      <c r="U334" s="8"/>
      <c r="V334" s="8"/>
      <c r="W334" s="8"/>
      <c r="X334" s="8"/>
      <c r="Y334" s="8"/>
      <c r="Z334" s="8"/>
    </row>
    <row r="335" ht="18.0" customHeight="1">
      <c r="A335" s="8"/>
      <c r="B335" s="8"/>
      <c r="C335" s="8"/>
      <c r="D335" s="25"/>
      <c r="E335" s="25"/>
      <c r="F335" s="8"/>
      <c r="G335" s="25"/>
      <c r="H335" s="8"/>
      <c r="I335" s="8"/>
      <c r="J335" s="30" t="str">
        <f t="shared" si="8"/>
        <v/>
      </c>
      <c r="K335" s="30" t="str">
        <f t="shared" si="9"/>
        <v/>
      </c>
      <c r="L335" s="30" t="str">
        <f t="shared" si="10"/>
        <v/>
      </c>
      <c r="M335" s="30" t="str">
        <f t="shared" si="11"/>
        <v/>
      </c>
      <c r="N335" s="30" t="str">
        <f t="shared" si="7"/>
        <v/>
      </c>
      <c r="O335" s="8"/>
      <c r="P335" s="8"/>
      <c r="Q335" s="8"/>
      <c r="R335" s="8"/>
      <c r="S335" s="8"/>
      <c r="T335" s="8"/>
      <c r="U335" s="8"/>
      <c r="V335" s="8"/>
      <c r="W335" s="8"/>
      <c r="X335" s="8"/>
      <c r="Y335" s="8"/>
      <c r="Z335" s="8"/>
    </row>
    <row r="336" ht="18.0" customHeight="1">
      <c r="A336" s="8"/>
      <c r="B336" s="8"/>
      <c r="C336" s="8"/>
      <c r="D336" s="25"/>
      <c r="E336" s="25"/>
      <c r="F336" s="8"/>
      <c r="G336" s="25"/>
      <c r="H336" s="8"/>
      <c r="I336" s="8"/>
      <c r="J336" s="30" t="str">
        <f t="shared" si="8"/>
        <v/>
      </c>
      <c r="K336" s="30" t="str">
        <f t="shared" si="9"/>
        <v/>
      </c>
      <c r="L336" s="30" t="str">
        <f t="shared" si="10"/>
        <v/>
      </c>
      <c r="M336" s="30" t="str">
        <f t="shared" si="11"/>
        <v/>
      </c>
      <c r="N336" s="30" t="str">
        <f t="shared" si="7"/>
        <v/>
      </c>
      <c r="O336" s="8"/>
      <c r="P336" s="8"/>
      <c r="Q336" s="8"/>
      <c r="R336" s="8"/>
      <c r="S336" s="8"/>
      <c r="T336" s="8"/>
      <c r="U336" s="8"/>
      <c r="V336" s="8"/>
      <c r="W336" s="8"/>
      <c r="X336" s="8"/>
      <c r="Y336" s="8"/>
      <c r="Z336" s="8"/>
    </row>
    <row r="337" ht="18.0" customHeight="1">
      <c r="A337" s="8"/>
      <c r="B337" s="8"/>
      <c r="C337" s="8"/>
      <c r="D337" s="25"/>
      <c r="E337" s="25"/>
      <c r="F337" s="8"/>
      <c r="G337" s="25"/>
      <c r="H337" s="8"/>
      <c r="I337" s="8"/>
      <c r="J337" s="30" t="str">
        <f t="shared" si="8"/>
        <v/>
      </c>
      <c r="K337" s="30" t="str">
        <f t="shared" si="9"/>
        <v/>
      </c>
      <c r="L337" s="30" t="str">
        <f t="shared" si="10"/>
        <v/>
      </c>
      <c r="M337" s="30" t="str">
        <f t="shared" si="11"/>
        <v/>
      </c>
      <c r="N337" s="30" t="str">
        <f t="shared" si="7"/>
        <v/>
      </c>
      <c r="O337" s="8"/>
      <c r="P337" s="8"/>
      <c r="Q337" s="8"/>
      <c r="R337" s="8"/>
      <c r="S337" s="8"/>
      <c r="T337" s="8"/>
      <c r="U337" s="8"/>
      <c r="V337" s="8"/>
      <c r="W337" s="8"/>
      <c r="X337" s="8"/>
      <c r="Y337" s="8"/>
      <c r="Z337" s="8"/>
    </row>
    <row r="338" ht="18.0" customHeight="1">
      <c r="A338" s="8"/>
      <c r="B338" s="8"/>
      <c r="C338" s="8"/>
      <c r="D338" s="25"/>
      <c r="E338" s="25"/>
      <c r="F338" s="8"/>
      <c r="G338" s="25"/>
      <c r="H338" s="8"/>
      <c r="I338" s="8"/>
      <c r="J338" s="30" t="str">
        <f t="shared" si="8"/>
        <v/>
      </c>
      <c r="K338" s="30" t="str">
        <f t="shared" si="9"/>
        <v/>
      </c>
      <c r="L338" s="30" t="str">
        <f t="shared" si="10"/>
        <v/>
      </c>
      <c r="M338" s="30" t="str">
        <f t="shared" si="11"/>
        <v/>
      </c>
      <c r="N338" s="30" t="str">
        <f t="shared" si="7"/>
        <v/>
      </c>
      <c r="O338" s="8"/>
      <c r="P338" s="8"/>
      <c r="Q338" s="8"/>
      <c r="R338" s="8"/>
      <c r="S338" s="8"/>
      <c r="T338" s="8"/>
      <c r="U338" s="8"/>
      <c r="V338" s="8"/>
      <c r="W338" s="8"/>
      <c r="X338" s="8"/>
      <c r="Y338" s="8"/>
      <c r="Z338" s="8"/>
    </row>
    <row r="339" ht="18.0" customHeight="1">
      <c r="A339" s="8"/>
      <c r="B339" s="8"/>
      <c r="C339" s="8"/>
      <c r="D339" s="25"/>
      <c r="E339" s="25"/>
      <c r="F339" s="8"/>
      <c r="G339" s="25"/>
      <c r="H339" s="8"/>
      <c r="I339" s="8"/>
      <c r="J339" s="30" t="str">
        <f t="shared" si="8"/>
        <v/>
      </c>
      <c r="K339" s="30" t="str">
        <f t="shared" si="9"/>
        <v/>
      </c>
      <c r="L339" s="30" t="str">
        <f t="shared" si="10"/>
        <v/>
      </c>
      <c r="M339" s="30" t="str">
        <f t="shared" si="11"/>
        <v/>
      </c>
      <c r="N339" s="30" t="str">
        <f t="shared" si="7"/>
        <v/>
      </c>
      <c r="O339" s="8"/>
      <c r="P339" s="8"/>
      <c r="Q339" s="8"/>
      <c r="R339" s="8"/>
      <c r="S339" s="8"/>
      <c r="T339" s="8"/>
      <c r="U339" s="8"/>
      <c r="V339" s="8"/>
      <c r="W339" s="8"/>
      <c r="X339" s="8"/>
      <c r="Y339" s="8"/>
      <c r="Z339" s="8"/>
    </row>
    <row r="340" ht="18.0" customHeight="1">
      <c r="A340" s="8"/>
      <c r="B340" s="8"/>
      <c r="C340" s="8"/>
      <c r="D340" s="25"/>
      <c r="E340" s="25"/>
      <c r="F340" s="8"/>
      <c r="G340" s="25"/>
      <c r="H340" s="8"/>
      <c r="I340" s="8"/>
      <c r="J340" s="30" t="str">
        <f t="shared" si="8"/>
        <v/>
      </c>
      <c r="K340" s="30" t="str">
        <f t="shared" si="9"/>
        <v/>
      </c>
      <c r="L340" s="30" t="str">
        <f t="shared" si="10"/>
        <v/>
      </c>
      <c r="M340" s="30" t="str">
        <f t="shared" si="11"/>
        <v/>
      </c>
      <c r="N340" s="30" t="str">
        <f t="shared" si="7"/>
        <v/>
      </c>
      <c r="O340" s="8"/>
      <c r="P340" s="8"/>
      <c r="Q340" s="8"/>
      <c r="R340" s="8"/>
      <c r="S340" s="8"/>
      <c r="T340" s="8"/>
      <c r="U340" s="8"/>
      <c r="V340" s="8"/>
      <c r="W340" s="8"/>
      <c r="X340" s="8"/>
      <c r="Y340" s="8"/>
      <c r="Z340" s="8"/>
    </row>
    <row r="341" ht="18.0" customHeight="1">
      <c r="A341" s="8"/>
      <c r="B341" s="8"/>
      <c r="C341" s="8"/>
      <c r="D341" s="25"/>
      <c r="E341" s="25"/>
      <c r="F341" s="8"/>
      <c r="G341" s="25"/>
      <c r="H341" s="8"/>
      <c r="I341" s="8"/>
      <c r="J341" s="30" t="str">
        <f t="shared" si="8"/>
        <v/>
      </c>
      <c r="K341" s="30" t="str">
        <f t="shared" si="9"/>
        <v/>
      </c>
      <c r="L341" s="30" t="str">
        <f t="shared" si="10"/>
        <v/>
      </c>
      <c r="M341" s="30" t="str">
        <f t="shared" si="11"/>
        <v/>
      </c>
      <c r="N341" s="30" t="str">
        <f t="shared" si="7"/>
        <v/>
      </c>
      <c r="O341" s="8"/>
      <c r="P341" s="8"/>
      <c r="Q341" s="8"/>
      <c r="R341" s="8"/>
      <c r="S341" s="8"/>
      <c r="T341" s="8"/>
      <c r="U341" s="8"/>
      <c r="V341" s="8"/>
      <c r="W341" s="8"/>
      <c r="X341" s="8"/>
      <c r="Y341" s="8"/>
      <c r="Z341" s="8"/>
    </row>
    <row r="342" ht="18.0" customHeight="1">
      <c r="A342" s="8"/>
      <c r="B342" s="8"/>
      <c r="C342" s="8"/>
      <c r="D342" s="25"/>
      <c r="E342" s="25"/>
      <c r="F342" s="8"/>
      <c r="G342" s="25"/>
      <c r="H342" s="8"/>
      <c r="I342" s="8"/>
      <c r="J342" s="30" t="str">
        <f t="shared" si="8"/>
        <v/>
      </c>
      <c r="K342" s="30" t="str">
        <f t="shared" si="9"/>
        <v/>
      </c>
      <c r="L342" s="30" t="str">
        <f t="shared" si="10"/>
        <v/>
      </c>
      <c r="M342" s="30" t="str">
        <f t="shared" si="11"/>
        <v/>
      </c>
      <c r="N342" s="30" t="str">
        <f t="shared" si="7"/>
        <v/>
      </c>
      <c r="O342" s="8"/>
      <c r="P342" s="8"/>
      <c r="Q342" s="8"/>
      <c r="R342" s="8"/>
      <c r="S342" s="8"/>
      <c r="T342" s="8"/>
      <c r="U342" s="8"/>
      <c r="V342" s="8"/>
      <c r="W342" s="8"/>
      <c r="X342" s="8"/>
      <c r="Y342" s="8"/>
      <c r="Z342" s="8"/>
    </row>
    <row r="343" ht="18.0" customHeight="1">
      <c r="A343" s="8"/>
      <c r="B343" s="8"/>
      <c r="C343" s="8"/>
      <c r="D343" s="25"/>
      <c r="E343" s="25"/>
      <c r="F343" s="8"/>
      <c r="G343" s="25"/>
      <c r="H343" s="8"/>
      <c r="I343" s="8"/>
      <c r="J343" s="30" t="str">
        <f t="shared" si="8"/>
        <v/>
      </c>
      <c r="K343" s="30" t="str">
        <f t="shared" si="9"/>
        <v/>
      </c>
      <c r="L343" s="30" t="str">
        <f t="shared" si="10"/>
        <v/>
      </c>
      <c r="M343" s="30" t="str">
        <f t="shared" si="11"/>
        <v/>
      </c>
      <c r="N343" s="30" t="str">
        <f t="shared" si="7"/>
        <v/>
      </c>
      <c r="O343" s="8"/>
      <c r="P343" s="8"/>
      <c r="Q343" s="8"/>
      <c r="R343" s="8"/>
      <c r="S343" s="8"/>
      <c r="T343" s="8"/>
      <c r="U343" s="8"/>
      <c r="V343" s="8"/>
      <c r="W343" s="8"/>
      <c r="X343" s="8"/>
      <c r="Y343" s="8"/>
      <c r="Z343" s="8"/>
    </row>
    <row r="344" ht="18.0" customHeight="1">
      <c r="A344" s="8"/>
      <c r="B344" s="8"/>
      <c r="C344" s="8"/>
      <c r="D344" s="25"/>
      <c r="E344" s="25"/>
      <c r="F344" s="8"/>
      <c r="G344" s="25"/>
      <c r="H344" s="8"/>
      <c r="I344" s="8"/>
      <c r="J344" s="30" t="str">
        <f t="shared" si="8"/>
        <v/>
      </c>
      <c r="K344" s="30" t="str">
        <f t="shared" si="9"/>
        <v/>
      </c>
      <c r="L344" s="30" t="str">
        <f t="shared" si="10"/>
        <v/>
      </c>
      <c r="M344" s="30" t="str">
        <f t="shared" si="11"/>
        <v/>
      </c>
      <c r="N344" s="30" t="str">
        <f t="shared" si="7"/>
        <v/>
      </c>
      <c r="O344" s="8"/>
      <c r="P344" s="8"/>
      <c r="Q344" s="8"/>
      <c r="R344" s="8"/>
      <c r="S344" s="8"/>
      <c r="T344" s="8"/>
      <c r="U344" s="8"/>
      <c r="V344" s="8"/>
      <c r="W344" s="8"/>
      <c r="X344" s="8"/>
      <c r="Y344" s="8"/>
      <c r="Z344" s="8"/>
    </row>
    <row r="345" ht="18.0" customHeight="1">
      <c r="A345" s="8"/>
      <c r="B345" s="8"/>
      <c r="C345" s="8"/>
      <c r="D345" s="25"/>
      <c r="E345" s="25"/>
      <c r="F345" s="8"/>
      <c r="G345" s="25"/>
      <c r="H345" s="8"/>
      <c r="I345" s="8"/>
      <c r="J345" s="30" t="str">
        <f t="shared" si="8"/>
        <v/>
      </c>
      <c r="K345" s="30" t="str">
        <f t="shared" si="9"/>
        <v/>
      </c>
      <c r="L345" s="30" t="str">
        <f t="shared" si="10"/>
        <v/>
      </c>
      <c r="M345" s="30" t="str">
        <f t="shared" si="11"/>
        <v/>
      </c>
      <c r="N345" s="30" t="str">
        <f t="shared" si="7"/>
        <v/>
      </c>
      <c r="O345" s="8"/>
      <c r="P345" s="8"/>
      <c r="Q345" s="8"/>
      <c r="R345" s="8"/>
      <c r="S345" s="8"/>
      <c r="T345" s="8"/>
      <c r="U345" s="8"/>
      <c r="V345" s="8"/>
      <c r="W345" s="8"/>
      <c r="X345" s="8"/>
      <c r="Y345" s="8"/>
      <c r="Z345" s="8"/>
    </row>
    <row r="346" ht="18.0" customHeight="1">
      <c r="A346" s="8"/>
      <c r="B346" s="8"/>
      <c r="C346" s="8"/>
      <c r="D346" s="25"/>
      <c r="E346" s="25"/>
      <c r="F346" s="8"/>
      <c r="G346" s="25"/>
      <c r="H346" s="8"/>
      <c r="I346" s="8"/>
      <c r="J346" s="30" t="str">
        <f t="shared" si="8"/>
        <v/>
      </c>
      <c r="K346" s="30" t="str">
        <f t="shared" si="9"/>
        <v/>
      </c>
      <c r="L346" s="30" t="str">
        <f t="shared" si="10"/>
        <v/>
      </c>
      <c r="M346" s="30" t="str">
        <f t="shared" si="11"/>
        <v/>
      </c>
      <c r="N346" s="30" t="str">
        <f t="shared" si="7"/>
        <v/>
      </c>
      <c r="O346" s="8"/>
      <c r="P346" s="8"/>
      <c r="Q346" s="8"/>
      <c r="R346" s="8"/>
      <c r="S346" s="8"/>
      <c r="T346" s="8"/>
      <c r="U346" s="8"/>
      <c r="V346" s="8"/>
      <c r="W346" s="8"/>
      <c r="X346" s="8"/>
      <c r="Y346" s="8"/>
      <c r="Z346" s="8"/>
    </row>
    <row r="347" ht="18.0" customHeight="1">
      <c r="A347" s="8"/>
      <c r="B347" s="8"/>
      <c r="C347" s="8"/>
      <c r="D347" s="25"/>
      <c r="E347" s="25"/>
      <c r="F347" s="8"/>
      <c r="G347" s="25"/>
      <c r="H347" s="8"/>
      <c r="I347" s="8"/>
      <c r="J347" s="30" t="str">
        <f t="shared" si="8"/>
        <v/>
      </c>
      <c r="K347" s="30" t="str">
        <f t="shared" si="9"/>
        <v/>
      </c>
      <c r="L347" s="30" t="str">
        <f t="shared" si="10"/>
        <v/>
      </c>
      <c r="M347" s="30" t="str">
        <f t="shared" si="11"/>
        <v/>
      </c>
      <c r="N347" s="30" t="str">
        <f t="shared" si="7"/>
        <v/>
      </c>
      <c r="O347" s="8"/>
      <c r="P347" s="8"/>
      <c r="Q347" s="8"/>
      <c r="R347" s="8"/>
      <c r="S347" s="8"/>
      <c r="T347" s="8"/>
      <c r="U347" s="8"/>
      <c r="V347" s="8"/>
      <c r="W347" s="8"/>
      <c r="X347" s="8"/>
      <c r="Y347" s="8"/>
      <c r="Z347" s="8"/>
    </row>
    <row r="348" ht="18.0" customHeight="1">
      <c r="A348" s="8"/>
      <c r="B348" s="8"/>
      <c r="C348" s="8"/>
      <c r="D348" s="25"/>
      <c r="E348" s="25"/>
      <c r="F348" s="8"/>
      <c r="G348" s="25"/>
      <c r="H348" s="8"/>
      <c r="I348" s="8"/>
      <c r="J348" s="30" t="str">
        <f t="shared" si="8"/>
        <v/>
      </c>
      <c r="K348" s="30" t="str">
        <f t="shared" si="9"/>
        <v/>
      </c>
      <c r="L348" s="30" t="str">
        <f t="shared" si="10"/>
        <v/>
      </c>
      <c r="M348" s="30" t="str">
        <f t="shared" si="11"/>
        <v/>
      </c>
      <c r="N348" s="30" t="str">
        <f t="shared" si="7"/>
        <v/>
      </c>
      <c r="O348" s="8"/>
      <c r="P348" s="8"/>
      <c r="Q348" s="8"/>
      <c r="R348" s="8"/>
      <c r="S348" s="8"/>
      <c r="T348" s="8"/>
      <c r="U348" s="8"/>
      <c r="V348" s="8"/>
      <c r="W348" s="8"/>
      <c r="X348" s="8"/>
      <c r="Y348" s="8"/>
      <c r="Z348" s="8"/>
    </row>
    <row r="349" ht="18.0" customHeight="1">
      <c r="A349" s="8"/>
      <c r="B349" s="8"/>
      <c r="C349" s="8"/>
      <c r="D349" s="25"/>
      <c r="E349" s="25"/>
      <c r="F349" s="8"/>
      <c r="G349" s="25"/>
      <c r="H349" s="8"/>
      <c r="I349" s="8"/>
      <c r="J349" s="30" t="str">
        <f t="shared" si="8"/>
        <v/>
      </c>
      <c r="K349" s="30" t="str">
        <f t="shared" si="9"/>
        <v/>
      </c>
      <c r="L349" s="30" t="str">
        <f t="shared" si="10"/>
        <v/>
      </c>
      <c r="M349" s="30" t="str">
        <f t="shared" si="11"/>
        <v/>
      </c>
      <c r="N349" s="30" t="str">
        <f t="shared" si="7"/>
        <v/>
      </c>
      <c r="O349" s="8"/>
      <c r="P349" s="8"/>
      <c r="Q349" s="8"/>
      <c r="R349" s="8"/>
      <c r="S349" s="8"/>
      <c r="T349" s="8"/>
      <c r="U349" s="8"/>
      <c r="V349" s="8"/>
      <c r="W349" s="8"/>
      <c r="X349" s="8"/>
      <c r="Y349" s="8"/>
      <c r="Z349" s="8"/>
    </row>
    <row r="350" ht="18.0" customHeight="1">
      <c r="A350" s="8"/>
      <c r="B350" s="8"/>
      <c r="C350" s="8"/>
      <c r="D350" s="25"/>
      <c r="E350" s="25"/>
      <c r="F350" s="8"/>
      <c r="G350" s="25"/>
      <c r="H350" s="8"/>
      <c r="I350" s="8"/>
      <c r="J350" s="30" t="str">
        <f t="shared" si="8"/>
        <v/>
      </c>
      <c r="K350" s="30" t="str">
        <f t="shared" si="9"/>
        <v/>
      </c>
      <c r="L350" s="30" t="str">
        <f t="shared" si="10"/>
        <v/>
      </c>
      <c r="M350" s="30" t="str">
        <f t="shared" si="11"/>
        <v/>
      </c>
      <c r="N350" s="30" t="str">
        <f t="shared" si="7"/>
        <v/>
      </c>
      <c r="O350" s="8"/>
      <c r="P350" s="8"/>
      <c r="Q350" s="8"/>
      <c r="R350" s="8"/>
      <c r="S350" s="8"/>
      <c r="T350" s="8"/>
      <c r="U350" s="8"/>
      <c r="V350" s="8"/>
      <c r="W350" s="8"/>
      <c r="X350" s="8"/>
      <c r="Y350" s="8"/>
      <c r="Z350" s="8"/>
    </row>
    <row r="351" ht="18.0" customHeight="1">
      <c r="A351" s="8"/>
      <c r="B351" s="8"/>
      <c r="C351" s="8"/>
      <c r="D351" s="25"/>
      <c r="E351" s="25"/>
      <c r="F351" s="8"/>
      <c r="G351" s="25"/>
      <c r="H351" s="8"/>
      <c r="I351" s="8"/>
      <c r="J351" s="30" t="str">
        <f t="shared" si="8"/>
        <v/>
      </c>
      <c r="K351" s="30" t="str">
        <f t="shared" si="9"/>
        <v/>
      </c>
      <c r="L351" s="30" t="str">
        <f t="shared" si="10"/>
        <v/>
      </c>
      <c r="M351" s="30" t="str">
        <f t="shared" si="11"/>
        <v/>
      </c>
      <c r="N351" s="30" t="str">
        <f t="shared" si="7"/>
        <v/>
      </c>
      <c r="O351" s="8"/>
      <c r="P351" s="8"/>
      <c r="Q351" s="8"/>
      <c r="R351" s="8"/>
      <c r="S351" s="8"/>
      <c r="T351" s="8"/>
      <c r="U351" s="8"/>
      <c r="V351" s="8"/>
      <c r="W351" s="8"/>
      <c r="X351" s="8"/>
      <c r="Y351" s="8"/>
      <c r="Z351" s="8"/>
    </row>
    <row r="352" ht="18.0" customHeight="1">
      <c r="A352" s="8"/>
      <c r="B352" s="8"/>
      <c r="C352" s="8"/>
      <c r="D352" s="25"/>
      <c r="E352" s="25"/>
      <c r="F352" s="8"/>
      <c r="G352" s="25"/>
      <c r="H352" s="8"/>
      <c r="I352" s="8"/>
      <c r="J352" s="30" t="str">
        <f t="shared" si="8"/>
        <v/>
      </c>
      <c r="K352" s="30" t="str">
        <f t="shared" si="9"/>
        <v/>
      </c>
      <c r="L352" s="30" t="str">
        <f t="shared" si="10"/>
        <v/>
      </c>
      <c r="M352" s="30" t="str">
        <f t="shared" si="11"/>
        <v/>
      </c>
      <c r="N352" s="30" t="str">
        <f t="shared" si="7"/>
        <v/>
      </c>
      <c r="O352" s="8"/>
      <c r="P352" s="8"/>
      <c r="Q352" s="8"/>
      <c r="R352" s="8"/>
      <c r="S352" s="8"/>
      <c r="T352" s="8"/>
      <c r="U352" s="8"/>
      <c r="V352" s="8"/>
      <c r="W352" s="8"/>
      <c r="X352" s="8"/>
      <c r="Y352" s="8"/>
      <c r="Z352" s="8"/>
    </row>
    <row r="353" ht="18.0" customHeight="1">
      <c r="A353" s="8"/>
      <c r="B353" s="8"/>
      <c r="C353" s="8"/>
      <c r="D353" s="25"/>
      <c r="E353" s="25"/>
      <c r="F353" s="8"/>
      <c r="G353" s="25"/>
      <c r="H353" s="8"/>
      <c r="I353" s="8"/>
      <c r="J353" s="30" t="str">
        <f t="shared" si="8"/>
        <v/>
      </c>
      <c r="K353" s="30" t="str">
        <f t="shared" si="9"/>
        <v/>
      </c>
      <c r="L353" s="30" t="str">
        <f t="shared" si="10"/>
        <v/>
      </c>
      <c r="M353" s="30" t="str">
        <f t="shared" si="11"/>
        <v/>
      </c>
      <c r="N353" s="30" t="str">
        <f t="shared" si="7"/>
        <v/>
      </c>
      <c r="O353" s="8"/>
      <c r="P353" s="8"/>
      <c r="Q353" s="8"/>
      <c r="R353" s="8"/>
      <c r="S353" s="8"/>
      <c r="T353" s="8"/>
      <c r="U353" s="8"/>
      <c r="V353" s="8"/>
      <c r="W353" s="8"/>
      <c r="X353" s="8"/>
      <c r="Y353" s="8"/>
      <c r="Z353" s="8"/>
    </row>
    <row r="354" ht="18.0" customHeight="1">
      <c r="A354" s="8"/>
      <c r="B354" s="8"/>
      <c r="C354" s="8"/>
      <c r="D354" s="25"/>
      <c r="E354" s="25"/>
      <c r="F354" s="8"/>
      <c r="G354" s="25"/>
      <c r="H354" s="8"/>
      <c r="I354" s="8"/>
      <c r="J354" s="30" t="str">
        <f t="shared" si="8"/>
        <v/>
      </c>
      <c r="K354" s="30" t="str">
        <f t="shared" si="9"/>
        <v/>
      </c>
      <c r="L354" s="30" t="str">
        <f t="shared" si="10"/>
        <v/>
      </c>
      <c r="M354" s="30" t="str">
        <f t="shared" si="11"/>
        <v/>
      </c>
      <c r="N354" s="30" t="str">
        <f t="shared" si="7"/>
        <v/>
      </c>
      <c r="O354" s="8"/>
      <c r="P354" s="8"/>
      <c r="Q354" s="8"/>
      <c r="R354" s="8"/>
      <c r="S354" s="8"/>
      <c r="T354" s="8"/>
      <c r="U354" s="8"/>
      <c r="V354" s="8"/>
      <c r="W354" s="8"/>
      <c r="X354" s="8"/>
      <c r="Y354" s="8"/>
      <c r="Z354" s="8"/>
    </row>
    <row r="355" ht="18.0" customHeight="1">
      <c r="A355" s="8"/>
      <c r="B355" s="8"/>
      <c r="C355" s="8"/>
      <c r="D355" s="25"/>
      <c r="E355" s="25"/>
      <c r="F355" s="8"/>
      <c r="G355" s="25"/>
      <c r="H355" s="8"/>
      <c r="I355" s="8"/>
      <c r="J355" s="30" t="str">
        <f t="shared" si="8"/>
        <v/>
      </c>
      <c r="K355" s="30" t="str">
        <f t="shared" si="9"/>
        <v/>
      </c>
      <c r="L355" s="30" t="str">
        <f t="shared" si="10"/>
        <v/>
      </c>
      <c r="M355" s="30" t="str">
        <f t="shared" si="11"/>
        <v/>
      </c>
      <c r="N355" s="30" t="str">
        <f t="shared" si="7"/>
        <v/>
      </c>
      <c r="O355" s="8"/>
      <c r="P355" s="8"/>
      <c r="Q355" s="8"/>
      <c r="R355" s="8"/>
      <c r="S355" s="8"/>
      <c r="T355" s="8"/>
      <c r="U355" s="8"/>
      <c r="V355" s="8"/>
      <c r="W355" s="8"/>
      <c r="X355" s="8"/>
      <c r="Y355" s="8"/>
      <c r="Z355" s="8"/>
    </row>
    <row r="356" ht="18.0" customHeight="1">
      <c r="A356" s="8"/>
      <c r="B356" s="8"/>
      <c r="C356" s="8"/>
      <c r="D356" s="25"/>
      <c r="E356" s="25"/>
      <c r="F356" s="8"/>
      <c r="G356" s="25"/>
      <c r="H356" s="8"/>
      <c r="I356" s="8"/>
      <c r="J356" s="30" t="str">
        <f t="shared" si="8"/>
        <v/>
      </c>
      <c r="K356" s="30" t="str">
        <f t="shared" si="9"/>
        <v/>
      </c>
      <c r="L356" s="30" t="str">
        <f t="shared" si="10"/>
        <v/>
      </c>
      <c r="M356" s="30" t="str">
        <f t="shared" si="11"/>
        <v/>
      </c>
      <c r="N356" s="30" t="str">
        <f t="shared" si="7"/>
        <v/>
      </c>
      <c r="O356" s="8"/>
      <c r="P356" s="8"/>
      <c r="Q356" s="8"/>
      <c r="R356" s="8"/>
      <c r="S356" s="8"/>
      <c r="T356" s="8"/>
      <c r="U356" s="8"/>
      <c r="V356" s="8"/>
      <c r="W356" s="8"/>
      <c r="X356" s="8"/>
      <c r="Y356" s="8"/>
      <c r="Z356" s="8"/>
    </row>
    <row r="357" ht="18.0" customHeight="1">
      <c r="A357" s="8"/>
      <c r="B357" s="8"/>
      <c r="C357" s="8"/>
      <c r="D357" s="25"/>
      <c r="E357" s="25"/>
      <c r="F357" s="8"/>
      <c r="G357" s="25"/>
      <c r="H357" s="8"/>
      <c r="I357" s="8"/>
      <c r="J357" s="30" t="str">
        <f t="shared" si="8"/>
        <v/>
      </c>
      <c r="K357" s="30" t="str">
        <f t="shared" si="9"/>
        <v/>
      </c>
      <c r="L357" s="30" t="str">
        <f t="shared" si="10"/>
        <v/>
      </c>
      <c r="M357" s="30" t="str">
        <f t="shared" si="11"/>
        <v/>
      </c>
      <c r="N357" s="30" t="str">
        <f t="shared" si="7"/>
        <v/>
      </c>
      <c r="O357" s="8"/>
      <c r="P357" s="8"/>
      <c r="Q357" s="8"/>
      <c r="R357" s="8"/>
      <c r="S357" s="8"/>
      <c r="T357" s="8"/>
      <c r="U357" s="8"/>
      <c r="V357" s="8"/>
      <c r="W357" s="8"/>
      <c r="X357" s="8"/>
      <c r="Y357" s="8"/>
      <c r="Z357" s="8"/>
    </row>
    <row r="358" ht="18.0" customHeight="1">
      <c r="A358" s="8"/>
      <c r="B358" s="8"/>
      <c r="C358" s="8"/>
      <c r="D358" s="25"/>
      <c r="E358" s="25"/>
      <c r="F358" s="8"/>
      <c r="G358" s="25"/>
      <c r="H358" s="8"/>
      <c r="I358" s="8"/>
      <c r="J358" s="30" t="str">
        <f t="shared" si="8"/>
        <v/>
      </c>
      <c r="K358" s="30" t="str">
        <f t="shared" si="9"/>
        <v/>
      </c>
      <c r="L358" s="30" t="str">
        <f t="shared" si="10"/>
        <v/>
      </c>
      <c r="M358" s="30" t="str">
        <f t="shared" si="11"/>
        <v/>
      </c>
      <c r="N358" s="30" t="str">
        <f t="shared" si="7"/>
        <v/>
      </c>
      <c r="O358" s="8"/>
      <c r="P358" s="8"/>
      <c r="Q358" s="8"/>
      <c r="R358" s="8"/>
      <c r="S358" s="8"/>
      <c r="T358" s="8"/>
      <c r="U358" s="8"/>
      <c r="V358" s="8"/>
      <c r="W358" s="8"/>
      <c r="X358" s="8"/>
      <c r="Y358" s="8"/>
      <c r="Z358" s="8"/>
    </row>
    <row r="359" ht="18.0" customHeight="1">
      <c r="A359" s="8"/>
      <c r="B359" s="8"/>
      <c r="C359" s="8"/>
      <c r="D359" s="25"/>
      <c r="E359" s="25"/>
      <c r="F359" s="8"/>
      <c r="G359" s="25"/>
      <c r="H359" s="8"/>
      <c r="I359" s="8"/>
      <c r="J359" s="30" t="str">
        <f t="shared" si="8"/>
        <v/>
      </c>
      <c r="K359" s="30" t="str">
        <f t="shared" si="9"/>
        <v/>
      </c>
      <c r="L359" s="30" t="str">
        <f t="shared" si="10"/>
        <v/>
      </c>
      <c r="M359" s="30" t="str">
        <f t="shared" si="11"/>
        <v/>
      </c>
      <c r="N359" s="30" t="str">
        <f t="shared" si="7"/>
        <v/>
      </c>
      <c r="O359" s="8"/>
      <c r="P359" s="8"/>
      <c r="Q359" s="8"/>
      <c r="R359" s="8"/>
      <c r="S359" s="8"/>
      <c r="T359" s="8"/>
      <c r="U359" s="8"/>
      <c r="V359" s="8"/>
      <c r="W359" s="8"/>
      <c r="X359" s="8"/>
      <c r="Y359" s="8"/>
      <c r="Z359" s="8"/>
    </row>
    <row r="360" ht="18.0" customHeight="1">
      <c r="A360" s="8"/>
      <c r="B360" s="8"/>
      <c r="C360" s="8"/>
      <c r="D360" s="25"/>
      <c r="E360" s="25"/>
      <c r="F360" s="8"/>
      <c r="G360" s="25"/>
      <c r="H360" s="8"/>
      <c r="I360" s="8"/>
      <c r="J360" s="30" t="str">
        <f t="shared" si="8"/>
        <v/>
      </c>
      <c r="K360" s="30" t="str">
        <f t="shared" si="9"/>
        <v/>
      </c>
      <c r="L360" s="30" t="str">
        <f t="shared" si="10"/>
        <v/>
      </c>
      <c r="M360" s="30" t="str">
        <f t="shared" si="11"/>
        <v/>
      </c>
      <c r="N360" s="30" t="str">
        <f t="shared" si="7"/>
        <v/>
      </c>
      <c r="O360" s="8"/>
      <c r="P360" s="8"/>
      <c r="Q360" s="8"/>
      <c r="R360" s="8"/>
      <c r="S360" s="8"/>
      <c r="T360" s="8"/>
      <c r="U360" s="8"/>
      <c r="V360" s="8"/>
      <c r="W360" s="8"/>
      <c r="X360" s="8"/>
      <c r="Y360" s="8"/>
      <c r="Z360" s="8"/>
    </row>
    <row r="361" ht="18.0" customHeight="1">
      <c r="A361" s="8"/>
      <c r="B361" s="8"/>
      <c r="C361" s="8"/>
      <c r="D361" s="25"/>
      <c r="E361" s="25"/>
      <c r="F361" s="8"/>
      <c r="G361" s="25"/>
      <c r="H361" s="8"/>
      <c r="I361" s="8"/>
      <c r="J361" s="30" t="str">
        <f t="shared" si="8"/>
        <v/>
      </c>
      <c r="K361" s="30" t="str">
        <f t="shared" si="9"/>
        <v/>
      </c>
      <c r="L361" s="30" t="str">
        <f t="shared" si="10"/>
        <v/>
      </c>
      <c r="M361" s="30" t="str">
        <f t="shared" si="11"/>
        <v/>
      </c>
      <c r="N361" s="30" t="str">
        <f t="shared" si="7"/>
        <v/>
      </c>
      <c r="O361" s="8"/>
      <c r="P361" s="8"/>
      <c r="Q361" s="8"/>
      <c r="R361" s="8"/>
      <c r="S361" s="8"/>
      <c r="T361" s="8"/>
      <c r="U361" s="8"/>
      <c r="V361" s="8"/>
      <c r="W361" s="8"/>
      <c r="X361" s="8"/>
      <c r="Y361" s="8"/>
      <c r="Z361" s="8"/>
    </row>
    <row r="362" ht="18.0" customHeight="1">
      <c r="A362" s="8"/>
      <c r="B362" s="8"/>
      <c r="C362" s="8"/>
      <c r="D362" s="25"/>
      <c r="E362" s="25"/>
      <c r="F362" s="8"/>
      <c r="G362" s="25"/>
      <c r="H362" s="8"/>
      <c r="I362" s="8"/>
      <c r="J362" s="30" t="str">
        <f t="shared" si="8"/>
        <v/>
      </c>
      <c r="K362" s="30" t="str">
        <f t="shared" si="9"/>
        <v/>
      </c>
      <c r="L362" s="30" t="str">
        <f t="shared" si="10"/>
        <v/>
      </c>
      <c r="M362" s="30" t="str">
        <f t="shared" si="11"/>
        <v/>
      </c>
      <c r="N362" s="30" t="str">
        <f t="shared" si="7"/>
        <v/>
      </c>
      <c r="O362" s="8"/>
      <c r="P362" s="8"/>
      <c r="Q362" s="8"/>
      <c r="R362" s="8"/>
      <c r="S362" s="8"/>
      <c r="T362" s="8"/>
      <c r="U362" s="8"/>
      <c r="V362" s="8"/>
      <c r="W362" s="8"/>
      <c r="X362" s="8"/>
      <c r="Y362" s="8"/>
      <c r="Z362" s="8"/>
    </row>
    <row r="363" ht="18.0" customHeight="1">
      <c r="A363" s="8"/>
      <c r="B363" s="8"/>
      <c r="C363" s="8"/>
      <c r="D363" s="25"/>
      <c r="E363" s="25"/>
      <c r="F363" s="8"/>
      <c r="G363" s="25"/>
      <c r="H363" s="8"/>
      <c r="I363" s="8"/>
      <c r="J363" s="30" t="str">
        <f t="shared" si="8"/>
        <v/>
      </c>
      <c r="K363" s="30" t="str">
        <f t="shared" si="9"/>
        <v/>
      </c>
      <c r="L363" s="30" t="str">
        <f t="shared" si="10"/>
        <v/>
      </c>
      <c r="M363" s="30" t="str">
        <f t="shared" si="11"/>
        <v/>
      </c>
      <c r="N363" s="30" t="str">
        <f t="shared" si="7"/>
        <v/>
      </c>
      <c r="O363" s="8"/>
      <c r="P363" s="8"/>
      <c r="Q363" s="8"/>
      <c r="R363" s="8"/>
      <c r="S363" s="8"/>
      <c r="T363" s="8"/>
      <c r="U363" s="8"/>
      <c r="V363" s="8"/>
      <c r="W363" s="8"/>
      <c r="X363" s="8"/>
      <c r="Y363" s="8"/>
      <c r="Z363" s="8"/>
    </row>
    <row r="364" ht="18.0" customHeight="1">
      <c r="A364" s="8"/>
      <c r="B364" s="8"/>
      <c r="C364" s="8"/>
      <c r="D364" s="25"/>
      <c r="E364" s="25"/>
      <c r="F364" s="8"/>
      <c r="G364" s="25"/>
      <c r="H364" s="8"/>
      <c r="I364" s="8"/>
      <c r="J364" s="30" t="str">
        <f t="shared" si="8"/>
        <v/>
      </c>
      <c r="K364" s="30" t="str">
        <f t="shared" si="9"/>
        <v/>
      </c>
      <c r="L364" s="30" t="str">
        <f t="shared" si="10"/>
        <v/>
      </c>
      <c r="M364" s="30" t="str">
        <f t="shared" si="11"/>
        <v/>
      </c>
      <c r="N364" s="30" t="str">
        <f t="shared" si="7"/>
        <v/>
      </c>
      <c r="O364" s="8"/>
      <c r="P364" s="8"/>
      <c r="Q364" s="8"/>
      <c r="R364" s="8"/>
      <c r="S364" s="8"/>
      <c r="T364" s="8"/>
      <c r="U364" s="8"/>
      <c r="V364" s="8"/>
      <c r="W364" s="8"/>
      <c r="X364" s="8"/>
      <c r="Y364" s="8"/>
      <c r="Z364" s="8"/>
    </row>
    <row r="365" ht="18.0" customHeight="1">
      <c r="A365" s="8"/>
      <c r="B365" s="8"/>
      <c r="C365" s="8"/>
      <c r="D365" s="25"/>
      <c r="E365" s="25"/>
      <c r="F365" s="8"/>
      <c r="G365" s="25"/>
      <c r="H365" s="8"/>
      <c r="I365" s="8"/>
      <c r="J365" s="30" t="str">
        <f t="shared" si="8"/>
        <v/>
      </c>
      <c r="K365" s="30" t="str">
        <f t="shared" si="9"/>
        <v/>
      </c>
      <c r="L365" s="30" t="str">
        <f t="shared" si="10"/>
        <v/>
      </c>
      <c r="M365" s="30" t="str">
        <f t="shared" si="11"/>
        <v/>
      </c>
      <c r="N365" s="30" t="str">
        <f t="shared" si="7"/>
        <v/>
      </c>
      <c r="O365" s="8"/>
      <c r="P365" s="8"/>
      <c r="Q365" s="8"/>
      <c r="R365" s="8"/>
      <c r="S365" s="8"/>
      <c r="T365" s="8"/>
      <c r="U365" s="8"/>
      <c r="V365" s="8"/>
      <c r="W365" s="8"/>
      <c r="X365" s="8"/>
      <c r="Y365" s="8"/>
      <c r="Z365" s="8"/>
    </row>
    <row r="366" ht="18.0" customHeight="1">
      <c r="A366" s="8"/>
      <c r="B366" s="8"/>
      <c r="C366" s="8"/>
      <c r="D366" s="25"/>
      <c r="E366" s="25"/>
      <c r="F366" s="8"/>
      <c r="G366" s="25"/>
      <c r="H366" s="8"/>
      <c r="I366" s="8"/>
      <c r="J366" s="30" t="str">
        <f t="shared" si="8"/>
        <v/>
      </c>
      <c r="K366" s="30" t="str">
        <f t="shared" si="9"/>
        <v/>
      </c>
      <c r="L366" s="30" t="str">
        <f t="shared" si="10"/>
        <v/>
      </c>
      <c r="M366" s="30" t="str">
        <f t="shared" si="11"/>
        <v/>
      </c>
      <c r="N366" s="30" t="str">
        <f t="shared" si="7"/>
        <v/>
      </c>
      <c r="O366" s="8"/>
      <c r="P366" s="8"/>
      <c r="Q366" s="8"/>
      <c r="R366" s="8"/>
      <c r="S366" s="8"/>
      <c r="T366" s="8"/>
      <c r="U366" s="8"/>
      <c r="V366" s="8"/>
      <c r="W366" s="8"/>
      <c r="X366" s="8"/>
      <c r="Y366" s="8"/>
      <c r="Z366" s="8"/>
    </row>
    <row r="367" ht="18.0" customHeight="1">
      <c r="A367" s="8"/>
      <c r="B367" s="8"/>
      <c r="C367" s="8"/>
      <c r="D367" s="25"/>
      <c r="E367" s="25"/>
      <c r="F367" s="8"/>
      <c r="G367" s="25"/>
      <c r="H367" s="8"/>
      <c r="I367" s="8"/>
      <c r="J367" s="30" t="str">
        <f t="shared" si="8"/>
        <v/>
      </c>
      <c r="K367" s="30" t="str">
        <f t="shared" si="9"/>
        <v/>
      </c>
      <c r="L367" s="30" t="str">
        <f t="shared" si="10"/>
        <v/>
      </c>
      <c r="M367" s="30" t="str">
        <f t="shared" si="11"/>
        <v/>
      </c>
      <c r="N367" s="30" t="str">
        <f t="shared" si="7"/>
        <v/>
      </c>
      <c r="O367" s="8"/>
      <c r="P367" s="8"/>
      <c r="Q367" s="8"/>
      <c r="R367" s="8"/>
      <c r="S367" s="8"/>
      <c r="T367" s="8"/>
      <c r="U367" s="8"/>
      <c r="V367" s="8"/>
      <c r="W367" s="8"/>
      <c r="X367" s="8"/>
      <c r="Y367" s="8"/>
      <c r="Z367" s="8"/>
    </row>
    <row r="368" ht="18.0" customHeight="1">
      <c r="A368" s="8"/>
      <c r="B368" s="8"/>
      <c r="C368" s="8"/>
      <c r="D368" s="25"/>
      <c r="E368" s="25"/>
      <c r="F368" s="8"/>
      <c r="G368" s="25"/>
      <c r="H368" s="8"/>
      <c r="I368" s="8"/>
      <c r="J368" s="30" t="str">
        <f t="shared" si="8"/>
        <v/>
      </c>
      <c r="K368" s="30" t="str">
        <f t="shared" si="9"/>
        <v/>
      </c>
      <c r="L368" s="30" t="str">
        <f t="shared" si="10"/>
        <v/>
      </c>
      <c r="M368" s="30" t="str">
        <f t="shared" si="11"/>
        <v/>
      </c>
      <c r="N368" s="30" t="str">
        <f t="shared" si="7"/>
        <v/>
      </c>
      <c r="O368" s="8"/>
      <c r="P368" s="8"/>
      <c r="Q368" s="8"/>
      <c r="R368" s="8"/>
      <c r="S368" s="8"/>
      <c r="T368" s="8"/>
      <c r="U368" s="8"/>
      <c r="V368" s="8"/>
      <c r="W368" s="8"/>
      <c r="X368" s="8"/>
      <c r="Y368" s="8"/>
      <c r="Z368" s="8"/>
    </row>
    <row r="369" ht="18.0" customHeight="1">
      <c r="A369" s="8"/>
      <c r="B369" s="8"/>
      <c r="C369" s="8"/>
      <c r="D369" s="25"/>
      <c r="E369" s="25"/>
      <c r="F369" s="8"/>
      <c r="G369" s="25"/>
      <c r="H369" s="8"/>
      <c r="I369" s="8"/>
      <c r="J369" s="30" t="str">
        <f t="shared" si="8"/>
        <v/>
      </c>
      <c r="K369" s="30" t="str">
        <f t="shared" si="9"/>
        <v/>
      </c>
      <c r="L369" s="30" t="str">
        <f t="shared" si="10"/>
        <v/>
      </c>
      <c r="M369" s="30" t="str">
        <f t="shared" si="11"/>
        <v/>
      </c>
      <c r="N369" s="30" t="str">
        <f t="shared" si="7"/>
        <v/>
      </c>
      <c r="O369" s="8"/>
      <c r="P369" s="8"/>
      <c r="Q369" s="8"/>
      <c r="R369" s="8"/>
      <c r="S369" s="8"/>
      <c r="T369" s="8"/>
      <c r="U369" s="8"/>
      <c r="V369" s="8"/>
      <c r="W369" s="8"/>
      <c r="X369" s="8"/>
      <c r="Y369" s="8"/>
      <c r="Z369" s="8"/>
    </row>
    <row r="370" ht="18.0" customHeight="1">
      <c r="A370" s="8"/>
      <c r="B370" s="8"/>
      <c r="C370" s="8"/>
      <c r="D370" s="25"/>
      <c r="E370" s="25"/>
      <c r="F370" s="8"/>
      <c r="G370" s="25"/>
      <c r="H370" s="8"/>
      <c r="I370" s="8"/>
      <c r="J370" s="30" t="str">
        <f t="shared" si="8"/>
        <v/>
      </c>
      <c r="K370" s="30" t="str">
        <f t="shared" si="9"/>
        <v/>
      </c>
      <c r="L370" s="30" t="str">
        <f t="shared" si="10"/>
        <v/>
      </c>
      <c r="M370" s="30" t="str">
        <f t="shared" si="11"/>
        <v/>
      </c>
      <c r="N370" s="30" t="str">
        <f t="shared" si="7"/>
        <v/>
      </c>
      <c r="O370" s="8"/>
      <c r="P370" s="8"/>
      <c r="Q370" s="8"/>
      <c r="R370" s="8"/>
      <c r="S370" s="8"/>
      <c r="T370" s="8"/>
      <c r="U370" s="8"/>
      <c r="V370" s="8"/>
      <c r="W370" s="8"/>
      <c r="X370" s="8"/>
      <c r="Y370" s="8"/>
      <c r="Z370" s="8"/>
    </row>
    <row r="371" ht="18.0" customHeight="1">
      <c r="A371" s="8"/>
      <c r="B371" s="8"/>
      <c r="C371" s="8"/>
      <c r="D371" s="25"/>
      <c r="E371" s="25"/>
      <c r="F371" s="8"/>
      <c r="G371" s="25"/>
      <c r="H371" s="8"/>
      <c r="I371" s="8"/>
      <c r="J371" s="30" t="str">
        <f t="shared" si="8"/>
        <v/>
      </c>
      <c r="K371" s="30" t="str">
        <f t="shared" si="9"/>
        <v/>
      </c>
      <c r="L371" s="30" t="str">
        <f t="shared" si="10"/>
        <v/>
      </c>
      <c r="M371" s="30" t="str">
        <f t="shared" si="11"/>
        <v/>
      </c>
      <c r="N371" s="30" t="str">
        <f t="shared" si="7"/>
        <v/>
      </c>
      <c r="O371" s="8"/>
      <c r="P371" s="8"/>
      <c r="Q371" s="8"/>
      <c r="R371" s="8"/>
      <c r="S371" s="8"/>
      <c r="T371" s="8"/>
      <c r="U371" s="8"/>
      <c r="V371" s="8"/>
      <c r="W371" s="8"/>
      <c r="X371" s="8"/>
      <c r="Y371" s="8"/>
      <c r="Z371" s="8"/>
    </row>
    <row r="372" ht="18.0" customHeight="1">
      <c r="A372" s="8"/>
      <c r="B372" s="8"/>
      <c r="C372" s="8"/>
      <c r="D372" s="25"/>
      <c r="E372" s="25"/>
      <c r="F372" s="8"/>
      <c r="G372" s="25"/>
      <c r="H372" s="8"/>
      <c r="I372" s="8"/>
      <c r="J372" s="30" t="str">
        <f t="shared" si="8"/>
        <v/>
      </c>
      <c r="K372" s="30" t="str">
        <f t="shared" si="9"/>
        <v/>
      </c>
      <c r="L372" s="30" t="str">
        <f t="shared" si="10"/>
        <v/>
      </c>
      <c r="M372" s="30" t="str">
        <f t="shared" si="11"/>
        <v/>
      </c>
      <c r="N372" s="30" t="str">
        <f t="shared" si="7"/>
        <v/>
      </c>
      <c r="O372" s="8"/>
      <c r="P372" s="8"/>
      <c r="Q372" s="8"/>
      <c r="R372" s="8"/>
      <c r="S372" s="8"/>
      <c r="T372" s="8"/>
      <c r="U372" s="8"/>
      <c r="V372" s="8"/>
      <c r="W372" s="8"/>
      <c r="X372" s="8"/>
      <c r="Y372" s="8"/>
      <c r="Z372" s="8"/>
    </row>
    <row r="373" ht="18.0" customHeight="1">
      <c r="A373" s="8"/>
      <c r="B373" s="8"/>
      <c r="C373" s="8"/>
      <c r="D373" s="25"/>
      <c r="E373" s="25"/>
      <c r="F373" s="8"/>
      <c r="G373" s="25"/>
      <c r="H373" s="8"/>
      <c r="I373" s="8"/>
      <c r="J373" s="30" t="str">
        <f t="shared" si="8"/>
        <v/>
      </c>
      <c r="K373" s="30" t="str">
        <f t="shared" si="9"/>
        <v/>
      </c>
      <c r="L373" s="30" t="str">
        <f t="shared" si="10"/>
        <v/>
      </c>
      <c r="M373" s="30" t="str">
        <f t="shared" si="11"/>
        <v/>
      </c>
      <c r="N373" s="30" t="str">
        <f t="shared" si="7"/>
        <v/>
      </c>
      <c r="O373" s="8"/>
      <c r="P373" s="8"/>
      <c r="Q373" s="8"/>
      <c r="R373" s="8"/>
      <c r="S373" s="8"/>
      <c r="T373" s="8"/>
      <c r="U373" s="8"/>
      <c r="V373" s="8"/>
      <c r="W373" s="8"/>
      <c r="X373" s="8"/>
      <c r="Y373" s="8"/>
      <c r="Z373" s="8"/>
    </row>
    <row r="374" ht="18.0" customHeight="1">
      <c r="A374" s="8"/>
      <c r="B374" s="8"/>
      <c r="C374" s="8"/>
      <c r="D374" s="25"/>
      <c r="E374" s="25"/>
      <c r="F374" s="8"/>
      <c r="G374" s="25"/>
      <c r="H374" s="8"/>
      <c r="I374" s="8"/>
      <c r="J374" s="30" t="str">
        <f t="shared" si="8"/>
        <v/>
      </c>
      <c r="K374" s="30" t="str">
        <f t="shared" si="9"/>
        <v/>
      </c>
      <c r="L374" s="30" t="str">
        <f t="shared" si="10"/>
        <v/>
      </c>
      <c r="M374" s="30" t="str">
        <f t="shared" si="11"/>
        <v/>
      </c>
      <c r="N374" s="30" t="str">
        <f t="shared" si="7"/>
        <v/>
      </c>
      <c r="O374" s="8"/>
      <c r="P374" s="8"/>
      <c r="Q374" s="8"/>
      <c r="R374" s="8"/>
      <c r="S374" s="8"/>
      <c r="T374" s="8"/>
      <c r="U374" s="8"/>
      <c r="V374" s="8"/>
      <c r="W374" s="8"/>
      <c r="X374" s="8"/>
      <c r="Y374" s="8"/>
      <c r="Z374" s="8"/>
    </row>
    <row r="375" ht="18.0" customHeight="1">
      <c r="A375" s="8"/>
      <c r="B375" s="8"/>
      <c r="C375" s="8"/>
      <c r="D375" s="25"/>
      <c r="E375" s="25"/>
      <c r="F375" s="8"/>
      <c r="G375" s="25"/>
      <c r="H375" s="8"/>
      <c r="I375" s="8"/>
      <c r="J375" s="30" t="str">
        <f t="shared" si="8"/>
        <v/>
      </c>
      <c r="K375" s="30" t="str">
        <f t="shared" si="9"/>
        <v/>
      </c>
      <c r="L375" s="30" t="str">
        <f t="shared" si="10"/>
        <v/>
      </c>
      <c r="M375" s="30" t="str">
        <f t="shared" si="11"/>
        <v/>
      </c>
      <c r="N375" s="30" t="str">
        <f t="shared" si="7"/>
        <v/>
      </c>
      <c r="O375" s="8"/>
      <c r="P375" s="8"/>
      <c r="Q375" s="8"/>
      <c r="R375" s="8"/>
      <c r="S375" s="8"/>
      <c r="T375" s="8"/>
      <c r="U375" s="8"/>
      <c r="V375" s="8"/>
      <c r="W375" s="8"/>
      <c r="X375" s="8"/>
      <c r="Y375" s="8"/>
      <c r="Z375" s="8"/>
    </row>
    <row r="376" ht="18.0" customHeight="1">
      <c r="A376" s="8"/>
      <c r="B376" s="8"/>
      <c r="C376" s="8"/>
      <c r="D376" s="25"/>
      <c r="E376" s="25"/>
      <c r="F376" s="8"/>
      <c r="G376" s="25"/>
      <c r="H376" s="8"/>
      <c r="I376" s="8"/>
      <c r="J376" s="30" t="str">
        <f t="shared" si="8"/>
        <v/>
      </c>
      <c r="K376" s="30" t="str">
        <f t="shared" si="9"/>
        <v/>
      </c>
      <c r="L376" s="30" t="str">
        <f t="shared" si="10"/>
        <v/>
      </c>
      <c r="M376" s="30" t="str">
        <f t="shared" si="11"/>
        <v/>
      </c>
      <c r="N376" s="30" t="str">
        <f t="shared" si="7"/>
        <v/>
      </c>
      <c r="O376" s="8"/>
      <c r="P376" s="8"/>
      <c r="Q376" s="8"/>
      <c r="R376" s="8"/>
      <c r="S376" s="8"/>
      <c r="T376" s="8"/>
      <c r="U376" s="8"/>
      <c r="V376" s="8"/>
      <c r="W376" s="8"/>
      <c r="X376" s="8"/>
      <c r="Y376" s="8"/>
      <c r="Z376" s="8"/>
    </row>
    <row r="377" ht="18.0" customHeight="1">
      <c r="A377" s="8"/>
      <c r="B377" s="8"/>
      <c r="C377" s="8"/>
      <c r="D377" s="25"/>
      <c r="E377" s="25"/>
      <c r="F377" s="8"/>
      <c r="G377" s="25"/>
      <c r="H377" s="8"/>
      <c r="I377" s="8"/>
      <c r="J377" s="30" t="str">
        <f t="shared" si="8"/>
        <v/>
      </c>
      <c r="K377" s="30" t="str">
        <f t="shared" si="9"/>
        <v/>
      </c>
      <c r="L377" s="30" t="str">
        <f t="shared" si="10"/>
        <v/>
      </c>
      <c r="M377" s="30" t="str">
        <f t="shared" si="11"/>
        <v/>
      </c>
      <c r="N377" s="30" t="str">
        <f t="shared" si="7"/>
        <v/>
      </c>
      <c r="O377" s="8"/>
      <c r="P377" s="8"/>
      <c r="Q377" s="8"/>
      <c r="R377" s="8"/>
      <c r="S377" s="8"/>
      <c r="T377" s="8"/>
      <c r="U377" s="8"/>
      <c r="V377" s="8"/>
      <c r="W377" s="8"/>
      <c r="X377" s="8"/>
      <c r="Y377" s="8"/>
      <c r="Z377" s="8"/>
    </row>
    <row r="378" ht="18.0" customHeight="1">
      <c r="A378" s="8"/>
      <c r="B378" s="8"/>
      <c r="C378" s="8"/>
      <c r="D378" s="25"/>
      <c r="E378" s="25"/>
      <c r="F378" s="8"/>
      <c r="G378" s="25"/>
      <c r="H378" s="8"/>
      <c r="I378" s="8"/>
      <c r="J378" s="30" t="str">
        <f t="shared" si="8"/>
        <v/>
      </c>
      <c r="K378" s="30" t="str">
        <f t="shared" si="9"/>
        <v/>
      </c>
      <c r="L378" s="30" t="str">
        <f t="shared" si="10"/>
        <v/>
      </c>
      <c r="M378" s="30" t="str">
        <f t="shared" si="11"/>
        <v/>
      </c>
      <c r="N378" s="30" t="str">
        <f t="shared" si="7"/>
        <v/>
      </c>
      <c r="O378" s="8"/>
      <c r="P378" s="8"/>
      <c r="Q378" s="8"/>
      <c r="R378" s="8"/>
      <c r="S378" s="8"/>
      <c r="T378" s="8"/>
      <c r="U378" s="8"/>
      <c r="V378" s="8"/>
      <c r="W378" s="8"/>
      <c r="X378" s="8"/>
      <c r="Y378" s="8"/>
      <c r="Z378" s="8"/>
    </row>
    <row r="379" ht="18.0" customHeight="1">
      <c r="A379" s="8"/>
      <c r="B379" s="8"/>
      <c r="C379" s="8"/>
      <c r="D379" s="25"/>
      <c r="E379" s="25"/>
      <c r="F379" s="8"/>
      <c r="G379" s="25"/>
      <c r="H379" s="8"/>
      <c r="I379" s="8"/>
      <c r="J379" s="30" t="str">
        <f t="shared" si="8"/>
        <v/>
      </c>
      <c r="K379" s="30" t="str">
        <f t="shared" si="9"/>
        <v/>
      </c>
      <c r="L379" s="30" t="str">
        <f t="shared" si="10"/>
        <v/>
      </c>
      <c r="M379" s="30" t="str">
        <f t="shared" si="11"/>
        <v/>
      </c>
      <c r="N379" s="30" t="str">
        <f t="shared" si="7"/>
        <v/>
      </c>
      <c r="O379" s="8"/>
      <c r="P379" s="8"/>
      <c r="Q379" s="8"/>
      <c r="R379" s="8"/>
      <c r="S379" s="8"/>
      <c r="T379" s="8"/>
      <c r="U379" s="8"/>
      <c r="V379" s="8"/>
      <c r="W379" s="8"/>
      <c r="X379" s="8"/>
      <c r="Y379" s="8"/>
      <c r="Z379" s="8"/>
    </row>
    <row r="380" ht="18.0" customHeight="1">
      <c r="A380" s="8"/>
      <c r="B380" s="8"/>
      <c r="C380" s="8"/>
      <c r="D380" s="25"/>
      <c r="E380" s="25"/>
      <c r="F380" s="8"/>
      <c r="G380" s="25"/>
      <c r="H380" s="8"/>
      <c r="I380" s="8"/>
      <c r="J380" s="30" t="str">
        <f t="shared" si="8"/>
        <v/>
      </c>
      <c r="K380" s="30" t="str">
        <f t="shared" si="9"/>
        <v/>
      </c>
      <c r="L380" s="30" t="str">
        <f t="shared" si="10"/>
        <v/>
      </c>
      <c r="M380" s="30" t="str">
        <f t="shared" si="11"/>
        <v/>
      </c>
      <c r="N380" s="30" t="str">
        <f t="shared" si="7"/>
        <v/>
      </c>
      <c r="O380" s="8"/>
      <c r="P380" s="8"/>
      <c r="Q380" s="8"/>
      <c r="R380" s="8"/>
      <c r="S380" s="8"/>
      <c r="T380" s="8"/>
      <c r="U380" s="8"/>
      <c r="V380" s="8"/>
      <c r="W380" s="8"/>
      <c r="X380" s="8"/>
      <c r="Y380" s="8"/>
      <c r="Z380" s="8"/>
    </row>
    <row r="381" ht="18.0" customHeight="1">
      <c r="A381" s="8"/>
      <c r="B381" s="8"/>
      <c r="C381" s="8"/>
      <c r="D381" s="25"/>
      <c r="E381" s="25"/>
      <c r="F381" s="8"/>
      <c r="G381" s="25"/>
      <c r="H381" s="8"/>
      <c r="I381" s="8"/>
      <c r="J381" s="30" t="str">
        <f t="shared" si="8"/>
        <v/>
      </c>
      <c r="K381" s="30" t="str">
        <f t="shared" si="9"/>
        <v/>
      </c>
      <c r="L381" s="30" t="str">
        <f t="shared" si="10"/>
        <v/>
      </c>
      <c r="M381" s="30" t="str">
        <f t="shared" si="11"/>
        <v/>
      </c>
      <c r="N381" s="30" t="str">
        <f t="shared" si="7"/>
        <v/>
      </c>
      <c r="O381" s="8"/>
      <c r="P381" s="8"/>
      <c r="Q381" s="8"/>
      <c r="R381" s="8"/>
      <c r="S381" s="8"/>
      <c r="T381" s="8"/>
      <c r="U381" s="8"/>
      <c r="V381" s="8"/>
      <c r="W381" s="8"/>
      <c r="X381" s="8"/>
      <c r="Y381" s="8"/>
      <c r="Z381" s="8"/>
    </row>
    <row r="382" ht="18.0" customHeight="1">
      <c r="A382" s="8"/>
      <c r="B382" s="8"/>
      <c r="C382" s="8"/>
      <c r="D382" s="25"/>
      <c r="E382" s="25"/>
      <c r="F382" s="8"/>
      <c r="G382" s="25"/>
      <c r="H382" s="8"/>
      <c r="I382" s="8"/>
      <c r="J382" s="30" t="str">
        <f t="shared" si="8"/>
        <v/>
      </c>
      <c r="K382" s="30" t="str">
        <f t="shared" si="9"/>
        <v/>
      </c>
      <c r="L382" s="30" t="str">
        <f t="shared" si="10"/>
        <v/>
      </c>
      <c r="M382" s="30" t="str">
        <f t="shared" si="11"/>
        <v/>
      </c>
      <c r="N382" s="30" t="str">
        <f t="shared" si="7"/>
        <v/>
      </c>
      <c r="O382" s="8"/>
      <c r="P382" s="8"/>
      <c r="Q382" s="8"/>
      <c r="R382" s="8"/>
      <c r="S382" s="8"/>
      <c r="T382" s="8"/>
      <c r="U382" s="8"/>
      <c r="V382" s="8"/>
      <c r="W382" s="8"/>
      <c r="X382" s="8"/>
      <c r="Y382" s="8"/>
      <c r="Z382" s="8"/>
    </row>
    <row r="383" ht="18.0" customHeight="1">
      <c r="A383" s="8"/>
      <c r="B383" s="8"/>
      <c r="C383" s="8"/>
      <c r="D383" s="25"/>
      <c r="E383" s="25"/>
      <c r="F383" s="8"/>
      <c r="G383" s="25"/>
      <c r="H383" s="8"/>
      <c r="I383" s="8"/>
      <c r="J383" s="30" t="str">
        <f t="shared" si="8"/>
        <v/>
      </c>
      <c r="K383" s="30" t="str">
        <f t="shared" si="9"/>
        <v/>
      </c>
      <c r="L383" s="30" t="str">
        <f t="shared" si="10"/>
        <v/>
      </c>
      <c r="M383" s="30" t="str">
        <f t="shared" si="11"/>
        <v/>
      </c>
      <c r="N383" s="30" t="str">
        <f t="shared" si="7"/>
        <v/>
      </c>
      <c r="O383" s="8"/>
      <c r="P383" s="8"/>
      <c r="Q383" s="8"/>
      <c r="R383" s="8"/>
      <c r="S383" s="8"/>
      <c r="T383" s="8"/>
      <c r="U383" s="8"/>
      <c r="V383" s="8"/>
      <c r="W383" s="8"/>
      <c r="X383" s="8"/>
      <c r="Y383" s="8"/>
      <c r="Z383" s="8"/>
    </row>
    <row r="384" ht="18.0" customHeight="1">
      <c r="A384" s="8"/>
      <c r="B384" s="8"/>
      <c r="C384" s="8"/>
      <c r="D384" s="25"/>
      <c r="E384" s="25"/>
      <c r="F384" s="8"/>
      <c r="G384" s="25"/>
      <c r="H384" s="8"/>
      <c r="I384" s="8"/>
      <c r="J384" s="30" t="str">
        <f t="shared" si="8"/>
        <v/>
      </c>
      <c r="K384" s="30" t="str">
        <f t="shared" si="9"/>
        <v/>
      </c>
      <c r="L384" s="30" t="str">
        <f t="shared" si="10"/>
        <v/>
      </c>
      <c r="M384" s="30" t="str">
        <f t="shared" si="11"/>
        <v/>
      </c>
      <c r="N384" s="30" t="str">
        <f t="shared" si="7"/>
        <v/>
      </c>
      <c r="O384" s="8"/>
      <c r="P384" s="8"/>
      <c r="Q384" s="8"/>
      <c r="R384" s="8"/>
      <c r="S384" s="8"/>
      <c r="T384" s="8"/>
      <c r="U384" s="8"/>
      <c r="V384" s="8"/>
      <c r="W384" s="8"/>
      <c r="X384" s="8"/>
      <c r="Y384" s="8"/>
      <c r="Z384" s="8"/>
    </row>
    <row r="385" ht="18.0" customHeight="1">
      <c r="A385" s="8"/>
      <c r="B385" s="8"/>
      <c r="C385" s="8"/>
      <c r="D385" s="25"/>
      <c r="E385" s="25"/>
      <c r="F385" s="8"/>
      <c r="G385" s="25"/>
      <c r="H385" s="8"/>
      <c r="I385" s="8"/>
      <c r="J385" s="30" t="str">
        <f t="shared" si="8"/>
        <v/>
      </c>
      <c r="K385" s="30" t="str">
        <f t="shared" si="9"/>
        <v/>
      </c>
      <c r="L385" s="30" t="str">
        <f t="shared" si="10"/>
        <v/>
      </c>
      <c r="M385" s="30" t="str">
        <f t="shared" si="11"/>
        <v/>
      </c>
      <c r="N385" s="30" t="str">
        <f t="shared" si="7"/>
        <v/>
      </c>
      <c r="O385" s="8"/>
      <c r="P385" s="8"/>
      <c r="Q385" s="8"/>
      <c r="R385" s="8"/>
      <c r="S385" s="8"/>
      <c r="T385" s="8"/>
      <c r="U385" s="8"/>
      <c r="V385" s="8"/>
      <c r="W385" s="8"/>
      <c r="X385" s="8"/>
      <c r="Y385" s="8"/>
      <c r="Z385" s="8"/>
    </row>
    <row r="386" ht="18.0" customHeight="1">
      <c r="A386" s="8"/>
      <c r="B386" s="8"/>
      <c r="C386" s="8"/>
      <c r="D386" s="25"/>
      <c r="E386" s="25"/>
      <c r="F386" s="8"/>
      <c r="G386" s="25"/>
      <c r="H386" s="8"/>
      <c r="I386" s="8"/>
      <c r="J386" s="30" t="str">
        <f t="shared" si="8"/>
        <v/>
      </c>
      <c r="K386" s="30" t="str">
        <f t="shared" si="9"/>
        <v/>
      </c>
      <c r="L386" s="30" t="str">
        <f t="shared" si="10"/>
        <v/>
      </c>
      <c r="M386" s="30" t="str">
        <f t="shared" si="11"/>
        <v/>
      </c>
      <c r="N386" s="30" t="str">
        <f t="shared" si="7"/>
        <v/>
      </c>
      <c r="O386" s="8"/>
      <c r="P386" s="8"/>
      <c r="Q386" s="8"/>
      <c r="R386" s="8"/>
      <c r="S386" s="8"/>
      <c r="T386" s="8"/>
      <c r="U386" s="8"/>
      <c r="V386" s="8"/>
      <c r="W386" s="8"/>
      <c r="X386" s="8"/>
      <c r="Y386" s="8"/>
      <c r="Z386" s="8"/>
    </row>
    <row r="387" ht="18.0" customHeight="1">
      <c r="A387" s="8"/>
      <c r="B387" s="8"/>
      <c r="C387" s="8"/>
      <c r="D387" s="25"/>
      <c r="E387" s="25"/>
      <c r="F387" s="8"/>
      <c r="G387" s="25"/>
      <c r="H387" s="8"/>
      <c r="I387" s="8"/>
      <c r="J387" s="30" t="str">
        <f t="shared" si="8"/>
        <v/>
      </c>
      <c r="K387" s="30" t="str">
        <f t="shared" si="9"/>
        <v/>
      </c>
      <c r="L387" s="30" t="str">
        <f t="shared" si="10"/>
        <v/>
      </c>
      <c r="M387" s="30" t="str">
        <f t="shared" si="11"/>
        <v/>
      </c>
      <c r="N387" s="30" t="str">
        <f t="shared" si="7"/>
        <v/>
      </c>
      <c r="O387" s="8"/>
      <c r="P387" s="8"/>
      <c r="Q387" s="8"/>
      <c r="R387" s="8"/>
      <c r="S387" s="8"/>
      <c r="T387" s="8"/>
      <c r="U387" s="8"/>
      <c r="V387" s="8"/>
      <c r="W387" s="8"/>
      <c r="X387" s="8"/>
      <c r="Y387" s="8"/>
      <c r="Z387" s="8"/>
    </row>
    <row r="388" ht="18.0" customHeight="1">
      <c r="A388" s="8"/>
      <c r="B388" s="8"/>
      <c r="C388" s="8"/>
      <c r="D388" s="25"/>
      <c r="E388" s="25"/>
      <c r="F388" s="8"/>
      <c r="G388" s="25"/>
      <c r="H388" s="8"/>
      <c r="I388" s="8"/>
      <c r="J388" s="30" t="str">
        <f t="shared" si="8"/>
        <v/>
      </c>
      <c r="K388" s="30" t="str">
        <f t="shared" si="9"/>
        <v/>
      </c>
      <c r="L388" s="30" t="str">
        <f t="shared" si="10"/>
        <v/>
      </c>
      <c r="M388" s="30" t="str">
        <f t="shared" si="11"/>
        <v/>
      </c>
      <c r="N388" s="30" t="str">
        <f t="shared" si="7"/>
        <v/>
      </c>
      <c r="O388" s="8"/>
      <c r="P388" s="8"/>
      <c r="Q388" s="8"/>
      <c r="R388" s="8"/>
      <c r="S388" s="8"/>
      <c r="T388" s="8"/>
      <c r="U388" s="8"/>
      <c r="V388" s="8"/>
      <c r="W388" s="8"/>
      <c r="X388" s="8"/>
      <c r="Y388" s="8"/>
      <c r="Z388" s="8"/>
    </row>
    <row r="389" ht="18.0" customHeight="1">
      <c r="A389" s="8"/>
      <c r="B389" s="8"/>
      <c r="C389" s="8"/>
      <c r="D389" s="25"/>
      <c r="E389" s="25"/>
      <c r="F389" s="8"/>
      <c r="G389" s="25"/>
      <c r="H389" s="8"/>
      <c r="I389" s="8"/>
      <c r="J389" s="30" t="str">
        <f t="shared" si="8"/>
        <v/>
      </c>
      <c r="K389" s="30" t="str">
        <f t="shared" si="9"/>
        <v/>
      </c>
      <c r="L389" s="30" t="str">
        <f t="shared" si="10"/>
        <v/>
      </c>
      <c r="M389" s="30" t="str">
        <f t="shared" si="11"/>
        <v/>
      </c>
      <c r="N389" s="30" t="str">
        <f t="shared" si="7"/>
        <v/>
      </c>
      <c r="O389" s="8"/>
      <c r="P389" s="8"/>
      <c r="Q389" s="8"/>
      <c r="R389" s="8"/>
      <c r="S389" s="8"/>
      <c r="T389" s="8"/>
      <c r="U389" s="8"/>
      <c r="V389" s="8"/>
      <c r="W389" s="8"/>
      <c r="X389" s="8"/>
      <c r="Y389" s="8"/>
      <c r="Z389" s="8"/>
    </row>
    <row r="390" ht="18.0" customHeight="1">
      <c r="A390" s="8"/>
      <c r="B390" s="8"/>
      <c r="C390" s="8"/>
      <c r="D390" s="25"/>
      <c r="E390" s="25"/>
      <c r="F390" s="8"/>
      <c r="G390" s="25"/>
      <c r="H390" s="8"/>
      <c r="I390" s="8"/>
      <c r="J390" s="30" t="str">
        <f t="shared" si="8"/>
        <v/>
      </c>
      <c r="K390" s="30" t="str">
        <f t="shared" si="9"/>
        <v/>
      </c>
      <c r="L390" s="30" t="str">
        <f t="shared" si="10"/>
        <v/>
      </c>
      <c r="M390" s="30" t="str">
        <f t="shared" si="11"/>
        <v/>
      </c>
      <c r="N390" s="30" t="str">
        <f t="shared" si="7"/>
        <v/>
      </c>
      <c r="O390" s="8"/>
      <c r="P390" s="8"/>
      <c r="Q390" s="8"/>
      <c r="R390" s="8"/>
      <c r="S390" s="8"/>
      <c r="T390" s="8"/>
      <c r="U390" s="8"/>
      <c r="V390" s="8"/>
      <c r="W390" s="8"/>
      <c r="X390" s="8"/>
      <c r="Y390" s="8"/>
      <c r="Z390" s="8"/>
    </row>
    <row r="391" ht="18.0" customHeight="1">
      <c r="A391" s="8"/>
      <c r="B391" s="8"/>
      <c r="C391" s="8"/>
      <c r="D391" s="25"/>
      <c r="E391" s="25"/>
      <c r="F391" s="8"/>
      <c r="G391" s="25"/>
      <c r="H391" s="8"/>
      <c r="I391" s="8"/>
      <c r="J391" s="30" t="str">
        <f t="shared" si="8"/>
        <v/>
      </c>
      <c r="K391" s="30" t="str">
        <f t="shared" si="9"/>
        <v/>
      </c>
      <c r="L391" s="30" t="str">
        <f t="shared" si="10"/>
        <v/>
      </c>
      <c r="M391" s="30" t="str">
        <f t="shared" si="11"/>
        <v/>
      </c>
      <c r="N391" s="30" t="str">
        <f t="shared" si="7"/>
        <v/>
      </c>
      <c r="O391" s="8"/>
      <c r="P391" s="8"/>
      <c r="Q391" s="8"/>
      <c r="R391" s="8"/>
      <c r="S391" s="8"/>
      <c r="T391" s="8"/>
      <c r="U391" s="8"/>
      <c r="V391" s="8"/>
      <c r="W391" s="8"/>
      <c r="X391" s="8"/>
      <c r="Y391" s="8"/>
      <c r="Z391" s="8"/>
    </row>
    <row r="392" ht="18.0" customHeight="1">
      <c r="A392" s="8"/>
      <c r="B392" s="8"/>
      <c r="C392" s="8"/>
      <c r="D392" s="25"/>
      <c r="E392" s="25"/>
      <c r="F392" s="8"/>
      <c r="G392" s="25"/>
      <c r="H392" s="8"/>
      <c r="I392" s="8"/>
      <c r="J392" s="30" t="str">
        <f t="shared" si="8"/>
        <v/>
      </c>
      <c r="K392" s="30" t="str">
        <f t="shared" si="9"/>
        <v/>
      </c>
      <c r="L392" s="30" t="str">
        <f t="shared" si="10"/>
        <v/>
      </c>
      <c r="M392" s="30" t="str">
        <f t="shared" si="11"/>
        <v/>
      </c>
      <c r="N392" s="30" t="str">
        <f t="shared" si="7"/>
        <v/>
      </c>
      <c r="O392" s="8"/>
      <c r="P392" s="8"/>
      <c r="Q392" s="8"/>
      <c r="R392" s="8"/>
      <c r="S392" s="8"/>
      <c r="T392" s="8"/>
      <c r="U392" s="8"/>
      <c r="V392" s="8"/>
      <c r="W392" s="8"/>
      <c r="X392" s="8"/>
      <c r="Y392" s="8"/>
      <c r="Z392" s="8"/>
    </row>
    <row r="393" ht="18.0" customHeight="1">
      <c r="A393" s="8"/>
      <c r="B393" s="8"/>
      <c r="C393" s="8"/>
      <c r="D393" s="25"/>
      <c r="E393" s="25"/>
      <c r="F393" s="8"/>
      <c r="G393" s="25"/>
      <c r="H393" s="8"/>
      <c r="I393" s="8"/>
      <c r="J393" s="30" t="str">
        <f t="shared" si="8"/>
        <v/>
      </c>
      <c r="K393" s="30" t="str">
        <f t="shared" si="9"/>
        <v/>
      </c>
      <c r="L393" s="30" t="str">
        <f t="shared" si="10"/>
        <v/>
      </c>
      <c r="M393" s="30" t="str">
        <f t="shared" si="11"/>
        <v/>
      </c>
      <c r="N393" s="30" t="str">
        <f t="shared" si="7"/>
        <v/>
      </c>
      <c r="O393" s="8"/>
      <c r="P393" s="8"/>
      <c r="Q393" s="8"/>
      <c r="R393" s="8"/>
      <c r="S393" s="8"/>
      <c r="T393" s="8"/>
      <c r="U393" s="8"/>
      <c r="V393" s="8"/>
      <c r="W393" s="8"/>
      <c r="X393" s="8"/>
      <c r="Y393" s="8"/>
      <c r="Z393" s="8"/>
    </row>
    <row r="394" ht="18.0" customHeight="1">
      <c r="A394" s="8"/>
      <c r="B394" s="8"/>
      <c r="C394" s="8"/>
      <c r="D394" s="25"/>
      <c r="E394" s="25"/>
      <c r="F394" s="8"/>
      <c r="G394" s="25"/>
      <c r="H394" s="8"/>
      <c r="I394" s="8"/>
      <c r="J394" s="30" t="str">
        <f t="shared" si="8"/>
        <v/>
      </c>
      <c r="K394" s="30" t="str">
        <f t="shared" si="9"/>
        <v/>
      </c>
      <c r="L394" s="30" t="str">
        <f t="shared" si="10"/>
        <v/>
      </c>
      <c r="M394" s="30" t="str">
        <f t="shared" si="11"/>
        <v/>
      </c>
      <c r="N394" s="30" t="str">
        <f t="shared" si="7"/>
        <v/>
      </c>
      <c r="O394" s="8"/>
      <c r="P394" s="8"/>
      <c r="Q394" s="8"/>
      <c r="R394" s="8"/>
      <c r="S394" s="8"/>
      <c r="T394" s="8"/>
      <c r="U394" s="8"/>
      <c r="V394" s="8"/>
      <c r="W394" s="8"/>
      <c r="X394" s="8"/>
      <c r="Y394" s="8"/>
      <c r="Z394" s="8"/>
    </row>
    <row r="395" ht="18.0" customHeight="1">
      <c r="A395" s="8"/>
      <c r="B395" s="8"/>
      <c r="C395" s="8"/>
      <c r="D395" s="25"/>
      <c r="E395" s="25"/>
      <c r="F395" s="8"/>
      <c r="G395" s="25"/>
      <c r="H395" s="8"/>
      <c r="I395" s="8"/>
      <c r="J395" s="30" t="str">
        <f t="shared" si="8"/>
        <v/>
      </c>
      <c r="K395" s="30" t="str">
        <f t="shared" si="9"/>
        <v/>
      </c>
      <c r="L395" s="30" t="str">
        <f t="shared" si="10"/>
        <v/>
      </c>
      <c r="M395" s="30" t="str">
        <f t="shared" si="11"/>
        <v/>
      </c>
      <c r="N395" s="30" t="str">
        <f t="shared" si="7"/>
        <v/>
      </c>
      <c r="O395" s="8"/>
      <c r="P395" s="8"/>
      <c r="Q395" s="8"/>
      <c r="R395" s="8"/>
      <c r="S395" s="8"/>
      <c r="T395" s="8"/>
      <c r="U395" s="8"/>
      <c r="V395" s="8"/>
      <c r="W395" s="8"/>
      <c r="X395" s="8"/>
      <c r="Y395" s="8"/>
      <c r="Z395" s="8"/>
    </row>
    <row r="396" ht="18.0" customHeight="1">
      <c r="A396" s="8"/>
      <c r="B396" s="8"/>
      <c r="C396" s="8"/>
      <c r="D396" s="25"/>
      <c r="E396" s="25"/>
      <c r="F396" s="8"/>
      <c r="G396" s="25"/>
      <c r="H396" s="8"/>
      <c r="I396" s="8"/>
      <c r="J396" s="30" t="str">
        <f t="shared" si="8"/>
        <v/>
      </c>
      <c r="K396" s="30" t="str">
        <f t="shared" si="9"/>
        <v/>
      </c>
      <c r="L396" s="30" t="str">
        <f t="shared" si="10"/>
        <v/>
      </c>
      <c r="M396" s="30" t="str">
        <f t="shared" si="11"/>
        <v/>
      </c>
      <c r="N396" s="30" t="str">
        <f t="shared" si="7"/>
        <v/>
      </c>
      <c r="O396" s="8"/>
      <c r="P396" s="8"/>
      <c r="Q396" s="8"/>
      <c r="R396" s="8"/>
      <c r="S396" s="8"/>
      <c r="T396" s="8"/>
      <c r="U396" s="8"/>
      <c r="V396" s="8"/>
      <c r="W396" s="8"/>
      <c r="X396" s="8"/>
      <c r="Y396" s="8"/>
      <c r="Z396" s="8"/>
    </row>
    <row r="397" ht="18.0" customHeight="1">
      <c r="A397" s="8"/>
      <c r="B397" s="8"/>
      <c r="C397" s="8"/>
      <c r="D397" s="25"/>
      <c r="E397" s="25"/>
      <c r="F397" s="8"/>
      <c r="G397" s="25"/>
      <c r="H397" s="8"/>
      <c r="I397" s="8"/>
      <c r="J397" s="30" t="str">
        <f t="shared" si="8"/>
        <v/>
      </c>
      <c r="K397" s="30" t="str">
        <f t="shared" si="9"/>
        <v/>
      </c>
      <c r="L397" s="30" t="str">
        <f t="shared" si="10"/>
        <v/>
      </c>
      <c r="M397" s="30" t="str">
        <f t="shared" si="11"/>
        <v/>
      </c>
      <c r="N397" s="30" t="str">
        <f t="shared" si="7"/>
        <v/>
      </c>
      <c r="O397" s="8"/>
      <c r="P397" s="8"/>
      <c r="Q397" s="8"/>
      <c r="R397" s="8"/>
      <c r="S397" s="8"/>
      <c r="T397" s="8"/>
      <c r="U397" s="8"/>
      <c r="V397" s="8"/>
      <c r="W397" s="8"/>
      <c r="X397" s="8"/>
      <c r="Y397" s="8"/>
      <c r="Z397" s="8"/>
    </row>
    <row r="398" ht="18.0" customHeight="1">
      <c r="A398" s="8"/>
      <c r="B398" s="8"/>
      <c r="C398" s="8"/>
      <c r="D398" s="25"/>
      <c r="E398" s="25"/>
      <c r="F398" s="8"/>
      <c r="G398" s="25"/>
      <c r="H398" s="8"/>
      <c r="I398" s="8"/>
      <c r="J398" s="30" t="str">
        <f t="shared" si="8"/>
        <v/>
      </c>
      <c r="K398" s="30" t="str">
        <f t="shared" si="9"/>
        <v/>
      </c>
      <c r="L398" s="30" t="str">
        <f t="shared" si="10"/>
        <v/>
      </c>
      <c r="M398" s="30" t="str">
        <f t="shared" si="11"/>
        <v/>
      </c>
      <c r="N398" s="30" t="str">
        <f t="shared" si="7"/>
        <v/>
      </c>
      <c r="O398" s="8"/>
      <c r="P398" s="8"/>
      <c r="Q398" s="8"/>
      <c r="R398" s="8"/>
      <c r="S398" s="8"/>
      <c r="T398" s="8"/>
      <c r="U398" s="8"/>
      <c r="V398" s="8"/>
      <c r="W398" s="8"/>
      <c r="X398" s="8"/>
      <c r="Y398" s="8"/>
      <c r="Z398" s="8"/>
    </row>
    <row r="399" ht="18.0" customHeight="1">
      <c r="A399" s="8"/>
      <c r="B399" s="8"/>
      <c r="C399" s="8"/>
      <c r="D399" s="25"/>
      <c r="E399" s="25"/>
      <c r="F399" s="8"/>
      <c r="G399" s="25"/>
      <c r="H399" s="8"/>
      <c r="I399" s="8"/>
      <c r="J399" s="30" t="str">
        <f t="shared" si="8"/>
        <v/>
      </c>
      <c r="K399" s="30" t="str">
        <f t="shared" si="9"/>
        <v/>
      </c>
      <c r="L399" s="30" t="str">
        <f t="shared" si="10"/>
        <v/>
      </c>
      <c r="M399" s="30" t="str">
        <f t="shared" si="11"/>
        <v/>
      </c>
      <c r="N399" s="30" t="str">
        <f t="shared" si="7"/>
        <v/>
      </c>
      <c r="O399" s="8"/>
      <c r="P399" s="8"/>
      <c r="Q399" s="8"/>
      <c r="R399" s="8"/>
      <c r="S399" s="8"/>
      <c r="T399" s="8"/>
      <c r="U399" s="8"/>
      <c r="V399" s="8"/>
      <c r="W399" s="8"/>
      <c r="X399" s="8"/>
      <c r="Y399" s="8"/>
      <c r="Z399" s="8"/>
    </row>
    <row r="400" ht="18.0" customHeight="1">
      <c r="A400" s="8"/>
      <c r="B400" s="8"/>
      <c r="C400" s="8"/>
      <c r="D400" s="25"/>
      <c r="E400" s="25"/>
      <c r="F400" s="8"/>
      <c r="G400" s="25"/>
      <c r="H400" s="8"/>
      <c r="I400" s="8"/>
      <c r="J400" s="30" t="str">
        <f t="shared" si="8"/>
        <v/>
      </c>
      <c r="K400" s="30" t="str">
        <f t="shared" si="9"/>
        <v/>
      </c>
      <c r="L400" s="30" t="str">
        <f t="shared" si="10"/>
        <v/>
      </c>
      <c r="M400" s="30" t="str">
        <f t="shared" si="11"/>
        <v/>
      </c>
      <c r="N400" s="30" t="str">
        <f t="shared" si="7"/>
        <v/>
      </c>
      <c r="O400" s="8"/>
      <c r="P400" s="8"/>
      <c r="Q400" s="8"/>
      <c r="R400" s="8"/>
      <c r="S400" s="8"/>
      <c r="T400" s="8"/>
      <c r="U400" s="8"/>
      <c r="V400" s="8"/>
      <c r="W400" s="8"/>
      <c r="X400" s="8"/>
      <c r="Y400" s="8"/>
      <c r="Z400" s="8"/>
    </row>
    <row r="401" ht="18.0" customHeight="1">
      <c r="A401" s="8"/>
      <c r="B401" s="8"/>
      <c r="C401" s="8"/>
      <c r="D401" s="25"/>
      <c r="E401" s="25"/>
      <c r="F401" s="8"/>
      <c r="G401" s="25"/>
      <c r="H401" s="8"/>
      <c r="I401" s="8"/>
      <c r="J401" s="30" t="str">
        <f t="shared" si="8"/>
        <v/>
      </c>
      <c r="K401" s="30" t="str">
        <f t="shared" si="9"/>
        <v/>
      </c>
      <c r="L401" s="30" t="str">
        <f t="shared" si="10"/>
        <v/>
      </c>
      <c r="M401" s="30" t="str">
        <f t="shared" si="11"/>
        <v/>
      </c>
      <c r="N401" s="30" t="str">
        <f t="shared" si="7"/>
        <v/>
      </c>
      <c r="O401" s="8"/>
      <c r="P401" s="8"/>
      <c r="Q401" s="8"/>
      <c r="R401" s="8"/>
      <c r="S401" s="8"/>
      <c r="T401" s="8"/>
      <c r="U401" s="8"/>
      <c r="V401" s="8"/>
      <c r="W401" s="8"/>
      <c r="X401" s="8"/>
      <c r="Y401" s="8"/>
      <c r="Z401" s="8"/>
    </row>
    <row r="402" ht="18.0" customHeight="1">
      <c r="A402" s="8"/>
      <c r="B402" s="8"/>
      <c r="C402" s="8"/>
      <c r="D402" s="25"/>
      <c r="E402" s="25"/>
      <c r="F402" s="8"/>
      <c r="G402" s="25"/>
      <c r="H402" s="8"/>
      <c r="I402" s="8"/>
      <c r="J402" s="8"/>
      <c r="K402" s="8"/>
      <c r="L402" s="8"/>
      <c r="M402" s="8"/>
      <c r="N402" s="8"/>
      <c r="O402" s="8"/>
      <c r="P402" s="8"/>
      <c r="Q402" s="8"/>
      <c r="R402" s="8"/>
      <c r="S402" s="8"/>
      <c r="T402" s="8"/>
      <c r="U402" s="8"/>
      <c r="V402" s="8"/>
      <c r="W402" s="8"/>
      <c r="X402" s="8"/>
      <c r="Y402" s="8"/>
      <c r="Z402" s="8"/>
    </row>
    <row r="403" ht="18.0" customHeight="1">
      <c r="A403" s="8"/>
      <c r="B403" s="8"/>
      <c r="C403" s="8"/>
      <c r="D403" s="25"/>
      <c r="E403" s="25"/>
      <c r="F403" s="8"/>
      <c r="G403" s="25"/>
      <c r="H403" s="8"/>
      <c r="I403" s="8"/>
      <c r="J403" s="8"/>
      <c r="K403" s="8"/>
      <c r="L403" s="8"/>
      <c r="M403" s="8"/>
      <c r="N403" s="8"/>
      <c r="O403" s="8"/>
      <c r="P403" s="8"/>
      <c r="Q403" s="8"/>
      <c r="R403" s="8"/>
      <c r="S403" s="8"/>
      <c r="T403" s="8"/>
      <c r="U403" s="8"/>
      <c r="V403" s="8"/>
      <c r="W403" s="8"/>
      <c r="X403" s="8"/>
      <c r="Y403" s="8"/>
      <c r="Z403" s="8"/>
    </row>
    <row r="404" ht="18.0" customHeight="1">
      <c r="A404" s="8"/>
      <c r="B404" s="8"/>
      <c r="C404" s="8"/>
      <c r="D404" s="25"/>
      <c r="E404" s="25"/>
      <c r="F404" s="8"/>
      <c r="G404" s="25"/>
      <c r="H404" s="8"/>
      <c r="I404" s="8"/>
      <c r="J404" s="8"/>
      <c r="K404" s="8"/>
      <c r="L404" s="8"/>
      <c r="M404" s="8"/>
      <c r="N404" s="8"/>
      <c r="O404" s="8"/>
      <c r="P404" s="8"/>
      <c r="Q404" s="8"/>
      <c r="R404" s="8"/>
      <c r="S404" s="8"/>
      <c r="T404" s="8"/>
      <c r="U404" s="8"/>
      <c r="V404" s="8"/>
      <c r="W404" s="8"/>
      <c r="X404" s="8"/>
      <c r="Y404" s="8"/>
      <c r="Z404" s="8"/>
    </row>
    <row r="405" ht="18.0" customHeight="1">
      <c r="A405" s="8"/>
      <c r="B405" s="8"/>
      <c r="C405" s="8"/>
      <c r="D405" s="25"/>
      <c r="E405" s="25"/>
      <c r="F405" s="8"/>
      <c r="G405" s="25"/>
      <c r="H405" s="8"/>
      <c r="I405" s="8"/>
      <c r="J405" s="8"/>
      <c r="K405" s="8"/>
      <c r="L405" s="8"/>
      <c r="M405" s="8"/>
      <c r="N405" s="8"/>
      <c r="O405" s="8"/>
      <c r="P405" s="8"/>
      <c r="Q405" s="8"/>
      <c r="R405" s="8"/>
      <c r="S405" s="8"/>
      <c r="T405" s="8"/>
      <c r="U405" s="8"/>
      <c r="V405" s="8"/>
      <c r="W405" s="8"/>
      <c r="X405" s="8"/>
      <c r="Y405" s="8"/>
      <c r="Z405" s="8"/>
    </row>
    <row r="406" ht="18.0" customHeight="1">
      <c r="A406" s="8"/>
      <c r="B406" s="8"/>
      <c r="C406" s="8"/>
      <c r="D406" s="25"/>
      <c r="E406" s="25"/>
      <c r="F406" s="8"/>
      <c r="G406" s="25"/>
      <c r="H406" s="8"/>
      <c r="I406" s="8"/>
      <c r="J406" s="8"/>
      <c r="K406" s="8"/>
      <c r="L406" s="8"/>
      <c r="M406" s="8"/>
      <c r="N406" s="8"/>
      <c r="O406" s="8"/>
      <c r="P406" s="8"/>
      <c r="Q406" s="8"/>
      <c r="R406" s="8"/>
      <c r="S406" s="8"/>
      <c r="T406" s="8"/>
      <c r="U406" s="8"/>
      <c r="V406" s="8"/>
      <c r="W406" s="8"/>
      <c r="X406" s="8"/>
      <c r="Y406" s="8"/>
      <c r="Z406" s="8"/>
    </row>
    <row r="407" ht="18.0" customHeight="1">
      <c r="A407" s="8"/>
      <c r="B407" s="8"/>
      <c r="C407" s="8"/>
      <c r="D407" s="25"/>
      <c r="E407" s="25"/>
      <c r="F407" s="8"/>
      <c r="G407" s="25"/>
      <c r="H407" s="8"/>
      <c r="I407" s="8"/>
      <c r="J407" s="8"/>
      <c r="K407" s="8"/>
      <c r="L407" s="8"/>
      <c r="M407" s="8"/>
      <c r="N407" s="8"/>
      <c r="O407" s="8"/>
      <c r="P407" s="8"/>
      <c r="Q407" s="8"/>
      <c r="R407" s="8"/>
      <c r="S407" s="8"/>
      <c r="T407" s="8"/>
      <c r="U407" s="8"/>
      <c r="V407" s="8"/>
      <c r="W407" s="8"/>
      <c r="X407" s="8"/>
      <c r="Y407" s="8"/>
      <c r="Z407" s="8"/>
    </row>
    <row r="408" ht="18.0" customHeight="1">
      <c r="A408" s="8"/>
      <c r="B408" s="8"/>
      <c r="C408" s="8"/>
      <c r="D408" s="25"/>
      <c r="E408" s="25"/>
      <c r="F408" s="8"/>
      <c r="G408" s="25"/>
      <c r="H408" s="8"/>
      <c r="I408" s="8"/>
      <c r="J408" s="8"/>
      <c r="K408" s="8"/>
      <c r="L408" s="8"/>
      <c r="M408" s="8"/>
      <c r="N408" s="8"/>
      <c r="O408" s="8"/>
      <c r="P408" s="8"/>
      <c r="Q408" s="8"/>
      <c r="R408" s="8"/>
      <c r="S408" s="8"/>
      <c r="T408" s="8"/>
      <c r="U408" s="8"/>
      <c r="V408" s="8"/>
      <c r="W408" s="8"/>
      <c r="X408" s="8"/>
      <c r="Y408" s="8"/>
      <c r="Z408" s="8"/>
    </row>
    <row r="409" ht="18.0" customHeight="1">
      <c r="A409" s="8"/>
      <c r="B409" s="8"/>
      <c r="C409" s="8"/>
      <c r="D409" s="25"/>
      <c r="E409" s="25"/>
      <c r="F409" s="8"/>
      <c r="G409" s="25"/>
      <c r="H409" s="8"/>
      <c r="I409" s="8"/>
      <c r="J409" s="8"/>
      <c r="K409" s="8"/>
      <c r="L409" s="8"/>
      <c r="M409" s="8"/>
      <c r="N409" s="8"/>
      <c r="O409" s="8"/>
      <c r="P409" s="8"/>
      <c r="Q409" s="8"/>
      <c r="R409" s="8"/>
      <c r="S409" s="8"/>
      <c r="T409" s="8"/>
      <c r="U409" s="8"/>
      <c r="V409" s="8"/>
      <c r="W409" s="8"/>
      <c r="X409" s="8"/>
      <c r="Y409" s="8"/>
      <c r="Z409" s="8"/>
    </row>
    <row r="410" ht="18.0" customHeight="1">
      <c r="A410" s="8"/>
      <c r="B410" s="8"/>
      <c r="C410" s="8"/>
      <c r="D410" s="25"/>
      <c r="E410" s="25"/>
      <c r="F410" s="8"/>
      <c r="G410" s="25"/>
      <c r="H410" s="8"/>
      <c r="I410" s="8"/>
      <c r="J410" s="8"/>
      <c r="K410" s="8"/>
      <c r="L410" s="8"/>
      <c r="M410" s="8"/>
      <c r="N410" s="8"/>
      <c r="O410" s="8"/>
      <c r="P410" s="8"/>
      <c r="Q410" s="8"/>
      <c r="R410" s="8"/>
      <c r="S410" s="8"/>
      <c r="T410" s="8"/>
      <c r="U410" s="8"/>
      <c r="V410" s="8"/>
      <c r="W410" s="8"/>
      <c r="X410" s="8"/>
      <c r="Y410" s="8"/>
      <c r="Z410" s="8"/>
    </row>
    <row r="411" ht="18.0" customHeight="1">
      <c r="A411" s="8"/>
      <c r="B411" s="8"/>
      <c r="C411" s="8"/>
      <c r="D411" s="25"/>
      <c r="E411" s="25"/>
      <c r="F411" s="8"/>
      <c r="G411" s="25"/>
      <c r="H411" s="8"/>
      <c r="I411" s="8"/>
      <c r="J411" s="8"/>
      <c r="K411" s="8"/>
      <c r="L411" s="8"/>
      <c r="M411" s="8"/>
      <c r="N411" s="8"/>
      <c r="O411" s="8"/>
      <c r="P411" s="8"/>
      <c r="Q411" s="8"/>
      <c r="R411" s="8"/>
      <c r="S411" s="8"/>
      <c r="T411" s="8"/>
      <c r="U411" s="8"/>
      <c r="V411" s="8"/>
      <c r="W411" s="8"/>
      <c r="X411" s="8"/>
      <c r="Y411" s="8"/>
      <c r="Z411" s="8"/>
    </row>
    <row r="412" ht="18.0" customHeight="1">
      <c r="A412" s="8"/>
      <c r="B412" s="8"/>
      <c r="C412" s="8"/>
      <c r="D412" s="25"/>
      <c r="E412" s="25"/>
      <c r="F412" s="8"/>
      <c r="G412" s="25"/>
      <c r="H412" s="8"/>
      <c r="I412" s="8"/>
      <c r="J412" s="8"/>
      <c r="K412" s="8"/>
      <c r="L412" s="8"/>
      <c r="M412" s="8"/>
      <c r="N412" s="8"/>
      <c r="O412" s="8"/>
      <c r="P412" s="8"/>
      <c r="Q412" s="8"/>
      <c r="R412" s="8"/>
      <c r="S412" s="8"/>
      <c r="T412" s="8"/>
      <c r="U412" s="8"/>
      <c r="V412" s="8"/>
      <c r="W412" s="8"/>
      <c r="X412" s="8"/>
      <c r="Y412" s="8"/>
      <c r="Z412" s="8"/>
    </row>
    <row r="413" ht="18.0" customHeight="1">
      <c r="A413" s="8"/>
      <c r="B413" s="8"/>
      <c r="C413" s="8"/>
      <c r="D413" s="25"/>
      <c r="E413" s="25"/>
      <c r="F413" s="8"/>
      <c r="G413" s="25"/>
      <c r="H413" s="8"/>
      <c r="I413" s="8"/>
      <c r="J413" s="8"/>
      <c r="K413" s="8"/>
      <c r="L413" s="8"/>
      <c r="M413" s="8"/>
      <c r="N413" s="8"/>
      <c r="O413" s="8"/>
      <c r="P413" s="8"/>
      <c r="Q413" s="8"/>
      <c r="R413" s="8"/>
      <c r="S413" s="8"/>
      <c r="T413" s="8"/>
      <c r="U413" s="8"/>
      <c r="V413" s="8"/>
      <c r="W413" s="8"/>
      <c r="X413" s="8"/>
      <c r="Y413" s="8"/>
      <c r="Z413" s="8"/>
    </row>
    <row r="414" ht="18.0" customHeight="1">
      <c r="A414" s="8"/>
      <c r="B414" s="8"/>
      <c r="C414" s="8"/>
      <c r="D414" s="25"/>
      <c r="E414" s="25"/>
      <c r="F414" s="8"/>
      <c r="G414" s="25"/>
      <c r="H414" s="8"/>
      <c r="I414" s="8"/>
      <c r="J414" s="8"/>
      <c r="K414" s="8"/>
      <c r="L414" s="8"/>
      <c r="M414" s="8"/>
      <c r="N414" s="8"/>
      <c r="O414" s="8"/>
      <c r="P414" s="8"/>
      <c r="Q414" s="8"/>
      <c r="R414" s="8"/>
      <c r="S414" s="8"/>
      <c r="T414" s="8"/>
      <c r="U414" s="8"/>
      <c r="V414" s="8"/>
      <c r="W414" s="8"/>
      <c r="X414" s="8"/>
      <c r="Y414" s="8"/>
      <c r="Z414" s="8"/>
    </row>
    <row r="415" ht="18.0" customHeight="1">
      <c r="A415" s="8"/>
      <c r="B415" s="8"/>
      <c r="C415" s="8"/>
      <c r="D415" s="25"/>
      <c r="E415" s="25"/>
      <c r="F415" s="8"/>
      <c r="G415" s="25"/>
      <c r="H415" s="8"/>
      <c r="I415" s="8"/>
      <c r="J415" s="8"/>
      <c r="K415" s="8"/>
      <c r="L415" s="8"/>
      <c r="M415" s="8"/>
      <c r="N415" s="8"/>
      <c r="O415" s="8"/>
      <c r="P415" s="8"/>
      <c r="Q415" s="8"/>
      <c r="R415" s="8"/>
      <c r="S415" s="8"/>
      <c r="T415" s="8"/>
      <c r="U415" s="8"/>
      <c r="V415" s="8"/>
      <c r="W415" s="8"/>
      <c r="X415" s="8"/>
      <c r="Y415" s="8"/>
      <c r="Z415" s="8"/>
    </row>
    <row r="416" ht="18.0" customHeight="1">
      <c r="A416" s="8"/>
      <c r="B416" s="8"/>
      <c r="C416" s="8"/>
      <c r="D416" s="25"/>
      <c r="E416" s="25"/>
      <c r="F416" s="8"/>
      <c r="G416" s="25"/>
      <c r="H416" s="8"/>
      <c r="I416" s="8"/>
      <c r="J416" s="8"/>
      <c r="K416" s="8"/>
      <c r="L416" s="8"/>
      <c r="M416" s="8"/>
      <c r="N416" s="8"/>
      <c r="O416" s="8"/>
      <c r="P416" s="8"/>
      <c r="Q416" s="8"/>
      <c r="R416" s="8"/>
      <c r="S416" s="8"/>
      <c r="T416" s="8"/>
      <c r="U416" s="8"/>
      <c r="V416" s="8"/>
      <c r="W416" s="8"/>
      <c r="X416" s="8"/>
      <c r="Y416" s="8"/>
      <c r="Z416" s="8"/>
    </row>
    <row r="417" ht="18.0" customHeight="1">
      <c r="A417" s="8"/>
      <c r="B417" s="8"/>
      <c r="C417" s="8"/>
      <c r="D417" s="25"/>
      <c r="E417" s="25"/>
      <c r="F417" s="8"/>
      <c r="G417" s="25"/>
      <c r="H417" s="8"/>
      <c r="I417" s="8"/>
      <c r="J417" s="8"/>
      <c r="K417" s="8"/>
      <c r="L417" s="8"/>
      <c r="M417" s="8"/>
      <c r="N417" s="8"/>
      <c r="O417" s="8"/>
      <c r="P417" s="8"/>
      <c r="Q417" s="8"/>
      <c r="R417" s="8"/>
      <c r="S417" s="8"/>
      <c r="T417" s="8"/>
      <c r="U417" s="8"/>
      <c r="V417" s="8"/>
      <c r="W417" s="8"/>
      <c r="X417" s="8"/>
      <c r="Y417" s="8"/>
      <c r="Z417" s="8"/>
    </row>
    <row r="418" ht="18.0" customHeight="1">
      <c r="A418" s="8"/>
      <c r="B418" s="8"/>
      <c r="C418" s="8"/>
      <c r="D418" s="25"/>
      <c r="E418" s="25"/>
      <c r="F418" s="8"/>
      <c r="G418" s="25"/>
      <c r="H418" s="8"/>
      <c r="I418" s="8"/>
      <c r="J418" s="8"/>
      <c r="K418" s="8"/>
      <c r="L418" s="8"/>
      <c r="M418" s="8"/>
      <c r="N418" s="8"/>
      <c r="O418" s="8"/>
      <c r="P418" s="8"/>
      <c r="Q418" s="8"/>
      <c r="R418" s="8"/>
      <c r="S418" s="8"/>
      <c r="T418" s="8"/>
      <c r="U418" s="8"/>
      <c r="V418" s="8"/>
      <c r="W418" s="8"/>
      <c r="X418" s="8"/>
      <c r="Y418" s="8"/>
      <c r="Z418" s="8"/>
    </row>
    <row r="419" ht="18.0" customHeight="1">
      <c r="A419" s="8"/>
      <c r="B419" s="8"/>
      <c r="C419" s="8"/>
      <c r="D419" s="25"/>
      <c r="E419" s="25"/>
      <c r="F419" s="8"/>
      <c r="G419" s="25"/>
      <c r="H419" s="8"/>
      <c r="I419" s="8"/>
      <c r="J419" s="8"/>
      <c r="K419" s="8"/>
      <c r="L419" s="8"/>
      <c r="M419" s="8"/>
      <c r="N419" s="8"/>
      <c r="O419" s="8"/>
      <c r="P419" s="8"/>
      <c r="Q419" s="8"/>
      <c r="R419" s="8"/>
      <c r="S419" s="8"/>
      <c r="T419" s="8"/>
      <c r="U419" s="8"/>
      <c r="V419" s="8"/>
      <c r="W419" s="8"/>
      <c r="X419" s="8"/>
      <c r="Y419" s="8"/>
      <c r="Z419" s="8"/>
    </row>
    <row r="420" ht="18.0" customHeight="1">
      <c r="A420" s="8"/>
      <c r="B420" s="8"/>
      <c r="C420" s="8"/>
      <c r="D420" s="25"/>
      <c r="E420" s="25"/>
      <c r="F420" s="8"/>
      <c r="G420" s="25"/>
      <c r="H420" s="8"/>
      <c r="I420" s="8"/>
      <c r="J420" s="8"/>
      <c r="K420" s="8"/>
      <c r="L420" s="8"/>
      <c r="M420" s="8"/>
      <c r="N420" s="8"/>
      <c r="O420" s="8"/>
      <c r="P420" s="8"/>
      <c r="Q420" s="8"/>
      <c r="R420" s="8"/>
      <c r="S420" s="8"/>
      <c r="T420" s="8"/>
      <c r="U420" s="8"/>
      <c r="V420" s="8"/>
      <c r="W420" s="8"/>
      <c r="X420" s="8"/>
      <c r="Y420" s="8"/>
      <c r="Z420" s="8"/>
    </row>
    <row r="421" ht="18.0" customHeight="1">
      <c r="A421" s="8"/>
      <c r="B421" s="8"/>
      <c r="C421" s="8"/>
      <c r="D421" s="25"/>
      <c r="E421" s="25"/>
      <c r="F421" s="8"/>
      <c r="G421" s="25"/>
      <c r="H421" s="8"/>
      <c r="I421" s="8"/>
      <c r="J421" s="8"/>
      <c r="K421" s="8"/>
      <c r="L421" s="8"/>
      <c r="M421" s="8"/>
      <c r="N421" s="8"/>
      <c r="O421" s="8"/>
      <c r="P421" s="8"/>
      <c r="Q421" s="8"/>
      <c r="R421" s="8"/>
      <c r="S421" s="8"/>
      <c r="T421" s="8"/>
      <c r="U421" s="8"/>
      <c r="V421" s="8"/>
      <c r="W421" s="8"/>
      <c r="X421" s="8"/>
      <c r="Y421" s="8"/>
      <c r="Z421" s="8"/>
    </row>
    <row r="422" ht="18.0" customHeight="1">
      <c r="A422" s="8"/>
      <c r="B422" s="8"/>
      <c r="C422" s="8"/>
      <c r="D422" s="25"/>
      <c r="E422" s="25"/>
      <c r="F422" s="8"/>
      <c r="G422" s="25"/>
      <c r="H422" s="8"/>
      <c r="I422" s="8"/>
      <c r="J422" s="8"/>
      <c r="K422" s="8"/>
      <c r="L422" s="8"/>
      <c r="M422" s="8"/>
      <c r="N422" s="8"/>
      <c r="O422" s="8"/>
      <c r="P422" s="8"/>
      <c r="Q422" s="8"/>
      <c r="R422" s="8"/>
      <c r="S422" s="8"/>
      <c r="T422" s="8"/>
      <c r="U422" s="8"/>
      <c r="V422" s="8"/>
      <c r="W422" s="8"/>
      <c r="X422" s="8"/>
      <c r="Y422" s="8"/>
      <c r="Z422" s="8"/>
    </row>
    <row r="423" ht="18.0" customHeight="1">
      <c r="A423" s="8"/>
      <c r="B423" s="8"/>
      <c r="C423" s="8"/>
      <c r="D423" s="25"/>
      <c r="E423" s="25"/>
      <c r="F423" s="8"/>
      <c r="G423" s="25"/>
      <c r="H423" s="8"/>
      <c r="I423" s="8"/>
      <c r="J423" s="8"/>
      <c r="K423" s="8"/>
      <c r="L423" s="8"/>
      <c r="M423" s="8"/>
      <c r="N423" s="8"/>
      <c r="O423" s="8"/>
      <c r="P423" s="8"/>
      <c r="Q423" s="8"/>
      <c r="R423" s="8"/>
      <c r="S423" s="8"/>
      <c r="T423" s="8"/>
      <c r="U423" s="8"/>
      <c r="V423" s="8"/>
      <c r="W423" s="8"/>
      <c r="X423" s="8"/>
      <c r="Y423" s="8"/>
      <c r="Z423" s="8"/>
    </row>
    <row r="424" ht="18.0" customHeight="1">
      <c r="A424" s="8"/>
      <c r="B424" s="8"/>
      <c r="C424" s="8"/>
      <c r="D424" s="25"/>
      <c r="E424" s="25"/>
      <c r="F424" s="8"/>
      <c r="G424" s="25"/>
      <c r="H424" s="8"/>
      <c r="I424" s="8"/>
      <c r="J424" s="8"/>
      <c r="K424" s="8"/>
      <c r="L424" s="8"/>
      <c r="M424" s="8"/>
      <c r="N424" s="8"/>
      <c r="O424" s="8"/>
      <c r="P424" s="8"/>
      <c r="Q424" s="8"/>
      <c r="R424" s="8"/>
      <c r="S424" s="8"/>
      <c r="T424" s="8"/>
      <c r="U424" s="8"/>
      <c r="V424" s="8"/>
      <c r="W424" s="8"/>
      <c r="X424" s="8"/>
      <c r="Y424" s="8"/>
      <c r="Z424" s="8"/>
    </row>
    <row r="425" ht="18.0" customHeight="1">
      <c r="A425" s="8"/>
      <c r="B425" s="8"/>
      <c r="C425" s="8"/>
      <c r="D425" s="25"/>
      <c r="E425" s="25"/>
      <c r="F425" s="8"/>
      <c r="G425" s="25"/>
      <c r="H425" s="8"/>
      <c r="I425" s="8"/>
      <c r="J425" s="8"/>
      <c r="K425" s="8"/>
      <c r="L425" s="8"/>
      <c r="M425" s="8"/>
      <c r="N425" s="8"/>
      <c r="O425" s="8"/>
      <c r="P425" s="8"/>
      <c r="Q425" s="8"/>
      <c r="R425" s="8"/>
      <c r="S425" s="8"/>
      <c r="T425" s="8"/>
      <c r="U425" s="8"/>
      <c r="V425" s="8"/>
      <c r="W425" s="8"/>
      <c r="X425" s="8"/>
      <c r="Y425" s="8"/>
      <c r="Z425" s="8"/>
    </row>
    <row r="426" ht="18.0" customHeight="1">
      <c r="A426" s="8"/>
      <c r="B426" s="8"/>
      <c r="C426" s="8"/>
      <c r="D426" s="25"/>
      <c r="E426" s="25"/>
      <c r="F426" s="8"/>
      <c r="G426" s="25"/>
      <c r="H426" s="8"/>
      <c r="I426" s="8"/>
      <c r="J426" s="8"/>
      <c r="K426" s="8"/>
      <c r="L426" s="8"/>
      <c r="M426" s="8"/>
      <c r="N426" s="8"/>
      <c r="O426" s="8"/>
      <c r="P426" s="8"/>
      <c r="Q426" s="8"/>
      <c r="R426" s="8"/>
      <c r="S426" s="8"/>
      <c r="T426" s="8"/>
      <c r="U426" s="8"/>
      <c r="V426" s="8"/>
      <c r="W426" s="8"/>
      <c r="X426" s="8"/>
      <c r="Y426" s="8"/>
      <c r="Z426" s="8"/>
    </row>
    <row r="427" ht="18.0" customHeight="1">
      <c r="A427" s="8"/>
      <c r="B427" s="8"/>
      <c r="C427" s="8"/>
      <c r="D427" s="25"/>
      <c r="E427" s="25"/>
      <c r="F427" s="8"/>
      <c r="G427" s="25"/>
      <c r="H427" s="8"/>
      <c r="I427" s="8"/>
      <c r="J427" s="8"/>
      <c r="K427" s="8"/>
      <c r="L427" s="8"/>
      <c r="M427" s="8"/>
      <c r="N427" s="8"/>
      <c r="O427" s="8"/>
      <c r="P427" s="8"/>
      <c r="Q427" s="8"/>
      <c r="R427" s="8"/>
      <c r="S427" s="8"/>
      <c r="T427" s="8"/>
      <c r="U427" s="8"/>
      <c r="V427" s="8"/>
      <c r="W427" s="8"/>
      <c r="X427" s="8"/>
      <c r="Y427" s="8"/>
      <c r="Z427" s="8"/>
    </row>
    <row r="428" ht="18.0" customHeight="1">
      <c r="A428" s="8"/>
      <c r="B428" s="8"/>
      <c r="C428" s="8"/>
      <c r="D428" s="25"/>
      <c r="E428" s="25"/>
      <c r="F428" s="8"/>
      <c r="G428" s="25"/>
      <c r="H428" s="8"/>
      <c r="I428" s="8"/>
      <c r="J428" s="8"/>
      <c r="K428" s="8"/>
      <c r="L428" s="8"/>
      <c r="M428" s="8"/>
      <c r="N428" s="8"/>
      <c r="O428" s="8"/>
      <c r="P428" s="8"/>
      <c r="Q428" s="8"/>
      <c r="R428" s="8"/>
      <c r="S428" s="8"/>
      <c r="T428" s="8"/>
      <c r="U428" s="8"/>
      <c r="V428" s="8"/>
      <c r="W428" s="8"/>
      <c r="X428" s="8"/>
      <c r="Y428" s="8"/>
      <c r="Z428" s="8"/>
    </row>
    <row r="429" ht="18.0" customHeight="1">
      <c r="A429" s="8"/>
      <c r="B429" s="8"/>
      <c r="C429" s="8"/>
      <c r="D429" s="25"/>
      <c r="E429" s="25"/>
      <c r="F429" s="8"/>
      <c r="G429" s="25"/>
      <c r="H429" s="8"/>
      <c r="I429" s="8"/>
      <c r="J429" s="8"/>
      <c r="K429" s="8"/>
      <c r="L429" s="8"/>
      <c r="M429" s="8"/>
      <c r="N429" s="8"/>
      <c r="O429" s="8"/>
      <c r="P429" s="8"/>
      <c r="Q429" s="8"/>
      <c r="R429" s="8"/>
      <c r="S429" s="8"/>
      <c r="T429" s="8"/>
      <c r="U429" s="8"/>
      <c r="V429" s="8"/>
      <c r="W429" s="8"/>
      <c r="X429" s="8"/>
      <c r="Y429" s="8"/>
      <c r="Z429" s="8"/>
    </row>
    <row r="430" ht="18.0" customHeight="1">
      <c r="A430" s="8"/>
      <c r="B430" s="8"/>
      <c r="C430" s="8"/>
      <c r="D430" s="25"/>
      <c r="E430" s="25"/>
      <c r="F430" s="8"/>
      <c r="G430" s="25"/>
      <c r="H430" s="8"/>
      <c r="I430" s="8"/>
      <c r="J430" s="8"/>
      <c r="K430" s="8"/>
      <c r="L430" s="8"/>
      <c r="M430" s="8"/>
      <c r="N430" s="8"/>
      <c r="O430" s="8"/>
      <c r="P430" s="8"/>
      <c r="Q430" s="8"/>
      <c r="R430" s="8"/>
      <c r="S430" s="8"/>
      <c r="T430" s="8"/>
      <c r="U430" s="8"/>
      <c r="V430" s="8"/>
      <c r="W430" s="8"/>
      <c r="X430" s="8"/>
      <c r="Y430" s="8"/>
      <c r="Z430" s="8"/>
    </row>
    <row r="431" ht="18.0" customHeight="1">
      <c r="A431" s="8"/>
      <c r="B431" s="8"/>
      <c r="C431" s="8"/>
      <c r="D431" s="25"/>
      <c r="E431" s="25"/>
      <c r="F431" s="8"/>
      <c r="G431" s="25"/>
      <c r="H431" s="8"/>
      <c r="I431" s="8"/>
      <c r="J431" s="8"/>
      <c r="K431" s="8"/>
      <c r="L431" s="8"/>
      <c r="M431" s="8"/>
      <c r="N431" s="8"/>
      <c r="O431" s="8"/>
      <c r="P431" s="8"/>
      <c r="Q431" s="8"/>
      <c r="R431" s="8"/>
      <c r="S431" s="8"/>
      <c r="T431" s="8"/>
      <c r="U431" s="8"/>
      <c r="V431" s="8"/>
      <c r="W431" s="8"/>
      <c r="X431" s="8"/>
      <c r="Y431" s="8"/>
      <c r="Z431" s="8"/>
    </row>
    <row r="432" ht="18.0" customHeight="1">
      <c r="A432" s="8"/>
      <c r="B432" s="8"/>
      <c r="C432" s="8"/>
      <c r="D432" s="25"/>
      <c r="E432" s="25"/>
      <c r="F432" s="8"/>
      <c r="G432" s="25"/>
      <c r="H432" s="8"/>
      <c r="I432" s="8"/>
      <c r="J432" s="8"/>
      <c r="K432" s="8"/>
      <c r="L432" s="8"/>
      <c r="M432" s="8"/>
      <c r="N432" s="8"/>
      <c r="O432" s="8"/>
      <c r="P432" s="8"/>
      <c r="Q432" s="8"/>
      <c r="R432" s="8"/>
      <c r="S432" s="8"/>
      <c r="T432" s="8"/>
      <c r="U432" s="8"/>
      <c r="V432" s="8"/>
      <c r="W432" s="8"/>
      <c r="X432" s="8"/>
      <c r="Y432" s="8"/>
      <c r="Z432" s="8"/>
    </row>
    <row r="433" ht="18.0" customHeight="1">
      <c r="A433" s="8"/>
      <c r="B433" s="8"/>
      <c r="C433" s="8"/>
      <c r="D433" s="25"/>
      <c r="E433" s="25"/>
      <c r="F433" s="8"/>
      <c r="G433" s="25"/>
      <c r="H433" s="8"/>
      <c r="I433" s="8"/>
      <c r="J433" s="8"/>
      <c r="K433" s="8"/>
      <c r="L433" s="8"/>
      <c r="M433" s="8"/>
      <c r="N433" s="8"/>
      <c r="O433" s="8"/>
      <c r="P433" s="8"/>
      <c r="Q433" s="8"/>
      <c r="R433" s="8"/>
      <c r="S433" s="8"/>
      <c r="T433" s="8"/>
      <c r="U433" s="8"/>
      <c r="V433" s="8"/>
      <c r="W433" s="8"/>
      <c r="X433" s="8"/>
      <c r="Y433" s="8"/>
      <c r="Z433" s="8"/>
    </row>
    <row r="434" ht="18.0" customHeight="1">
      <c r="A434" s="8"/>
      <c r="B434" s="8"/>
      <c r="C434" s="8"/>
      <c r="D434" s="25"/>
      <c r="E434" s="25"/>
      <c r="F434" s="8"/>
      <c r="G434" s="25"/>
      <c r="H434" s="8"/>
      <c r="I434" s="8"/>
      <c r="J434" s="8"/>
      <c r="K434" s="8"/>
      <c r="L434" s="8"/>
      <c r="M434" s="8"/>
      <c r="N434" s="8"/>
      <c r="O434" s="8"/>
      <c r="P434" s="8"/>
      <c r="Q434" s="8"/>
      <c r="R434" s="8"/>
      <c r="S434" s="8"/>
      <c r="T434" s="8"/>
      <c r="U434" s="8"/>
      <c r="V434" s="8"/>
      <c r="W434" s="8"/>
      <c r="X434" s="8"/>
      <c r="Y434" s="8"/>
      <c r="Z434" s="8"/>
    </row>
    <row r="435" ht="18.0" customHeight="1">
      <c r="A435" s="8"/>
      <c r="B435" s="8"/>
      <c r="C435" s="8"/>
      <c r="D435" s="25"/>
      <c r="E435" s="25"/>
      <c r="F435" s="8"/>
      <c r="G435" s="25"/>
      <c r="H435" s="8"/>
      <c r="I435" s="8"/>
      <c r="J435" s="8"/>
      <c r="K435" s="8"/>
      <c r="L435" s="8"/>
      <c r="M435" s="8"/>
      <c r="N435" s="8"/>
      <c r="O435" s="8"/>
      <c r="P435" s="8"/>
      <c r="Q435" s="8"/>
      <c r="R435" s="8"/>
      <c r="S435" s="8"/>
      <c r="T435" s="8"/>
      <c r="U435" s="8"/>
      <c r="V435" s="8"/>
      <c r="W435" s="8"/>
      <c r="X435" s="8"/>
      <c r="Y435" s="8"/>
      <c r="Z435" s="8"/>
    </row>
    <row r="436" ht="18.0" customHeight="1">
      <c r="A436" s="8"/>
      <c r="B436" s="8"/>
      <c r="C436" s="8"/>
      <c r="D436" s="25"/>
      <c r="E436" s="25"/>
      <c r="F436" s="8"/>
      <c r="G436" s="25"/>
      <c r="H436" s="8"/>
      <c r="I436" s="8"/>
      <c r="J436" s="8"/>
      <c r="K436" s="8"/>
      <c r="L436" s="8"/>
      <c r="M436" s="8"/>
      <c r="N436" s="8"/>
      <c r="O436" s="8"/>
      <c r="P436" s="8"/>
      <c r="Q436" s="8"/>
      <c r="R436" s="8"/>
      <c r="S436" s="8"/>
      <c r="T436" s="8"/>
      <c r="U436" s="8"/>
      <c r="V436" s="8"/>
      <c r="W436" s="8"/>
      <c r="X436" s="8"/>
      <c r="Y436" s="8"/>
      <c r="Z436" s="8"/>
    </row>
    <row r="437" ht="18.0" customHeight="1">
      <c r="A437" s="8"/>
      <c r="B437" s="8"/>
      <c r="C437" s="8"/>
      <c r="D437" s="25"/>
      <c r="E437" s="25"/>
      <c r="F437" s="8"/>
      <c r="G437" s="25"/>
      <c r="H437" s="8"/>
      <c r="I437" s="8"/>
      <c r="J437" s="8"/>
      <c r="K437" s="8"/>
      <c r="L437" s="8"/>
      <c r="M437" s="8"/>
      <c r="N437" s="8"/>
      <c r="O437" s="8"/>
      <c r="P437" s="8"/>
      <c r="Q437" s="8"/>
      <c r="R437" s="8"/>
      <c r="S437" s="8"/>
      <c r="T437" s="8"/>
      <c r="U437" s="8"/>
      <c r="V437" s="8"/>
      <c r="W437" s="8"/>
      <c r="X437" s="8"/>
      <c r="Y437" s="8"/>
      <c r="Z437" s="8"/>
    </row>
    <row r="438" ht="18.0" customHeight="1">
      <c r="A438" s="8"/>
      <c r="B438" s="8"/>
      <c r="C438" s="8"/>
      <c r="D438" s="25"/>
      <c r="E438" s="25"/>
      <c r="F438" s="8"/>
      <c r="G438" s="25"/>
      <c r="H438" s="8"/>
      <c r="I438" s="8"/>
      <c r="J438" s="8"/>
      <c r="K438" s="8"/>
      <c r="L438" s="8"/>
      <c r="M438" s="8"/>
      <c r="N438" s="8"/>
      <c r="O438" s="8"/>
      <c r="P438" s="8"/>
      <c r="Q438" s="8"/>
      <c r="R438" s="8"/>
      <c r="S438" s="8"/>
      <c r="T438" s="8"/>
      <c r="U438" s="8"/>
      <c r="V438" s="8"/>
      <c r="W438" s="8"/>
      <c r="X438" s="8"/>
      <c r="Y438" s="8"/>
      <c r="Z438" s="8"/>
    </row>
    <row r="439" ht="18.0" customHeight="1">
      <c r="A439" s="8"/>
      <c r="B439" s="8"/>
      <c r="C439" s="8"/>
      <c r="D439" s="25"/>
      <c r="E439" s="25"/>
      <c r="F439" s="8"/>
      <c r="G439" s="25"/>
      <c r="H439" s="8"/>
      <c r="I439" s="8"/>
      <c r="J439" s="8"/>
      <c r="K439" s="8"/>
      <c r="L439" s="8"/>
      <c r="M439" s="8"/>
      <c r="N439" s="8"/>
      <c r="O439" s="8"/>
      <c r="P439" s="8"/>
      <c r="Q439" s="8"/>
      <c r="R439" s="8"/>
      <c r="S439" s="8"/>
      <c r="T439" s="8"/>
      <c r="U439" s="8"/>
      <c r="V439" s="8"/>
      <c r="W439" s="8"/>
      <c r="X439" s="8"/>
      <c r="Y439" s="8"/>
      <c r="Z439" s="8"/>
    </row>
    <row r="440" ht="18.0" customHeight="1">
      <c r="A440" s="8"/>
      <c r="B440" s="8"/>
      <c r="C440" s="8"/>
      <c r="D440" s="25"/>
      <c r="E440" s="25"/>
      <c r="F440" s="8"/>
      <c r="G440" s="25"/>
      <c r="H440" s="8"/>
      <c r="I440" s="8"/>
      <c r="J440" s="8"/>
      <c r="K440" s="8"/>
      <c r="L440" s="8"/>
      <c r="M440" s="8"/>
      <c r="N440" s="8"/>
      <c r="O440" s="8"/>
      <c r="P440" s="8"/>
      <c r="Q440" s="8"/>
      <c r="R440" s="8"/>
      <c r="S440" s="8"/>
      <c r="T440" s="8"/>
      <c r="U440" s="8"/>
      <c r="V440" s="8"/>
      <c r="W440" s="8"/>
      <c r="X440" s="8"/>
      <c r="Y440" s="8"/>
      <c r="Z440" s="8"/>
    </row>
    <row r="441" ht="18.0" customHeight="1">
      <c r="A441" s="8"/>
      <c r="B441" s="8"/>
      <c r="C441" s="8"/>
      <c r="D441" s="25"/>
      <c r="E441" s="25"/>
      <c r="F441" s="8"/>
      <c r="G441" s="25"/>
      <c r="H441" s="8"/>
      <c r="I441" s="8"/>
      <c r="J441" s="8"/>
      <c r="K441" s="8"/>
      <c r="L441" s="8"/>
      <c r="M441" s="8"/>
      <c r="N441" s="8"/>
      <c r="O441" s="8"/>
      <c r="P441" s="8"/>
      <c r="Q441" s="8"/>
      <c r="R441" s="8"/>
      <c r="S441" s="8"/>
      <c r="T441" s="8"/>
      <c r="U441" s="8"/>
      <c r="V441" s="8"/>
      <c r="W441" s="8"/>
      <c r="X441" s="8"/>
      <c r="Y441" s="8"/>
      <c r="Z441" s="8"/>
    </row>
    <row r="442" ht="18.0" customHeight="1">
      <c r="A442" s="8"/>
      <c r="B442" s="8"/>
      <c r="C442" s="8"/>
      <c r="D442" s="25"/>
      <c r="E442" s="25"/>
      <c r="F442" s="8"/>
      <c r="G442" s="25"/>
      <c r="H442" s="8"/>
      <c r="I442" s="8"/>
      <c r="J442" s="8"/>
      <c r="K442" s="8"/>
      <c r="L442" s="8"/>
      <c r="M442" s="8"/>
      <c r="N442" s="8"/>
      <c r="O442" s="8"/>
      <c r="P442" s="8"/>
      <c r="Q442" s="8"/>
      <c r="R442" s="8"/>
      <c r="S442" s="8"/>
      <c r="T442" s="8"/>
      <c r="U442" s="8"/>
      <c r="V442" s="8"/>
      <c r="W442" s="8"/>
      <c r="X442" s="8"/>
      <c r="Y442" s="8"/>
      <c r="Z442" s="8"/>
    </row>
    <row r="443" ht="18.0" customHeight="1">
      <c r="A443" s="8"/>
      <c r="B443" s="8"/>
      <c r="C443" s="8"/>
      <c r="D443" s="25"/>
      <c r="E443" s="25"/>
      <c r="F443" s="8"/>
      <c r="G443" s="25"/>
      <c r="H443" s="8"/>
      <c r="I443" s="8"/>
      <c r="J443" s="8"/>
      <c r="K443" s="8"/>
      <c r="L443" s="8"/>
      <c r="M443" s="8"/>
      <c r="N443" s="8"/>
      <c r="O443" s="8"/>
      <c r="P443" s="8"/>
      <c r="Q443" s="8"/>
      <c r="R443" s="8"/>
      <c r="S443" s="8"/>
      <c r="T443" s="8"/>
      <c r="U443" s="8"/>
      <c r="V443" s="8"/>
      <c r="W443" s="8"/>
      <c r="X443" s="8"/>
      <c r="Y443" s="8"/>
      <c r="Z443" s="8"/>
    </row>
    <row r="444" ht="18.0" customHeight="1">
      <c r="A444" s="8"/>
      <c r="B444" s="8"/>
      <c r="C444" s="8"/>
      <c r="D444" s="25"/>
      <c r="E444" s="25"/>
      <c r="F444" s="8"/>
      <c r="G444" s="25"/>
      <c r="H444" s="8"/>
      <c r="I444" s="8"/>
      <c r="J444" s="8"/>
      <c r="K444" s="8"/>
      <c r="L444" s="8"/>
      <c r="M444" s="8"/>
      <c r="N444" s="8"/>
      <c r="O444" s="8"/>
      <c r="P444" s="8"/>
      <c r="Q444" s="8"/>
      <c r="R444" s="8"/>
      <c r="S444" s="8"/>
      <c r="T444" s="8"/>
      <c r="U444" s="8"/>
      <c r="V444" s="8"/>
      <c r="W444" s="8"/>
      <c r="X444" s="8"/>
      <c r="Y444" s="8"/>
      <c r="Z444" s="8"/>
    </row>
    <row r="445" ht="18.0" customHeight="1">
      <c r="A445" s="8"/>
      <c r="B445" s="8"/>
      <c r="C445" s="8"/>
      <c r="D445" s="25"/>
      <c r="E445" s="25"/>
      <c r="F445" s="8"/>
      <c r="G445" s="25"/>
      <c r="H445" s="8"/>
      <c r="I445" s="8"/>
      <c r="J445" s="8"/>
      <c r="K445" s="8"/>
      <c r="L445" s="8"/>
      <c r="M445" s="8"/>
      <c r="N445" s="8"/>
      <c r="O445" s="8"/>
      <c r="P445" s="8"/>
      <c r="Q445" s="8"/>
      <c r="R445" s="8"/>
      <c r="S445" s="8"/>
      <c r="T445" s="8"/>
      <c r="U445" s="8"/>
      <c r="V445" s="8"/>
      <c r="W445" s="8"/>
      <c r="X445" s="8"/>
      <c r="Y445" s="8"/>
      <c r="Z445" s="8"/>
    </row>
    <row r="446" ht="18.0" customHeight="1">
      <c r="A446" s="8"/>
      <c r="B446" s="8"/>
      <c r="C446" s="8"/>
      <c r="D446" s="25"/>
      <c r="E446" s="25"/>
      <c r="F446" s="8"/>
      <c r="G446" s="25"/>
      <c r="H446" s="8"/>
      <c r="I446" s="8"/>
      <c r="J446" s="8"/>
      <c r="K446" s="8"/>
      <c r="L446" s="8"/>
      <c r="M446" s="8"/>
      <c r="N446" s="8"/>
      <c r="O446" s="8"/>
      <c r="P446" s="8"/>
      <c r="Q446" s="8"/>
      <c r="R446" s="8"/>
      <c r="S446" s="8"/>
      <c r="T446" s="8"/>
      <c r="U446" s="8"/>
      <c r="V446" s="8"/>
      <c r="W446" s="8"/>
      <c r="X446" s="8"/>
      <c r="Y446" s="8"/>
      <c r="Z446" s="8"/>
    </row>
    <row r="447" ht="18.0" customHeight="1">
      <c r="A447" s="8"/>
      <c r="B447" s="8"/>
      <c r="C447" s="8"/>
      <c r="D447" s="25"/>
      <c r="E447" s="25"/>
      <c r="F447" s="8"/>
      <c r="G447" s="25"/>
      <c r="H447" s="8"/>
      <c r="I447" s="8"/>
      <c r="J447" s="8"/>
      <c r="K447" s="8"/>
      <c r="L447" s="8"/>
      <c r="M447" s="8"/>
      <c r="N447" s="8"/>
      <c r="O447" s="8"/>
      <c r="P447" s="8"/>
      <c r="Q447" s="8"/>
      <c r="R447" s="8"/>
      <c r="S447" s="8"/>
      <c r="T447" s="8"/>
      <c r="U447" s="8"/>
      <c r="V447" s="8"/>
      <c r="W447" s="8"/>
      <c r="X447" s="8"/>
      <c r="Y447" s="8"/>
      <c r="Z447" s="8"/>
    </row>
    <row r="448" ht="18.0" customHeight="1">
      <c r="A448" s="8"/>
      <c r="B448" s="8"/>
      <c r="C448" s="8"/>
      <c r="D448" s="25"/>
      <c r="E448" s="25"/>
      <c r="F448" s="8"/>
      <c r="G448" s="25"/>
      <c r="H448" s="8"/>
      <c r="I448" s="8"/>
      <c r="J448" s="8"/>
      <c r="K448" s="8"/>
      <c r="L448" s="8"/>
      <c r="M448" s="8"/>
      <c r="N448" s="8"/>
      <c r="O448" s="8"/>
      <c r="P448" s="8"/>
      <c r="Q448" s="8"/>
      <c r="R448" s="8"/>
      <c r="S448" s="8"/>
      <c r="T448" s="8"/>
      <c r="U448" s="8"/>
      <c r="V448" s="8"/>
      <c r="W448" s="8"/>
      <c r="X448" s="8"/>
      <c r="Y448" s="8"/>
      <c r="Z448" s="8"/>
    </row>
    <row r="449" ht="18.0" customHeight="1">
      <c r="A449" s="8"/>
      <c r="B449" s="8"/>
      <c r="C449" s="8"/>
      <c r="D449" s="25"/>
      <c r="E449" s="25"/>
      <c r="F449" s="8"/>
      <c r="G449" s="25"/>
      <c r="H449" s="8"/>
      <c r="I449" s="8"/>
      <c r="J449" s="8"/>
      <c r="K449" s="8"/>
      <c r="L449" s="8"/>
      <c r="M449" s="8"/>
      <c r="N449" s="8"/>
      <c r="O449" s="8"/>
      <c r="P449" s="8"/>
      <c r="Q449" s="8"/>
      <c r="R449" s="8"/>
      <c r="S449" s="8"/>
      <c r="T449" s="8"/>
      <c r="U449" s="8"/>
      <c r="V449" s="8"/>
      <c r="W449" s="8"/>
      <c r="X449" s="8"/>
      <c r="Y449" s="8"/>
      <c r="Z449" s="8"/>
    </row>
    <row r="450" ht="18.0" customHeight="1">
      <c r="A450" s="8"/>
      <c r="B450" s="8"/>
      <c r="C450" s="8"/>
      <c r="D450" s="25"/>
      <c r="E450" s="25"/>
      <c r="F450" s="8"/>
      <c r="G450" s="25"/>
      <c r="H450" s="8"/>
      <c r="I450" s="8"/>
      <c r="J450" s="8"/>
      <c r="K450" s="8"/>
      <c r="L450" s="8"/>
      <c r="M450" s="8"/>
      <c r="N450" s="8"/>
      <c r="O450" s="8"/>
      <c r="P450" s="8"/>
      <c r="Q450" s="8"/>
      <c r="R450" s="8"/>
      <c r="S450" s="8"/>
      <c r="T450" s="8"/>
      <c r="U450" s="8"/>
      <c r="V450" s="8"/>
      <c r="W450" s="8"/>
      <c r="X450" s="8"/>
      <c r="Y450" s="8"/>
      <c r="Z450" s="8"/>
    </row>
    <row r="451" ht="18.0" customHeight="1">
      <c r="A451" s="8"/>
      <c r="B451" s="8"/>
      <c r="C451" s="8"/>
      <c r="D451" s="25"/>
      <c r="E451" s="25"/>
      <c r="F451" s="8"/>
      <c r="G451" s="25"/>
      <c r="H451" s="8"/>
      <c r="I451" s="8"/>
      <c r="J451" s="8"/>
      <c r="K451" s="8"/>
      <c r="L451" s="8"/>
      <c r="M451" s="8"/>
      <c r="N451" s="8"/>
      <c r="O451" s="8"/>
      <c r="P451" s="8"/>
      <c r="Q451" s="8"/>
      <c r="R451" s="8"/>
      <c r="S451" s="8"/>
      <c r="T451" s="8"/>
      <c r="U451" s="8"/>
      <c r="V451" s="8"/>
      <c r="W451" s="8"/>
      <c r="X451" s="8"/>
      <c r="Y451" s="8"/>
      <c r="Z451" s="8"/>
    </row>
    <row r="452" ht="18.0" customHeight="1">
      <c r="A452" s="8"/>
      <c r="B452" s="8"/>
      <c r="C452" s="8"/>
      <c r="D452" s="25"/>
      <c r="E452" s="25"/>
      <c r="F452" s="8"/>
      <c r="G452" s="25"/>
      <c r="H452" s="8"/>
      <c r="I452" s="8"/>
      <c r="J452" s="8"/>
      <c r="K452" s="8"/>
      <c r="L452" s="8"/>
      <c r="M452" s="8"/>
      <c r="N452" s="8"/>
      <c r="O452" s="8"/>
      <c r="P452" s="8"/>
      <c r="Q452" s="8"/>
      <c r="R452" s="8"/>
      <c r="S452" s="8"/>
      <c r="T452" s="8"/>
      <c r="U452" s="8"/>
      <c r="V452" s="8"/>
      <c r="W452" s="8"/>
      <c r="X452" s="8"/>
      <c r="Y452" s="8"/>
      <c r="Z452" s="8"/>
    </row>
    <row r="453" ht="18.0" customHeight="1">
      <c r="A453" s="8"/>
      <c r="B453" s="8"/>
      <c r="C453" s="8"/>
      <c r="D453" s="25"/>
      <c r="E453" s="25"/>
      <c r="F453" s="8"/>
      <c r="G453" s="25"/>
      <c r="H453" s="8"/>
      <c r="I453" s="8"/>
      <c r="J453" s="8"/>
      <c r="K453" s="8"/>
      <c r="L453" s="8"/>
      <c r="M453" s="8"/>
      <c r="N453" s="8"/>
      <c r="O453" s="8"/>
      <c r="P453" s="8"/>
      <c r="Q453" s="8"/>
      <c r="R453" s="8"/>
      <c r="S453" s="8"/>
      <c r="T453" s="8"/>
      <c r="U453" s="8"/>
      <c r="V453" s="8"/>
      <c r="W453" s="8"/>
      <c r="X453" s="8"/>
      <c r="Y453" s="8"/>
      <c r="Z453" s="8"/>
    </row>
    <row r="454" ht="18.0" customHeight="1">
      <c r="A454" s="8"/>
      <c r="B454" s="8"/>
      <c r="C454" s="8"/>
      <c r="D454" s="25"/>
      <c r="E454" s="25"/>
      <c r="F454" s="8"/>
      <c r="G454" s="25"/>
      <c r="H454" s="8"/>
      <c r="I454" s="8"/>
      <c r="J454" s="8"/>
      <c r="K454" s="8"/>
      <c r="L454" s="8"/>
      <c r="M454" s="8"/>
      <c r="N454" s="8"/>
      <c r="O454" s="8"/>
      <c r="P454" s="8"/>
      <c r="Q454" s="8"/>
      <c r="R454" s="8"/>
      <c r="S454" s="8"/>
      <c r="T454" s="8"/>
      <c r="U454" s="8"/>
      <c r="V454" s="8"/>
      <c r="W454" s="8"/>
      <c r="X454" s="8"/>
      <c r="Y454" s="8"/>
      <c r="Z454" s="8"/>
    </row>
    <row r="455" ht="18.0" customHeight="1">
      <c r="A455" s="8"/>
      <c r="B455" s="8"/>
      <c r="C455" s="8"/>
      <c r="D455" s="25"/>
      <c r="E455" s="25"/>
      <c r="F455" s="8"/>
      <c r="G455" s="25"/>
      <c r="H455" s="8"/>
      <c r="I455" s="8"/>
      <c r="J455" s="8"/>
      <c r="K455" s="8"/>
      <c r="L455" s="8"/>
      <c r="M455" s="8"/>
      <c r="N455" s="8"/>
      <c r="O455" s="8"/>
      <c r="P455" s="8"/>
      <c r="Q455" s="8"/>
      <c r="R455" s="8"/>
      <c r="S455" s="8"/>
      <c r="T455" s="8"/>
      <c r="U455" s="8"/>
      <c r="V455" s="8"/>
      <c r="W455" s="8"/>
      <c r="X455" s="8"/>
      <c r="Y455" s="8"/>
      <c r="Z455" s="8"/>
    </row>
    <row r="456" ht="18.0" customHeight="1">
      <c r="A456" s="8"/>
      <c r="B456" s="8"/>
      <c r="C456" s="8"/>
      <c r="D456" s="25"/>
      <c r="E456" s="25"/>
      <c r="F456" s="8"/>
      <c r="G456" s="25"/>
      <c r="H456" s="8"/>
      <c r="I456" s="8"/>
      <c r="J456" s="8"/>
      <c r="K456" s="8"/>
      <c r="L456" s="8"/>
      <c r="M456" s="8"/>
      <c r="N456" s="8"/>
      <c r="O456" s="8"/>
      <c r="P456" s="8"/>
      <c r="Q456" s="8"/>
      <c r="R456" s="8"/>
      <c r="S456" s="8"/>
      <c r="T456" s="8"/>
      <c r="U456" s="8"/>
      <c r="V456" s="8"/>
      <c r="W456" s="8"/>
      <c r="X456" s="8"/>
      <c r="Y456" s="8"/>
      <c r="Z456" s="8"/>
    </row>
    <row r="457" ht="18.0" customHeight="1">
      <c r="A457" s="8"/>
      <c r="B457" s="8"/>
      <c r="C457" s="8"/>
      <c r="D457" s="25"/>
      <c r="E457" s="25"/>
      <c r="F457" s="8"/>
      <c r="G457" s="25"/>
      <c r="H457" s="8"/>
      <c r="I457" s="8"/>
      <c r="J457" s="8"/>
      <c r="K457" s="8"/>
      <c r="L457" s="8"/>
      <c r="M457" s="8"/>
      <c r="N457" s="8"/>
      <c r="O457" s="8"/>
      <c r="P457" s="8"/>
      <c r="Q457" s="8"/>
      <c r="R457" s="8"/>
      <c r="S457" s="8"/>
      <c r="T457" s="8"/>
      <c r="U457" s="8"/>
      <c r="V457" s="8"/>
      <c r="W457" s="8"/>
      <c r="X457" s="8"/>
      <c r="Y457" s="8"/>
      <c r="Z457" s="8"/>
    </row>
    <row r="458" ht="18.0" customHeight="1">
      <c r="A458" s="8"/>
      <c r="B458" s="8"/>
      <c r="C458" s="8"/>
      <c r="D458" s="25"/>
      <c r="E458" s="25"/>
      <c r="F458" s="8"/>
      <c r="G458" s="25"/>
      <c r="H458" s="8"/>
      <c r="I458" s="8"/>
      <c r="J458" s="8"/>
      <c r="K458" s="8"/>
      <c r="L458" s="8"/>
      <c r="M458" s="8"/>
      <c r="N458" s="8"/>
      <c r="O458" s="8"/>
      <c r="P458" s="8"/>
      <c r="Q458" s="8"/>
      <c r="R458" s="8"/>
      <c r="S458" s="8"/>
      <c r="T458" s="8"/>
      <c r="U458" s="8"/>
      <c r="V458" s="8"/>
      <c r="W458" s="8"/>
      <c r="X458" s="8"/>
      <c r="Y458" s="8"/>
      <c r="Z458" s="8"/>
    </row>
    <row r="459" ht="18.0" customHeight="1">
      <c r="A459" s="8"/>
      <c r="B459" s="8"/>
      <c r="C459" s="8"/>
      <c r="D459" s="25"/>
      <c r="E459" s="25"/>
      <c r="F459" s="8"/>
      <c r="G459" s="25"/>
      <c r="H459" s="8"/>
      <c r="I459" s="8"/>
      <c r="J459" s="8"/>
      <c r="K459" s="8"/>
      <c r="L459" s="8"/>
      <c r="M459" s="8"/>
      <c r="N459" s="8"/>
      <c r="O459" s="8"/>
      <c r="P459" s="8"/>
      <c r="Q459" s="8"/>
      <c r="R459" s="8"/>
      <c r="S459" s="8"/>
      <c r="T459" s="8"/>
      <c r="U459" s="8"/>
      <c r="V459" s="8"/>
      <c r="W459" s="8"/>
      <c r="X459" s="8"/>
      <c r="Y459" s="8"/>
      <c r="Z459" s="8"/>
    </row>
    <row r="460" ht="18.0" customHeight="1">
      <c r="A460" s="8"/>
      <c r="B460" s="8"/>
      <c r="C460" s="8"/>
      <c r="D460" s="25"/>
      <c r="E460" s="25"/>
      <c r="F460" s="8"/>
      <c r="G460" s="25"/>
      <c r="H460" s="8"/>
      <c r="I460" s="8"/>
      <c r="J460" s="8"/>
      <c r="K460" s="8"/>
      <c r="L460" s="8"/>
      <c r="M460" s="8"/>
      <c r="N460" s="8"/>
      <c r="O460" s="8"/>
      <c r="P460" s="8"/>
      <c r="Q460" s="8"/>
      <c r="R460" s="8"/>
      <c r="S460" s="8"/>
      <c r="T460" s="8"/>
      <c r="U460" s="8"/>
      <c r="V460" s="8"/>
      <c r="W460" s="8"/>
      <c r="X460" s="8"/>
      <c r="Y460" s="8"/>
      <c r="Z460" s="8"/>
    </row>
    <row r="461" ht="18.0" customHeight="1">
      <c r="A461" s="8"/>
      <c r="B461" s="8"/>
      <c r="C461" s="8"/>
      <c r="D461" s="25"/>
      <c r="E461" s="25"/>
      <c r="F461" s="8"/>
      <c r="G461" s="25"/>
      <c r="H461" s="8"/>
      <c r="I461" s="8"/>
      <c r="J461" s="8"/>
      <c r="K461" s="8"/>
      <c r="L461" s="8"/>
      <c r="M461" s="8"/>
      <c r="N461" s="8"/>
      <c r="O461" s="8"/>
      <c r="P461" s="8"/>
      <c r="Q461" s="8"/>
      <c r="R461" s="8"/>
      <c r="S461" s="8"/>
      <c r="T461" s="8"/>
      <c r="U461" s="8"/>
      <c r="V461" s="8"/>
      <c r="W461" s="8"/>
      <c r="X461" s="8"/>
      <c r="Y461" s="8"/>
      <c r="Z461" s="8"/>
    </row>
    <row r="462" ht="18.0" customHeight="1">
      <c r="A462" s="8"/>
      <c r="B462" s="8"/>
      <c r="C462" s="8"/>
      <c r="D462" s="25"/>
      <c r="E462" s="25"/>
      <c r="F462" s="8"/>
      <c r="G462" s="25"/>
      <c r="H462" s="8"/>
      <c r="I462" s="8"/>
      <c r="J462" s="8"/>
      <c r="K462" s="8"/>
      <c r="L462" s="8"/>
      <c r="M462" s="8"/>
      <c r="N462" s="8"/>
      <c r="O462" s="8"/>
      <c r="P462" s="8"/>
      <c r="Q462" s="8"/>
      <c r="R462" s="8"/>
      <c r="S462" s="8"/>
      <c r="T462" s="8"/>
      <c r="U462" s="8"/>
      <c r="V462" s="8"/>
      <c r="W462" s="8"/>
      <c r="X462" s="8"/>
      <c r="Y462" s="8"/>
      <c r="Z462" s="8"/>
    </row>
    <row r="463" ht="18.0" customHeight="1">
      <c r="A463" s="8"/>
      <c r="B463" s="8"/>
      <c r="C463" s="8"/>
      <c r="D463" s="25"/>
      <c r="E463" s="25"/>
      <c r="F463" s="8"/>
      <c r="G463" s="25"/>
      <c r="H463" s="8"/>
      <c r="I463" s="8"/>
      <c r="J463" s="8"/>
      <c r="K463" s="8"/>
      <c r="L463" s="8"/>
      <c r="M463" s="8"/>
      <c r="N463" s="8"/>
      <c r="O463" s="8"/>
      <c r="P463" s="8"/>
      <c r="Q463" s="8"/>
      <c r="R463" s="8"/>
      <c r="S463" s="8"/>
      <c r="T463" s="8"/>
      <c r="U463" s="8"/>
      <c r="V463" s="8"/>
      <c r="W463" s="8"/>
      <c r="X463" s="8"/>
      <c r="Y463" s="8"/>
      <c r="Z463" s="8"/>
    </row>
    <row r="464" ht="18.0" customHeight="1">
      <c r="A464" s="8"/>
      <c r="B464" s="8"/>
      <c r="C464" s="8"/>
      <c r="D464" s="25"/>
      <c r="E464" s="25"/>
      <c r="F464" s="8"/>
      <c r="G464" s="25"/>
      <c r="H464" s="8"/>
      <c r="I464" s="8"/>
      <c r="J464" s="8"/>
      <c r="K464" s="8"/>
      <c r="L464" s="8"/>
      <c r="M464" s="8"/>
      <c r="N464" s="8"/>
      <c r="O464" s="8"/>
      <c r="P464" s="8"/>
      <c r="Q464" s="8"/>
      <c r="R464" s="8"/>
      <c r="S464" s="8"/>
      <c r="T464" s="8"/>
      <c r="U464" s="8"/>
      <c r="V464" s="8"/>
      <c r="W464" s="8"/>
      <c r="X464" s="8"/>
      <c r="Y464" s="8"/>
      <c r="Z464" s="8"/>
    </row>
    <row r="465" ht="18.0" customHeight="1">
      <c r="A465" s="8"/>
      <c r="B465" s="8"/>
      <c r="C465" s="8"/>
      <c r="D465" s="25"/>
      <c r="E465" s="25"/>
      <c r="F465" s="8"/>
      <c r="G465" s="25"/>
      <c r="H465" s="8"/>
      <c r="I465" s="8"/>
      <c r="J465" s="8"/>
      <c r="K465" s="8"/>
      <c r="L465" s="8"/>
      <c r="M465" s="8"/>
      <c r="N465" s="8"/>
      <c r="O465" s="8"/>
      <c r="P465" s="8"/>
      <c r="Q465" s="8"/>
      <c r="R465" s="8"/>
      <c r="S465" s="8"/>
      <c r="T465" s="8"/>
      <c r="U465" s="8"/>
      <c r="V465" s="8"/>
      <c r="W465" s="8"/>
      <c r="X465" s="8"/>
      <c r="Y465" s="8"/>
      <c r="Z465" s="8"/>
    </row>
    <row r="466" ht="18.0" customHeight="1">
      <c r="A466" s="8"/>
      <c r="B466" s="8"/>
      <c r="C466" s="8"/>
      <c r="D466" s="25"/>
      <c r="E466" s="25"/>
      <c r="F466" s="8"/>
      <c r="G466" s="25"/>
      <c r="H466" s="8"/>
      <c r="I466" s="8"/>
      <c r="J466" s="8"/>
      <c r="K466" s="8"/>
      <c r="L466" s="8"/>
      <c r="M466" s="8"/>
      <c r="N466" s="8"/>
      <c r="O466" s="8"/>
      <c r="P466" s="8"/>
      <c r="Q466" s="8"/>
      <c r="R466" s="8"/>
      <c r="S466" s="8"/>
      <c r="T466" s="8"/>
      <c r="U466" s="8"/>
      <c r="V466" s="8"/>
      <c r="W466" s="8"/>
      <c r="X466" s="8"/>
      <c r="Y466" s="8"/>
      <c r="Z466" s="8"/>
    </row>
    <row r="467" ht="18.0" customHeight="1">
      <c r="A467" s="8"/>
      <c r="B467" s="8"/>
      <c r="C467" s="8"/>
      <c r="D467" s="25"/>
      <c r="E467" s="25"/>
      <c r="F467" s="8"/>
      <c r="G467" s="25"/>
      <c r="H467" s="8"/>
      <c r="I467" s="8"/>
      <c r="J467" s="8"/>
      <c r="K467" s="8"/>
      <c r="L467" s="8"/>
      <c r="M467" s="8"/>
      <c r="N467" s="8"/>
      <c r="O467" s="8"/>
      <c r="P467" s="8"/>
      <c r="Q467" s="8"/>
      <c r="R467" s="8"/>
      <c r="S467" s="8"/>
      <c r="T467" s="8"/>
      <c r="U467" s="8"/>
      <c r="V467" s="8"/>
      <c r="W467" s="8"/>
      <c r="X467" s="8"/>
      <c r="Y467" s="8"/>
      <c r="Z467" s="8"/>
    </row>
    <row r="468" ht="18.0" customHeight="1">
      <c r="A468" s="8"/>
      <c r="B468" s="8"/>
      <c r="C468" s="8"/>
      <c r="D468" s="25"/>
      <c r="E468" s="25"/>
      <c r="F468" s="8"/>
      <c r="G468" s="25"/>
      <c r="H468" s="8"/>
      <c r="I468" s="8"/>
      <c r="J468" s="8"/>
      <c r="K468" s="8"/>
      <c r="L468" s="8"/>
      <c r="M468" s="8"/>
      <c r="N468" s="8"/>
      <c r="O468" s="8"/>
      <c r="P468" s="8"/>
      <c r="Q468" s="8"/>
      <c r="R468" s="8"/>
      <c r="S468" s="8"/>
      <c r="T468" s="8"/>
      <c r="U468" s="8"/>
      <c r="V468" s="8"/>
      <c r="W468" s="8"/>
      <c r="X468" s="8"/>
      <c r="Y468" s="8"/>
      <c r="Z468" s="8"/>
    </row>
    <row r="469" ht="18.0" customHeight="1">
      <c r="A469" s="8"/>
      <c r="B469" s="8"/>
      <c r="C469" s="8"/>
      <c r="D469" s="25"/>
      <c r="E469" s="25"/>
      <c r="F469" s="8"/>
      <c r="G469" s="25"/>
      <c r="H469" s="8"/>
      <c r="I469" s="8"/>
      <c r="J469" s="8"/>
      <c r="K469" s="8"/>
      <c r="L469" s="8"/>
      <c r="M469" s="8"/>
      <c r="N469" s="8"/>
      <c r="O469" s="8"/>
      <c r="P469" s="8"/>
      <c r="Q469" s="8"/>
      <c r="R469" s="8"/>
      <c r="S469" s="8"/>
      <c r="T469" s="8"/>
      <c r="U469" s="8"/>
      <c r="V469" s="8"/>
      <c r="W469" s="8"/>
      <c r="X469" s="8"/>
      <c r="Y469" s="8"/>
      <c r="Z469" s="8"/>
    </row>
    <row r="470" ht="18.0" customHeight="1">
      <c r="A470" s="8"/>
      <c r="B470" s="8"/>
      <c r="C470" s="8"/>
      <c r="D470" s="25"/>
      <c r="E470" s="25"/>
      <c r="F470" s="8"/>
      <c r="G470" s="25"/>
      <c r="H470" s="8"/>
      <c r="I470" s="8"/>
      <c r="J470" s="8"/>
      <c r="K470" s="8"/>
      <c r="L470" s="8"/>
      <c r="M470" s="8"/>
      <c r="N470" s="8"/>
      <c r="O470" s="8"/>
      <c r="P470" s="8"/>
      <c r="Q470" s="8"/>
      <c r="R470" s="8"/>
      <c r="S470" s="8"/>
      <c r="T470" s="8"/>
      <c r="U470" s="8"/>
      <c r="V470" s="8"/>
      <c r="W470" s="8"/>
      <c r="X470" s="8"/>
      <c r="Y470" s="8"/>
      <c r="Z470" s="8"/>
    </row>
    <row r="471" ht="18.0" customHeight="1">
      <c r="A471" s="8"/>
      <c r="B471" s="8"/>
      <c r="C471" s="8"/>
      <c r="D471" s="25"/>
      <c r="E471" s="25"/>
      <c r="F471" s="8"/>
      <c r="G471" s="25"/>
      <c r="H471" s="8"/>
      <c r="I471" s="8"/>
      <c r="J471" s="8"/>
      <c r="K471" s="8"/>
      <c r="L471" s="8"/>
      <c r="M471" s="8"/>
      <c r="N471" s="8"/>
      <c r="O471" s="8"/>
      <c r="P471" s="8"/>
      <c r="Q471" s="8"/>
      <c r="R471" s="8"/>
      <c r="S471" s="8"/>
      <c r="T471" s="8"/>
      <c r="U471" s="8"/>
      <c r="V471" s="8"/>
      <c r="W471" s="8"/>
      <c r="X471" s="8"/>
      <c r="Y471" s="8"/>
      <c r="Z471" s="8"/>
    </row>
    <row r="472" ht="18.0" customHeight="1">
      <c r="A472" s="8"/>
      <c r="B472" s="8"/>
      <c r="C472" s="8"/>
      <c r="D472" s="25"/>
      <c r="E472" s="25"/>
      <c r="F472" s="8"/>
      <c r="G472" s="25"/>
      <c r="H472" s="8"/>
      <c r="I472" s="8"/>
      <c r="J472" s="8"/>
      <c r="K472" s="8"/>
      <c r="L472" s="8"/>
      <c r="M472" s="8"/>
      <c r="N472" s="8"/>
      <c r="O472" s="8"/>
      <c r="P472" s="8"/>
      <c r="Q472" s="8"/>
      <c r="R472" s="8"/>
      <c r="S472" s="8"/>
      <c r="T472" s="8"/>
      <c r="U472" s="8"/>
      <c r="V472" s="8"/>
      <c r="W472" s="8"/>
      <c r="X472" s="8"/>
      <c r="Y472" s="8"/>
      <c r="Z472" s="8"/>
    </row>
    <row r="473" ht="18.0" customHeight="1">
      <c r="A473" s="8"/>
      <c r="B473" s="8"/>
      <c r="C473" s="8"/>
      <c r="D473" s="25"/>
      <c r="E473" s="25"/>
      <c r="F473" s="8"/>
      <c r="G473" s="25"/>
      <c r="H473" s="8"/>
      <c r="I473" s="8"/>
      <c r="J473" s="8"/>
      <c r="K473" s="8"/>
      <c r="L473" s="8"/>
      <c r="M473" s="8"/>
      <c r="N473" s="8"/>
      <c r="O473" s="8"/>
      <c r="P473" s="8"/>
      <c r="Q473" s="8"/>
      <c r="R473" s="8"/>
      <c r="S473" s="8"/>
      <c r="T473" s="8"/>
      <c r="U473" s="8"/>
      <c r="V473" s="8"/>
      <c r="W473" s="8"/>
      <c r="X473" s="8"/>
      <c r="Y473" s="8"/>
      <c r="Z473" s="8"/>
    </row>
    <row r="474" ht="18.0" customHeight="1">
      <c r="A474" s="8"/>
      <c r="B474" s="8"/>
      <c r="C474" s="8"/>
      <c r="D474" s="25"/>
      <c r="E474" s="25"/>
      <c r="F474" s="8"/>
      <c r="G474" s="25"/>
      <c r="H474" s="8"/>
      <c r="I474" s="8"/>
      <c r="J474" s="8"/>
      <c r="K474" s="8"/>
      <c r="L474" s="8"/>
      <c r="M474" s="8"/>
      <c r="N474" s="8"/>
      <c r="O474" s="8"/>
      <c r="P474" s="8"/>
      <c r="Q474" s="8"/>
      <c r="R474" s="8"/>
      <c r="S474" s="8"/>
      <c r="T474" s="8"/>
      <c r="U474" s="8"/>
      <c r="V474" s="8"/>
      <c r="W474" s="8"/>
      <c r="X474" s="8"/>
      <c r="Y474" s="8"/>
      <c r="Z474" s="8"/>
    </row>
    <row r="475" ht="18.0" customHeight="1">
      <c r="A475" s="8"/>
      <c r="B475" s="8"/>
      <c r="C475" s="8"/>
      <c r="D475" s="25"/>
      <c r="E475" s="25"/>
      <c r="F475" s="8"/>
      <c r="G475" s="25"/>
      <c r="H475" s="8"/>
      <c r="I475" s="8"/>
      <c r="J475" s="8"/>
      <c r="K475" s="8"/>
      <c r="L475" s="8"/>
      <c r="M475" s="8"/>
      <c r="N475" s="8"/>
      <c r="O475" s="8"/>
      <c r="P475" s="8"/>
      <c r="Q475" s="8"/>
      <c r="R475" s="8"/>
      <c r="S475" s="8"/>
      <c r="T475" s="8"/>
      <c r="U475" s="8"/>
      <c r="V475" s="8"/>
      <c r="W475" s="8"/>
      <c r="X475" s="8"/>
      <c r="Y475" s="8"/>
      <c r="Z475" s="8"/>
    </row>
    <row r="476" ht="18.0" customHeight="1">
      <c r="A476" s="8"/>
      <c r="B476" s="8"/>
      <c r="C476" s="8"/>
      <c r="D476" s="25"/>
      <c r="E476" s="25"/>
      <c r="F476" s="8"/>
      <c r="G476" s="25"/>
      <c r="H476" s="8"/>
      <c r="I476" s="8"/>
      <c r="J476" s="8"/>
      <c r="K476" s="8"/>
      <c r="L476" s="8"/>
      <c r="M476" s="8"/>
      <c r="N476" s="8"/>
      <c r="O476" s="8"/>
      <c r="P476" s="8"/>
      <c r="Q476" s="8"/>
      <c r="R476" s="8"/>
      <c r="S476" s="8"/>
      <c r="T476" s="8"/>
      <c r="U476" s="8"/>
      <c r="V476" s="8"/>
      <c r="W476" s="8"/>
      <c r="X476" s="8"/>
      <c r="Y476" s="8"/>
      <c r="Z476" s="8"/>
    </row>
    <row r="477" ht="18.0" customHeight="1">
      <c r="A477" s="8"/>
      <c r="B477" s="8"/>
      <c r="C477" s="8"/>
      <c r="D477" s="25"/>
      <c r="E477" s="25"/>
      <c r="F477" s="8"/>
      <c r="G477" s="25"/>
      <c r="H477" s="8"/>
      <c r="I477" s="8"/>
      <c r="J477" s="8"/>
      <c r="K477" s="8"/>
      <c r="L477" s="8"/>
      <c r="M477" s="8"/>
      <c r="N477" s="8"/>
      <c r="O477" s="8"/>
      <c r="P477" s="8"/>
      <c r="Q477" s="8"/>
      <c r="R477" s="8"/>
      <c r="S477" s="8"/>
      <c r="T477" s="8"/>
      <c r="U477" s="8"/>
      <c r="V477" s="8"/>
      <c r="W477" s="8"/>
      <c r="X477" s="8"/>
      <c r="Y477" s="8"/>
      <c r="Z477" s="8"/>
    </row>
    <row r="478" ht="18.0" customHeight="1">
      <c r="A478" s="8"/>
      <c r="B478" s="8"/>
      <c r="C478" s="8"/>
      <c r="D478" s="25"/>
      <c r="E478" s="25"/>
      <c r="F478" s="8"/>
      <c r="G478" s="25"/>
      <c r="H478" s="8"/>
      <c r="I478" s="8"/>
      <c r="J478" s="8"/>
      <c r="K478" s="8"/>
      <c r="L478" s="8"/>
      <c r="M478" s="8"/>
      <c r="N478" s="8"/>
      <c r="O478" s="8"/>
      <c r="P478" s="8"/>
      <c r="Q478" s="8"/>
      <c r="R478" s="8"/>
      <c r="S478" s="8"/>
      <c r="T478" s="8"/>
      <c r="U478" s="8"/>
      <c r="V478" s="8"/>
      <c r="W478" s="8"/>
      <c r="X478" s="8"/>
      <c r="Y478" s="8"/>
      <c r="Z478" s="8"/>
    </row>
    <row r="479" ht="18.0" customHeight="1">
      <c r="A479" s="8"/>
      <c r="B479" s="8"/>
      <c r="C479" s="8"/>
      <c r="D479" s="25"/>
      <c r="E479" s="25"/>
      <c r="F479" s="8"/>
      <c r="G479" s="25"/>
      <c r="H479" s="8"/>
      <c r="I479" s="8"/>
      <c r="J479" s="8"/>
      <c r="K479" s="8"/>
      <c r="L479" s="8"/>
      <c r="M479" s="8"/>
      <c r="N479" s="8"/>
      <c r="O479" s="8"/>
      <c r="P479" s="8"/>
      <c r="Q479" s="8"/>
      <c r="R479" s="8"/>
      <c r="S479" s="8"/>
      <c r="T479" s="8"/>
      <c r="U479" s="8"/>
      <c r="V479" s="8"/>
      <c r="W479" s="8"/>
      <c r="X479" s="8"/>
      <c r="Y479" s="8"/>
      <c r="Z479" s="8"/>
    </row>
    <row r="480" ht="18.0" customHeight="1">
      <c r="A480" s="8"/>
      <c r="B480" s="8"/>
      <c r="C480" s="8"/>
      <c r="D480" s="25"/>
      <c r="E480" s="25"/>
      <c r="F480" s="8"/>
      <c r="G480" s="25"/>
      <c r="H480" s="8"/>
      <c r="I480" s="8"/>
      <c r="J480" s="8"/>
      <c r="K480" s="8"/>
      <c r="L480" s="8"/>
      <c r="M480" s="8"/>
      <c r="N480" s="8"/>
      <c r="O480" s="8"/>
      <c r="P480" s="8"/>
      <c r="Q480" s="8"/>
      <c r="R480" s="8"/>
      <c r="S480" s="8"/>
      <c r="T480" s="8"/>
      <c r="U480" s="8"/>
      <c r="V480" s="8"/>
      <c r="W480" s="8"/>
      <c r="X480" s="8"/>
      <c r="Y480" s="8"/>
      <c r="Z480" s="8"/>
    </row>
    <row r="481" ht="18.0" customHeight="1">
      <c r="A481" s="8"/>
      <c r="B481" s="8"/>
      <c r="C481" s="8"/>
      <c r="D481" s="25"/>
      <c r="E481" s="25"/>
      <c r="F481" s="8"/>
      <c r="G481" s="25"/>
      <c r="H481" s="8"/>
      <c r="I481" s="8"/>
      <c r="J481" s="8"/>
      <c r="K481" s="8"/>
      <c r="L481" s="8"/>
      <c r="M481" s="8"/>
      <c r="N481" s="8"/>
      <c r="O481" s="8"/>
      <c r="P481" s="8"/>
      <c r="Q481" s="8"/>
      <c r="R481" s="8"/>
      <c r="S481" s="8"/>
      <c r="T481" s="8"/>
      <c r="U481" s="8"/>
      <c r="V481" s="8"/>
      <c r="W481" s="8"/>
      <c r="X481" s="8"/>
      <c r="Y481" s="8"/>
      <c r="Z481" s="8"/>
    </row>
    <row r="482" ht="18.0" customHeight="1">
      <c r="A482" s="8"/>
      <c r="B482" s="8"/>
      <c r="C482" s="8"/>
      <c r="D482" s="25"/>
      <c r="E482" s="25"/>
      <c r="F482" s="8"/>
      <c r="G482" s="25"/>
      <c r="H482" s="8"/>
      <c r="I482" s="8"/>
      <c r="J482" s="8"/>
      <c r="K482" s="8"/>
      <c r="L482" s="8"/>
      <c r="M482" s="8"/>
      <c r="N482" s="8"/>
      <c r="O482" s="8"/>
      <c r="P482" s="8"/>
      <c r="Q482" s="8"/>
      <c r="R482" s="8"/>
      <c r="S482" s="8"/>
      <c r="T482" s="8"/>
      <c r="U482" s="8"/>
      <c r="V482" s="8"/>
      <c r="W482" s="8"/>
      <c r="X482" s="8"/>
      <c r="Y482" s="8"/>
      <c r="Z482" s="8"/>
    </row>
    <row r="483" ht="18.0" customHeight="1">
      <c r="A483" s="8"/>
      <c r="B483" s="8"/>
      <c r="C483" s="8"/>
      <c r="D483" s="25"/>
      <c r="E483" s="25"/>
      <c r="F483" s="8"/>
      <c r="G483" s="25"/>
      <c r="H483" s="8"/>
      <c r="I483" s="8"/>
      <c r="J483" s="8"/>
      <c r="K483" s="8"/>
      <c r="L483" s="8"/>
      <c r="M483" s="8"/>
      <c r="N483" s="8"/>
      <c r="O483" s="8"/>
      <c r="P483" s="8"/>
      <c r="Q483" s="8"/>
      <c r="R483" s="8"/>
      <c r="S483" s="8"/>
      <c r="T483" s="8"/>
      <c r="U483" s="8"/>
      <c r="V483" s="8"/>
      <c r="W483" s="8"/>
      <c r="X483" s="8"/>
      <c r="Y483" s="8"/>
      <c r="Z483" s="8"/>
    </row>
    <row r="484" ht="18.0" customHeight="1">
      <c r="A484" s="8"/>
      <c r="B484" s="8"/>
      <c r="C484" s="8"/>
      <c r="D484" s="25"/>
      <c r="E484" s="25"/>
      <c r="F484" s="8"/>
      <c r="G484" s="25"/>
      <c r="H484" s="8"/>
      <c r="I484" s="8"/>
      <c r="J484" s="8"/>
      <c r="K484" s="8"/>
      <c r="L484" s="8"/>
      <c r="M484" s="8"/>
      <c r="N484" s="8"/>
      <c r="O484" s="8"/>
      <c r="P484" s="8"/>
      <c r="Q484" s="8"/>
      <c r="R484" s="8"/>
      <c r="S484" s="8"/>
      <c r="T484" s="8"/>
      <c r="U484" s="8"/>
      <c r="V484" s="8"/>
      <c r="W484" s="8"/>
      <c r="X484" s="8"/>
      <c r="Y484" s="8"/>
      <c r="Z484" s="8"/>
    </row>
    <row r="485" ht="18.0" customHeight="1">
      <c r="A485" s="8"/>
      <c r="B485" s="8"/>
      <c r="C485" s="8"/>
      <c r="D485" s="25"/>
      <c r="E485" s="25"/>
      <c r="F485" s="8"/>
      <c r="G485" s="25"/>
      <c r="H485" s="8"/>
      <c r="I485" s="8"/>
      <c r="J485" s="8"/>
      <c r="K485" s="8"/>
      <c r="L485" s="8"/>
      <c r="M485" s="8"/>
      <c r="N485" s="8"/>
      <c r="O485" s="8"/>
      <c r="P485" s="8"/>
      <c r="Q485" s="8"/>
      <c r="R485" s="8"/>
      <c r="S485" s="8"/>
      <c r="T485" s="8"/>
      <c r="U485" s="8"/>
      <c r="V485" s="8"/>
      <c r="W485" s="8"/>
      <c r="X485" s="8"/>
      <c r="Y485" s="8"/>
      <c r="Z485" s="8"/>
    </row>
    <row r="486" ht="18.0" customHeight="1">
      <c r="A486" s="8"/>
      <c r="B486" s="8"/>
      <c r="C486" s="8"/>
      <c r="D486" s="25"/>
      <c r="E486" s="25"/>
      <c r="F486" s="8"/>
      <c r="G486" s="25"/>
      <c r="H486" s="8"/>
      <c r="I486" s="8"/>
      <c r="J486" s="8"/>
      <c r="K486" s="8"/>
      <c r="L486" s="8"/>
      <c r="M486" s="8"/>
      <c r="N486" s="8"/>
      <c r="O486" s="8"/>
      <c r="P486" s="8"/>
      <c r="Q486" s="8"/>
      <c r="R486" s="8"/>
      <c r="S486" s="8"/>
      <c r="T486" s="8"/>
      <c r="U486" s="8"/>
      <c r="V486" s="8"/>
      <c r="W486" s="8"/>
      <c r="X486" s="8"/>
      <c r="Y486" s="8"/>
      <c r="Z486" s="8"/>
    </row>
    <row r="487" ht="18.0" customHeight="1">
      <c r="A487" s="8"/>
      <c r="B487" s="8"/>
      <c r="C487" s="8"/>
      <c r="D487" s="25"/>
      <c r="E487" s="25"/>
      <c r="F487" s="8"/>
      <c r="G487" s="25"/>
      <c r="H487" s="8"/>
      <c r="I487" s="8"/>
      <c r="J487" s="8"/>
      <c r="K487" s="8"/>
      <c r="L487" s="8"/>
      <c r="M487" s="8"/>
      <c r="N487" s="8"/>
      <c r="O487" s="8"/>
      <c r="P487" s="8"/>
      <c r="Q487" s="8"/>
      <c r="R487" s="8"/>
      <c r="S487" s="8"/>
      <c r="T487" s="8"/>
      <c r="U487" s="8"/>
      <c r="V487" s="8"/>
      <c r="W487" s="8"/>
      <c r="X487" s="8"/>
      <c r="Y487" s="8"/>
      <c r="Z487" s="8"/>
    </row>
    <row r="488" ht="18.0" customHeight="1">
      <c r="A488" s="8"/>
      <c r="B488" s="8"/>
      <c r="C488" s="8"/>
      <c r="D488" s="25"/>
      <c r="E488" s="25"/>
      <c r="F488" s="8"/>
      <c r="G488" s="25"/>
      <c r="H488" s="8"/>
      <c r="I488" s="8"/>
      <c r="J488" s="8"/>
      <c r="K488" s="8"/>
      <c r="L488" s="8"/>
      <c r="M488" s="8"/>
      <c r="N488" s="8"/>
      <c r="O488" s="8"/>
      <c r="P488" s="8"/>
      <c r="Q488" s="8"/>
      <c r="R488" s="8"/>
      <c r="S488" s="8"/>
      <c r="T488" s="8"/>
      <c r="U488" s="8"/>
      <c r="V488" s="8"/>
      <c r="W488" s="8"/>
      <c r="X488" s="8"/>
      <c r="Y488" s="8"/>
      <c r="Z488" s="8"/>
    </row>
    <row r="489" ht="18.0" customHeight="1">
      <c r="A489" s="8"/>
      <c r="B489" s="8"/>
      <c r="C489" s="8"/>
      <c r="D489" s="25"/>
      <c r="E489" s="25"/>
      <c r="F489" s="8"/>
      <c r="G489" s="25"/>
      <c r="H489" s="8"/>
      <c r="I489" s="8"/>
      <c r="J489" s="8"/>
      <c r="K489" s="8"/>
      <c r="L489" s="8"/>
      <c r="M489" s="8"/>
      <c r="N489" s="8"/>
      <c r="O489" s="8"/>
      <c r="P489" s="8"/>
      <c r="Q489" s="8"/>
      <c r="R489" s="8"/>
      <c r="S489" s="8"/>
      <c r="T489" s="8"/>
      <c r="U489" s="8"/>
      <c r="V489" s="8"/>
      <c r="W489" s="8"/>
      <c r="X489" s="8"/>
      <c r="Y489" s="8"/>
      <c r="Z489" s="8"/>
    </row>
    <row r="490" ht="18.0" customHeight="1">
      <c r="A490" s="8"/>
      <c r="B490" s="8"/>
      <c r="C490" s="8"/>
      <c r="D490" s="25"/>
      <c r="E490" s="25"/>
      <c r="F490" s="8"/>
      <c r="G490" s="25"/>
      <c r="H490" s="8"/>
      <c r="I490" s="8"/>
      <c r="J490" s="8"/>
      <c r="K490" s="8"/>
      <c r="L490" s="8"/>
      <c r="M490" s="8"/>
      <c r="N490" s="8"/>
      <c r="O490" s="8"/>
      <c r="P490" s="8"/>
      <c r="Q490" s="8"/>
      <c r="R490" s="8"/>
      <c r="S490" s="8"/>
      <c r="T490" s="8"/>
      <c r="U490" s="8"/>
      <c r="V490" s="8"/>
      <c r="W490" s="8"/>
      <c r="X490" s="8"/>
      <c r="Y490" s="8"/>
      <c r="Z490" s="8"/>
    </row>
    <row r="491" ht="18.0" customHeight="1">
      <c r="A491" s="8"/>
      <c r="B491" s="8"/>
      <c r="C491" s="8"/>
      <c r="D491" s="25"/>
      <c r="E491" s="25"/>
      <c r="F491" s="8"/>
      <c r="G491" s="25"/>
      <c r="H491" s="8"/>
      <c r="I491" s="8"/>
      <c r="J491" s="8"/>
      <c r="K491" s="8"/>
      <c r="L491" s="8"/>
      <c r="M491" s="8"/>
      <c r="N491" s="8"/>
      <c r="O491" s="8"/>
      <c r="P491" s="8"/>
      <c r="Q491" s="8"/>
      <c r="R491" s="8"/>
      <c r="S491" s="8"/>
      <c r="T491" s="8"/>
      <c r="U491" s="8"/>
      <c r="V491" s="8"/>
      <c r="W491" s="8"/>
      <c r="X491" s="8"/>
      <c r="Y491" s="8"/>
      <c r="Z491" s="8"/>
    </row>
    <row r="492" ht="18.0" customHeight="1">
      <c r="A492" s="8"/>
      <c r="B492" s="8"/>
      <c r="C492" s="8"/>
      <c r="D492" s="25"/>
      <c r="E492" s="25"/>
      <c r="F492" s="8"/>
      <c r="G492" s="25"/>
      <c r="H492" s="8"/>
      <c r="I492" s="8"/>
      <c r="J492" s="8"/>
      <c r="K492" s="8"/>
      <c r="L492" s="8"/>
      <c r="M492" s="8"/>
      <c r="N492" s="8"/>
      <c r="O492" s="8"/>
      <c r="P492" s="8"/>
      <c r="Q492" s="8"/>
      <c r="R492" s="8"/>
      <c r="S492" s="8"/>
      <c r="T492" s="8"/>
      <c r="U492" s="8"/>
      <c r="V492" s="8"/>
      <c r="W492" s="8"/>
      <c r="X492" s="8"/>
      <c r="Y492" s="8"/>
      <c r="Z492" s="8"/>
    </row>
    <row r="493" ht="18.0" customHeight="1">
      <c r="A493" s="8"/>
      <c r="B493" s="8"/>
      <c r="C493" s="8"/>
      <c r="D493" s="25"/>
      <c r="E493" s="25"/>
      <c r="F493" s="8"/>
      <c r="G493" s="25"/>
      <c r="H493" s="8"/>
      <c r="I493" s="8"/>
      <c r="J493" s="8"/>
      <c r="K493" s="8"/>
      <c r="L493" s="8"/>
      <c r="M493" s="8"/>
      <c r="N493" s="8"/>
      <c r="O493" s="8"/>
      <c r="P493" s="8"/>
      <c r="Q493" s="8"/>
      <c r="R493" s="8"/>
      <c r="S493" s="8"/>
      <c r="T493" s="8"/>
      <c r="U493" s="8"/>
      <c r="V493" s="8"/>
      <c r="W493" s="8"/>
      <c r="X493" s="8"/>
      <c r="Y493" s="8"/>
      <c r="Z493" s="8"/>
    </row>
    <row r="494" ht="18.0" customHeight="1">
      <c r="A494" s="8"/>
      <c r="B494" s="8"/>
      <c r="C494" s="8"/>
      <c r="D494" s="25"/>
      <c r="E494" s="25"/>
      <c r="F494" s="8"/>
      <c r="G494" s="25"/>
      <c r="H494" s="8"/>
      <c r="I494" s="8"/>
      <c r="J494" s="8"/>
      <c r="K494" s="8"/>
      <c r="L494" s="8"/>
      <c r="M494" s="8"/>
      <c r="N494" s="8"/>
      <c r="O494" s="8"/>
      <c r="P494" s="8"/>
      <c r="Q494" s="8"/>
      <c r="R494" s="8"/>
      <c r="S494" s="8"/>
      <c r="T494" s="8"/>
      <c r="U494" s="8"/>
      <c r="V494" s="8"/>
      <c r="W494" s="8"/>
      <c r="X494" s="8"/>
      <c r="Y494" s="8"/>
      <c r="Z494" s="8"/>
    </row>
    <row r="495" ht="18.0" customHeight="1">
      <c r="A495" s="8"/>
      <c r="B495" s="8"/>
      <c r="C495" s="8"/>
      <c r="D495" s="25"/>
      <c r="E495" s="25"/>
      <c r="F495" s="8"/>
      <c r="G495" s="25"/>
      <c r="H495" s="8"/>
      <c r="I495" s="8"/>
      <c r="J495" s="8"/>
      <c r="K495" s="8"/>
      <c r="L495" s="8"/>
      <c r="M495" s="8"/>
      <c r="N495" s="8"/>
      <c r="O495" s="8"/>
      <c r="P495" s="8"/>
      <c r="Q495" s="8"/>
      <c r="R495" s="8"/>
      <c r="S495" s="8"/>
      <c r="T495" s="8"/>
      <c r="U495" s="8"/>
      <c r="V495" s="8"/>
      <c r="W495" s="8"/>
      <c r="X495" s="8"/>
      <c r="Y495" s="8"/>
      <c r="Z495" s="8"/>
    </row>
    <row r="496" ht="18.0" customHeight="1">
      <c r="A496" s="8"/>
      <c r="B496" s="8"/>
      <c r="C496" s="8"/>
      <c r="D496" s="25"/>
      <c r="E496" s="25"/>
      <c r="F496" s="8"/>
      <c r="G496" s="25"/>
      <c r="H496" s="8"/>
      <c r="I496" s="8"/>
      <c r="J496" s="8"/>
      <c r="K496" s="8"/>
      <c r="L496" s="8"/>
      <c r="M496" s="8"/>
      <c r="N496" s="8"/>
      <c r="O496" s="8"/>
      <c r="P496" s="8"/>
      <c r="Q496" s="8"/>
      <c r="R496" s="8"/>
      <c r="S496" s="8"/>
      <c r="T496" s="8"/>
      <c r="U496" s="8"/>
      <c r="V496" s="8"/>
      <c r="W496" s="8"/>
      <c r="X496" s="8"/>
      <c r="Y496" s="8"/>
      <c r="Z496" s="8"/>
    </row>
    <row r="497" ht="18.0" customHeight="1">
      <c r="A497" s="8"/>
      <c r="B497" s="8"/>
      <c r="C497" s="8"/>
      <c r="D497" s="25"/>
      <c r="E497" s="25"/>
      <c r="F497" s="8"/>
      <c r="G497" s="25"/>
      <c r="H497" s="8"/>
      <c r="I497" s="8"/>
      <c r="J497" s="8"/>
      <c r="K497" s="8"/>
      <c r="L497" s="8"/>
      <c r="M497" s="8"/>
      <c r="N497" s="8"/>
      <c r="O497" s="8"/>
      <c r="P497" s="8"/>
      <c r="Q497" s="8"/>
      <c r="R497" s="8"/>
      <c r="S497" s="8"/>
      <c r="T497" s="8"/>
      <c r="U497" s="8"/>
      <c r="V497" s="8"/>
      <c r="W497" s="8"/>
      <c r="X497" s="8"/>
      <c r="Y497" s="8"/>
      <c r="Z497" s="8"/>
    </row>
    <row r="498" ht="18.0" customHeight="1">
      <c r="A498" s="8"/>
      <c r="B498" s="8"/>
      <c r="C498" s="8"/>
      <c r="D498" s="25"/>
      <c r="E498" s="25"/>
      <c r="F498" s="8"/>
      <c r="G498" s="25"/>
      <c r="H498" s="8"/>
      <c r="I498" s="8"/>
      <c r="J498" s="8"/>
      <c r="K498" s="8"/>
      <c r="L498" s="8"/>
      <c r="M498" s="8"/>
      <c r="N498" s="8"/>
      <c r="O498" s="8"/>
      <c r="P498" s="8"/>
      <c r="Q498" s="8"/>
      <c r="R498" s="8"/>
      <c r="S498" s="8"/>
      <c r="T498" s="8"/>
      <c r="U498" s="8"/>
      <c r="V498" s="8"/>
      <c r="W498" s="8"/>
      <c r="X498" s="8"/>
      <c r="Y498" s="8"/>
      <c r="Z498" s="8"/>
    </row>
    <row r="499" ht="18.0" customHeight="1">
      <c r="A499" s="8"/>
      <c r="B499" s="8"/>
      <c r="C499" s="8"/>
      <c r="D499" s="25"/>
      <c r="E499" s="25"/>
      <c r="F499" s="8"/>
      <c r="G499" s="25"/>
      <c r="H499" s="8"/>
      <c r="I499" s="8"/>
      <c r="J499" s="8"/>
      <c r="K499" s="8"/>
      <c r="L499" s="8"/>
      <c r="M499" s="8"/>
      <c r="N499" s="8"/>
      <c r="O499" s="8"/>
      <c r="P499" s="8"/>
      <c r="Q499" s="8"/>
      <c r="R499" s="8"/>
      <c r="S499" s="8"/>
      <c r="T499" s="8"/>
      <c r="U499" s="8"/>
      <c r="V499" s="8"/>
      <c r="W499" s="8"/>
      <c r="X499" s="8"/>
      <c r="Y499" s="8"/>
      <c r="Z499" s="8"/>
    </row>
    <row r="500" ht="18.0" customHeight="1">
      <c r="A500" s="8"/>
      <c r="B500" s="8"/>
      <c r="C500" s="8"/>
      <c r="D500" s="25"/>
      <c r="E500" s="25"/>
      <c r="F500" s="8"/>
      <c r="G500" s="25"/>
      <c r="H500" s="8"/>
      <c r="I500" s="8"/>
      <c r="J500" s="8"/>
      <c r="K500" s="8"/>
      <c r="L500" s="8"/>
      <c r="M500" s="8"/>
      <c r="N500" s="8"/>
      <c r="O500" s="8"/>
      <c r="P500" s="8"/>
      <c r="Q500" s="8"/>
      <c r="R500" s="8"/>
      <c r="S500" s="8"/>
      <c r="T500" s="8"/>
      <c r="U500" s="8"/>
      <c r="V500" s="8"/>
      <c r="W500" s="8"/>
      <c r="X500" s="8"/>
      <c r="Y500" s="8"/>
      <c r="Z500" s="8"/>
    </row>
    <row r="501" ht="18.0" customHeight="1">
      <c r="A501" s="8"/>
      <c r="B501" s="8"/>
      <c r="C501" s="8"/>
      <c r="D501" s="25"/>
      <c r="E501" s="25"/>
      <c r="F501" s="8"/>
      <c r="G501" s="25"/>
      <c r="H501" s="8"/>
      <c r="I501" s="8"/>
      <c r="J501" s="8"/>
      <c r="K501" s="8"/>
      <c r="L501" s="8"/>
      <c r="M501" s="8"/>
      <c r="N501" s="8"/>
      <c r="O501" s="8"/>
      <c r="P501" s="8"/>
      <c r="Q501" s="8"/>
      <c r="R501" s="8"/>
      <c r="S501" s="8"/>
      <c r="T501" s="8"/>
      <c r="U501" s="8"/>
      <c r="V501" s="8"/>
      <c r="W501" s="8"/>
      <c r="X501" s="8"/>
      <c r="Y501" s="8"/>
      <c r="Z501" s="8"/>
    </row>
    <row r="502" ht="18.0" customHeight="1">
      <c r="A502" s="8"/>
      <c r="B502" s="8"/>
      <c r="C502" s="8"/>
      <c r="D502" s="25"/>
      <c r="E502" s="25"/>
      <c r="F502" s="8"/>
      <c r="G502" s="25"/>
      <c r="H502" s="8"/>
      <c r="I502" s="8"/>
      <c r="J502" s="8"/>
      <c r="K502" s="8"/>
      <c r="L502" s="8"/>
      <c r="M502" s="8"/>
      <c r="N502" s="8"/>
      <c r="O502" s="8"/>
      <c r="P502" s="8"/>
      <c r="Q502" s="8"/>
      <c r="R502" s="8"/>
      <c r="S502" s="8"/>
      <c r="T502" s="8"/>
      <c r="U502" s="8"/>
      <c r="V502" s="8"/>
      <c r="W502" s="8"/>
      <c r="X502" s="8"/>
      <c r="Y502" s="8"/>
      <c r="Z502" s="8"/>
    </row>
    <row r="503" ht="18.0" customHeight="1">
      <c r="A503" s="8"/>
      <c r="B503" s="8"/>
      <c r="C503" s="8"/>
      <c r="D503" s="25"/>
      <c r="E503" s="25"/>
      <c r="F503" s="8"/>
      <c r="G503" s="25"/>
      <c r="H503" s="8"/>
      <c r="I503" s="8"/>
      <c r="J503" s="8"/>
      <c r="K503" s="8"/>
      <c r="L503" s="8"/>
      <c r="M503" s="8"/>
      <c r="N503" s="8"/>
      <c r="O503" s="8"/>
      <c r="P503" s="8"/>
      <c r="Q503" s="8"/>
      <c r="R503" s="8"/>
      <c r="S503" s="8"/>
      <c r="T503" s="8"/>
      <c r="U503" s="8"/>
      <c r="V503" s="8"/>
      <c r="W503" s="8"/>
      <c r="X503" s="8"/>
      <c r="Y503" s="8"/>
      <c r="Z503" s="8"/>
    </row>
    <row r="504" ht="18.0" customHeight="1">
      <c r="A504" s="8"/>
      <c r="B504" s="8"/>
      <c r="C504" s="8"/>
      <c r="D504" s="25"/>
      <c r="E504" s="25"/>
      <c r="F504" s="8"/>
      <c r="G504" s="25"/>
      <c r="H504" s="8"/>
      <c r="I504" s="8"/>
      <c r="J504" s="8"/>
      <c r="K504" s="8"/>
      <c r="L504" s="8"/>
      <c r="M504" s="8"/>
      <c r="N504" s="8"/>
      <c r="O504" s="8"/>
      <c r="P504" s="8"/>
      <c r="Q504" s="8"/>
      <c r="R504" s="8"/>
      <c r="S504" s="8"/>
      <c r="T504" s="8"/>
      <c r="U504" s="8"/>
      <c r="V504" s="8"/>
      <c r="W504" s="8"/>
      <c r="X504" s="8"/>
      <c r="Y504" s="8"/>
      <c r="Z504" s="8"/>
    </row>
    <row r="505" ht="18.0" customHeight="1">
      <c r="A505" s="8"/>
      <c r="B505" s="8"/>
      <c r="C505" s="8"/>
      <c r="D505" s="25"/>
      <c r="E505" s="25"/>
      <c r="F505" s="8"/>
      <c r="G505" s="25"/>
      <c r="H505" s="8"/>
      <c r="I505" s="8"/>
      <c r="J505" s="8"/>
      <c r="K505" s="8"/>
      <c r="L505" s="8"/>
      <c r="M505" s="8"/>
      <c r="N505" s="8"/>
      <c r="O505" s="8"/>
      <c r="P505" s="8"/>
      <c r="Q505" s="8"/>
      <c r="R505" s="8"/>
      <c r="S505" s="8"/>
      <c r="T505" s="8"/>
      <c r="U505" s="8"/>
      <c r="V505" s="8"/>
      <c r="W505" s="8"/>
      <c r="X505" s="8"/>
      <c r="Y505" s="8"/>
      <c r="Z505" s="8"/>
    </row>
    <row r="506" ht="18.0" customHeight="1">
      <c r="A506" s="8"/>
      <c r="B506" s="8"/>
      <c r="C506" s="8"/>
      <c r="D506" s="25"/>
      <c r="E506" s="25"/>
      <c r="F506" s="8"/>
      <c r="G506" s="25"/>
      <c r="H506" s="8"/>
      <c r="I506" s="8"/>
      <c r="J506" s="8"/>
      <c r="K506" s="8"/>
      <c r="L506" s="8"/>
      <c r="M506" s="8"/>
      <c r="N506" s="8"/>
      <c r="O506" s="8"/>
      <c r="P506" s="8"/>
      <c r="Q506" s="8"/>
      <c r="R506" s="8"/>
      <c r="S506" s="8"/>
      <c r="T506" s="8"/>
      <c r="U506" s="8"/>
      <c r="V506" s="8"/>
      <c r="W506" s="8"/>
      <c r="X506" s="8"/>
      <c r="Y506" s="8"/>
      <c r="Z506" s="8"/>
    </row>
    <row r="507" ht="18.0" customHeight="1">
      <c r="A507" s="8"/>
      <c r="B507" s="8"/>
      <c r="C507" s="8"/>
      <c r="D507" s="25"/>
      <c r="E507" s="25"/>
      <c r="F507" s="8"/>
      <c r="G507" s="25"/>
      <c r="H507" s="8"/>
      <c r="I507" s="8"/>
      <c r="J507" s="8"/>
      <c r="K507" s="8"/>
      <c r="L507" s="8"/>
      <c r="M507" s="8"/>
      <c r="N507" s="8"/>
      <c r="O507" s="8"/>
      <c r="P507" s="8"/>
      <c r="Q507" s="8"/>
      <c r="R507" s="8"/>
      <c r="S507" s="8"/>
      <c r="T507" s="8"/>
      <c r="U507" s="8"/>
      <c r="V507" s="8"/>
      <c r="W507" s="8"/>
      <c r="X507" s="8"/>
      <c r="Y507" s="8"/>
      <c r="Z507" s="8"/>
    </row>
    <row r="508" ht="18.0" customHeight="1">
      <c r="A508" s="8"/>
      <c r="B508" s="8"/>
      <c r="C508" s="8"/>
      <c r="D508" s="25"/>
      <c r="E508" s="25"/>
      <c r="F508" s="8"/>
      <c r="G508" s="25"/>
      <c r="H508" s="8"/>
      <c r="I508" s="8"/>
      <c r="J508" s="8"/>
      <c r="K508" s="8"/>
      <c r="L508" s="8"/>
      <c r="M508" s="8"/>
      <c r="N508" s="8"/>
      <c r="O508" s="8"/>
      <c r="P508" s="8"/>
      <c r="Q508" s="8"/>
      <c r="R508" s="8"/>
      <c r="S508" s="8"/>
      <c r="T508" s="8"/>
      <c r="U508" s="8"/>
      <c r="V508" s="8"/>
      <c r="W508" s="8"/>
      <c r="X508" s="8"/>
      <c r="Y508" s="8"/>
      <c r="Z508" s="8"/>
    </row>
    <row r="509" ht="18.0" customHeight="1">
      <c r="A509" s="8"/>
      <c r="B509" s="8"/>
      <c r="C509" s="8"/>
      <c r="D509" s="25"/>
      <c r="E509" s="25"/>
      <c r="F509" s="8"/>
      <c r="G509" s="25"/>
      <c r="H509" s="8"/>
      <c r="I509" s="8"/>
      <c r="J509" s="8"/>
      <c r="K509" s="8"/>
      <c r="L509" s="8"/>
      <c r="M509" s="8"/>
      <c r="N509" s="8"/>
      <c r="O509" s="8"/>
      <c r="P509" s="8"/>
      <c r="Q509" s="8"/>
      <c r="R509" s="8"/>
      <c r="S509" s="8"/>
      <c r="T509" s="8"/>
      <c r="U509" s="8"/>
      <c r="V509" s="8"/>
      <c r="W509" s="8"/>
      <c r="X509" s="8"/>
      <c r="Y509" s="8"/>
      <c r="Z509" s="8"/>
    </row>
    <row r="510" ht="18.0" customHeight="1">
      <c r="A510" s="8"/>
      <c r="B510" s="8"/>
      <c r="C510" s="8"/>
      <c r="D510" s="25"/>
      <c r="E510" s="25"/>
      <c r="F510" s="8"/>
      <c r="G510" s="25"/>
      <c r="H510" s="8"/>
      <c r="I510" s="8"/>
      <c r="J510" s="8"/>
      <c r="K510" s="8"/>
      <c r="L510" s="8"/>
      <c r="M510" s="8"/>
      <c r="N510" s="8"/>
      <c r="O510" s="8"/>
      <c r="P510" s="8"/>
      <c r="Q510" s="8"/>
      <c r="R510" s="8"/>
      <c r="S510" s="8"/>
      <c r="T510" s="8"/>
      <c r="U510" s="8"/>
      <c r="V510" s="8"/>
      <c r="W510" s="8"/>
      <c r="X510" s="8"/>
      <c r="Y510" s="8"/>
      <c r="Z510" s="8"/>
    </row>
    <row r="511" ht="18.0" customHeight="1">
      <c r="A511" s="8"/>
      <c r="B511" s="8"/>
      <c r="C511" s="8"/>
      <c r="D511" s="25"/>
      <c r="E511" s="25"/>
      <c r="F511" s="8"/>
      <c r="G511" s="25"/>
      <c r="H511" s="8"/>
      <c r="I511" s="8"/>
      <c r="J511" s="8"/>
      <c r="K511" s="8"/>
      <c r="L511" s="8"/>
      <c r="M511" s="8"/>
      <c r="N511" s="8"/>
      <c r="O511" s="8"/>
      <c r="P511" s="8"/>
      <c r="Q511" s="8"/>
      <c r="R511" s="8"/>
      <c r="S511" s="8"/>
      <c r="T511" s="8"/>
      <c r="U511" s="8"/>
      <c r="V511" s="8"/>
      <c r="W511" s="8"/>
      <c r="X511" s="8"/>
      <c r="Y511" s="8"/>
      <c r="Z511" s="8"/>
    </row>
    <row r="512" ht="18.0" customHeight="1">
      <c r="A512" s="8"/>
      <c r="B512" s="8"/>
      <c r="C512" s="8"/>
      <c r="D512" s="25"/>
      <c r="E512" s="25"/>
      <c r="F512" s="8"/>
      <c r="G512" s="25"/>
      <c r="H512" s="8"/>
      <c r="I512" s="8"/>
      <c r="J512" s="8"/>
      <c r="K512" s="8"/>
      <c r="L512" s="8"/>
      <c r="M512" s="8"/>
      <c r="N512" s="8"/>
      <c r="O512" s="8"/>
      <c r="P512" s="8"/>
      <c r="Q512" s="8"/>
      <c r="R512" s="8"/>
      <c r="S512" s="8"/>
      <c r="T512" s="8"/>
      <c r="U512" s="8"/>
      <c r="V512" s="8"/>
      <c r="W512" s="8"/>
      <c r="X512" s="8"/>
      <c r="Y512" s="8"/>
      <c r="Z512" s="8"/>
    </row>
    <row r="513" ht="18.0" customHeight="1">
      <c r="A513" s="8"/>
      <c r="B513" s="8"/>
      <c r="C513" s="8"/>
      <c r="D513" s="25"/>
      <c r="E513" s="25"/>
      <c r="F513" s="8"/>
      <c r="G513" s="25"/>
      <c r="H513" s="8"/>
      <c r="I513" s="8"/>
      <c r="J513" s="8"/>
      <c r="K513" s="8"/>
      <c r="L513" s="8"/>
      <c r="M513" s="8"/>
      <c r="N513" s="8"/>
      <c r="O513" s="8"/>
      <c r="P513" s="8"/>
      <c r="Q513" s="8"/>
      <c r="R513" s="8"/>
      <c r="S513" s="8"/>
      <c r="T513" s="8"/>
      <c r="U513" s="8"/>
      <c r="V513" s="8"/>
      <c r="W513" s="8"/>
      <c r="X513" s="8"/>
      <c r="Y513" s="8"/>
      <c r="Z513" s="8"/>
    </row>
    <row r="514" ht="18.0" customHeight="1">
      <c r="A514" s="8"/>
      <c r="B514" s="8"/>
      <c r="C514" s="8"/>
      <c r="D514" s="25"/>
      <c r="E514" s="25"/>
      <c r="F514" s="8"/>
      <c r="G514" s="25"/>
      <c r="H514" s="8"/>
      <c r="I514" s="8"/>
      <c r="J514" s="8"/>
      <c r="K514" s="8"/>
      <c r="L514" s="8"/>
      <c r="M514" s="8"/>
      <c r="N514" s="8"/>
      <c r="O514" s="8"/>
      <c r="P514" s="8"/>
      <c r="Q514" s="8"/>
      <c r="R514" s="8"/>
      <c r="S514" s="8"/>
      <c r="T514" s="8"/>
      <c r="U514" s="8"/>
      <c r="V514" s="8"/>
      <c r="W514" s="8"/>
      <c r="X514" s="8"/>
      <c r="Y514" s="8"/>
      <c r="Z514" s="8"/>
    </row>
    <row r="515" ht="18.0" customHeight="1">
      <c r="A515" s="8"/>
      <c r="B515" s="8"/>
      <c r="C515" s="8"/>
      <c r="D515" s="25"/>
      <c r="E515" s="25"/>
      <c r="F515" s="8"/>
      <c r="G515" s="25"/>
      <c r="H515" s="8"/>
      <c r="I515" s="8"/>
      <c r="J515" s="8"/>
      <c r="K515" s="8"/>
      <c r="L515" s="8"/>
      <c r="M515" s="8"/>
      <c r="N515" s="8"/>
      <c r="O515" s="8"/>
      <c r="P515" s="8"/>
      <c r="Q515" s="8"/>
      <c r="R515" s="8"/>
      <c r="S515" s="8"/>
      <c r="T515" s="8"/>
      <c r="U515" s="8"/>
      <c r="V515" s="8"/>
      <c r="W515" s="8"/>
      <c r="X515" s="8"/>
      <c r="Y515" s="8"/>
      <c r="Z515" s="8"/>
    </row>
    <row r="516" ht="18.0" customHeight="1">
      <c r="A516" s="8"/>
      <c r="B516" s="8"/>
      <c r="C516" s="8"/>
      <c r="D516" s="25"/>
      <c r="E516" s="25"/>
      <c r="F516" s="8"/>
      <c r="G516" s="25"/>
      <c r="H516" s="8"/>
      <c r="I516" s="8"/>
      <c r="J516" s="8"/>
      <c r="K516" s="8"/>
      <c r="L516" s="8"/>
      <c r="M516" s="8"/>
      <c r="N516" s="8"/>
      <c r="O516" s="8"/>
      <c r="P516" s="8"/>
      <c r="Q516" s="8"/>
      <c r="R516" s="8"/>
      <c r="S516" s="8"/>
      <c r="T516" s="8"/>
      <c r="U516" s="8"/>
      <c r="V516" s="8"/>
      <c r="W516" s="8"/>
      <c r="X516" s="8"/>
      <c r="Y516" s="8"/>
      <c r="Z516" s="8"/>
    </row>
    <row r="517" ht="18.0" customHeight="1">
      <c r="A517" s="8"/>
      <c r="B517" s="8"/>
      <c r="C517" s="8"/>
      <c r="D517" s="25"/>
      <c r="E517" s="25"/>
      <c r="F517" s="8"/>
      <c r="G517" s="25"/>
      <c r="H517" s="8"/>
      <c r="I517" s="8"/>
      <c r="J517" s="8"/>
      <c r="K517" s="8"/>
      <c r="L517" s="8"/>
      <c r="M517" s="8"/>
      <c r="N517" s="8"/>
      <c r="O517" s="8"/>
      <c r="P517" s="8"/>
      <c r="Q517" s="8"/>
      <c r="R517" s="8"/>
      <c r="S517" s="8"/>
      <c r="T517" s="8"/>
      <c r="U517" s="8"/>
      <c r="V517" s="8"/>
      <c r="W517" s="8"/>
      <c r="X517" s="8"/>
      <c r="Y517" s="8"/>
      <c r="Z517" s="8"/>
    </row>
    <row r="518" ht="18.0" customHeight="1">
      <c r="A518" s="8"/>
      <c r="B518" s="8"/>
      <c r="C518" s="8"/>
      <c r="D518" s="25"/>
      <c r="E518" s="25"/>
      <c r="F518" s="8"/>
      <c r="G518" s="25"/>
      <c r="H518" s="8"/>
      <c r="I518" s="8"/>
      <c r="J518" s="8"/>
      <c r="K518" s="8"/>
      <c r="L518" s="8"/>
      <c r="M518" s="8"/>
      <c r="N518" s="8"/>
      <c r="O518" s="8"/>
      <c r="P518" s="8"/>
      <c r="Q518" s="8"/>
      <c r="R518" s="8"/>
      <c r="S518" s="8"/>
      <c r="T518" s="8"/>
      <c r="U518" s="8"/>
      <c r="V518" s="8"/>
      <c r="W518" s="8"/>
      <c r="X518" s="8"/>
      <c r="Y518" s="8"/>
      <c r="Z518" s="8"/>
    </row>
    <row r="519" ht="18.0" customHeight="1">
      <c r="A519" s="8"/>
      <c r="B519" s="8"/>
      <c r="C519" s="8"/>
      <c r="D519" s="25"/>
      <c r="E519" s="25"/>
      <c r="F519" s="8"/>
      <c r="G519" s="25"/>
      <c r="H519" s="8"/>
      <c r="I519" s="8"/>
      <c r="J519" s="8"/>
      <c r="K519" s="8"/>
      <c r="L519" s="8"/>
      <c r="M519" s="8"/>
      <c r="N519" s="8"/>
      <c r="O519" s="8"/>
      <c r="P519" s="8"/>
      <c r="Q519" s="8"/>
      <c r="R519" s="8"/>
      <c r="S519" s="8"/>
      <c r="T519" s="8"/>
      <c r="U519" s="8"/>
      <c r="V519" s="8"/>
      <c r="W519" s="8"/>
      <c r="X519" s="8"/>
      <c r="Y519" s="8"/>
      <c r="Z519" s="8"/>
    </row>
    <row r="520" ht="18.0" customHeight="1">
      <c r="A520" s="8"/>
      <c r="B520" s="8"/>
      <c r="C520" s="8"/>
      <c r="D520" s="25"/>
      <c r="E520" s="25"/>
      <c r="F520" s="8"/>
      <c r="G520" s="25"/>
      <c r="H520" s="8"/>
      <c r="I520" s="8"/>
      <c r="J520" s="8"/>
      <c r="K520" s="8"/>
      <c r="L520" s="8"/>
      <c r="M520" s="8"/>
      <c r="N520" s="8"/>
      <c r="O520" s="8"/>
      <c r="P520" s="8"/>
      <c r="Q520" s="8"/>
      <c r="R520" s="8"/>
      <c r="S520" s="8"/>
      <c r="T520" s="8"/>
      <c r="U520" s="8"/>
      <c r="V520" s="8"/>
      <c r="W520" s="8"/>
      <c r="X520" s="8"/>
      <c r="Y520" s="8"/>
      <c r="Z520" s="8"/>
    </row>
    <row r="521" ht="18.0" customHeight="1">
      <c r="A521" s="8"/>
      <c r="B521" s="8"/>
      <c r="C521" s="8"/>
      <c r="D521" s="25"/>
      <c r="E521" s="25"/>
      <c r="F521" s="8"/>
      <c r="G521" s="25"/>
      <c r="H521" s="8"/>
      <c r="I521" s="8"/>
      <c r="J521" s="8"/>
      <c r="K521" s="8"/>
      <c r="L521" s="8"/>
      <c r="M521" s="8"/>
      <c r="N521" s="8"/>
      <c r="O521" s="8"/>
      <c r="P521" s="8"/>
      <c r="Q521" s="8"/>
      <c r="R521" s="8"/>
      <c r="S521" s="8"/>
      <c r="T521" s="8"/>
      <c r="U521" s="8"/>
      <c r="V521" s="8"/>
      <c r="W521" s="8"/>
      <c r="X521" s="8"/>
      <c r="Y521" s="8"/>
      <c r="Z521" s="8"/>
    </row>
    <row r="522" ht="18.0" customHeight="1">
      <c r="A522" s="8"/>
      <c r="B522" s="8"/>
      <c r="C522" s="8"/>
      <c r="D522" s="25"/>
      <c r="E522" s="25"/>
      <c r="F522" s="8"/>
      <c r="G522" s="25"/>
      <c r="H522" s="8"/>
      <c r="I522" s="8"/>
      <c r="J522" s="8"/>
      <c r="K522" s="8"/>
      <c r="L522" s="8"/>
      <c r="M522" s="8"/>
      <c r="N522" s="8"/>
      <c r="O522" s="8"/>
      <c r="P522" s="8"/>
      <c r="Q522" s="8"/>
      <c r="R522" s="8"/>
      <c r="S522" s="8"/>
      <c r="T522" s="8"/>
      <c r="U522" s="8"/>
      <c r="V522" s="8"/>
      <c r="W522" s="8"/>
      <c r="X522" s="8"/>
      <c r="Y522" s="8"/>
      <c r="Z522" s="8"/>
    </row>
    <row r="523" ht="18.0" customHeight="1">
      <c r="A523" s="8"/>
      <c r="B523" s="8"/>
      <c r="C523" s="8"/>
      <c r="D523" s="25"/>
      <c r="E523" s="25"/>
      <c r="F523" s="8"/>
      <c r="G523" s="25"/>
      <c r="H523" s="8"/>
      <c r="I523" s="8"/>
      <c r="J523" s="8"/>
      <c r="K523" s="8"/>
      <c r="L523" s="8"/>
      <c r="M523" s="8"/>
      <c r="N523" s="8"/>
      <c r="O523" s="8"/>
      <c r="P523" s="8"/>
      <c r="Q523" s="8"/>
      <c r="R523" s="8"/>
      <c r="S523" s="8"/>
      <c r="T523" s="8"/>
      <c r="U523" s="8"/>
      <c r="V523" s="8"/>
      <c r="W523" s="8"/>
      <c r="X523" s="8"/>
      <c r="Y523" s="8"/>
      <c r="Z523" s="8"/>
    </row>
    <row r="524" ht="18.0" customHeight="1">
      <c r="A524" s="8"/>
      <c r="B524" s="8"/>
      <c r="C524" s="8"/>
      <c r="D524" s="25"/>
      <c r="E524" s="25"/>
      <c r="F524" s="8"/>
      <c r="G524" s="25"/>
      <c r="H524" s="8"/>
      <c r="I524" s="8"/>
      <c r="J524" s="8"/>
      <c r="K524" s="8"/>
      <c r="L524" s="8"/>
      <c r="M524" s="8"/>
      <c r="N524" s="8"/>
      <c r="O524" s="8"/>
      <c r="P524" s="8"/>
      <c r="Q524" s="8"/>
      <c r="R524" s="8"/>
      <c r="S524" s="8"/>
      <c r="T524" s="8"/>
      <c r="U524" s="8"/>
      <c r="V524" s="8"/>
      <c r="W524" s="8"/>
      <c r="X524" s="8"/>
      <c r="Y524" s="8"/>
      <c r="Z524" s="8"/>
    </row>
    <row r="525" ht="18.0" customHeight="1">
      <c r="A525" s="8"/>
      <c r="B525" s="8"/>
      <c r="C525" s="8"/>
      <c r="D525" s="25"/>
      <c r="E525" s="25"/>
      <c r="F525" s="8"/>
      <c r="G525" s="25"/>
      <c r="H525" s="8"/>
      <c r="I525" s="8"/>
      <c r="J525" s="8"/>
      <c r="K525" s="8"/>
      <c r="L525" s="8"/>
      <c r="M525" s="8"/>
      <c r="N525" s="8"/>
      <c r="O525" s="8"/>
      <c r="P525" s="8"/>
      <c r="Q525" s="8"/>
      <c r="R525" s="8"/>
      <c r="S525" s="8"/>
      <c r="T525" s="8"/>
      <c r="U525" s="8"/>
      <c r="V525" s="8"/>
      <c r="W525" s="8"/>
      <c r="X525" s="8"/>
      <c r="Y525" s="8"/>
      <c r="Z525" s="8"/>
    </row>
    <row r="526" ht="18.0" customHeight="1">
      <c r="A526" s="8"/>
      <c r="B526" s="8"/>
      <c r="C526" s="8"/>
      <c r="D526" s="25"/>
      <c r="E526" s="25"/>
      <c r="F526" s="8"/>
      <c r="G526" s="25"/>
      <c r="H526" s="8"/>
      <c r="I526" s="8"/>
      <c r="J526" s="8"/>
      <c r="K526" s="8"/>
      <c r="L526" s="8"/>
      <c r="M526" s="8"/>
      <c r="N526" s="8"/>
      <c r="O526" s="8"/>
      <c r="P526" s="8"/>
      <c r="Q526" s="8"/>
      <c r="R526" s="8"/>
      <c r="S526" s="8"/>
      <c r="T526" s="8"/>
      <c r="U526" s="8"/>
      <c r="V526" s="8"/>
      <c r="W526" s="8"/>
      <c r="X526" s="8"/>
      <c r="Y526" s="8"/>
      <c r="Z526" s="8"/>
    </row>
    <row r="527" ht="18.0" customHeight="1">
      <c r="A527" s="8"/>
      <c r="B527" s="8"/>
      <c r="C527" s="8"/>
      <c r="D527" s="25"/>
      <c r="E527" s="25"/>
      <c r="F527" s="8"/>
      <c r="G527" s="25"/>
      <c r="H527" s="8"/>
      <c r="I527" s="8"/>
      <c r="J527" s="8"/>
      <c r="K527" s="8"/>
      <c r="L527" s="8"/>
      <c r="M527" s="8"/>
      <c r="N527" s="8"/>
      <c r="O527" s="8"/>
      <c r="P527" s="8"/>
      <c r="Q527" s="8"/>
      <c r="R527" s="8"/>
      <c r="S527" s="8"/>
      <c r="T527" s="8"/>
      <c r="U527" s="8"/>
      <c r="V527" s="8"/>
      <c r="W527" s="8"/>
      <c r="X527" s="8"/>
      <c r="Y527" s="8"/>
      <c r="Z527" s="8"/>
    </row>
    <row r="528" ht="18.0" customHeight="1">
      <c r="A528" s="8"/>
      <c r="B528" s="8"/>
      <c r="C528" s="8"/>
      <c r="D528" s="25"/>
      <c r="E528" s="25"/>
      <c r="F528" s="8"/>
      <c r="G528" s="25"/>
      <c r="H528" s="8"/>
      <c r="I528" s="8"/>
      <c r="J528" s="8"/>
      <c r="K528" s="8"/>
      <c r="L528" s="8"/>
      <c r="M528" s="8"/>
      <c r="N528" s="8"/>
      <c r="O528" s="8"/>
      <c r="P528" s="8"/>
      <c r="Q528" s="8"/>
      <c r="R528" s="8"/>
      <c r="S528" s="8"/>
      <c r="T528" s="8"/>
      <c r="U528" s="8"/>
      <c r="V528" s="8"/>
      <c r="W528" s="8"/>
      <c r="X528" s="8"/>
      <c r="Y528" s="8"/>
      <c r="Z528" s="8"/>
    </row>
    <row r="529" ht="18.0" customHeight="1">
      <c r="A529" s="8"/>
      <c r="B529" s="8"/>
      <c r="C529" s="8"/>
      <c r="D529" s="25"/>
      <c r="E529" s="25"/>
      <c r="F529" s="8"/>
      <c r="G529" s="25"/>
      <c r="H529" s="8"/>
      <c r="I529" s="8"/>
      <c r="J529" s="8"/>
      <c r="K529" s="8"/>
      <c r="L529" s="8"/>
      <c r="M529" s="8"/>
      <c r="N529" s="8"/>
      <c r="O529" s="8"/>
      <c r="P529" s="8"/>
      <c r="Q529" s="8"/>
      <c r="R529" s="8"/>
      <c r="S529" s="8"/>
      <c r="T529" s="8"/>
      <c r="U529" s="8"/>
      <c r="V529" s="8"/>
      <c r="W529" s="8"/>
      <c r="X529" s="8"/>
      <c r="Y529" s="8"/>
      <c r="Z529" s="8"/>
    </row>
    <row r="530" ht="18.0" customHeight="1">
      <c r="A530" s="8"/>
      <c r="B530" s="8"/>
      <c r="C530" s="8"/>
      <c r="D530" s="25"/>
      <c r="E530" s="25"/>
      <c r="F530" s="8"/>
      <c r="G530" s="25"/>
      <c r="H530" s="8"/>
      <c r="I530" s="8"/>
      <c r="J530" s="8"/>
      <c r="K530" s="8"/>
      <c r="L530" s="8"/>
      <c r="M530" s="8"/>
      <c r="N530" s="8"/>
      <c r="O530" s="8"/>
      <c r="P530" s="8"/>
      <c r="Q530" s="8"/>
      <c r="R530" s="8"/>
      <c r="S530" s="8"/>
      <c r="T530" s="8"/>
      <c r="U530" s="8"/>
      <c r="V530" s="8"/>
      <c r="W530" s="8"/>
      <c r="X530" s="8"/>
      <c r="Y530" s="8"/>
      <c r="Z530" s="8"/>
    </row>
    <row r="531" ht="18.0" customHeight="1">
      <c r="A531" s="8"/>
      <c r="B531" s="8"/>
      <c r="C531" s="8"/>
      <c r="D531" s="25"/>
      <c r="E531" s="25"/>
      <c r="F531" s="8"/>
      <c r="G531" s="25"/>
      <c r="H531" s="8"/>
      <c r="I531" s="8"/>
      <c r="J531" s="8"/>
      <c r="K531" s="8"/>
      <c r="L531" s="8"/>
      <c r="M531" s="8"/>
      <c r="N531" s="8"/>
      <c r="O531" s="8"/>
      <c r="P531" s="8"/>
      <c r="Q531" s="8"/>
      <c r="R531" s="8"/>
      <c r="S531" s="8"/>
      <c r="T531" s="8"/>
      <c r="U531" s="8"/>
      <c r="V531" s="8"/>
      <c r="W531" s="8"/>
      <c r="X531" s="8"/>
      <c r="Y531" s="8"/>
      <c r="Z531" s="8"/>
    </row>
    <row r="532" ht="18.0" customHeight="1">
      <c r="A532" s="8"/>
      <c r="B532" s="8"/>
      <c r="C532" s="8"/>
      <c r="D532" s="25"/>
      <c r="E532" s="25"/>
      <c r="F532" s="8"/>
      <c r="G532" s="25"/>
      <c r="H532" s="8"/>
      <c r="I532" s="8"/>
      <c r="J532" s="8"/>
      <c r="K532" s="8"/>
      <c r="L532" s="8"/>
      <c r="M532" s="8"/>
      <c r="N532" s="8"/>
      <c r="O532" s="8"/>
      <c r="P532" s="8"/>
      <c r="Q532" s="8"/>
      <c r="R532" s="8"/>
      <c r="S532" s="8"/>
      <c r="T532" s="8"/>
      <c r="U532" s="8"/>
      <c r="V532" s="8"/>
      <c r="W532" s="8"/>
      <c r="X532" s="8"/>
      <c r="Y532" s="8"/>
      <c r="Z532" s="8"/>
    </row>
    <row r="533" ht="18.0" customHeight="1">
      <c r="A533" s="8"/>
      <c r="B533" s="8"/>
      <c r="C533" s="8"/>
      <c r="D533" s="25"/>
      <c r="E533" s="25"/>
      <c r="F533" s="8"/>
      <c r="G533" s="25"/>
      <c r="H533" s="8"/>
      <c r="I533" s="8"/>
      <c r="J533" s="8"/>
      <c r="K533" s="8"/>
      <c r="L533" s="8"/>
      <c r="M533" s="8"/>
      <c r="N533" s="8"/>
      <c r="O533" s="8"/>
      <c r="P533" s="8"/>
      <c r="Q533" s="8"/>
      <c r="R533" s="8"/>
      <c r="S533" s="8"/>
      <c r="T533" s="8"/>
      <c r="U533" s="8"/>
      <c r="V533" s="8"/>
      <c r="W533" s="8"/>
      <c r="X533" s="8"/>
      <c r="Y533" s="8"/>
      <c r="Z533" s="8"/>
    </row>
    <row r="534" ht="18.0" customHeight="1">
      <c r="A534" s="8"/>
      <c r="B534" s="8"/>
      <c r="C534" s="8"/>
      <c r="D534" s="25"/>
      <c r="E534" s="25"/>
      <c r="F534" s="8"/>
      <c r="G534" s="25"/>
      <c r="H534" s="8"/>
      <c r="I534" s="8"/>
      <c r="J534" s="8"/>
      <c r="K534" s="8"/>
      <c r="L534" s="8"/>
      <c r="M534" s="8"/>
      <c r="N534" s="8"/>
      <c r="O534" s="8"/>
      <c r="P534" s="8"/>
      <c r="Q534" s="8"/>
      <c r="R534" s="8"/>
      <c r="S534" s="8"/>
      <c r="T534" s="8"/>
      <c r="U534" s="8"/>
      <c r="V534" s="8"/>
      <c r="W534" s="8"/>
      <c r="X534" s="8"/>
      <c r="Y534" s="8"/>
      <c r="Z534" s="8"/>
    </row>
    <row r="535" ht="18.0" customHeight="1">
      <c r="A535" s="8"/>
      <c r="B535" s="8"/>
      <c r="C535" s="8"/>
      <c r="D535" s="25"/>
      <c r="E535" s="25"/>
      <c r="F535" s="8"/>
      <c r="G535" s="25"/>
      <c r="H535" s="8"/>
      <c r="I535" s="8"/>
      <c r="J535" s="8"/>
      <c r="K535" s="8"/>
      <c r="L535" s="8"/>
      <c r="M535" s="8"/>
      <c r="N535" s="8"/>
      <c r="O535" s="8"/>
      <c r="P535" s="8"/>
      <c r="Q535" s="8"/>
      <c r="R535" s="8"/>
      <c r="S535" s="8"/>
      <c r="T535" s="8"/>
      <c r="U535" s="8"/>
      <c r="V535" s="8"/>
      <c r="W535" s="8"/>
      <c r="X535" s="8"/>
      <c r="Y535" s="8"/>
      <c r="Z535" s="8"/>
    </row>
    <row r="536" ht="18.0" customHeight="1">
      <c r="A536" s="8"/>
      <c r="B536" s="8"/>
      <c r="C536" s="8"/>
      <c r="D536" s="25"/>
      <c r="E536" s="25"/>
      <c r="F536" s="8"/>
      <c r="G536" s="25"/>
      <c r="H536" s="8"/>
      <c r="I536" s="8"/>
      <c r="J536" s="8"/>
      <c r="K536" s="8"/>
      <c r="L536" s="8"/>
      <c r="M536" s="8"/>
      <c r="N536" s="8"/>
      <c r="O536" s="8"/>
      <c r="P536" s="8"/>
      <c r="Q536" s="8"/>
      <c r="R536" s="8"/>
      <c r="S536" s="8"/>
      <c r="T536" s="8"/>
      <c r="U536" s="8"/>
      <c r="V536" s="8"/>
      <c r="W536" s="8"/>
      <c r="X536" s="8"/>
      <c r="Y536" s="8"/>
      <c r="Z536" s="8"/>
    </row>
    <row r="537" ht="18.0" customHeight="1">
      <c r="A537" s="8"/>
      <c r="B537" s="8"/>
      <c r="C537" s="8"/>
      <c r="D537" s="25"/>
      <c r="E537" s="25"/>
      <c r="F537" s="8"/>
      <c r="G537" s="25"/>
      <c r="H537" s="8"/>
      <c r="I537" s="8"/>
      <c r="J537" s="8"/>
      <c r="K537" s="8"/>
      <c r="L537" s="8"/>
      <c r="M537" s="8"/>
      <c r="N537" s="8"/>
      <c r="O537" s="8"/>
      <c r="P537" s="8"/>
      <c r="Q537" s="8"/>
      <c r="R537" s="8"/>
      <c r="S537" s="8"/>
      <c r="T537" s="8"/>
      <c r="U537" s="8"/>
      <c r="V537" s="8"/>
      <c r="W537" s="8"/>
      <c r="X537" s="8"/>
      <c r="Y537" s="8"/>
      <c r="Z537" s="8"/>
    </row>
    <row r="538" ht="18.0" customHeight="1">
      <c r="A538" s="8"/>
      <c r="B538" s="8"/>
      <c r="C538" s="8"/>
      <c r="D538" s="25"/>
      <c r="E538" s="25"/>
      <c r="F538" s="8"/>
      <c r="G538" s="25"/>
      <c r="H538" s="8"/>
      <c r="I538" s="8"/>
      <c r="J538" s="8"/>
      <c r="K538" s="8"/>
      <c r="L538" s="8"/>
      <c r="M538" s="8"/>
      <c r="N538" s="8"/>
      <c r="O538" s="8"/>
      <c r="P538" s="8"/>
      <c r="Q538" s="8"/>
      <c r="R538" s="8"/>
      <c r="S538" s="8"/>
      <c r="T538" s="8"/>
      <c r="U538" s="8"/>
      <c r="V538" s="8"/>
      <c r="W538" s="8"/>
      <c r="X538" s="8"/>
      <c r="Y538" s="8"/>
      <c r="Z538" s="8"/>
    </row>
    <row r="539" ht="18.0" customHeight="1">
      <c r="A539" s="8"/>
      <c r="B539" s="8"/>
      <c r="C539" s="8"/>
      <c r="D539" s="25"/>
      <c r="E539" s="25"/>
      <c r="F539" s="8"/>
      <c r="G539" s="25"/>
      <c r="H539" s="8"/>
      <c r="I539" s="8"/>
      <c r="J539" s="8"/>
      <c r="K539" s="8"/>
      <c r="L539" s="8"/>
      <c r="M539" s="8"/>
      <c r="N539" s="8"/>
      <c r="O539" s="8"/>
      <c r="P539" s="8"/>
      <c r="Q539" s="8"/>
      <c r="R539" s="8"/>
      <c r="S539" s="8"/>
      <c r="T539" s="8"/>
      <c r="U539" s="8"/>
      <c r="V539" s="8"/>
      <c r="W539" s="8"/>
      <c r="X539" s="8"/>
      <c r="Y539" s="8"/>
      <c r="Z539" s="8"/>
    </row>
    <row r="540" ht="18.0" customHeight="1">
      <c r="A540" s="8"/>
      <c r="B540" s="8"/>
      <c r="C540" s="8"/>
      <c r="D540" s="25"/>
      <c r="E540" s="25"/>
      <c r="F540" s="8"/>
      <c r="G540" s="25"/>
      <c r="H540" s="8"/>
      <c r="I540" s="8"/>
      <c r="J540" s="8"/>
      <c r="K540" s="8"/>
      <c r="L540" s="8"/>
      <c r="M540" s="8"/>
      <c r="N540" s="8"/>
      <c r="O540" s="8"/>
      <c r="P540" s="8"/>
      <c r="Q540" s="8"/>
      <c r="R540" s="8"/>
      <c r="S540" s="8"/>
      <c r="T540" s="8"/>
      <c r="U540" s="8"/>
      <c r="V540" s="8"/>
      <c r="W540" s="8"/>
      <c r="X540" s="8"/>
      <c r="Y540" s="8"/>
      <c r="Z540" s="8"/>
    </row>
    <row r="541" ht="18.0" customHeight="1">
      <c r="A541" s="8"/>
      <c r="B541" s="8"/>
      <c r="C541" s="8"/>
      <c r="D541" s="25"/>
      <c r="E541" s="25"/>
      <c r="F541" s="8"/>
      <c r="G541" s="25"/>
      <c r="H541" s="8"/>
      <c r="I541" s="8"/>
      <c r="J541" s="8"/>
      <c r="K541" s="8"/>
      <c r="L541" s="8"/>
      <c r="M541" s="8"/>
      <c r="N541" s="8"/>
      <c r="O541" s="8"/>
      <c r="P541" s="8"/>
      <c r="Q541" s="8"/>
      <c r="R541" s="8"/>
      <c r="S541" s="8"/>
      <c r="T541" s="8"/>
      <c r="U541" s="8"/>
      <c r="V541" s="8"/>
      <c r="W541" s="8"/>
      <c r="X541" s="8"/>
      <c r="Y541" s="8"/>
      <c r="Z541" s="8"/>
    </row>
    <row r="542" ht="18.0" customHeight="1">
      <c r="A542" s="8"/>
      <c r="B542" s="8"/>
      <c r="C542" s="8"/>
      <c r="D542" s="25"/>
      <c r="E542" s="25"/>
      <c r="F542" s="8"/>
      <c r="G542" s="25"/>
      <c r="H542" s="8"/>
      <c r="I542" s="8"/>
      <c r="J542" s="8"/>
      <c r="K542" s="8"/>
      <c r="L542" s="8"/>
      <c r="M542" s="8"/>
      <c r="N542" s="8"/>
      <c r="O542" s="8"/>
      <c r="P542" s="8"/>
      <c r="Q542" s="8"/>
      <c r="R542" s="8"/>
      <c r="S542" s="8"/>
      <c r="T542" s="8"/>
      <c r="U542" s="8"/>
      <c r="V542" s="8"/>
      <c r="W542" s="8"/>
      <c r="X542" s="8"/>
      <c r="Y542" s="8"/>
      <c r="Z542" s="8"/>
    </row>
    <row r="543" ht="18.0" customHeight="1">
      <c r="A543" s="8"/>
      <c r="B543" s="8"/>
      <c r="C543" s="8"/>
      <c r="D543" s="25"/>
      <c r="E543" s="25"/>
      <c r="F543" s="8"/>
      <c r="G543" s="25"/>
      <c r="H543" s="8"/>
      <c r="I543" s="8"/>
      <c r="J543" s="8"/>
      <c r="K543" s="8"/>
      <c r="L543" s="8"/>
      <c r="M543" s="8"/>
      <c r="N543" s="8"/>
      <c r="O543" s="8"/>
      <c r="P543" s="8"/>
      <c r="Q543" s="8"/>
      <c r="R543" s="8"/>
      <c r="S543" s="8"/>
      <c r="T543" s="8"/>
      <c r="U543" s="8"/>
      <c r="V543" s="8"/>
      <c r="W543" s="8"/>
      <c r="X543" s="8"/>
      <c r="Y543" s="8"/>
      <c r="Z543" s="8"/>
    </row>
    <row r="544" ht="18.0" customHeight="1">
      <c r="A544" s="8"/>
      <c r="B544" s="8"/>
      <c r="C544" s="8"/>
      <c r="D544" s="25"/>
      <c r="E544" s="25"/>
      <c r="F544" s="8"/>
      <c r="G544" s="25"/>
      <c r="H544" s="8"/>
      <c r="I544" s="8"/>
      <c r="J544" s="8"/>
      <c r="K544" s="8"/>
      <c r="L544" s="8"/>
      <c r="M544" s="8"/>
      <c r="N544" s="8"/>
      <c r="O544" s="8"/>
      <c r="P544" s="8"/>
      <c r="Q544" s="8"/>
      <c r="R544" s="8"/>
      <c r="S544" s="8"/>
      <c r="T544" s="8"/>
      <c r="U544" s="8"/>
      <c r="V544" s="8"/>
      <c r="W544" s="8"/>
      <c r="X544" s="8"/>
      <c r="Y544" s="8"/>
      <c r="Z544" s="8"/>
    </row>
    <row r="545" ht="18.0" customHeight="1">
      <c r="A545" s="8"/>
      <c r="B545" s="8"/>
      <c r="C545" s="8"/>
      <c r="D545" s="25"/>
      <c r="E545" s="25"/>
      <c r="F545" s="8"/>
      <c r="G545" s="25"/>
      <c r="H545" s="8"/>
      <c r="I545" s="8"/>
      <c r="J545" s="8"/>
      <c r="K545" s="8"/>
      <c r="L545" s="8"/>
      <c r="M545" s="8"/>
      <c r="N545" s="8"/>
      <c r="O545" s="8"/>
      <c r="P545" s="8"/>
      <c r="Q545" s="8"/>
      <c r="R545" s="8"/>
      <c r="S545" s="8"/>
      <c r="T545" s="8"/>
      <c r="U545" s="8"/>
      <c r="V545" s="8"/>
      <c r="W545" s="8"/>
      <c r="X545" s="8"/>
      <c r="Y545" s="8"/>
      <c r="Z545" s="8"/>
    </row>
    <row r="546" ht="18.0" customHeight="1">
      <c r="A546" s="8"/>
      <c r="B546" s="8"/>
      <c r="C546" s="8"/>
      <c r="D546" s="25"/>
      <c r="E546" s="25"/>
      <c r="F546" s="8"/>
      <c r="G546" s="25"/>
      <c r="H546" s="8"/>
      <c r="I546" s="8"/>
      <c r="J546" s="8"/>
      <c r="K546" s="8"/>
      <c r="L546" s="8"/>
      <c r="M546" s="8"/>
      <c r="N546" s="8"/>
      <c r="O546" s="8"/>
      <c r="P546" s="8"/>
      <c r="Q546" s="8"/>
      <c r="R546" s="8"/>
      <c r="S546" s="8"/>
      <c r="T546" s="8"/>
      <c r="U546" s="8"/>
      <c r="V546" s="8"/>
      <c r="W546" s="8"/>
      <c r="X546" s="8"/>
      <c r="Y546" s="8"/>
      <c r="Z546" s="8"/>
    </row>
    <row r="547" ht="18.0" customHeight="1">
      <c r="A547" s="8"/>
      <c r="B547" s="8"/>
      <c r="C547" s="8"/>
      <c r="D547" s="25"/>
      <c r="E547" s="25"/>
      <c r="F547" s="8"/>
      <c r="G547" s="25"/>
      <c r="H547" s="8"/>
      <c r="I547" s="8"/>
      <c r="J547" s="8"/>
      <c r="K547" s="8"/>
      <c r="L547" s="8"/>
      <c r="M547" s="8"/>
      <c r="N547" s="8"/>
      <c r="O547" s="8"/>
      <c r="P547" s="8"/>
      <c r="Q547" s="8"/>
      <c r="R547" s="8"/>
      <c r="S547" s="8"/>
      <c r="T547" s="8"/>
      <c r="U547" s="8"/>
      <c r="V547" s="8"/>
      <c r="W547" s="8"/>
      <c r="X547" s="8"/>
      <c r="Y547" s="8"/>
      <c r="Z547" s="8"/>
    </row>
    <row r="548" ht="18.0" customHeight="1">
      <c r="A548" s="8"/>
      <c r="B548" s="8"/>
      <c r="C548" s="8"/>
      <c r="D548" s="25"/>
      <c r="E548" s="25"/>
      <c r="F548" s="8"/>
      <c r="G548" s="25"/>
      <c r="H548" s="8"/>
      <c r="I548" s="8"/>
      <c r="J548" s="8"/>
      <c r="K548" s="8"/>
      <c r="L548" s="8"/>
      <c r="M548" s="8"/>
      <c r="N548" s="8"/>
      <c r="O548" s="8"/>
      <c r="P548" s="8"/>
      <c r="Q548" s="8"/>
      <c r="R548" s="8"/>
      <c r="S548" s="8"/>
      <c r="T548" s="8"/>
      <c r="U548" s="8"/>
      <c r="V548" s="8"/>
      <c r="W548" s="8"/>
      <c r="X548" s="8"/>
      <c r="Y548" s="8"/>
      <c r="Z548" s="8"/>
    </row>
    <row r="549" ht="18.0" customHeight="1">
      <c r="A549" s="8"/>
      <c r="B549" s="8"/>
      <c r="C549" s="8"/>
      <c r="D549" s="25"/>
      <c r="E549" s="25"/>
      <c r="F549" s="8"/>
      <c r="G549" s="25"/>
      <c r="H549" s="8"/>
      <c r="I549" s="8"/>
      <c r="J549" s="8"/>
      <c r="K549" s="8"/>
      <c r="L549" s="8"/>
      <c r="M549" s="8"/>
      <c r="N549" s="8"/>
      <c r="O549" s="8"/>
      <c r="P549" s="8"/>
      <c r="Q549" s="8"/>
      <c r="R549" s="8"/>
      <c r="S549" s="8"/>
      <c r="T549" s="8"/>
      <c r="U549" s="8"/>
      <c r="V549" s="8"/>
      <c r="W549" s="8"/>
      <c r="X549" s="8"/>
      <c r="Y549" s="8"/>
      <c r="Z549" s="8"/>
    </row>
    <row r="550" ht="18.0" customHeight="1">
      <c r="A550" s="8"/>
      <c r="B550" s="8"/>
      <c r="C550" s="8"/>
      <c r="D550" s="25"/>
      <c r="E550" s="25"/>
      <c r="F550" s="8"/>
      <c r="G550" s="25"/>
      <c r="H550" s="8"/>
      <c r="I550" s="8"/>
      <c r="J550" s="8"/>
      <c r="K550" s="8"/>
      <c r="L550" s="8"/>
      <c r="M550" s="8"/>
      <c r="N550" s="8"/>
      <c r="O550" s="8"/>
      <c r="P550" s="8"/>
      <c r="Q550" s="8"/>
      <c r="R550" s="8"/>
      <c r="S550" s="8"/>
      <c r="T550" s="8"/>
      <c r="U550" s="8"/>
      <c r="V550" s="8"/>
      <c r="W550" s="8"/>
      <c r="X550" s="8"/>
      <c r="Y550" s="8"/>
      <c r="Z550" s="8"/>
    </row>
    <row r="551" ht="18.0" customHeight="1">
      <c r="A551" s="8"/>
      <c r="B551" s="8"/>
      <c r="C551" s="8"/>
      <c r="D551" s="25"/>
      <c r="E551" s="25"/>
      <c r="F551" s="8"/>
      <c r="G551" s="25"/>
      <c r="H551" s="8"/>
      <c r="I551" s="8"/>
      <c r="J551" s="8"/>
      <c r="K551" s="8"/>
      <c r="L551" s="8"/>
      <c r="M551" s="8"/>
      <c r="N551" s="8"/>
      <c r="O551" s="8"/>
      <c r="P551" s="8"/>
      <c r="Q551" s="8"/>
      <c r="R551" s="8"/>
      <c r="S551" s="8"/>
      <c r="T551" s="8"/>
      <c r="U551" s="8"/>
      <c r="V551" s="8"/>
      <c r="W551" s="8"/>
      <c r="X551" s="8"/>
      <c r="Y551" s="8"/>
      <c r="Z551" s="8"/>
    </row>
    <row r="552" ht="18.0" customHeight="1">
      <c r="A552" s="8"/>
      <c r="B552" s="8"/>
      <c r="C552" s="8"/>
      <c r="D552" s="25"/>
      <c r="E552" s="25"/>
      <c r="F552" s="8"/>
      <c r="G552" s="25"/>
      <c r="H552" s="8"/>
      <c r="I552" s="8"/>
      <c r="J552" s="8"/>
      <c r="K552" s="8"/>
      <c r="L552" s="8"/>
      <c r="M552" s="8"/>
      <c r="N552" s="8"/>
      <c r="O552" s="8"/>
      <c r="P552" s="8"/>
      <c r="Q552" s="8"/>
      <c r="R552" s="8"/>
      <c r="S552" s="8"/>
      <c r="T552" s="8"/>
      <c r="U552" s="8"/>
      <c r="V552" s="8"/>
      <c r="W552" s="8"/>
      <c r="X552" s="8"/>
      <c r="Y552" s="8"/>
      <c r="Z552" s="8"/>
    </row>
    <row r="553" ht="18.0" customHeight="1">
      <c r="A553" s="8"/>
      <c r="B553" s="8"/>
      <c r="C553" s="8"/>
      <c r="D553" s="25"/>
      <c r="E553" s="25"/>
      <c r="F553" s="8"/>
      <c r="G553" s="25"/>
      <c r="H553" s="8"/>
      <c r="I553" s="8"/>
      <c r="J553" s="8"/>
      <c r="K553" s="8"/>
      <c r="L553" s="8"/>
      <c r="M553" s="8"/>
      <c r="N553" s="8"/>
      <c r="O553" s="8"/>
      <c r="P553" s="8"/>
      <c r="Q553" s="8"/>
      <c r="R553" s="8"/>
      <c r="S553" s="8"/>
      <c r="T553" s="8"/>
      <c r="U553" s="8"/>
      <c r="V553" s="8"/>
      <c r="W553" s="8"/>
      <c r="X553" s="8"/>
      <c r="Y553" s="8"/>
      <c r="Z553" s="8"/>
    </row>
    <row r="554" ht="18.0" customHeight="1">
      <c r="A554" s="8"/>
      <c r="B554" s="8"/>
      <c r="C554" s="8"/>
      <c r="D554" s="25"/>
      <c r="E554" s="25"/>
      <c r="F554" s="8"/>
      <c r="G554" s="25"/>
      <c r="H554" s="8"/>
      <c r="I554" s="8"/>
      <c r="J554" s="8"/>
      <c r="K554" s="8"/>
      <c r="L554" s="8"/>
      <c r="M554" s="8"/>
      <c r="N554" s="8"/>
      <c r="O554" s="8"/>
      <c r="P554" s="8"/>
      <c r="Q554" s="8"/>
      <c r="R554" s="8"/>
      <c r="S554" s="8"/>
      <c r="T554" s="8"/>
      <c r="U554" s="8"/>
      <c r="V554" s="8"/>
      <c r="W554" s="8"/>
      <c r="X554" s="8"/>
      <c r="Y554" s="8"/>
      <c r="Z554" s="8"/>
    </row>
    <row r="555" ht="18.0" customHeight="1">
      <c r="A555" s="8"/>
      <c r="B555" s="8"/>
      <c r="C555" s="8"/>
      <c r="D555" s="25"/>
      <c r="E555" s="25"/>
      <c r="F555" s="8"/>
      <c r="G555" s="25"/>
      <c r="H555" s="8"/>
      <c r="I555" s="8"/>
      <c r="J555" s="8"/>
      <c r="K555" s="8"/>
      <c r="L555" s="8"/>
      <c r="M555" s="8"/>
      <c r="N555" s="8"/>
      <c r="O555" s="8"/>
      <c r="P555" s="8"/>
      <c r="Q555" s="8"/>
      <c r="R555" s="8"/>
      <c r="S555" s="8"/>
      <c r="T555" s="8"/>
      <c r="U555" s="8"/>
      <c r="V555" s="8"/>
      <c r="W555" s="8"/>
      <c r="X555" s="8"/>
      <c r="Y555" s="8"/>
      <c r="Z555" s="8"/>
    </row>
    <row r="556" ht="18.0" customHeight="1">
      <c r="A556" s="8"/>
      <c r="B556" s="8"/>
      <c r="C556" s="8"/>
      <c r="D556" s="25"/>
      <c r="E556" s="25"/>
      <c r="F556" s="8"/>
      <c r="G556" s="25"/>
      <c r="H556" s="8"/>
      <c r="I556" s="8"/>
      <c r="J556" s="8"/>
      <c r="K556" s="8"/>
      <c r="L556" s="8"/>
      <c r="M556" s="8"/>
      <c r="N556" s="8"/>
      <c r="O556" s="8"/>
      <c r="P556" s="8"/>
      <c r="Q556" s="8"/>
      <c r="R556" s="8"/>
      <c r="S556" s="8"/>
      <c r="T556" s="8"/>
      <c r="U556" s="8"/>
      <c r="V556" s="8"/>
      <c r="W556" s="8"/>
      <c r="X556" s="8"/>
      <c r="Y556" s="8"/>
      <c r="Z556" s="8"/>
    </row>
    <row r="557" ht="18.0" customHeight="1">
      <c r="A557" s="8"/>
      <c r="B557" s="8"/>
      <c r="C557" s="8"/>
      <c r="D557" s="25"/>
      <c r="E557" s="25"/>
      <c r="F557" s="8"/>
      <c r="G557" s="25"/>
      <c r="H557" s="8"/>
      <c r="I557" s="8"/>
      <c r="J557" s="8"/>
      <c r="K557" s="8"/>
      <c r="L557" s="8"/>
      <c r="M557" s="8"/>
      <c r="N557" s="8"/>
      <c r="O557" s="8"/>
      <c r="P557" s="8"/>
      <c r="Q557" s="8"/>
      <c r="R557" s="8"/>
      <c r="S557" s="8"/>
      <c r="T557" s="8"/>
      <c r="U557" s="8"/>
      <c r="V557" s="8"/>
      <c r="W557" s="8"/>
      <c r="X557" s="8"/>
      <c r="Y557" s="8"/>
      <c r="Z557" s="8"/>
    </row>
    <row r="558" ht="18.0" customHeight="1">
      <c r="A558" s="8"/>
      <c r="B558" s="8"/>
      <c r="C558" s="8"/>
      <c r="D558" s="25"/>
      <c r="E558" s="25"/>
      <c r="F558" s="8"/>
      <c r="G558" s="25"/>
      <c r="H558" s="8"/>
      <c r="I558" s="8"/>
      <c r="J558" s="8"/>
      <c r="K558" s="8"/>
      <c r="L558" s="8"/>
      <c r="M558" s="8"/>
      <c r="N558" s="8"/>
      <c r="O558" s="8"/>
      <c r="P558" s="8"/>
      <c r="Q558" s="8"/>
      <c r="R558" s="8"/>
      <c r="S558" s="8"/>
      <c r="T558" s="8"/>
      <c r="U558" s="8"/>
      <c r="V558" s="8"/>
      <c r="W558" s="8"/>
      <c r="X558" s="8"/>
      <c r="Y558" s="8"/>
      <c r="Z558" s="8"/>
    </row>
    <row r="559" ht="18.0" customHeight="1">
      <c r="A559" s="8"/>
      <c r="B559" s="8"/>
      <c r="C559" s="8"/>
      <c r="D559" s="25"/>
      <c r="E559" s="25"/>
      <c r="F559" s="8"/>
      <c r="G559" s="25"/>
      <c r="H559" s="8"/>
      <c r="I559" s="8"/>
      <c r="J559" s="8"/>
      <c r="K559" s="8"/>
      <c r="L559" s="8"/>
      <c r="M559" s="8"/>
      <c r="N559" s="8"/>
      <c r="O559" s="8"/>
      <c r="P559" s="8"/>
      <c r="Q559" s="8"/>
      <c r="R559" s="8"/>
      <c r="S559" s="8"/>
      <c r="T559" s="8"/>
      <c r="U559" s="8"/>
      <c r="V559" s="8"/>
      <c r="W559" s="8"/>
      <c r="X559" s="8"/>
      <c r="Y559" s="8"/>
      <c r="Z559" s="8"/>
    </row>
    <row r="560" ht="18.0" customHeight="1">
      <c r="A560" s="8"/>
      <c r="B560" s="8"/>
      <c r="C560" s="8"/>
      <c r="D560" s="25"/>
      <c r="E560" s="25"/>
      <c r="F560" s="8"/>
      <c r="G560" s="25"/>
      <c r="H560" s="8"/>
      <c r="I560" s="8"/>
      <c r="J560" s="8"/>
      <c r="K560" s="8"/>
      <c r="L560" s="8"/>
      <c r="M560" s="8"/>
      <c r="N560" s="8"/>
      <c r="O560" s="8"/>
      <c r="P560" s="8"/>
      <c r="Q560" s="8"/>
      <c r="R560" s="8"/>
      <c r="S560" s="8"/>
      <c r="T560" s="8"/>
      <c r="U560" s="8"/>
      <c r="V560" s="8"/>
      <c r="W560" s="8"/>
      <c r="X560" s="8"/>
      <c r="Y560" s="8"/>
      <c r="Z560" s="8"/>
    </row>
    <row r="561" ht="18.0" customHeight="1">
      <c r="A561" s="8"/>
      <c r="B561" s="8"/>
      <c r="C561" s="8"/>
      <c r="D561" s="25"/>
      <c r="E561" s="25"/>
      <c r="F561" s="8"/>
      <c r="G561" s="25"/>
      <c r="H561" s="8"/>
      <c r="I561" s="8"/>
      <c r="J561" s="8"/>
      <c r="K561" s="8"/>
      <c r="L561" s="8"/>
      <c r="M561" s="8"/>
      <c r="N561" s="8"/>
      <c r="O561" s="8"/>
      <c r="P561" s="8"/>
      <c r="Q561" s="8"/>
      <c r="R561" s="8"/>
      <c r="S561" s="8"/>
      <c r="T561" s="8"/>
      <c r="U561" s="8"/>
      <c r="V561" s="8"/>
      <c r="W561" s="8"/>
      <c r="X561" s="8"/>
      <c r="Y561" s="8"/>
      <c r="Z561" s="8"/>
    </row>
    <row r="562" ht="18.0" customHeight="1">
      <c r="A562" s="8"/>
      <c r="B562" s="8"/>
      <c r="C562" s="8"/>
      <c r="D562" s="25"/>
      <c r="E562" s="25"/>
      <c r="F562" s="8"/>
      <c r="G562" s="25"/>
      <c r="H562" s="8"/>
      <c r="I562" s="8"/>
      <c r="J562" s="8"/>
      <c r="K562" s="8"/>
      <c r="L562" s="8"/>
      <c r="M562" s="8"/>
      <c r="N562" s="8"/>
      <c r="O562" s="8"/>
      <c r="P562" s="8"/>
      <c r="Q562" s="8"/>
      <c r="R562" s="8"/>
      <c r="S562" s="8"/>
      <c r="T562" s="8"/>
      <c r="U562" s="8"/>
      <c r="V562" s="8"/>
      <c r="W562" s="8"/>
      <c r="X562" s="8"/>
      <c r="Y562" s="8"/>
      <c r="Z562" s="8"/>
    </row>
    <row r="563" ht="18.0" customHeight="1">
      <c r="A563" s="8"/>
      <c r="B563" s="8"/>
      <c r="C563" s="8"/>
      <c r="D563" s="25"/>
      <c r="E563" s="25"/>
      <c r="F563" s="8"/>
      <c r="G563" s="25"/>
      <c r="H563" s="8"/>
      <c r="I563" s="8"/>
      <c r="J563" s="8"/>
      <c r="K563" s="8"/>
      <c r="L563" s="8"/>
      <c r="M563" s="8"/>
      <c r="N563" s="8"/>
      <c r="O563" s="8"/>
      <c r="P563" s="8"/>
      <c r="Q563" s="8"/>
      <c r="R563" s="8"/>
      <c r="S563" s="8"/>
      <c r="T563" s="8"/>
      <c r="U563" s="8"/>
      <c r="V563" s="8"/>
      <c r="W563" s="8"/>
      <c r="X563" s="8"/>
      <c r="Y563" s="8"/>
      <c r="Z563" s="8"/>
    </row>
    <row r="564" ht="18.0" customHeight="1">
      <c r="A564" s="8"/>
      <c r="B564" s="8"/>
      <c r="C564" s="8"/>
      <c r="D564" s="25"/>
      <c r="E564" s="25"/>
      <c r="F564" s="8"/>
      <c r="G564" s="25"/>
      <c r="H564" s="8"/>
      <c r="I564" s="8"/>
      <c r="J564" s="8"/>
      <c r="K564" s="8"/>
      <c r="L564" s="8"/>
      <c r="M564" s="8"/>
      <c r="N564" s="8"/>
      <c r="O564" s="8"/>
      <c r="P564" s="8"/>
      <c r="Q564" s="8"/>
      <c r="R564" s="8"/>
      <c r="S564" s="8"/>
      <c r="T564" s="8"/>
      <c r="U564" s="8"/>
      <c r="V564" s="8"/>
      <c r="W564" s="8"/>
      <c r="X564" s="8"/>
      <c r="Y564" s="8"/>
      <c r="Z564" s="8"/>
    </row>
    <row r="565" ht="18.0" customHeight="1">
      <c r="A565" s="8"/>
      <c r="B565" s="8"/>
      <c r="C565" s="8"/>
      <c r="D565" s="25"/>
      <c r="E565" s="25"/>
      <c r="F565" s="8"/>
      <c r="G565" s="25"/>
      <c r="H565" s="8"/>
      <c r="I565" s="8"/>
      <c r="J565" s="8"/>
      <c r="K565" s="8"/>
      <c r="L565" s="8"/>
      <c r="M565" s="8"/>
      <c r="N565" s="8"/>
      <c r="O565" s="8"/>
      <c r="P565" s="8"/>
      <c r="Q565" s="8"/>
      <c r="R565" s="8"/>
      <c r="S565" s="8"/>
      <c r="T565" s="8"/>
      <c r="U565" s="8"/>
      <c r="V565" s="8"/>
      <c r="W565" s="8"/>
      <c r="X565" s="8"/>
      <c r="Y565" s="8"/>
      <c r="Z565" s="8"/>
    </row>
    <row r="566" ht="18.0" customHeight="1">
      <c r="A566" s="8"/>
      <c r="B566" s="8"/>
      <c r="C566" s="8"/>
      <c r="D566" s="25"/>
      <c r="E566" s="25"/>
      <c r="F566" s="8"/>
      <c r="G566" s="25"/>
      <c r="H566" s="8"/>
      <c r="I566" s="8"/>
      <c r="J566" s="8"/>
      <c r="K566" s="8"/>
      <c r="L566" s="8"/>
      <c r="M566" s="8"/>
      <c r="N566" s="8"/>
      <c r="O566" s="8"/>
      <c r="P566" s="8"/>
      <c r="Q566" s="8"/>
      <c r="R566" s="8"/>
      <c r="S566" s="8"/>
      <c r="T566" s="8"/>
      <c r="U566" s="8"/>
      <c r="V566" s="8"/>
      <c r="W566" s="8"/>
      <c r="X566" s="8"/>
      <c r="Y566" s="8"/>
      <c r="Z566" s="8"/>
    </row>
    <row r="567" ht="18.0" customHeight="1">
      <c r="A567" s="8"/>
      <c r="B567" s="8"/>
      <c r="C567" s="8"/>
      <c r="D567" s="25"/>
      <c r="E567" s="25"/>
      <c r="F567" s="8"/>
      <c r="G567" s="25"/>
      <c r="H567" s="8"/>
      <c r="I567" s="8"/>
      <c r="J567" s="8"/>
      <c r="K567" s="8"/>
      <c r="L567" s="8"/>
      <c r="M567" s="8"/>
      <c r="N567" s="8"/>
      <c r="O567" s="8"/>
      <c r="P567" s="8"/>
      <c r="Q567" s="8"/>
      <c r="R567" s="8"/>
      <c r="S567" s="8"/>
      <c r="T567" s="8"/>
      <c r="U567" s="8"/>
      <c r="V567" s="8"/>
      <c r="W567" s="8"/>
      <c r="X567" s="8"/>
      <c r="Y567" s="8"/>
      <c r="Z567" s="8"/>
    </row>
    <row r="568" ht="18.0" customHeight="1">
      <c r="A568" s="8"/>
      <c r="B568" s="8"/>
      <c r="C568" s="8"/>
      <c r="D568" s="25"/>
      <c r="E568" s="25"/>
      <c r="F568" s="8"/>
      <c r="G568" s="25"/>
      <c r="H568" s="8"/>
      <c r="I568" s="8"/>
      <c r="J568" s="8"/>
      <c r="K568" s="8"/>
      <c r="L568" s="8"/>
      <c r="M568" s="8"/>
      <c r="N568" s="8"/>
      <c r="O568" s="8"/>
      <c r="P568" s="8"/>
      <c r="Q568" s="8"/>
      <c r="R568" s="8"/>
      <c r="S568" s="8"/>
      <c r="T568" s="8"/>
      <c r="U568" s="8"/>
      <c r="V568" s="8"/>
      <c r="W568" s="8"/>
      <c r="X568" s="8"/>
      <c r="Y568" s="8"/>
      <c r="Z568" s="8"/>
    </row>
    <row r="569" ht="18.0" customHeight="1">
      <c r="A569" s="8"/>
      <c r="B569" s="8"/>
      <c r="C569" s="8"/>
      <c r="D569" s="25"/>
      <c r="E569" s="25"/>
      <c r="F569" s="8"/>
      <c r="G569" s="25"/>
      <c r="H569" s="8"/>
      <c r="I569" s="8"/>
      <c r="J569" s="8"/>
      <c r="K569" s="8"/>
      <c r="L569" s="8"/>
      <c r="M569" s="8"/>
      <c r="N569" s="8"/>
      <c r="O569" s="8"/>
      <c r="P569" s="8"/>
      <c r="Q569" s="8"/>
      <c r="R569" s="8"/>
      <c r="S569" s="8"/>
      <c r="T569" s="8"/>
      <c r="U569" s="8"/>
      <c r="V569" s="8"/>
      <c r="W569" s="8"/>
      <c r="X569" s="8"/>
      <c r="Y569" s="8"/>
      <c r="Z569" s="8"/>
    </row>
    <row r="570" ht="18.0" customHeight="1">
      <c r="A570" s="8"/>
      <c r="B570" s="8"/>
      <c r="C570" s="8"/>
      <c r="D570" s="25"/>
      <c r="E570" s="25"/>
      <c r="F570" s="8"/>
      <c r="G570" s="25"/>
      <c r="H570" s="8"/>
      <c r="I570" s="8"/>
      <c r="J570" s="8"/>
      <c r="K570" s="8"/>
      <c r="L570" s="8"/>
      <c r="M570" s="8"/>
      <c r="N570" s="8"/>
      <c r="O570" s="8"/>
      <c r="P570" s="8"/>
      <c r="Q570" s="8"/>
      <c r="R570" s="8"/>
      <c r="S570" s="8"/>
      <c r="T570" s="8"/>
      <c r="U570" s="8"/>
      <c r="V570" s="8"/>
      <c r="W570" s="8"/>
      <c r="X570" s="8"/>
      <c r="Y570" s="8"/>
      <c r="Z570" s="8"/>
    </row>
    <row r="571" ht="18.0" customHeight="1">
      <c r="A571" s="8"/>
      <c r="B571" s="8"/>
      <c r="C571" s="8"/>
      <c r="D571" s="25"/>
      <c r="E571" s="25"/>
      <c r="F571" s="8"/>
      <c r="G571" s="25"/>
      <c r="H571" s="8"/>
      <c r="I571" s="8"/>
      <c r="J571" s="8"/>
      <c r="K571" s="8"/>
      <c r="L571" s="8"/>
      <c r="M571" s="8"/>
      <c r="N571" s="8"/>
      <c r="O571" s="8"/>
      <c r="P571" s="8"/>
      <c r="Q571" s="8"/>
      <c r="R571" s="8"/>
      <c r="S571" s="8"/>
      <c r="T571" s="8"/>
      <c r="U571" s="8"/>
      <c r="V571" s="8"/>
      <c r="W571" s="8"/>
      <c r="X571" s="8"/>
      <c r="Y571" s="8"/>
      <c r="Z571" s="8"/>
    </row>
    <row r="572" ht="18.0" customHeight="1">
      <c r="A572" s="8"/>
      <c r="B572" s="8"/>
      <c r="C572" s="8"/>
      <c r="D572" s="25"/>
      <c r="E572" s="25"/>
      <c r="F572" s="8"/>
      <c r="G572" s="25"/>
      <c r="H572" s="8"/>
      <c r="I572" s="8"/>
      <c r="J572" s="8"/>
      <c r="K572" s="8"/>
      <c r="L572" s="8"/>
      <c r="M572" s="8"/>
      <c r="N572" s="8"/>
      <c r="O572" s="8"/>
      <c r="P572" s="8"/>
      <c r="Q572" s="8"/>
      <c r="R572" s="8"/>
      <c r="S572" s="8"/>
      <c r="T572" s="8"/>
      <c r="U572" s="8"/>
      <c r="V572" s="8"/>
      <c r="W572" s="8"/>
      <c r="X572" s="8"/>
      <c r="Y572" s="8"/>
      <c r="Z572" s="8"/>
    </row>
    <row r="573" ht="18.0" customHeight="1">
      <c r="A573" s="8"/>
      <c r="B573" s="8"/>
      <c r="C573" s="8"/>
      <c r="D573" s="25"/>
      <c r="E573" s="25"/>
      <c r="F573" s="8"/>
      <c r="G573" s="25"/>
      <c r="H573" s="8"/>
      <c r="I573" s="8"/>
      <c r="J573" s="8"/>
      <c r="K573" s="8"/>
      <c r="L573" s="8"/>
      <c r="M573" s="8"/>
      <c r="N573" s="8"/>
      <c r="O573" s="8"/>
      <c r="P573" s="8"/>
      <c r="Q573" s="8"/>
      <c r="R573" s="8"/>
      <c r="S573" s="8"/>
      <c r="T573" s="8"/>
      <c r="U573" s="8"/>
      <c r="V573" s="8"/>
      <c r="W573" s="8"/>
      <c r="X573" s="8"/>
      <c r="Y573" s="8"/>
      <c r="Z573" s="8"/>
    </row>
    <row r="574" ht="18.0" customHeight="1">
      <c r="A574" s="8"/>
      <c r="B574" s="8"/>
      <c r="C574" s="8"/>
      <c r="D574" s="25"/>
      <c r="E574" s="25"/>
      <c r="F574" s="8"/>
      <c r="G574" s="25"/>
      <c r="H574" s="8"/>
      <c r="I574" s="8"/>
      <c r="J574" s="8"/>
      <c r="K574" s="8"/>
      <c r="L574" s="8"/>
      <c r="M574" s="8"/>
      <c r="N574" s="8"/>
      <c r="O574" s="8"/>
      <c r="P574" s="8"/>
      <c r="Q574" s="8"/>
      <c r="R574" s="8"/>
      <c r="S574" s="8"/>
      <c r="T574" s="8"/>
      <c r="U574" s="8"/>
      <c r="V574" s="8"/>
      <c r="W574" s="8"/>
      <c r="X574" s="8"/>
      <c r="Y574" s="8"/>
      <c r="Z574" s="8"/>
    </row>
    <row r="575" ht="18.0" customHeight="1">
      <c r="A575" s="8"/>
      <c r="B575" s="8"/>
      <c r="C575" s="8"/>
      <c r="D575" s="25"/>
      <c r="E575" s="25"/>
      <c r="F575" s="8"/>
      <c r="G575" s="25"/>
      <c r="H575" s="8"/>
      <c r="I575" s="8"/>
      <c r="J575" s="8"/>
      <c r="K575" s="8"/>
      <c r="L575" s="8"/>
      <c r="M575" s="8"/>
      <c r="N575" s="8"/>
      <c r="O575" s="8"/>
      <c r="P575" s="8"/>
      <c r="Q575" s="8"/>
      <c r="R575" s="8"/>
      <c r="S575" s="8"/>
      <c r="T575" s="8"/>
      <c r="U575" s="8"/>
      <c r="V575" s="8"/>
      <c r="W575" s="8"/>
      <c r="X575" s="8"/>
      <c r="Y575" s="8"/>
      <c r="Z575" s="8"/>
    </row>
    <row r="576" ht="18.0" customHeight="1">
      <c r="A576" s="8"/>
      <c r="B576" s="8"/>
      <c r="C576" s="8"/>
      <c r="D576" s="25"/>
      <c r="E576" s="25"/>
      <c r="F576" s="8"/>
      <c r="G576" s="25"/>
      <c r="H576" s="8"/>
      <c r="I576" s="8"/>
      <c r="J576" s="8"/>
      <c r="K576" s="8"/>
      <c r="L576" s="8"/>
      <c r="M576" s="8"/>
      <c r="N576" s="8"/>
      <c r="O576" s="8"/>
      <c r="P576" s="8"/>
      <c r="Q576" s="8"/>
      <c r="R576" s="8"/>
      <c r="S576" s="8"/>
      <c r="T576" s="8"/>
      <c r="U576" s="8"/>
      <c r="V576" s="8"/>
      <c r="W576" s="8"/>
      <c r="X576" s="8"/>
      <c r="Y576" s="8"/>
      <c r="Z576" s="8"/>
    </row>
    <row r="577" ht="18.0" customHeight="1">
      <c r="A577" s="8"/>
      <c r="B577" s="8"/>
      <c r="C577" s="8"/>
      <c r="D577" s="25"/>
      <c r="E577" s="25"/>
      <c r="F577" s="8"/>
      <c r="G577" s="25"/>
      <c r="H577" s="8"/>
      <c r="I577" s="8"/>
      <c r="J577" s="8"/>
      <c r="K577" s="8"/>
      <c r="L577" s="8"/>
      <c r="M577" s="8"/>
      <c r="N577" s="8"/>
      <c r="O577" s="8"/>
      <c r="P577" s="8"/>
      <c r="Q577" s="8"/>
      <c r="R577" s="8"/>
      <c r="S577" s="8"/>
      <c r="T577" s="8"/>
      <c r="U577" s="8"/>
      <c r="V577" s="8"/>
      <c r="W577" s="8"/>
      <c r="X577" s="8"/>
      <c r="Y577" s="8"/>
      <c r="Z577" s="8"/>
    </row>
    <row r="578" ht="18.0" customHeight="1">
      <c r="A578" s="8"/>
      <c r="B578" s="8"/>
      <c r="C578" s="8"/>
      <c r="D578" s="25"/>
      <c r="E578" s="25"/>
      <c r="F578" s="8"/>
      <c r="G578" s="25"/>
      <c r="H578" s="8"/>
      <c r="I578" s="8"/>
      <c r="J578" s="8"/>
      <c r="K578" s="8"/>
      <c r="L578" s="8"/>
      <c r="M578" s="8"/>
      <c r="N578" s="8"/>
      <c r="O578" s="8"/>
      <c r="P578" s="8"/>
      <c r="Q578" s="8"/>
      <c r="R578" s="8"/>
      <c r="S578" s="8"/>
      <c r="T578" s="8"/>
      <c r="U578" s="8"/>
      <c r="V578" s="8"/>
      <c r="W578" s="8"/>
      <c r="X578" s="8"/>
      <c r="Y578" s="8"/>
      <c r="Z578" s="8"/>
    </row>
    <row r="579" ht="18.0" customHeight="1">
      <c r="A579" s="8"/>
      <c r="B579" s="8"/>
      <c r="C579" s="8"/>
      <c r="D579" s="25"/>
      <c r="E579" s="25"/>
      <c r="F579" s="8"/>
      <c r="G579" s="25"/>
      <c r="H579" s="8"/>
      <c r="I579" s="8"/>
      <c r="J579" s="8"/>
      <c r="K579" s="8"/>
      <c r="L579" s="8"/>
      <c r="M579" s="8"/>
      <c r="N579" s="8"/>
      <c r="O579" s="8"/>
      <c r="P579" s="8"/>
      <c r="Q579" s="8"/>
      <c r="R579" s="8"/>
      <c r="S579" s="8"/>
      <c r="T579" s="8"/>
      <c r="U579" s="8"/>
      <c r="V579" s="8"/>
      <c r="W579" s="8"/>
      <c r="X579" s="8"/>
      <c r="Y579" s="8"/>
      <c r="Z579" s="8"/>
    </row>
    <row r="580" ht="18.0" customHeight="1">
      <c r="A580" s="8"/>
      <c r="B580" s="8"/>
      <c r="C580" s="8"/>
      <c r="D580" s="25"/>
      <c r="E580" s="25"/>
      <c r="F580" s="8"/>
      <c r="G580" s="25"/>
      <c r="H580" s="8"/>
      <c r="I580" s="8"/>
      <c r="J580" s="8"/>
      <c r="K580" s="8"/>
      <c r="L580" s="8"/>
      <c r="M580" s="8"/>
      <c r="N580" s="8"/>
      <c r="O580" s="8"/>
      <c r="P580" s="8"/>
      <c r="Q580" s="8"/>
      <c r="R580" s="8"/>
      <c r="S580" s="8"/>
      <c r="T580" s="8"/>
      <c r="U580" s="8"/>
      <c r="V580" s="8"/>
      <c r="W580" s="8"/>
      <c r="X580" s="8"/>
      <c r="Y580" s="8"/>
      <c r="Z580" s="8"/>
    </row>
    <row r="581" ht="18.0" customHeight="1">
      <c r="A581" s="8"/>
      <c r="B581" s="8"/>
      <c r="C581" s="8"/>
      <c r="D581" s="25"/>
      <c r="E581" s="25"/>
      <c r="F581" s="8"/>
      <c r="G581" s="25"/>
      <c r="H581" s="8"/>
      <c r="I581" s="8"/>
      <c r="J581" s="8"/>
      <c r="K581" s="8"/>
      <c r="L581" s="8"/>
      <c r="M581" s="8"/>
      <c r="N581" s="8"/>
      <c r="O581" s="8"/>
      <c r="P581" s="8"/>
      <c r="Q581" s="8"/>
      <c r="R581" s="8"/>
      <c r="S581" s="8"/>
      <c r="T581" s="8"/>
      <c r="U581" s="8"/>
      <c r="V581" s="8"/>
      <c r="W581" s="8"/>
      <c r="X581" s="8"/>
      <c r="Y581" s="8"/>
      <c r="Z581" s="8"/>
    </row>
    <row r="582" ht="18.0" customHeight="1">
      <c r="A582" s="8"/>
      <c r="B582" s="8"/>
      <c r="C582" s="8"/>
      <c r="D582" s="25"/>
      <c r="E582" s="25"/>
      <c r="F582" s="8"/>
      <c r="G582" s="25"/>
      <c r="H582" s="8"/>
      <c r="I582" s="8"/>
      <c r="J582" s="8"/>
      <c r="K582" s="8"/>
      <c r="L582" s="8"/>
      <c r="M582" s="8"/>
      <c r="N582" s="8"/>
      <c r="O582" s="8"/>
      <c r="P582" s="8"/>
      <c r="Q582" s="8"/>
      <c r="R582" s="8"/>
      <c r="S582" s="8"/>
      <c r="T582" s="8"/>
      <c r="U582" s="8"/>
      <c r="V582" s="8"/>
      <c r="W582" s="8"/>
      <c r="X582" s="8"/>
      <c r="Y582" s="8"/>
      <c r="Z582" s="8"/>
    </row>
    <row r="583" ht="18.0" customHeight="1">
      <c r="A583" s="8"/>
      <c r="B583" s="8"/>
      <c r="C583" s="8"/>
      <c r="D583" s="25"/>
      <c r="E583" s="25"/>
      <c r="F583" s="8"/>
      <c r="G583" s="25"/>
      <c r="H583" s="8"/>
      <c r="I583" s="8"/>
      <c r="J583" s="8"/>
      <c r="K583" s="8"/>
      <c r="L583" s="8"/>
      <c r="M583" s="8"/>
      <c r="N583" s="8"/>
      <c r="O583" s="8"/>
      <c r="P583" s="8"/>
      <c r="Q583" s="8"/>
      <c r="R583" s="8"/>
      <c r="S583" s="8"/>
      <c r="T583" s="8"/>
      <c r="U583" s="8"/>
      <c r="V583" s="8"/>
      <c r="W583" s="8"/>
      <c r="X583" s="8"/>
      <c r="Y583" s="8"/>
      <c r="Z583" s="8"/>
    </row>
    <row r="584" ht="18.0" customHeight="1">
      <c r="A584" s="8"/>
      <c r="B584" s="8"/>
      <c r="C584" s="8"/>
      <c r="D584" s="25"/>
      <c r="E584" s="25"/>
      <c r="F584" s="8"/>
      <c r="G584" s="25"/>
      <c r="H584" s="8"/>
      <c r="I584" s="8"/>
      <c r="J584" s="8"/>
      <c r="K584" s="8"/>
      <c r="L584" s="8"/>
      <c r="M584" s="8"/>
      <c r="N584" s="8"/>
      <c r="O584" s="8"/>
      <c r="P584" s="8"/>
      <c r="Q584" s="8"/>
      <c r="R584" s="8"/>
      <c r="S584" s="8"/>
      <c r="T584" s="8"/>
      <c r="U584" s="8"/>
      <c r="V584" s="8"/>
      <c r="W584" s="8"/>
      <c r="X584" s="8"/>
      <c r="Y584" s="8"/>
      <c r="Z584" s="8"/>
    </row>
    <row r="585" ht="18.0" customHeight="1">
      <c r="A585" s="8"/>
      <c r="B585" s="8"/>
      <c r="C585" s="8"/>
      <c r="D585" s="25"/>
      <c r="E585" s="25"/>
      <c r="F585" s="8"/>
      <c r="G585" s="25"/>
      <c r="H585" s="8"/>
      <c r="I585" s="8"/>
      <c r="J585" s="8"/>
      <c r="K585" s="8"/>
      <c r="L585" s="8"/>
      <c r="M585" s="8"/>
      <c r="N585" s="8"/>
      <c r="O585" s="8"/>
      <c r="P585" s="8"/>
      <c r="Q585" s="8"/>
      <c r="R585" s="8"/>
      <c r="S585" s="8"/>
      <c r="T585" s="8"/>
      <c r="U585" s="8"/>
      <c r="V585" s="8"/>
      <c r="W585" s="8"/>
      <c r="X585" s="8"/>
      <c r="Y585" s="8"/>
      <c r="Z585" s="8"/>
    </row>
    <row r="586" ht="18.0" customHeight="1">
      <c r="A586" s="8"/>
      <c r="B586" s="8"/>
      <c r="C586" s="8"/>
      <c r="D586" s="25"/>
      <c r="E586" s="25"/>
      <c r="F586" s="8"/>
      <c r="G586" s="25"/>
      <c r="H586" s="8"/>
      <c r="I586" s="8"/>
      <c r="J586" s="8"/>
      <c r="K586" s="8"/>
      <c r="L586" s="8"/>
      <c r="M586" s="8"/>
      <c r="N586" s="8"/>
      <c r="O586" s="8"/>
      <c r="P586" s="8"/>
      <c r="Q586" s="8"/>
      <c r="R586" s="8"/>
      <c r="S586" s="8"/>
      <c r="T586" s="8"/>
      <c r="U586" s="8"/>
      <c r="V586" s="8"/>
      <c r="W586" s="8"/>
      <c r="X586" s="8"/>
      <c r="Y586" s="8"/>
      <c r="Z586" s="8"/>
    </row>
    <row r="587" ht="18.0" customHeight="1">
      <c r="A587" s="8"/>
      <c r="B587" s="8"/>
      <c r="C587" s="8"/>
      <c r="D587" s="25"/>
      <c r="E587" s="25"/>
      <c r="F587" s="8"/>
      <c r="G587" s="25"/>
      <c r="H587" s="8"/>
      <c r="I587" s="8"/>
      <c r="J587" s="8"/>
      <c r="K587" s="8"/>
      <c r="L587" s="8"/>
      <c r="M587" s="8"/>
      <c r="N587" s="8"/>
      <c r="O587" s="8"/>
      <c r="P587" s="8"/>
      <c r="Q587" s="8"/>
      <c r="R587" s="8"/>
      <c r="S587" s="8"/>
      <c r="T587" s="8"/>
      <c r="U587" s="8"/>
      <c r="V587" s="8"/>
      <c r="W587" s="8"/>
      <c r="X587" s="8"/>
      <c r="Y587" s="8"/>
      <c r="Z587" s="8"/>
    </row>
    <row r="588" ht="18.0" customHeight="1">
      <c r="A588" s="8"/>
      <c r="B588" s="8"/>
      <c r="C588" s="8"/>
      <c r="D588" s="25"/>
      <c r="E588" s="25"/>
      <c r="F588" s="8"/>
      <c r="G588" s="25"/>
      <c r="H588" s="8"/>
      <c r="I588" s="8"/>
      <c r="J588" s="8"/>
      <c r="K588" s="8"/>
      <c r="L588" s="8"/>
      <c r="M588" s="8"/>
      <c r="N588" s="8"/>
      <c r="O588" s="8"/>
      <c r="P588" s="8"/>
      <c r="Q588" s="8"/>
      <c r="R588" s="8"/>
      <c r="S588" s="8"/>
      <c r="T588" s="8"/>
      <c r="U588" s="8"/>
      <c r="V588" s="8"/>
      <c r="W588" s="8"/>
      <c r="X588" s="8"/>
      <c r="Y588" s="8"/>
      <c r="Z588" s="8"/>
    </row>
    <row r="589" ht="18.0" customHeight="1">
      <c r="A589" s="8"/>
      <c r="B589" s="8"/>
      <c r="C589" s="8"/>
      <c r="D589" s="25"/>
      <c r="E589" s="25"/>
      <c r="F589" s="8"/>
      <c r="G589" s="25"/>
      <c r="H589" s="8"/>
      <c r="I589" s="8"/>
      <c r="J589" s="8"/>
      <c r="K589" s="8"/>
      <c r="L589" s="8"/>
      <c r="M589" s="8"/>
      <c r="N589" s="8"/>
      <c r="O589" s="8"/>
      <c r="P589" s="8"/>
      <c r="Q589" s="8"/>
      <c r="R589" s="8"/>
      <c r="S589" s="8"/>
      <c r="T589" s="8"/>
      <c r="U589" s="8"/>
      <c r="V589" s="8"/>
      <c r="W589" s="8"/>
      <c r="X589" s="8"/>
      <c r="Y589" s="8"/>
      <c r="Z589" s="8"/>
    </row>
    <row r="590" ht="18.0" customHeight="1">
      <c r="A590" s="8"/>
      <c r="B590" s="8"/>
      <c r="C590" s="8"/>
      <c r="D590" s="25"/>
      <c r="E590" s="25"/>
      <c r="F590" s="8"/>
      <c r="G590" s="25"/>
      <c r="H590" s="8"/>
      <c r="I590" s="8"/>
      <c r="J590" s="8"/>
      <c r="K590" s="8"/>
      <c r="L590" s="8"/>
      <c r="M590" s="8"/>
      <c r="N590" s="8"/>
      <c r="O590" s="8"/>
      <c r="P590" s="8"/>
      <c r="Q590" s="8"/>
      <c r="R590" s="8"/>
      <c r="S590" s="8"/>
      <c r="T590" s="8"/>
      <c r="U590" s="8"/>
      <c r="V590" s="8"/>
      <c r="W590" s="8"/>
      <c r="X590" s="8"/>
      <c r="Y590" s="8"/>
      <c r="Z590" s="8"/>
    </row>
    <row r="591" ht="18.0" customHeight="1">
      <c r="A591" s="8"/>
      <c r="B591" s="8"/>
      <c r="C591" s="8"/>
      <c r="D591" s="25"/>
      <c r="E591" s="25"/>
      <c r="F591" s="8"/>
      <c r="G591" s="25"/>
      <c r="H591" s="8"/>
      <c r="I591" s="8"/>
      <c r="J591" s="8"/>
      <c r="K591" s="8"/>
      <c r="L591" s="8"/>
      <c r="M591" s="8"/>
      <c r="N591" s="8"/>
      <c r="O591" s="8"/>
      <c r="P591" s="8"/>
      <c r="Q591" s="8"/>
      <c r="R591" s="8"/>
      <c r="S591" s="8"/>
      <c r="T591" s="8"/>
      <c r="U591" s="8"/>
      <c r="V591" s="8"/>
      <c r="W591" s="8"/>
      <c r="X591" s="8"/>
      <c r="Y591" s="8"/>
      <c r="Z591" s="8"/>
    </row>
    <row r="592" ht="18.0" customHeight="1">
      <c r="A592" s="8"/>
      <c r="B592" s="8"/>
      <c r="C592" s="8"/>
      <c r="D592" s="25"/>
      <c r="E592" s="25"/>
      <c r="F592" s="8"/>
      <c r="G592" s="25"/>
      <c r="H592" s="8"/>
      <c r="I592" s="8"/>
      <c r="J592" s="8"/>
      <c r="K592" s="8"/>
      <c r="L592" s="8"/>
      <c r="M592" s="8"/>
      <c r="N592" s="8"/>
      <c r="O592" s="8"/>
      <c r="P592" s="8"/>
      <c r="Q592" s="8"/>
      <c r="R592" s="8"/>
      <c r="S592" s="8"/>
      <c r="T592" s="8"/>
      <c r="U592" s="8"/>
      <c r="V592" s="8"/>
      <c r="W592" s="8"/>
      <c r="X592" s="8"/>
      <c r="Y592" s="8"/>
      <c r="Z592" s="8"/>
    </row>
    <row r="593" ht="18.0" customHeight="1">
      <c r="A593" s="8"/>
      <c r="B593" s="8"/>
      <c r="C593" s="8"/>
      <c r="D593" s="25"/>
      <c r="E593" s="25"/>
      <c r="F593" s="8"/>
      <c r="G593" s="25"/>
      <c r="H593" s="8"/>
      <c r="I593" s="8"/>
      <c r="J593" s="8"/>
      <c r="K593" s="8"/>
      <c r="L593" s="8"/>
      <c r="M593" s="8"/>
      <c r="N593" s="8"/>
      <c r="O593" s="8"/>
      <c r="P593" s="8"/>
      <c r="Q593" s="8"/>
      <c r="R593" s="8"/>
      <c r="S593" s="8"/>
      <c r="T593" s="8"/>
      <c r="U593" s="8"/>
      <c r="V593" s="8"/>
      <c r="W593" s="8"/>
      <c r="X593" s="8"/>
      <c r="Y593" s="8"/>
      <c r="Z593" s="8"/>
    </row>
    <row r="594" ht="18.0" customHeight="1">
      <c r="A594" s="8"/>
      <c r="B594" s="8"/>
      <c r="C594" s="8"/>
      <c r="D594" s="25"/>
      <c r="E594" s="25"/>
      <c r="F594" s="8"/>
      <c r="G594" s="25"/>
      <c r="H594" s="8"/>
      <c r="I594" s="8"/>
      <c r="J594" s="8"/>
      <c r="K594" s="8"/>
      <c r="L594" s="8"/>
      <c r="M594" s="8"/>
      <c r="N594" s="8"/>
      <c r="O594" s="8"/>
      <c r="P594" s="8"/>
      <c r="Q594" s="8"/>
      <c r="R594" s="8"/>
      <c r="S594" s="8"/>
      <c r="T594" s="8"/>
      <c r="U594" s="8"/>
      <c r="V594" s="8"/>
      <c r="W594" s="8"/>
      <c r="X594" s="8"/>
      <c r="Y594" s="8"/>
      <c r="Z594" s="8"/>
    </row>
    <row r="595" ht="18.0" customHeight="1">
      <c r="A595" s="8"/>
      <c r="B595" s="8"/>
      <c r="C595" s="8"/>
      <c r="D595" s="25"/>
      <c r="E595" s="25"/>
      <c r="F595" s="8"/>
      <c r="G595" s="25"/>
      <c r="H595" s="8"/>
      <c r="I595" s="8"/>
      <c r="J595" s="8"/>
      <c r="K595" s="8"/>
      <c r="L595" s="8"/>
      <c r="M595" s="8"/>
      <c r="N595" s="8"/>
      <c r="O595" s="8"/>
      <c r="P595" s="8"/>
      <c r="Q595" s="8"/>
      <c r="R595" s="8"/>
      <c r="S595" s="8"/>
      <c r="T595" s="8"/>
      <c r="U595" s="8"/>
      <c r="V595" s="8"/>
      <c r="W595" s="8"/>
      <c r="X595" s="8"/>
      <c r="Y595" s="8"/>
      <c r="Z595" s="8"/>
    </row>
    <row r="596" ht="18.0" customHeight="1">
      <c r="A596" s="8"/>
      <c r="B596" s="8"/>
      <c r="C596" s="8"/>
      <c r="D596" s="25"/>
      <c r="E596" s="25"/>
      <c r="F596" s="8"/>
      <c r="G596" s="25"/>
      <c r="H596" s="8"/>
      <c r="I596" s="8"/>
      <c r="J596" s="8"/>
      <c r="K596" s="8"/>
      <c r="L596" s="8"/>
      <c r="M596" s="8"/>
      <c r="N596" s="8"/>
      <c r="O596" s="8"/>
      <c r="P596" s="8"/>
      <c r="Q596" s="8"/>
      <c r="R596" s="8"/>
      <c r="S596" s="8"/>
      <c r="T596" s="8"/>
      <c r="U596" s="8"/>
      <c r="V596" s="8"/>
      <c r="W596" s="8"/>
      <c r="X596" s="8"/>
      <c r="Y596" s="8"/>
      <c r="Z596" s="8"/>
    </row>
    <row r="597" ht="18.0" customHeight="1">
      <c r="A597" s="8"/>
      <c r="B597" s="8"/>
      <c r="C597" s="8"/>
      <c r="D597" s="25"/>
      <c r="E597" s="25"/>
      <c r="F597" s="8"/>
      <c r="G597" s="25"/>
      <c r="H597" s="8"/>
      <c r="I597" s="8"/>
      <c r="J597" s="8"/>
      <c r="K597" s="8"/>
      <c r="L597" s="8"/>
      <c r="M597" s="8"/>
      <c r="N597" s="8"/>
      <c r="O597" s="8"/>
      <c r="P597" s="8"/>
      <c r="Q597" s="8"/>
      <c r="R597" s="8"/>
      <c r="S597" s="8"/>
      <c r="T597" s="8"/>
      <c r="U597" s="8"/>
      <c r="V597" s="8"/>
      <c r="W597" s="8"/>
      <c r="X597" s="8"/>
      <c r="Y597" s="8"/>
      <c r="Z597" s="8"/>
    </row>
    <row r="598" ht="18.0" customHeight="1">
      <c r="A598" s="8"/>
      <c r="B598" s="8"/>
      <c r="C598" s="8"/>
      <c r="D598" s="25"/>
      <c r="E598" s="25"/>
      <c r="F598" s="8"/>
      <c r="G598" s="25"/>
      <c r="H598" s="8"/>
      <c r="I598" s="8"/>
      <c r="J598" s="8"/>
      <c r="K598" s="8"/>
      <c r="L598" s="8"/>
      <c r="M598" s="8"/>
      <c r="N598" s="8"/>
      <c r="O598" s="8"/>
      <c r="P598" s="8"/>
      <c r="Q598" s="8"/>
      <c r="R598" s="8"/>
      <c r="S598" s="8"/>
      <c r="T598" s="8"/>
      <c r="U598" s="8"/>
      <c r="V598" s="8"/>
      <c r="W598" s="8"/>
      <c r="X598" s="8"/>
      <c r="Y598" s="8"/>
      <c r="Z598" s="8"/>
    </row>
    <row r="599" ht="18.0" customHeight="1">
      <c r="A599" s="8"/>
      <c r="B599" s="8"/>
      <c r="C599" s="8"/>
      <c r="D599" s="25"/>
      <c r="E599" s="25"/>
      <c r="F599" s="8"/>
      <c r="G599" s="25"/>
      <c r="H599" s="8"/>
      <c r="I599" s="8"/>
      <c r="J599" s="8"/>
      <c r="K599" s="8"/>
      <c r="L599" s="8"/>
      <c r="M599" s="8"/>
      <c r="N599" s="8"/>
      <c r="O599" s="8"/>
      <c r="P599" s="8"/>
      <c r="Q599" s="8"/>
      <c r="R599" s="8"/>
      <c r="S599" s="8"/>
      <c r="T599" s="8"/>
      <c r="U599" s="8"/>
      <c r="V599" s="8"/>
      <c r="W599" s="8"/>
      <c r="X599" s="8"/>
      <c r="Y599" s="8"/>
      <c r="Z599" s="8"/>
    </row>
    <row r="600" ht="18.0" customHeight="1">
      <c r="A600" s="8"/>
      <c r="B600" s="8"/>
      <c r="C600" s="8"/>
      <c r="D600" s="25"/>
      <c r="E600" s="25"/>
      <c r="F600" s="8"/>
      <c r="G600" s="25"/>
      <c r="H600" s="8"/>
      <c r="I600" s="8"/>
      <c r="J600" s="8"/>
      <c r="K600" s="8"/>
      <c r="L600" s="8"/>
      <c r="M600" s="8"/>
      <c r="N600" s="8"/>
      <c r="O600" s="8"/>
      <c r="P600" s="8"/>
      <c r="Q600" s="8"/>
      <c r="R600" s="8"/>
      <c r="S600" s="8"/>
      <c r="T600" s="8"/>
      <c r="U600" s="8"/>
      <c r="V600" s="8"/>
      <c r="W600" s="8"/>
      <c r="X600" s="8"/>
      <c r="Y600" s="8"/>
      <c r="Z600" s="8"/>
    </row>
    <row r="601" ht="18.0" customHeight="1">
      <c r="A601" s="8"/>
      <c r="B601" s="8"/>
      <c r="C601" s="8"/>
      <c r="D601" s="25"/>
      <c r="E601" s="25"/>
      <c r="F601" s="8"/>
      <c r="G601" s="25"/>
      <c r="H601" s="8"/>
      <c r="I601" s="8"/>
      <c r="J601" s="8"/>
      <c r="K601" s="8"/>
      <c r="L601" s="8"/>
      <c r="M601" s="8"/>
      <c r="N601" s="8"/>
      <c r="O601" s="8"/>
      <c r="P601" s="8"/>
      <c r="Q601" s="8"/>
      <c r="R601" s="8"/>
      <c r="S601" s="8"/>
      <c r="T601" s="8"/>
      <c r="U601" s="8"/>
      <c r="V601" s="8"/>
      <c r="W601" s="8"/>
      <c r="X601" s="8"/>
      <c r="Y601" s="8"/>
      <c r="Z601" s="8"/>
    </row>
    <row r="602" ht="12.75" customHeight="1">
      <c r="E602" s="75"/>
      <c r="G602" s="71"/>
    </row>
    <row r="603" ht="12.75" customHeight="1">
      <c r="E603" s="75"/>
      <c r="G603" s="71"/>
    </row>
    <row r="604" ht="12.75" customHeight="1">
      <c r="E604" s="75"/>
      <c r="G604" s="71"/>
    </row>
    <row r="605" ht="12.75" customHeight="1">
      <c r="E605" s="75"/>
      <c r="G605" s="71"/>
    </row>
    <row r="606" ht="12.75" customHeight="1">
      <c r="E606" s="75"/>
      <c r="G606" s="71"/>
    </row>
    <row r="607" ht="12.75" customHeight="1">
      <c r="E607" s="75"/>
      <c r="G607" s="71"/>
    </row>
    <row r="608" ht="12.75" customHeight="1">
      <c r="E608" s="75"/>
      <c r="G608" s="71"/>
    </row>
    <row r="609" ht="12.75" customHeight="1">
      <c r="E609" s="75"/>
      <c r="G609" s="71"/>
    </row>
    <row r="610" ht="12.75" customHeight="1">
      <c r="E610" s="75"/>
      <c r="G610" s="71"/>
    </row>
    <row r="611" ht="12.75" customHeight="1">
      <c r="E611" s="75"/>
      <c r="G611" s="71"/>
    </row>
    <row r="612" ht="12.75" customHeight="1">
      <c r="E612" s="75"/>
      <c r="G612" s="71"/>
    </row>
    <row r="613" ht="12.75" customHeight="1">
      <c r="E613" s="75"/>
      <c r="G613" s="71"/>
    </row>
    <row r="614" ht="12.75" customHeight="1">
      <c r="E614" s="75"/>
      <c r="G614" s="71"/>
    </row>
    <row r="615" ht="12.75" customHeight="1">
      <c r="E615" s="75"/>
      <c r="G615" s="71"/>
    </row>
    <row r="616" ht="12.75" customHeight="1">
      <c r="E616" s="75"/>
      <c r="G616" s="71"/>
    </row>
    <row r="617" ht="12.75" customHeight="1">
      <c r="E617" s="75"/>
      <c r="G617" s="71"/>
    </row>
    <row r="618" ht="12.75" customHeight="1">
      <c r="E618" s="75"/>
      <c r="G618" s="71"/>
    </row>
    <row r="619" ht="12.75" customHeight="1">
      <c r="E619" s="75"/>
      <c r="G619" s="71"/>
    </row>
    <row r="620" ht="12.75" customHeight="1">
      <c r="E620" s="75"/>
      <c r="G620" s="71"/>
    </row>
    <row r="621" ht="12.75" customHeight="1">
      <c r="E621" s="75"/>
      <c r="G621" s="71"/>
    </row>
    <row r="622" ht="12.75" customHeight="1">
      <c r="E622" s="75"/>
      <c r="G622" s="71"/>
    </row>
    <row r="623" ht="12.75" customHeight="1">
      <c r="E623" s="75"/>
      <c r="G623" s="71"/>
    </row>
    <row r="624" ht="12.75" customHeight="1">
      <c r="E624" s="75"/>
      <c r="G624" s="71"/>
    </row>
    <row r="625" ht="12.75" customHeight="1">
      <c r="E625" s="75"/>
      <c r="G625" s="71"/>
    </row>
    <row r="626" ht="12.75" customHeight="1">
      <c r="E626" s="75"/>
      <c r="G626" s="71"/>
    </row>
    <row r="627" ht="12.75" customHeight="1">
      <c r="E627" s="75"/>
      <c r="G627" s="71"/>
    </row>
    <row r="628" ht="12.75" customHeight="1">
      <c r="E628" s="75"/>
      <c r="G628" s="71"/>
    </row>
    <row r="629" ht="12.75" customHeight="1">
      <c r="E629" s="75"/>
      <c r="G629" s="71"/>
    </row>
    <row r="630" ht="12.75" customHeight="1">
      <c r="E630" s="75"/>
      <c r="G630" s="71"/>
    </row>
    <row r="631" ht="12.75" customHeight="1">
      <c r="E631" s="75"/>
      <c r="G631" s="71"/>
    </row>
    <row r="632" ht="12.75" customHeight="1">
      <c r="E632" s="75"/>
      <c r="G632" s="71"/>
    </row>
    <row r="633" ht="12.75" customHeight="1">
      <c r="E633" s="75"/>
      <c r="G633" s="71"/>
    </row>
    <row r="634" ht="12.75" customHeight="1">
      <c r="E634" s="75"/>
      <c r="G634" s="71"/>
    </row>
    <row r="635" ht="12.75" customHeight="1">
      <c r="E635" s="75"/>
      <c r="G635" s="71"/>
    </row>
    <row r="636" ht="12.75" customHeight="1">
      <c r="E636" s="75"/>
      <c r="G636" s="71"/>
    </row>
    <row r="637" ht="12.75" customHeight="1">
      <c r="E637" s="75"/>
      <c r="G637" s="71"/>
    </row>
    <row r="638" ht="12.75" customHeight="1">
      <c r="E638" s="75"/>
      <c r="G638" s="71"/>
    </row>
    <row r="639" ht="12.75" customHeight="1">
      <c r="E639" s="75"/>
      <c r="G639" s="71"/>
    </row>
    <row r="640" ht="12.75" customHeight="1">
      <c r="E640" s="75"/>
      <c r="G640" s="71"/>
    </row>
    <row r="641" ht="12.75" customHeight="1">
      <c r="E641" s="75"/>
      <c r="G641" s="71"/>
    </row>
    <row r="642" ht="12.75" customHeight="1">
      <c r="E642" s="75"/>
      <c r="G642" s="71"/>
    </row>
    <row r="643" ht="12.75" customHeight="1">
      <c r="E643" s="75"/>
      <c r="G643" s="71"/>
    </row>
    <row r="644" ht="12.75" customHeight="1">
      <c r="E644" s="75"/>
      <c r="G644" s="71"/>
    </row>
    <row r="645" ht="12.75" customHeight="1">
      <c r="E645" s="75"/>
      <c r="G645" s="71"/>
    </row>
    <row r="646" ht="12.75" customHeight="1">
      <c r="E646" s="75"/>
      <c r="G646" s="71"/>
    </row>
    <row r="647" ht="12.75" customHeight="1">
      <c r="E647" s="75"/>
      <c r="G647" s="71"/>
    </row>
    <row r="648" ht="12.75" customHeight="1">
      <c r="E648" s="75"/>
      <c r="G648" s="71"/>
    </row>
    <row r="649" ht="12.75" customHeight="1">
      <c r="E649" s="75"/>
      <c r="G649" s="71"/>
    </row>
    <row r="650" ht="12.75" customHeight="1">
      <c r="E650" s="75"/>
      <c r="G650" s="71"/>
    </row>
    <row r="651" ht="12.75" customHeight="1">
      <c r="E651" s="75"/>
      <c r="G651" s="71"/>
    </row>
    <row r="652" ht="12.75" customHeight="1">
      <c r="E652" s="75"/>
      <c r="G652" s="71"/>
    </row>
    <row r="653" ht="12.75" customHeight="1">
      <c r="E653" s="75"/>
      <c r="G653" s="71"/>
    </row>
    <row r="654" ht="12.75" customHeight="1">
      <c r="E654" s="75"/>
      <c r="G654" s="71"/>
    </row>
    <row r="655" ht="12.75" customHeight="1">
      <c r="E655" s="75"/>
      <c r="G655" s="71"/>
    </row>
    <row r="656" ht="12.75" customHeight="1">
      <c r="E656" s="75"/>
      <c r="G656" s="71"/>
    </row>
    <row r="657" ht="12.75" customHeight="1">
      <c r="E657" s="75"/>
      <c r="G657" s="71"/>
    </row>
    <row r="658" ht="12.75" customHeight="1">
      <c r="E658" s="75"/>
      <c r="G658" s="71"/>
    </row>
    <row r="659" ht="12.75" customHeight="1">
      <c r="E659" s="75"/>
      <c r="G659" s="71"/>
    </row>
    <row r="660" ht="12.75" customHeight="1">
      <c r="E660" s="75"/>
      <c r="G660" s="71"/>
    </row>
    <row r="661" ht="12.75" customHeight="1">
      <c r="E661" s="75"/>
      <c r="G661" s="71"/>
    </row>
    <row r="662" ht="12.75" customHeight="1">
      <c r="E662" s="75"/>
      <c r="G662" s="71"/>
    </row>
    <row r="663" ht="12.75" customHeight="1">
      <c r="E663" s="75"/>
      <c r="G663" s="71"/>
    </row>
    <row r="664" ht="12.75" customHeight="1">
      <c r="E664" s="75"/>
      <c r="G664" s="71"/>
    </row>
    <row r="665" ht="12.75" customHeight="1">
      <c r="E665" s="75"/>
      <c r="G665" s="71"/>
    </row>
    <row r="666" ht="12.75" customHeight="1">
      <c r="E666" s="75"/>
      <c r="G666" s="71"/>
    </row>
    <row r="667" ht="12.75" customHeight="1">
      <c r="E667" s="75"/>
      <c r="G667" s="71"/>
    </row>
    <row r="668" ht="12.75" customHeight="1">
      <c r="E668" s="75"/>
      <c r="G668" s="71"/>
    </row>
    <row r="669" ht="12.75" customHeight="1">
      <c r="E669" s="75"/>
      <c r="G669" s="71"/>
    </row>
    <row r="670" ht="12.75" customHeight="1">
      <c r="E670" s="75"/>
      <c r="G670" s="71"/>
    </row>
    <row r="671" ht="12.75" customHeight="1">
      <c r="E671" s="75"/>
      <c r="G671" s="71"/>
    </row>
    <row r="672" ht="12.75" customHeight="1">
      <c r="E672" s="75"/>
      <c r="G672" s="71"/>
    </row>
    <row r="673" ht="12.75" customHeight="1">
      <c r="E673" s="75"/>
      <c r="G673" s="71"/>
    </row>
    <row r="674" ht="12.75" customHeight="1">
      <c r="E674" s="75"/>
      <c r="G674" s="71"/>
    </row>
    <row r="675" ht="12.75" customHeight="1">
      <c r="E675" s="75"/>
      <c r="G675" s="71"/>
    </row>
    <row r="676" ht="12.75" customHeight="1">
      <c r="E676" s="75"/>
      <c r="G676" s="71"/>
    </row>
    <row r="677" ht="12.75" customHeight="1">
      <c r="E677" s="75"/>
      <c r="G677" s="71"/>
    </row>
    <row r="678" ht="12.75" customHeight="1">
      <c r="E678" s="75"/>
      <c r="G678" s="71"/>
    </row>
    <row r="679" ht="12.75" customHeight="1">
      <c r="E679" s="75"/>
      <c r="G679" s="71"/>
    </row>
    <row r="680" ht="12.75" customHeight="1">
      <c r="E680" s="75"/>
      <c r="G680" s="71"/>
    </row>
    <row r="681" ht="12.75" customHeight="1">
      <c r="E681" s="75"/>
      <c r="G681" s="71"/>
    </row>
    <row r="682" ht="12.75" customHeight="1">
      <c r="E682" s="75"/>
      <c r="G682" s="71"/>
    </row>
    <row r="683" ht="12.75" customHeight="1">
      <c r="E683" s="75"/>
      <c r="G683" s="71"/>
    </row>
    <row r="684" ht="12.75" customHeight="1">
      <c r="E684" s="75"/>
      <c r="G684" s="71"/>
    </row>
    <row r="685" ht="12.75" customHeight="1">
      <c r="E685" s="75"/>
      <c r="G685" s="71"/>
    </row>
    <row r="686" ht="12.75" customHeight="1">
      <c r="E686" s="75"/>
      <c r="G686" s="71"/>
    </row>
    <row r="687" ht="12.75" customHeight="1">
      <c r="E687" s="75"/>
      <c r="G687" s="71"/>
    </row>
    <row r="688" ht="12.75" customHeight="1">
      <c r="E688" s="75"/>
      <c r="G688" s="71"/>
    </row>
    <row r="689" ht="12.75" customHeight="1">
      <c r="E689" s="75"/>
      <c r="G689" s="71"/>
    </row>
    <row r="690" ht="12.75" customHeight="1">
      <c r="E690" s="75"/>
      <c r="G690" s="71"/>
    </row>
    <row r="691" ht="12.75" customHeight="1">
      <c r="E691" s="75"/>
      <c r="G691" s="71"/>
    </row>
    <row r="692" ht="12.75" customHeight="1">
      <c r="E692" s="75"/>
      <c r="G692" s="71"/>
    </row>
    <row r="693" ht="12.75" customHeight="1">
      <c r="E693" s="75"/>
      <c r="G693" s="71"/>
    </row>
    <row r="694" ht="12.75" customHeight="1">
      <c r="E694" s="75"/>
      <c r="G694" s="71"/>
    </row>
    <row r="695" ht="12.75" customHeight="1">
      <c r="E695" s="75"/>
      <c r="G695" s="71"/>
    </row>
    <row r="696" ht="12.75" customHeight="1">
      <c r="E696" s="75"/>
      <c r="G696" s="71"/>
    </row>
    <row r="697" ht="12.75" customHeight="1">
      <c r="E697" s="75"/>
      <c r="G697" s="71"/>
    </row>
    <row r="698" ht="12.75" customHeight="1">
      <c r="E698" s="75"/>
      <c r="G698" s="71"/>
    </row>
    <row r="699" ht="12.75" customHeight="1">
      <c r="E699" s="75"/>
      <c r="G699" s="71"/>
    </row>
    <row r="700" ht="12.75" customHeight="1">
      <c r="E700" s="75"/>
      <c r="G700" s="71"/>
    </row>
    <row r="701" ht="12.75" customHeight="1">
      <c r="E701" s="75"/>
      <c r="G701" s="71"/>
    </row>
    <row r="702" ht="12.75" customHeight="1">
      <c r="E702" s="75"/>
      <c r="G702" s="71"/>
    </row>
    <row r="703" ht="12.75" customHeight="1">
      <c r="E703" s="75"/>
      <c r="G703" s="71"/>
    </row>
    <row r="704" ht="12.75" customHeight="1">
      <c r="E704" s="75"/>
      <c r="G704" s="71"/>
    </row>
    <row r="705" ht="12.75" customHeight="1">
      <c r="E705" s="75"/>
      <c r="G705" s="71"/>
    </row>
    <row r="706" ht="12.75" customHeight="1">
      <c r="E706" s="75"/>
      <c r="G706" s="71"/>
    </row>
    <row r="707" ht="12.75" customHeight="1">
      <c r="E707" s="75"/>
      <c r="G707" s="71"/>
    </row>
    <row r="708" ht="12.75" customHeight="1">
      <c r="E708" s="75"/>
      <c r="G708" s="71"/>
    </row>
    <row r="709" ht="12.75" customHeight="1">
      <c r="E709" s="75"/>
      <c r="G709" s="71"/>
    </row>
    <row r="710" ht="12.75" customHeight="1">
      <c r="E710" s="75"/>
      <c r="G710" s="71"/>
    </row>
    <row r="711" ht="12.75" customHeight="1">
      <c r="E711" s="75"/>
      <c r="G711" s="71"/>
    </row>
    <row r="712" ht="12.75" customHeight="1">
      <c r="E712" s="75"/>
      <c r="G712" s="71"/>
    </row>
    <row r="713" ht="12.75" customHeight="1">
      <c r="E713" s="75"/>
      <c r="G713" s="71"/>
    </row>
    <row r="714" ht="12.75" customHeight="1">
      <c r="E714" s="75"/>
      <c r="G714" s="71"/>
    </row>
    <row r="715" ht="12.75" customHeight="1">
      <c r="E715" s="75"/>
      <c r="G715" s="71"/>
    </row>
    <row r="716" ht="12.75" customHeight="1">
      <c r="E716" s="75"/>
      <c r="G716" s="71"/>
    </row>
    <row r="717" ht="12.75" customHeight="1">
      <c r="E717" s="75"/>
      <c r="G717" s="71"/>
    </row>
    <row r="718" ht="12.75" customHeight="1">
      <c r="E718" s="75"/>
      <c r="G718" s="71"/>
    </row>
    <row r="719" ht="12.75" customHeight="1">
      <c r="E719" s="75"/>
      <c r="G719" s="71"/>
    </row>
    <row r="720" ht="12.75" customHeight="1">
      <c r="E720" s="75"/>
      <c r="G720" s="71"/>
    </row>
    <row r="721" ht="12.75" customHeight="1">
      <c r="E721" s="75"/>
      <c r="G721" s="71"/>
    </row>
    <row r="722" ht="12.75" customHeight="1">
      <c r="E722" s="75"/>
      <c r="G722" s="71"/>
    </row>
    <row r="723" ht="12.75" customHeight="1">
      <c r="E723" s="75"/>
      <c r="G723" s="71"/>
    </row>
    <row r="724" ht="12.75" customHeight="1">
      <c r="E724" s="75"/>
      <c r="G724" s="71"/>
    </row>
    <row r="725" ht="12.75" customHeight="1">
      <c r="E725" s="75"/>
      <c r="G725" s="71"/>
    </row>
    <row r="726" ht="12.75" customHeight="1">
      <c r="E726" s="75"/>
      <c r="G726" s="71"/>
    </row>
    <row r="727" ht="12.75" customHeight="1">
      <c r="E727" s="75"/>
      <c r="G727" s="71"/>
    </row>
    <row r="728" ht="12.75" customHeight="1">
      <c r="E728" s="75"/>
      <c r="G728" s="71"/>
    </row>
    <row r="729" ht="12.75" customHeight="1">
      <c r="E729" s="75"/>
      <c r="G729" s="71"/>
    </row>
    <row r="730" ht="12.75" customHeight="1">
      <c r="E730" s="75"/>
      <c r="G730" s="71"/>
    </row>
    <row r="731" ht="12.75" customHeight="1">
      <c r="E731" s="75"/>
      <c r="G731" s="71"/>
    </row>
    <row r="732" ht="12.75" customHeight="1">
      <c r="E732" s="75"/>
      <c r="G732" s="71"/>
    </row>
    <row r="733" ht="12.75" customHeight="1">
      <c r="E733" s="75"/>
      <c r="G733" s="71"/>
    </row>
    <row r="734" ht="12.75" customHeight="1">
      <c r="E734" s="75"/>
      <c r="G734" s="71"/>
    </row>
    <row r="735" ht="12.75" customHeight="1">
      <c r="E735" s="75"/>
      <c r="G735" s="71"/>
    </row>
    <row r="736" ht="12.75" customHeight="1">
      <c r="E736" s="75"/>
      <c r="G736" s="71"/>
    </row>
    <row r="737" ht="12.75" customHeight="1">
      <c r="E737" s="75"/>
      <c r="G737" s="71"/>
    </row>
    <row r="738" ht="12.75" customHeight="1">
      <c r="E738" s="75"/>
      <c r="G738" s="71"/>
    </row>
    <row r="739" ht="12.75" customHeight="1">
      <c r="E739" s="75"/>
      <c r="G739" s="71"/>
    </row>
    <row r="740" ht="12.75" customHeight="1">
      <c r="E740" s="75"/>
      <c r="G740" s="71"/>
    </row>
    <row r="741" ht="12.75" customHeight="1">
      <c r="E741" s="75"/>
      <c r="G741" s="71"/>
    </row>
    <row r="742" ht="12.75" customHeight="1">
      <c r="E742" s="75"/>
      <c r="G742" s="71"/>
    </row>
    <row r="743" ht="12.75" customHeight="1">
      <c r="E743" s="75"/>
      <c r="G743" s="71"/>
    </row>
    <row r="744" ht="12.75" customHeight="1">
      <c r="E744" s="75"/>
      <c r="G744" s="71"/>
    </row>
    <row r="745" ht="12.75" customHeight="1">
      <c r="E745" s="75"/>
      <c r="G745" s="71"/>
    </row>
    <row r="746" ht="12.75" customHeight="1">
      <c r="E746" s="75"/>
      <c r="G746" s="71"/>
    </row>
    <row r="747" ht="12.75" customHeight="1">
      <c r="E747" s="75"/>
      <c r="G747" s="71"/>
    </row>
    <row r="748" ht="12.75" customHeight="1">
      <c r="E748" s="75"/>
      <c r="G748" s="71"/>
    </row>
    <row r="749" ht="12.75" customHeight="1">
      <c r="E749" s="75"/>
      <c r="G749" s="71"/>
    </row>
    <row r="750" ht="12.75" customHeight="1">
      <c r="E750" s="75"/>
      <c r="G750" s="71"/>
    </row>
    <row r="751" ht="12.75" customHeight="1">
      <c r="E751" s="75"/>
      <c r="G751" s="71"/>
    </row>
    <row r="752" ht="12.75" customHeight="1">
      <c r="E752" s="75"/>
      <c r="G752" s="71"/>
    </row>
    <row r="753" ht="12.75" customHeight="1">
      <c r="E753" s="75"/>
      <c r="G753" s="71"/>
    </row>
    <row r="754" ht="12.75" customHeight="1">
      <c r="E754" s="75"/>
      <c r="G754" s="71"/>
    </row>
    <row r="755" ht="12.75" customHeight="1">
      <c r="E755" s="75"/>
      <c r="G755" s="71"/>
    </row>
    <row r="756" ht="12.75" customHeight="1">
      <c r="E756" s="75"/>
      <c r="G756" s="71"/>
    </row>
    <row r="757" ht="12.75" customHeight="1">
      <c r="E757" s="75"/>
      <c r="G757" s="71"/>
    </row>
    <row r="758" ht="12.75" customHeight="1">
      <c r="E758" s="75"/>
      <c r="G758" s="71"/>
    </row>
    <row r="759" ht="12.75" customHeight="1">
      <c r="E759" s="75"/>
      <c r="G759" s="71"/>
    </row>
    <row r="760" ht="12.75" customHeight="1">
      <c r="E760" s="75"/>
      <c r="G760" s="71"/>
    </row>
    <row r="761" ht="12.75" customHeight="1">
      <c r="E761" s="75"/>
      <c r="G761" s="71"/>
    </row>
    <row r="762" ht="12.75" customHeight="1">
      <c r="E762" s="75"/>
      <c r="G762" s="71"/>
    </row>
    <row r="763" ht="12.75" customHeight="1">
      <c r="E763" s="75"/>
      <c r="G763" s="71"/>
    </row>
    <row r="764" ht="12.75" customHeight="1">
      <c r="E764" s="75"/>
      <c r="G764" s="71"/>
    </row>
    <row r="765" ht="12.75" customHeight="1">
      <c r="E765" s="75"/>
      <c r="G765" s="71"/>
    </row>
    <row r="766" ht="12.75" customHeight="1">
      <c r="E766" s="75"/>
      <c r="G766" s="71"/>
    </row>
    <row r="767" ht="12.75" customHeight="1">
      <c r="E767" s="75"/>
      <c r="G767" s="71"/>
    </row>
    <row r="768" ht="12.75" customHeight="1">
      <c r="E768" s="75"/>
      <c r="G768" s="71"/>
    </row>
    <row r="769" ht="12.75" customHeight="1">
      <c r="E769" s="75"/>
      <c r="G769" s="71"/>
    </row>
    <row r="770" ht="12.75" customHeight="1">
      <c r="E770" s="75"/>
      <c r="G770" s="71"/>
    </row>
    <row r="771" ht="12.75" customHeight="1">
      <c r="E771" s="75"/>
      <c r="G771" s="71"/>
    </row>
    <row r="772" ht="12.75" customHeight="1">
      <c r="E772" s="75"/>
      <c r="G772" s="71"/>
    </row>
    <row r="773" ht="12.75" customHeight="1">
      <c r="E773" s="75"/>
      <c r="G773" s="71"/>
    </row>
    <row r="774" ht="12.75" customHeight="1">
      <c r="E774" s="75"/>
      <c r="G774" s="71"/>
    </row>
    <row r="775" ht="12.75" customHeight="1">
      <c r="E775" s="75"/>
      <c r="G775" s="71"/>
    </row>
    <row r="776" ht="12.75" customHeight="1">
      <c r="E776" s="75"/>
      <c r="G776" s="71"/>
    </row>
    <row r="777" ht="12.75" customHeight="1">
      <c r="E777" s="75"/>
      <c r="G777" s="71"/>
    </row>
    <row r="778" ht="12.75" customHeight="1">
      <c r="E778" s="75"/>
      <c r="G778" s="71"/>
    </row>
    <row r="779" ht="12.75" customHeight="1">
      <c r="E779" s="75"/>
      <c r="G779" s="71"/>
    </row>
    <row r="780" ht="12.75" customHeight="1">
      <c r="E780" s="75"/>
      <c r="G780" s="71"/>
    </row>
    <row r="781" ht="12.75" customHeight="1">
      <c r="E781" s="75"/>
      <c r="G781" s="71"/>
    </row>
    <row r="782" ht="12.75" customHeight="1">
      <c r="E782" s="75"/>
      <c r="G782" s="71"/>
    </row>
    <row r="783" ht="12.75" customHeight="1">
      <c r="E783" s="75"/>
      <c r="G783" s="71"/>
    </row>
    <row r="784" ht="12.75" customHeight="1">
      <c r="E784" s="75"/>
      <c r="G784" s="71"/>
    </row>
    <row r="785" ht="12.75" customHeight="1">
      <c r="E785" s="75"/>
      <c r="G785" s="71"/>
    </row>
    <row r="786" ht="12.75" customHeight="1">
      <c r="E786" s="75"/>
      <c r="G786" s="71"/>
    </row>
    <row r="787" ht="12.75" customHeight="1">
      <c r="E787" s="75"/>
      <c r="G787" s="71"/>
    </row>
    <row r="788" ht="12.75" customHeight="1">
      <c r="E788" s="75"/>
      <c r="G788" s="71"/>
    </row>
    <row r="789" ht="12.75" customHeight="1">
      <c r="E789" s="75"/>
      <c r="G789" s="71"/>
    </row>
    <row r="790" ht="12.75" customHeight="1">
      <c r="E790" s="75"/>
      <c r="G790" s="71"/>
    </row>
    <row r="791" ht="12.75" customHeight="1">
      <c r="E791" s="75"/>
      <c r="G791" s="71"/>
    </row>
    <row r="792" ht="12.75" customHeight="1">
      <c r="E792" s="75"/>
      <c r="G792" s="71"/>
    </row>
    <row r="793" ht="12.75" customHeight="1">
      <c r="E793" s="75"/>
      <c r="G793" s="71"/>
    </row>
    <row r="794" ht="12.75" customHeight="1">
      <c r="E794" s="75"/>
      <c r="G794" s="71"/>
    </row>
    <row r="795" ht="12.75" customHeight="1">
      <c r="E795" s="75"/>
      <c r="G795" s="71"/>
    </row>
    <row r="796" ht="12.75" customHeight="1">
      <c r="E796" s="75"/>
      <c r="G796" s="71"/>
    </row>
    <row r="797" ht="12.75" customHeight="1">
      <c r="E797" s="75"/>
      <c r="G797" s="71"/>
    </row>
    <row r="798" ht="12.75" customHeight="1">
      <c r="E798" s="75"/>
      <c r="G798" s="71"/>
    </row>
    <row r="799" ht="12.75" customHeight="1">
      <c r="E799" s="75"/>
      <c r="G799" s="71"/>
    </row>
    <row r="800" ht="12.75" customHeight="1">
      <c r="E800" s="75"/>
      <c r="G800" s="71"/>
    </row>
    <row r="801" ht="12.75" customHeight="1">
      <c r="E801" s="75"/>
      <c r="G801" s="71"/>
    </row>
    <row r="802" ht="12.75" customHeight="1">
      <c r="E802" s="75"/>
      <c r="G802" s="71"/>
    </row>
    <row r="803" ht="12.75" customHeight="1">
      <c r="E803" s="75"/>
      <c r="G803" s="71"/>
    </row>
    <row r="804" ht="12.75" customHeight="1">
      <c r="E804" s="75"/>
      <c r="G804" s="71"/>
    </row>
    <row r="805" ht="12.75" customHeight="1">
      <c r="E805" s="75"/>
      <c r="G805" s="71"/>
    </row>
    <row r="806" ht="12.75" customHeight="1">
      <c r="E806" s="75"/>
      <c r="G806" s="71"/>
    </row>
    <row r="807" ht="12.75" customHeight="1">
      <c r="E807" s="75"/>
      <c r="G807" s="71"/>
    </row>
    <row r="808" ht="12.75" customHeight="1">
      <c r="E808" s="75"/>
      <c r="G808" s="71"/>
    </row>
    <row r="809" ht="12.75" customHeight="1">
      <c r="E809" s="75"/>
      <c r="G809" s="71"/>
    </row>
    <row r="810" ht="12.75" customHeight="1">
      <c r="E810" s="75"/>
      <c r="G810" s="71"/>
    </row>
    <row r="811" ht="12.75" customHeight="1">
      <c r="E811" s="75"/>
      <c r="G811" s="71"/>
    </row>
    <row r="812" ht="12.75" customHeight="1">
      <c r="E812" s="75"/>
      <c r="G812" s="71"/>
    </row>
    <row r="813" ht="12.75" customHeight="1">
      <c r="E813" s="75"/>
      <c r="G813" s="71"/>
    </row>
    <row r="814" ht="12.75" customHeight="1">
      <c r="E814" s="75"/>
      <c r="G814" s="71"/>
    </row>
    <row r="815" ht="12.75" customHeight="1">
      <c r="E815" s="75"/>
      <c r="G815" s="71"/>
    </row>
    <row r="816" ht="12.75" customHeight="1">
      <c r="E816" s="75"/>
      <c r="G816" s="71"/>
    </row>
    <row r="817" ht="12.75" customHeight="1">
      <c r="E817" s="75"/>
      <c r="G817" s="71"/>
    </row>
    <row r="818" ht="12.75" customHeight="1">
      <c r="E818" s="75"/>
      <c r="G818" s="71"/>
    </row>
    <row r="819" ht="12.75" customHeight="1">
      <c r="E819" s="75"/>
      <c r="G819" s="71"/>
    </row>
    <row r="820" ht="12.75" customHeight="1">
      <c r="E820" s="75"/>
      <c r="G820" s="71"/>
    </row>
    <row r="821" ht="12.75" customHeight="1">
      <c r="E821" s="75"/>
      <c r="G821" s="71"/>
    </row>
    <row r="822" ht="12.75" customHeight="1">
      <c r="E822" s="75"/>
      <c r="G822" s="71"/>
    </row>
    <row r="823" ht="12.75" customHeight="1">
      <c r="E823" s="75"/>
      <c r="G823" s="71"/>
    </row>
    <row r="824" ht="12.75" customHeight="1">
      <c r="E824" s="75"/>
      <c r="G824" s="71"/>
    </row>
    <row r="825" ht="12.75" customHeight="1">
      <c r="E825" s="75"/>
      <c r="G825" s="71"/>
    </row>
    <row r="826" ht="12.75" customHeight="1">
      <c r="E826" s="75"/>
      <c r="G826" s="71"/>
    </row>
    <row r="827" ht="12.75" customHeight="1">
      <c r="E827" s="75"/>
      <c r="G827" s="71"/>
    </row>
    <row r="828" ht="12.75" customHeight="1">
      <c r="E828" s="75"/>
      <c r="G828" s="71"/>
    </row>
    <row r="829" ht="12.75" customHeight="1">
      <c r="E829" s="75"/>
      <c r="G829" s="71"/>
    </row>
    <row r="830" ht="12.75" customHeight="1">
      <c r="E830" s="75"/>
      <c r="G830" s="71"/>
    </row>
    <row r="831" ht="12.75" customHeight="1">
      <c r="E831" s="75"/>
      <c r="G831" s="71"/>
    </row>
    <row r="832" ht="12.75" customHeight="1">
      <c r="E832" s="75"/>
      <c r="G832" s="71"/>
    </row>
    <row r="833" ht="12.75" customHeight="1">
      <c r="E833" s="75"/>
      <c r="G833" s="71"/>
    </row>
    <row r="834" ht="12.75" customHeight="1">
      <c r="E834" s="75"/>
      <c r="G834" s="71"/>
    </row>
    <row r="835" ht="12.75" customHeight="1">
      <c r="E835" s="75"/>
      <c r="G835" s="71"/>
    </row>
    <row r="836" ht="12.75" customHeight="1">
      <c r="E836" s="75"/>
      <c r="G836" s="71"/>
    </row>
    <row r="837" ht="12.75" customHeight="1">
      <c r="E837" s="75"/>
      <c r="G837" s="71"/>
    </row>
    <row r="838" ht="12.75" customHeight="1">
      <c r="E838" s="75"/>
      <c r="G838" s="71"/>
    </row>
    <row r="839" ht="12.75" customHeight="1">
      <c r="E839" s="75"/>
      <c r="G839" s="71"/>
    </row>
    <row r="840" ht="12.75" customHeight="1">
      <c r="E840" s="75"/>
      <c r="G840" s="71"/>
    </row>
    <row r="841" ht="12.75" customHeight="1">
      <c r="E841" s="75"/>
      <c r="G841" s="71"/>
    </row>
    <row r="842" ht="12.75" customHeight="1">
      <c r="E842" s="75"/>
      <c r="G842" s="71"/>
    </row>
    <row r="843" ht="12.75" customHeight="1">
      <c r="E843" s="75"/>
      <c r="G843" s="71"/>
    </row>
    <row r="844" ht="12.75" customHeight="1">
      <c r="E844" s="75"/>
      <c r="G844" s="71"/>
    </row>
    <row r="845" ht="12.75" customHeight="1">
      <c r="E845" s="75"/>
      <c r="G845" s="71"/>
    </row>
    <row r="846" ht="12.75" customHeight="1">
      <c r="E846" s="75"/>
      <c r="G846" s="71"/>
    </row>
    <row r="847" ht="12.75" customHeight="1">
      <c r="E847" s="75"/>
      <c r="G847" s="71"/>
    </row>
    <row r="848" ht="12.75" customHeight="1">
      <c r="E848" s="75"/>
      <c r="G848" s="71"/>
    </row>
    <row r="849" ht="12.75" customHeight="1">
      <c r="E849" s="75"/>
      <c r="G849" s="71"/>
    </row>
    <row r="850" ht="12.75" customHeight="1">
      <c r="E850" s="75"/>
      <c r="G850" s="71"/>
    </row>
    <row r="851" ht="12.75" customHeight="1">
      <c r="E851" s="75"/>
      <c r="G851" s="71"/>
    </row>
    <row r="852" ht="12.75" customHeight="1">
      <c r="E852" s="75"/>
      <c r="G852" s="71"/>
    </row>
    <row r="853" ht="12.75" customHeight="1">
      <c r="E853" s="75"/>
      <c r="G853" s="71"/>
    </row>
    <row r="854" ht="12.75" customHeight="1">
      <c r="E854" s="75"/>
      <c r="G854" s="71"/>
    </row>
    <row r="855" ht="12.75" customHeight="1">
      <c r="E855" s="75"/>
      <c r="G855" s="71"/>
    </row>
    <row r="856" ht="12.75" customHeight="1">
      <c r="E856" s="75"/>
      <c r="G856" s="71"/>
    </row>
    <row r="857" ht="12.75" customHeight="1">
      <c r="E857" s="75"/>
      <c r="G857" s="71"/>
    </row>
    <row r="858" ht="12.75" customHeight="1">
      <c r="E858" s="75"/>
      <c r="G858" s="71"/>
    </row>
    <row r="859" ht="12.75" customHeight="1">
      <c r="E859" s="75"/>
      <c r="G859" s="71"/>
    </row>
    <row r="860" ht="12.75" customHeight="1">
      <c r="E860" s="75"/>
      <c r="G860" s="71"/>
    </row>
    <row r="861" ht="12.75" customHeight="1">
      <c r="E861" s="75"/>
      <c r="G861" s="71"/>
    </row>
    <row r="862" ht="12.75" customHeight="1">
      <c r="E862" s="75"/>
      <c r="G862" s="71"/>
    </row>
    <row r="863" ht="12.75" customHeight="1">
      <c r="E863" s="75"/>
      <c r="G863" s="71"/>
    </row>
    <row r="864" ht="12.75" customHeight="1">
      <c r="E864" s="75"/>
      <c r="G864" s="71"/>
    </row>
    <row r="865" ht="12.75" customHeight="1">
      <c r="E865" s="75"/>
      <c r="G865" s="71"/>
    </row>
    <row r="866" ht="12.75" customHeight="1">
      <c r="E866" s="75"/>
      <c r="G866" s="71"/>
    </row>
    <row r="867" ht="12.75" customHeight="1">
      <c r="E867" s="75"/>
      <c r="G867" s="71"/>
    </row>
    <row r="868" ht="12.75" customHeight="1">
      <c r="E868" s="75"/>
      <c r="G868" s="71"/>
    </row>
    <row r="869" ht="12.75" customHeight="1">
      <c r="E869" s="75"/>
      <c r="G869" s="71"/>
    </row>
    <row r="870" ht="12.75" customHeight="1">
      <c r="E870" s="75"/>
      <c r="G870" s="71"/>
    </row>
    <row r="871" ht="12.75" customHeight="1">
      <c r="E871" s="75"/>
      <c r="G871" s="71"/>
    </row>
    <row r="872" ht="12.75" customHeight="1">
      <c r="E872" s="75"/>
      <c r="G872" s="71"/>
    </row>
    <row r="873" ht="12.75" customHeight="1">
      <c r="E873" s="75"/>
      <c r="G873" s="71"/>
    </row>
    <row r="874" ht="12.75" customHeight="1">
      <c r="E874" s="75"/>
      <c r="G874" s="71"/>
    </row>
    <row r="875" ht="12.75" customHeight="1">
      <c r="E875" s="75"/>
      <c r="G875" s="71"/>
    </row>
    <row r="876" ht="12.75" customHeight="1">
      <c r="E876" s="75"/>
      <c r="G876" s="71"/>
    </row>
    <row r="877" ht="12.75" customHeight="1">
      <c r="E877" s="75"/>
      <c r="G877" s="71"/>
    </row>
    <row r="878" ht="12.75" customHeight="1">
      <c r="E878" s="75"/>
      <c r="G878" s="71"/>
    </row>
    <row r="879" ht="12.75" customHeight="1">
      <c r="E879" s="75"/>
      <c r="G879" s="71"/>
    </row>
    <row r="880" ht="12.75" customHeight="1">
      <c r="E880" s="75"/>
      <c r="G880" s="71"/>
    </row>
    <row r="881" ht="12.75" customHeight="1">
      <c r="E881" s="75"/>
      <c r="G881" s="71"/>
    </row>
    <row r="882" ht="12.75" customHeight="1">
      <c r="E882" s="75"/>
      <c r="G882" s="71"/>
    </row>
    <row r="883" ht="12.75" customHeight="1">
      <c r="E883" s="75"/>
      <c r="G883" s="71"/>
    </row>
    <row r="884" ht="12.75" customHeight="1">
      <c r="E884" s="75"/>
      <c r="G884" s="71"/>
    </row>
    <row r="885" ht="12.75" customHeight="1">
      <c r="E885" s="75"/>
      <c r="G885" s="71"/>
    </row>
    <row r="886" ht="12.75" customHeight="1">
      <c r="E886" s="75"/>
      <c r="G886" s="71"/>
    </row>
    <row r="887" ht="12.75" customHeight="1">
      <c r="E887" s="75"/>
      <c r="G887" s="71"/>
    </row>
    <row r="888" ht="12.75" customHeight="1">
      <c r="E888" s="75"/>
      <c r="G888" s="71"/>
    </row>
    <row r="889" ht="12.75" customHeight="1">
      <c r="E889" s="75"/>
      <c r="G889" s="71"/>
    </row>
    <row r="890" ht="12.75" customHeight="1">
      <c r="E890" s="75"/>
      <c r="G890" s="71"/>
    </row>
    <row r="891" ht="12.75" customHeight="1">
      <c r="E891" s="75"/>
      <c r="G891" s="71"/>
    </row>
    <row r="892" ht="12.75" customHeight="1">
      <c r="E892" s="75"/>
      <c r="G892" s="71"/>
    </row>
    <row r="893" ht="12.75" customHeight="1">
      <c r="E893" s="75"/>
      <c r="G893" s="71"/>
    </row>
    <row r="894" ht="12.75" customHeight="1">
      <c r="E894" s="75"/>
      <c r="G894" s="71"/>
    </row>
    <row r="895" ht="12.75" customHeight="1">
      <c r="E895" s="75"/>
      <c r="G895" s="71"/>
    </row>
    <row r="896" ht="12.75" customHeight="1">
      <c r="E896" s="75"/>
      <c r="G896" s="71"/>
    </row>
    <row r="897" ht="12.75" customHeight="1">
      <c r="E897" s="75"/>
      <c r="G897" s="71"/>
    </row>
    <row r="898" ht="12.75" customHeight="1">
      <c r="E898" s="75"/>
      <c r="G898" s="71"/>
    </row>
    <row r="899" ht="12.75" customHeight="1">
      <c r="E899" s="75"/>
      <c r="G899" s="71"/>
    </row>
    <row r="900" ht="12.75" customHeight="1">
      <c r="E900" s="75"/>
      <c r="G900" s="71"/>
    </row>
    <row r="901" ht="12.75" customHeight="1">
      <c r="E901" s="75"/>
      <c r="G901" s="71"/>
    </row>
    <row r="902" ht="12.75" customHeight="1">
      <c r="E902" s="75"/>
      <c r="G902" s="71"/>
    </row>
    <row r="903" ht="12.75" customHeight="1">
      <c r="E903" s="75"/>
      <c r="G903" s="71"/>
    </row>
    <row r="904" ht="12.75" customHeight="1">
      <c r="E904" s="75"/>
      <c r="G904" s="71"/>
    </row>
    <row r="905" ht="12.75" customHeight="1">
      <c r="E905" s="75"/>
      <c r="G905" s="71"/>
    </row>
    <row r="906" ht="12.75" customHeight="1">
      <c r="E906" s="75"/>
      <c r="G906" s="71"/>
    </row>
    <row r="907" ht="12.75" customHeight="1">
      <c r="E907" s="75"/>
      <c r="G907" s="71"/>
    </row>
    <row r="908" ht="12.75" customHeight="1">
      <c r="E908" s="75"/>
      <c r="G908" s="71"/>
    </row>
    <row r="909" ht="12.75" customHeight="1">
      <c r="E909" s="75"/>
      <c r="G909" s="71"/>
    </row>
    <row r="910" ht="12.75" customHeight="1">
      <c r="E910" s="75"/>
      <c r="G910" s="71"/>
    </row>
    <row r="911" ht="12.75" customHeight="1">
      <c r="E911" s="75"/>
      <c r="G911" s="71"/>
    </row>
    <row r="912" ht="12.75" customHeight="1">
      <c r="E912" s="75"/>
      <c r="G912" s="71"/>
    </row>
    <row r="913" ht="12.75" customHeight="1">
      <c r="E913" s="75"/>
      <c r="G913" s="71"/>
    </row>
    <row r="914" ht="12.75" customHeight="1">
      <c r="E914" s="75"/>
      <c r="G914" s="71"/>
    </row>
    <row r="915" ht="12.75" customHeight="1">
      <c r="E915" s="75"/>
      <c r="G915" s="71"/>
    </row>
    <row r="916" ht="12.75" customHeight="1">
      <c r="E916" s="75"/>
      <c r="G916" s="71"/>
    </row>
    <row r="917" ht="12.75" customHeight="1">
      <c r="E917" s="75"/>
      <c r="G917" s="71"/>
    </row>
    <row r="918" ht="12.75" customHeight="1">
      <c r="E918" s="75"/>
      <c r="G918" s="71"/>
    </row>
    <row r="919" ht="12.75" customHeight="1">
      <c r="E919" s="75"/>
      <c r="G919" s="71"/>
    </row>
    <row r="920" ht="12.75" customHeight="1">
      <c r="E920" s="75"/>
      <c r="G920" s="71"/>
    </row>
    <row r="921" ht="12.75" customHeight="1">
      <c r="E921" s="75"/>
      <c r="G921" s="71"/>
    </row>
    <row r="922" ht="12.75" customHeight="1">
      <c r="E922" s="75"/>
      <c r="G922" s="71"/>
    </row>
    <row r="923" ht="12.75" customHeight="1">
      <c r="E923" s="75"/>
      <c r="G923" s="71"/>
    </row>
    <row r="924" ht="12.75" customHeight="1">
      <c r="E924" s="75"/>
      <c r="G924" s="71"/>
    </row>
    <row r="925" ht="12.75" customHeight="1">
      <c r="E925" s="75"/>
      <c r="G925" s="71"/>
    </row>
    <row r="926" ht="12.75" customHeight="1">
      <c r="E926" s="75"/>
      <c r="G926" s="71"/>
    </row>
    <row r="927" ht="12.75" customHeight="1">
      <c r="E927" s="75"/>
      <c r="G927" s="71"/>
    </row>
    <row r="928" ht="12.75" customHeight="1">
      <c r="E928" s="75"/>
      <c r="G928" s="71"/>
    </row>
    <row r="929" ht="12.75" customHeight="1">
      <c r="E929" s="75"/>
      <c r="G929" s="71"/>
    </row>
    <row r="930" ht="12.75" customHeight="1">
      <c r="E930" s="75"/>
      <c r="G930" s="71"/>
    </row>
    <row r="931" ht="12.75" customHeight="1">
      <c r="E931" s="75"/>
      <c r="G931" s="71"/>
    </row>
    <row r="932" ht="12.75" customHeight="1">
      <c r="E932" s="75"/>
      <c r="G932" s="71"/>
    </row>
    <row r="933" ht="12.75" customHeight="1">
      <c r="E933" s="75"/>
      <c r="G933" s="71"/>
    </row>
    <row r="934" ht="12.75" customHeight="1">
      <c r="E934" s="75"/>
      <c r="G934" s="71"/>
    </row>
    <row r="935" ht="12.75" customHeight="1">
      <c r="E935" s="75"/>
      <c r="G935" s="71"/>
    </row>
    <row r="936" ht="12.75" customHeight="1">
      <c r="E936" s="75"/>
      <c r="G936" s="71"/>
    </row>
    <row r="937" ht="12.75" customHeight="1">
      <c r="E937" s="75"/>
      <c r="G937" s="71"/>
    </row>
    <row r="938" ht="12.75" customHeight="1">
      <c r="E938" s="75"/>
      <c r="G938" s="71"/>
    </row>
    <row r="939" ht="12.75" customHeight="1">
      <c r="E939" s="75"/>
      <c r="G939" s="71"/>
    </row>
    <row r="940" ht="12.75" customHeight="1">
      <c r="E940" s="75"/>
      <c r="G940" s="71"/>
    </row>
    <row r="941" ht="12.75" customHeight="1">
      <c r="E941" s="75"/>
      <c r="G941" s="71"/>
    </row>
    <row r="942" ht="12.75" customHeight="1">
      <c r="E942" s="75"/>
      <c r="G942" s="71"/>
    </row>
    <row r="943" ht="12.75" customHeight="1">
      <c r="E943" s="75"/>
      <c r="G943" s="71"/>
    </row>
    <row r="944" ht="12.75" customHeight="1">
      <c r="E944" s="75"/>
      <c r="G944" s="71"/>
    </row>
    <row r="945" ht="12.75" customHeight="1">
      <c r="E945" s="75"/>
      <c r="G945" s="71"/>
    </row>
    <row r="946" ht="12.75" customHeight="1">
      <c r="E946" s="75"/>
      <c r="G946" s="71"/>
    </row>
    <row r="947" ht="12.75" customHeight="1">
      <c r="E947" s="75"/>
      <c r="G947" s="71"/>
    </row>
    <row r="948" ht="12.75" customHeight="1">
      <c r="E948" s="75"/>
      <c r="G948" s="71"/>
    </row>
    <row r="949" ht="12.75" customHeight="1">
      <c r="E949" s="75"/>
      <c r="G949" s="71"/>
    </row>
    <row r="950" ht="12.75" customHeight="1">
      <c r="E950" s="75"/>
      <c r="G950" s="71"/>
    </row>
    <row r="951" ht="12.75" customHeight="1">
      <c r="E951" s="75"/>
      <c r="G951" s="71"/>
    </row>
    <row r="952" ht="12.75" customHeight="1">
      <c r="E952" s="75"/>
      <c r="G952" s="71"/>
    </row>
    <row r="953" ht="12.75" customHeight="1">
      <c r="E953" s="75"/>
      <c r="G953" s="71"/>
    </row>
    <row r="954" ht="12.75" customHeight="1">
      <c r="E954" s="75"/>
      <c r="G954" s="71"/>
    </row>
    <row r="955" ht="12.75" customHeight="1">
      <c r="E955" s="75"/>
      <c r="G955" s="71"/>
    </row>
    <row r="956" ht="12.75" customHeight="1">
      <c r="E956" s="75"/>
      <c r="G956" s="71"/>
    </row>
    <row r="957" ht="12.75" customHeight="1">
      <c r="E957" s="75"/>
      <c r="G957" s="71"/>
    </row>
    <row r="958" ht="12.75" customHeight="1">
      <c r="E958" s="75"/>
      <c r="G958" s="71"/>
    </row>
    <row r="959" ht="12.75" customHeight="1">
      <c r="E959" s="75"/>
      <c r="G959" s="71"/>
    </row>
    <row r="960" ht="12.75" customHeight="1">
      <c r="E960" s="75"/>
      <c r="G960" s="71"/>
    </row>
    <row r="961" ht="12.75" customHeight="1">
      <c r="E961" s="75"/>
      <c r="G961" s="71"/>
    </row>
    <row r="962" ht="12.75" customHeight="1">
      <c r="E962" s="75"/>
      <c r="G962" s="71"/>
    </row>
    <row r="963" ht="12.75" customHeight="1">
      <c r="E963" s="75"/>
      <c r="G963" s="71"/>
    </row>
    <row r="964" ht="12.75" customHeight="1">
      <c r="E964" s="75"/>
      <c r="G964" s="71"/>
    </row>
    <row r="965" ht="12.75" customHeight="1">
      <c r="E965" s="75"/>
      <c r="G965" s="71"/>
    </row>
    <row r="966" ht="12.75" customHeight="1">
      <c r="E966" s="75"/>
      <c r="G966" s="71"/>
    </row>
    <row r="967" ht="12.75" customHeight="1">
      <c r="E967" s="75"/>
      <c r="G967" s="71"/>
    </row>
    <row r="968" ht="12.75" customHeight="1">
      <c r="E968" s="75"/>
      <c r="G968" s="71"/>
    </row>
    <row r="969" ht="12.75" customHeight="1">
      <c r="E969" s="75"/>
      <c r="G969" s="71"/>
    </row>
    <row r="970" ht="12.75" customHeight="1">
      <c r="E970" s="75"/>
      <c r="G970" s="71"/>
    </row>
    <row r="971" ht="12.75" customHeight="1">
      <c r="E971" s="75"/>
      <c r="G971" s="71"/>
    </row>
    <row r="972" ht="12.75" customHeight="1">
      <c r="E972" s="75"/>
      <c r="G972" s="71"/>
    </row>
    <row r="973" ht="12.75" customHeight="1">
      <c r="E973" s="75"/>
      <c r="G973" s="71"/>
    </row>
    <row r="974" ht="12.75" customHeight="1">
      <c r="E974" s="75"/>
      <c r="G974" s="71"/>
    </row>
    <row r="975" ht="12.75" customHeight="1">
      <c r="E975" s="75"/>
      <c r="G975" s="71"/>
    </row>
    <row r="976" ht="12.75" customHeight="1">
      <c r="E976" s="75"/>
      <c r="G976" s="71"/>
    </row>
    <row r="977" ht="12.75" customHeight="1">
      <c r="E977" s="75"/>
      <c r="G977" s="71"/>
    </row>
    <row r="978" ht="12.75" customHeight="1">
      <c r="E978" s="75"/>
      <c r="G978" s="71"/>
    </row>
    <row r="979" ht="12.75" customHeight="1">
      <c r="E979" s="75"/>
      <c r="G979" s="71"/>
    </row>
    <row r="980" ht="12.75" customHeight="1">
      <c r="E980" s="75"/>
      <c r="G980" s="71"/>
    </row>
    <row r="981" ht="12.75" customHeight="1">
      <c r="E981" s="75"/>
      <c r="G981" s="71"/>
    </row>
    <row r="982" ht="12.75" customHeight="1">
      <c r="E982" s="75"/>
      <c r="G982" s="71"/>
    </row>
    <row r="983" ht="12.75" customHeight="1">
      <c r="E983" s="75"/>
      <c r="G983" s="71"/>
    </row>
    <row r="984" ht="12.75" customHeight="1">
      <c r="E984" s="75"/>
      <c r="G984" s="71"/>
    </row>
    <row r="985" ht="12.75" customHeight="1">
      <c r="E985" s="75"/>
      <c r="G985" s="71"/>
    </row>
    <row r="986" ht="12.75" customHeight="1">
      <c r="E986" s="75"/>
      <c r="G986" s="71"/>
    </row>
    <row r="987" ht="12.75" customHeight="1">
      <c r="E987" s="75"/>
      <c r="G987" s="71"/>
    </row>
    <row r="988" ht="12.75" customHeight="1">
      <c r="E988" s="75"/>
      <c r="G988" s="71"/>
    </row>
    <row r="989" ht="12.75" customHeight="1">
      <c r="E989" s="75"/>
      <c r="G989" s="71"/>
    </row>
    <row r="990" ht="12.75" customHeight="1">
      <c r="E990" s="75"/>
      <c r="G990" s="71"/>
    </row>
    <row r="991" ht="12.75" customHeight="1">
      <c r="E991" s="75"/>
      <c r="G991" s="71"/>
    </row>
    <row r="992" ht="12.75" customHeight="1">
      <c r="E992" s="75"/>
      <c r="G992" s="71"/>
    </row>
    <row r="993" ht="12.75" customHeight="1">
      <c r="E993" s="75"/>
      <c r="G993" s="71"/>
    </row>
    <row r="994" ht="12.75" customHeight="1">
      <c r="E994" s="75"/>
      <c r="G994" s="71"/>
    </row>
    <row r="995" ht="12.75" customHeight="1">
      <c r="E995" s="75"/>
      <c r="G995" s="71"/>
    </row>
    <row r="996" ht="12.75" customHeight="1">
      <c r="E996" s="75"/>
      <c r="G996" s="71"/>
    </row>
    <row r="997" ht="12.75" customHeight="1">
      <c r="E997" s="75"/>
      <c r="G997" s="71"/>
    </row>
    <row r="998" ht="12.75" customHeight="1">
      <c r="E998" s="75"/>
      <c r="G998" s="71"/>
    </row>
    <row r="999" ht="12.75" customHeight="1">
      <c r="E999" s="75"/>
      <c r="G999" s="71"/>
    </row>
    <row r="1000" ht="12.75" customHeight="1">
      <c r="E1000" s="75"/>
      <c r="G1000" s="71"/>
    </row>
  </sheetData>
  <conditionalFormatting sqref="A2:H401">
    <cfRule type="expression" dxfId="0" priority="1">
      <formula>$A2&lt;&gt;""</formula>
    </cfRule>
  </conditionalFormatting>
  <conditionalFormatting sqref="A2:N401">
    <cfRule type="expression" dxfId="1" priority="2">
      <formula>$A2=""</formula>
    </cfRule>
  </conditionalFormatting>
  <dataValidations>
    <dataValidation type="list" allowBlank="1" sqref="E2:E201 G2:G201">
      <formula1>'_Lists'!$B$2:$B$25</formula1>
    </dataValidation>
  </dataValidations>
  <printOptions/>
  <pageMargins bottom="0.75" footer="0.0" header="0.0" left="0.7" right="0.7" top="0.75"/>
  <pageSetup paperSize="9"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B82F6"/>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34.25"/>
    <col customWidth="1" min="2" max="2" width="49.88"/>
    <col customWidth="1" min="3" max="3" width="27.38"/>
    <col customWidth="1" min="4" max="4" width="12.0"/>
    <col customWidth="1" min="5" max="5" width="17.38"/>
    <col customWidth="1" min="6" max="8" width="12.0"/>
    <col customWidth="1" min="9" max="9" width="3.0"/>
    <col customWidth="1" min="10" max="14" width="14.0"/>
    <col customWidth="1" min="15" max="26" width="9.13"/>
  </cols>
  <sheetData>
    <row r="1">
      <c r="A1" s="2" t="s">
        <v>2</v>
      </c>
      <c r="B1" s="2" t="s">
        <v>4</v>
      </c>
      <c r="C1" s="2" t="s">
        <v>6</v>
      </c>
      <c r="D1" s="58" t="s">
        <v>7</v>
      </c>
      <c r="E1" s="5" t="s">
        <v>8</v>
      </c>
      <c r="F1" s="5" t="s">
        <v>10</v>
      </c>
      <c r="G1" s="5" t="s">
        <v>12</v>
      </c>
      <c r="H1" s="5" t="s">
        <v>10</v>
      </c>
      <c r="I1" s="7"/>
      <c r="J1" s="9" t="s">
        <v>14</v>
      </c>
      <c r="K1" s="9" t="s">
        <v>15</v>
      </c>
      <c r="L1" s="9" t="s">
        <v>16</v>
      </c>
      <c r="M1" s="9" t="s">
        <v>17</v>
      </c>
      <c r="N1" s="9" t="s">
        <v>18</v>
      </c>
      <c r="O1" s="7"/>
      <c r="P1" s="7"/>
      <c r="Q1" s="7"/>
      <c r="R1" s="7"/>
      <c r="S1" s="7"/>
      <c r="T1" s="7"/>
      <c r="U1" s="7"/>
      <c r="V1" s="7"/>
      <c r="W1" s="7"/>
      <c r="X1" s="7"/>
      <c r="Y1" s="7"/>
      <c r="Z1" s="7"/>
    </row>
    <row r="2">
      <c r="A2" s="19" t="s">
        <v>209</v>
      </c>
      <c r="B2" s="8" t="s">
        <v>210</v>
      </c>
      <c r="C2" s="8" t="s">
        <v>211</v>
      </c>
      <c r="D2" s="59" t="s">
        <v>212</v>
      </c>
      <c r="E2" s="20" t="s">
        <v>22</v>
      </c>
      <c r="F2" s="25" t="str">
        <f t="shared" ref="F2:F159" si="1">IF(TRIM(E2)="","No","Yes")</f>
        <v>Yes</v>
      </c>
      <c r="G2" s="8"/>
      <c r="H2" s="25" t="str">
        <f t="shared" ref="H2:H159" si="2">IF(TRIM(G2)="","No","Yes")</f>
        <v>No</v>
      </c>
      <c r="I2" s="8"/>
      <c r="J2" s="30" t="str">
        <f t="shared" ref="J2:J159" si="3">IF($A2="","",$A2)</f>
        <v>Dr. Md.Ruhul Amin</v>
      </c>
      <c r="K2" s="30" t="str">
        <f t="shared" ref="K2:K159" si="4">$E2</f>
        <v>T1P1</v>
      </c>
      <c r="L2" s="30" t="str">
        <f t="shared" ref="L2:L159" si="5">IF($A2="","",$C2)</f>
        <v>dr.mdruhulamin@seu.edu.bd</v>
      </c>
      <c r="M2" s="34" t="str">
        <f t="shared" ref="M2:M159" si="6">IF($A2="","",$D2)</f>
        <v>01710949921</v>
      </c>
      <c r="N2" s="30">
        <f t="shared" ref="N2:N359" si="7">IF($K2="","",COUNTIFS($K$2:$K2,$K2))</f>
        <v>1</v>
      </c>
      <c r="O2" s="8"/>
      <c r="P2" s="8"/>
      <c r="Q2" s="8"/>
      <c r="R2" s="8"/>
      <c r="S2" s="8"/>
      <c r="T2" s="8"/>
      <c r="U2" s="8"/>
      <c r="V2" s="8"/>
      <c r="W2" s="8"/>
      <c r="X2" s="8"/>
      <c r="Y2" s="8"/>
      <c r="Z2" s="8"/>
    </row>
    <row r="3">
      <c r="A3" s="19" t="s">
        <v>228</v>
      </c>
      <c r="B3" s="8" t="s">
        <v>229</v>
      </c>
      <c r="C3" s="8" t="s">
        <v>230</v>
      </c>
      <c r="D3" s="59" t="s">
        <v>231</v>
      </c>
      <c r="E3" s="20" t="s">
        <v>41</v>
      </c>
      <c r="F3" s="25" t="str">
        <f t="shared" si="1"/>
        <v>Yes</v>
      </c>
      <c r="G3" s="8"/>
      <c r="H3" s="25" t="str">
        <f t="shared" si="2"/>
        <v>No</v>
      </c>
      <c r="I3" s="8"/>
      <c r="J3" s="30" t="str">
        <f t="shared" si="3"/>
        <v>Dr. Mohammed Ashikur Rahman</v>
      </c>
      <c r="K3" s="30" t="str">
        <f t="shared" si="4"/>
        <v>T2P1</v>
      </c>
      <c r="L3" s="30" t="str">
        <f t="shared" si="5"/>
        <v>ashikur.rahman@seu.edu.bd</v>
      </c>
      <c r="M3" s="34" t="str">
        <f t="shared" si="6"/>
        <v>01735524483</v>
      </c>
      <c r="N3" s="30">
        <f t="shared" si="7"/>
        <v>1</v>
      </c>
      <c r="O3" s="8"/>
      <c r="P3" s="8"/>
      <c r="Q3" s="8"/>
      <c r="R3" s="8"/>
      <c r="S3" s="8"/>
      <c r="T3" s="8"/>
      <c r="U3" s="8"/>
      <c r="V3" s="8"/>
      <c r="W3" s="8"/>
      <c r="X3" s="8"/>
      <c r="Y3" s="8"/>
      <c r="Z3" s="8"/>
    </row>
    <row r="4">
      <c r="A4" s="19" t="s">
        <v>235</v>
      </c>
      <c r="B4" s="8" t="s">
        <v>236</v>
      </c>
      <c r="C4" s="8" t="s">
        <v>237</v>
      </c>
      <c r="D4" s="59" t="s">
        <v>238</v>
      </c>
      <c r="E4" s="20" t="s">
        <v>72</v>
      </c>
      <c r="F4" s="25" t="str">
        <f t="shared" si="1"/>
        <v>Yes</v>
      </c>
      <c r="G4" s="8"/>
      <c r="H4" s="25" t="str">
        <f t="shared" si="2"/>
        <v>No</v>
      </c>
      <c r="I4" s="8"/>
      <c r="J4" s="30" t="str">
        <f t="shared" si="3"/>
        <v>Prof. Dr. Ishtiak Al  Mamoon</v>
      </c>
      <c r="K4" s="30" t="str">
        <f t="shared" si="4"/>
        <v>T4P1</v>
      </c>
      <c r="L4" s="30" t="str">
        <f t="shared" si="5"/>
        <v>Ishtiak.cse@iubat.edu</v>
      </c>
      <c r="M4" s="34" t="str">
        <f t="shared" si="6"/>
        <v>01713229860</v>
      </c>
      <c r="N4" s="30">
        <f t="shared" si="7"/>
        <v>1</v>
      </c>
      <c r="O4" s="8"/>
      <c r="P4" s="8"/>
      <c r="Q4" s="8"/>
      <c r="R4" s="8"/>
      <c r="S4" s="8"/>
      <c r="T4" s="8"/>
      <c r="U4" s="8"/>
      <c r="V4" s="8"/>
      <c r="W4" s="8"/>
      <c r="X4" s="8"/>
      <c r="Y4" s="8"/>
      <c r="Z4" s="8"/>
    </row>
    <row r="5">
      <c r="A5" s="8" t="s">
        <v>242</v>
      </c>
      <c r="B5" s="8" t="s">
        <v>243</v>
      </c>
      <c r="C5" s="8" t="s">
        <v>244</v>
      </c>
      <c r="D5" s="59" t="s">
        <v>245</v>
      </c>
      <c r="E5" s="20" t="s">
        <v>118</v>
      </c>
      <c r="F5" s="25" t="str">
        <f t="shared" si="1"/>
        <v>Yes</v>
      </c>
      <c r="G5" s="8"/>
      <c r="H5" s="25" t="str">
        <f t="shared" si="2"/>
        <v>No</v>
      </c>
      <c r="I5" s="8"/>
      <c r="J5" s="30" t="str">
        <f t="shared" si="3"/>
        <v>Prof. Dr. Ahmed Al Mansur</v>
      </c>
      <c r="K5" s="30" t="str">
        <f t="shared" si="4"/>
        <v>T4P2</v>
      </c>
      <c r="L5" s="30" t="str">
        <f t="shared" si="5"/>
        <v>mansur.eee@bubt.edu.bd</v>
      </c>
      <c r="M5" s="34" t="str">
        <f t="shared" si="6"/>
        <v>01715020314</v>
      </c>
      <c r="N5" s="30">
        <f t="shared" si="7"/>
        <v>1</v>
      </c>
      <c r="O5" s="8"/>
      <c r="P5" s="8"/>
      <c r="Q5" s="8"/>
      <c r="R5" s="8"/>
      <c r="S5" s="8"/>
      <c r="T5" s="8"/>
      <c r="U5" s="8"/>
      <c r="V5" s="8"/>
      <c r="W5" s="8"/>
      <c r="X5" s="8"/>
      <c r="Y5" s="8"/>
      <c r="Z5" s="8"/>
    </row>
    <row r="6">
      <c r="A6" s="19" t="s">
        <v>252</v>
      </c>
      <c r="B6" s="8" t="s">
        <v>253</v>
      </c>
      <c r="C6" s="8" t="s">
        <v>254</v>
      </c>
      <c r="D6" s="59" t="s">
        <v>255</v>
      </c>
      <c r="E6" s="20" t="s">
        <v>30</v>
      </c>
      <c r="F6" s="25" t="str">
        <f t="shared" si="1"/>
        <v>Yes</v>
      </c>
      <c r="G6" s="8"/>
      <c r="H6" s="25" t="str">
        <f t="shared" si="2"/>
        <v>No</v>
      </c>
      <c r="I6" s="8"/>
      <c r="J6" s="30" t="str">
        <f t="shared" si="3"/>
        <v>Prof. Dr. Kamruddin Nur</v>
      </c>
      <c r="K6" s="30" t="str">
        <f t="shared" si="4"/>
        <v>T1P2</v>
      </c>
      <c r="L6" s="30" t="str">
        <f t="shared" si="5"/>
        <v>kamruddin.nur@gmail.com</v>
      </c>
      <c r="M6" s="34" t="str">
        <f t="shared" si="6"/>
        <v>01777354323</v>
      </c>
      <c r="N6" s="30">
        <f t="shared" si="7"/>
        <v>1</v>
      </c>
      <c r="O6" s="8"/>
      <c r="P6" s="8"/>
      <c r="Q6" s="8"/>
      <c r="R6" s="8"/>
      <c r="S6" s="8"/>
      <c r="T6" s="8"/>
      <c r="U6" s="8"/>
      <c r="V6" s="8"/>
      <c r="W6" s="8"/>
      <c r="X6" s="8"/>
      <c r="Y6" s="8"/>
      <c r="Z6" s="8"/>
    </row>
    <row r="7">
      <c r="A7" s="19" t="s">
        <v>269</v>
      </c>
      <c r="B7" s="8" t="s">
        <v>270</v>
      </c>
      <c r="C7" s="8" t="s">
        <v>271</v>
      </c>
      <c r="D7" s="59" t="s">
        <v>272</v>
      </c>
      <c r="E7" s="20" t="s">
        <v>34</v>
      </c>
      <c r="F7" s="25" t="str">
        <f t="shared" si="1"/>
        <v>Yes</v>
      </c>
      <c r="G7" s="8"/>
      <c r="H7" s="25" t="str">
        <f t="shared" si="2"/>
        <v>No</v>
      </c>
      <c r="I7" s="8"/>
      <c r="J7" s="30" t="str">
        <f t="shared" si="3"/>
        <v>Dr. Nahid Akhter Jahan</v>
      </c>
      <c r="K7" s="30" t="str">
        <f t="shared" si="4"/>
        <v>T1P3</v>
      </c>
      <c r="L7" s="30" t="str">
        <f t="shared" si="5"/>
        <v>nahid.jahan@bracu.ac.bd</v>
      </c>
      <c r="M7" s="34" t="str">
        <f t="shared" si="6"/>
        <v>01828141026</v>
      </c>
      <c r="N7" s="30">
        <f t="shared" si="7"/>
        <v>1</v>
      </c>
      <c r="O7" s="8"/>
      <c r="P7" s="8"/>
      <c r="Q7" s="8"/>
      <c r="R7" s="8"/>
      <c r="S7" s="8"/>
      <c r="T7" s="8"/>
      <c r="U7" s="8"/>
      <c r="V7" s="8"/>
      <c r="W7" s="8"/>
      <c r="X7" s="8"/>
      <c r="Y7" s="8"/>
      <c r="Z7" s="8"/>
    </row>
    <row r="8">
      <c r="A8" s="19" t="s">
        <v>285</v>
      </c>
      <c r="B8" s="8" t="s">
        <v>286</v>
      </c>
      <c r="C8" s="8" t="s">
        <v>287</v>
      </c>
      <c r="D8" s="59" t="s">
        <v>288</v>
      </c>
      <c r="E8" s="20" t="s">
        <v>63</v>
      </c>
      <c r="F8" s="25" t="str">
        <f t="shared" si="1"/>
        <v>Yes</v>
      </c>
      <c r="G8" s="8"/>
      <c r="H8" s="25" t="str">
        <f t="shared" si="2"/>
        <v>No</v>
      </c>
      <c r="I8" s="8"/>
      <c r="J8" s="30" t="str">
        <f t="shared" si="3"/>
        <v>Dr. Mirza Rasheduzzaman</v>
      </c>
      <c r="K8" s="30" t="str">
        <f t="shared" si="4"/>
        <v>T2P4</v>
      </c>
      <c r="L8" s="30" t="str">
        <f t="shared" si="5"/>
        <v>mirza.rasheduzzaman@gmail.com</v>
      </c>
      <c r="M8" s="34" t="str">
        <f t="shared" si="6"/>
        <v>01787736780</v>
      </c>
      <c r="N8" s="30">
        <f t="shared" si="7"/>
        <v>1</v>
      </c>
      <c r="O8" s="8"/>
      <c r="P8" s="8"/>
      <c r="Q8" s="8"/>
      <c r="R8" s="8"/>
      <c r="S8" s="8"/>
      <c r="T8" s="8"/>
      <c r="U8" s="8"/>
      <c r="V8" s="8"/>
      <c r="W8" s="8"/>
      <c r="X8" s="8"/>
      <c r="Y8" s="8"/>
      <c r="Z8" s="8"/>
    </row>
    <row r="9">
      <c r="A9" s="19" t="s">
        <v>292</v>
      </c>
      <c r="B9" s="8" t="s">
        <v>293</v>
      </c>
      <c r="C9" s="8" t="s">
        <v>294</v>
      </c>
      <c r="D9" s="59" t="s">
        <v>295</v>
      </c>
      <c r="E9" s="20" t="s">
        <v>123</v>
      </c>
      <c r="F9" s="25" t="str">
        <f t="shared" si="1"/>
        <v>Yes</v>
      </c>
      <c r="G9" s="8"/>
      <c r="H9" s="25" t="str">
        <f t="shared" si="2"/>
        <v>No</v>
      </c>
      <c r="I9" s="8"/>
      <c r="J9" s="30" t="str">
        <f t="shared" si="3"/>
        <v>Dr. Mohammad Rifat Ahmmad Rashid</v>
      </c>
      <c r="K9" s="30" t="str">
        <f t="shared" si="4"/>
        <v>T3P3</v>
      </c>
      <c r="L9" s="30" t="str">
        <f t="shared" si="5"/>
        <v>rifat.rashid@ewubd.edu</v>
      </c>
      <c r="M9" s="34" t="str">
        <f t="shared" si="6"/>
        <v>01314447616</v>
      </c>
      <c r="N9" s="30">
        <f t="shared" si="7"/>
        <v>1</v>
      </c>
      <c r="O9" s="8"/>
      <c r="P9" s="8"/>
      <c r="Q9" s="8"/>
      <c r="R9" s="8"/>
      <c r="S9" s="8"/>
      <c r="T9" s="8"/>
      <c r="U9" s="8"/>
      <c r="V9" s="8"/>
      <c r="W9" s="8"/>
      <c r="X9" s="8"/>
      <c r="Y9" s="8"/>
      <c r="Z9" s="8"/>
    </row>
    <row r="10">
      <c r="A10" s="8" t="s">
        <v>298</v>
      </c>
      <c r="B10" s="8" t="s">
        <v>253</v>
      </c>
      <c r="C10" s="8" t="s">
        <v>299</v>
      </c>
      <c r="D10" s="59" t="s">
        <v>300</v>
      </c>
      <c r="E10" s="20" t="s">
        <v>155</v>
      </c>
      <c r="F10" s="25" t="str">
        <f t="shared" si="1"/>
        <v>Yes</v>
      </c>
      <c r="G10" s="8"/>
      <c r="H10" s="25" t="str">
        <f t="shared" si="2"/>
        <v>No</v>
      </c>
      <c r="I10" s="8"/>
      <c r="J10" s="30" t="str">
        <f t="shared" si="3"/>
        <v>Prof. Dr. Engr. Muhibul Haque Bhuyan</v>
      </c>
      <c r="K10" s="30" t="str">
        <f t="shared" si="4"/>
        <v>T4P4</v>
      </c>
      <c r="L10" s="30" t="str">
        <f t="shared" si="5"/>
        <v>muhibulhb@aiub.edu</v>
      </c>
      <c r="M10" s="34" t="str">
        <f t="shared" si="6"/>
        <v>01815657346</v>
      </c>
      <c r="N10" s="30">
        <f t="shared" si="7"/>
        <v>1</v>
      </c>
      <c r="O10" s="8"/>
      <c r="P10" s="8"/>
      <c r="Q10" s="8"/>
      <c r="R10" s="8"/>
      <c r="S10" s="8"/>
      <c r="T10" s="8"/>
      <c r="U10" s="8"/>
      <c r="V10" s="8"/>
      <c r="W10" s="8"/>
      <c r="X10" s="8"/>
      <c r="Y10" s="8"/>
      <c r="Z10" s="8"/>
    </row>
    <row r="11">
      <c r="A11" s="8" t="s">
        <v>301</v>
      </c>
      <c r="B11" s="8" t="s">
        <v>302</v>
      </c>
      <c r="C11" s="8" t="s">
        <v>303</v>
      </c>
      <c r="D11" s="59" t="s">
        <v>304</v>
      </c>
      <c r="E11" s="20" t="s">
        <v>113</v>
      </c>
      <c r="F11" s="25" t="str">
        <f t="shared" si="1"/>
        <v>Yes</v>
      </c>
      <c r="G11" s="8"/>
      <c r="H11" s="25" t="str">
        <f t="shared" si="2"/>
        <v>No</v>
      </c>
      <c r="I11" s="8"/>
      <c r="J11" s="30" t="str">
        <f t="shared" si="3"/>
        <v>Dr. Khairul Alam</v>
      </c>
      <c r="K11" s="30" t="str">
        <f t="shared" si="4"/>
        <v>T4P3</v>
      </c>
      <c r="L11" s="30" t="str">
        <f t="shared" si="5"/>
        <v>kalam@ewubd.edu</v>
      </c>
      <c r="M11" s="34" t="str">
        <f t="shared" si="6"/>
        <v>01713458911</v>
      </c>
      <c r="N11" s="30">
        <f t="shared" si="7"/>
        <v>1</v>
      </c>
      <c r="O11" s="8"/>
      <c r="P11" s="8"/>
      <c r="Q11" s="8"/>
      <c r="R11" s="8"/>
      <c r="S11" s="8"/>
      <c r="T11" s="8"/>
      <c r="U11" s="8"/>
      <c r="V11" s="8"/>
      <c r="W11" s="8"/>
      <c r="X11" s="8"/>
      <c r="Y11" s="8"/>
      <c r="Z11" s="8"/>
    </row>
    <row r="12">
      <c r="A12" s="8" t="s">
        <v>305</v>
      </c>
      <c r="B12" s="8" t="s">
        <v>306</v>
      </c>
      <c r="C12" s="8" t="s">
        <v>307</v>
      </c>
      <c r="D12" s="59" t="s">
        <v>308</v>
      </c>
      <c r="E12" s="20" t="s">
        <v>141</v>
      </c>
      <c r="F12" s="25" t="str">
        <f t="shared" si="1"/>
        <v>Yes</v>
      </c>
      <c r="G12" s="8"/>
      <c r="H12" s="25" t="str">
        <f t="shared" si="2"/>
        <v>No</v>
      </c>
      <c r="I12" s="8"/>
      <c r="J12" s="30" t="str">
        <f t="shared" si="3"/>
        <v>Dr. Sifat Momen</v>
      </c>
      <c r="K12" s="30" t="str">
        <f t="shared" si="4"/>
        <v>T3P5</v>
      </c>
      <c r="L12" s="30" t="str">
        <f t="shared" si="5"/>
        <v>sifat.momen@northsouth.edu</v>
      </c>
      <c r="M12" s="34" t="str">
        <f t="shared" si="6"/>
        <v>01754119999</v>
      </c>
      <c r="N12" s="30">
        <f t="shared" si="7"/>
        <v>1</v>
      </c>
      <c r="O12" s="8"/>
      <c r="P12" s="8"/>
      <c r="Q12" s="8"/>
      <c r="R12" s="8"/>
      <c r="S12" s="8"/>
      <c r="T12" s="8"/>
      <c r="U12" s="8"/>
      <c r="V12" s="8"/>
      <c r="W12" s="8"/>
      <c r="X12" s="8"/>
      <c r="Y12" s="8"/>
      <c r="Z12" s="8"/>
    </row>
    <row r="13">
      <c r="A13" s="19" t="s">
        <v>309</v>
      </c>
      <c r="B13" s="8" t="s">
        <v>310</v>
      </c>
      <c r="C13" s="8" t="s">
        <v>311</v>
      </c>
      <c r="D13" s="59" t="s">
        <v>312</v>
      </c>
      <c r="E13" s="20" t="s">
        <v>49</v>
      </c>
      <c r="F13" s="25" t="str">
        <f t="shared" si="1"/>
        <v>Yes</v>
      </c>
      <c r="G13" s="8"/>
      <c r="H13" s="25" t="str">
        <f t="shared" si="2"/>
        <v>No</v>
      </c>
      <c r="I13" s="8"/>
      <c r="J13" s="30" t="str">
        <f t="shared" si="3"/>
        <v>Dr. Mohammad Nurul Huda</v>
      </c>
      <c r="K13" s="30" t="str">
        <f t="shared" si="4"/>
        <v>T2P2</v>
      </c>
      <c r="L13" s="30" t="str">
        <f t="shared" si="5"/>
        <v>mnh@cse.uiu.ac.bd</v>
      </c>
      <c r="M13" s="34" t="str">
        <f t="shared" si="6"/>
        <v>01673476433</v>
      </c>
      <c r="N13" s="30">
        <f t="shared" si="7"/>
        <v>1</v>
      </c>
      <c r="O13" s="8"/>
      <c r="P13" s="8"/>
      <c r="Q13" s="8"/>
      <c r="R13" s="8"/>
      <c r="S13" s="8"/>
      <c r="T13" s="8"/>
      <c r="U13" s="8"/>
      <c r="V13" s="8"/>
      <c r="W13" s="8"/>
      <c r="X13" s="8"/>
      <c r="Y13" s="8"/>
      <c r="Z13" s="8"/>
    </row>
    <row r="14">
      <c r="A14" s="19" t="s">
        <v>313</v>
      </c>
      <c r="B14" s="8" t="s">
        <v>314</v>
      </c>
      <c r="C14" s="8" t="s">
        <v>315</v>
      </c>
      <c r="D14" s="59" t="s">
        <v>316</v>
      </c>
      <c r="E14" s="20" t="s">
        <v>159</v>
      </c>
      <c r="F14" s="25" t="str">
        <f t="shared" si="1"/>
        <v>Yes</v>
      </c>
      <c r="G14" s="8"/>
      <c r="H14" s="25" t="str">
        <f t="shared" si="2"/>
        <v>No</v>
      </c>
      <c r="I14" s="8"/>
      <c r="J14" s="30" t="str">
        <f t="shared" si="3"/>
        <v>Dr. Mustafa Habib Chowdhury</v>
      </c>
      <c r="K14" s="30" t="str">
        <f t="shared" si="4"/>
        <v>T3P1</v>
      </c>
      <c r="L14" s="30" t="str">
        <f t="shared" si="5"/>
        <v>mchowdhury@iub.edu.bd</v>
      </c>
      <c r="M14" s="34" t="str">
        <f t="shared" si="6"/>
        <v>01706635679</v>
      </c>
      <c r="N14" s="30">
        <f t="shared" si="7"/>
        <v>1</v>
      </c>
      <c r="O14" s="8"/>
      <c r="P14" s="8"/>
      <c r="Q14" s="8"/>
      <c r="R14" s="8"/>
      <c r="S14" s="8"/>
      <c r="T14" s="8"/>
      <c r="U14" s="8"/>
      <c r="V14" s="8"/>
      <c r="W14" s="8"/>
      <c r="X14" s="8"/>
      <c r="Y14" s="8"/>
      <c r="Z14" s="8"/>
    </row>
    <row r="15">
      <c r="A15" s="19" t="s">
        <v>317</v>
      </c>
      <c r="B15" s="19" t="s">
        <v>143</v>
      </c>
      <c r="C15" s="19" t="s">
        <v>318</v>
      </c>
      <c r="D15" s="59" t="s">
        <v>319</v>
      </c>
      <c r="E15" s="20" t="s">
        <v>57</v>
      </c>
      <c r="F15" s="25" t="str">
        <f t="shared" si="1"/>
        <v>Yes</v>
      </c>
      <c r="G15" s="8"/>
      <c r="H15" s="25" t="str">
        <f t="shared" si="2"/>
        <v>No</v>
      </c>
      <c r="I15" s="8"/>
      <c r="J15" s="30" t="str">
        <f t="shared" si="3"/>
        <v>Dr. Mohammad Shazzad Hossain</v>
      </c>
      <c r="K15" s="30" t="str">
        <f t="shared" si="4"/>
        <v>T2P3</v>
      </c>
      <c r="L15" s="30" t="str">
        <f t="shared" si="5"/>
        <v>shazzad.hossain@ulab.edu.bd</v>
      </c>
      <c r="M15" s="34" t="str">
        <f t="shared" si="6"/>
        <v>01712030624</v>
      </c>
      <c r="N15" s="30">
        <f t="shared" si="7"/>
        <v>1</v>
      </c>
      <c r="O15" s="8"/>
      <c r="P15" s="8"/>
      <c r="Q15" s="8"/>
      <c r="R15" s="8"/>
      <c r="S15" s="8"/>
      <c r="T15" s="8"/>
      <c r="U15" s="8"/>
      <c r="V15" s="8"/>
      <c r="W15" s="8"/>
      <c r="X15" s="8"/>
      <c r="Y15" s="8"/>
      <c r="Z15" s="8"/>
    </row>
    <row r="16">
      <c r="A16" s="8" t="s">
        <v>104</v>
      </c>
      <c r="B16" s="8" t="s">
        <v>91</v>
      </c>
      <c r="C16" s="8" t="s">
        <v>105</v>
      </c>
      <c r="D16" s="59" t="s">
        <v>106</v>
      </c>
      <c r="E16" s="20" t="s">
        <v>184</v>
      </c>
      <c r="F16" s="25" t="str">
        <f t="shared" si="1"/>
        <v>Yes</v>
      </c>
      <c r="G16" s="8"/>
      <c r="H16" s="25" t="str">
        <f t="shared" si="2"/>
        <v>No</v>
      </c>
      <c r="I16" s="8"/>
      <c r="J16" s="30" t="str">
        <f t="shared" si="3"/>
        <v>Dr. Rezwan Al Islam Khan</v>
      </c>
      <c r="K16" s="30" t="str">
        <f t="shared" si="4"/>
        <v>T4P5</v>
      </c>
      <c r="L16" s="30" t="str">
        <f t="shared" si="5"/>
        <v>rezwan.islam@ulab.edu.bd</v>
      </c>
      <c r="M16" s="34" t="str">
        <f t="shared" si="6"/>
        <v>01712530199</v>
      </c>
      <c r="N16" s="30">
        <f t="shared" si="7"/>
        <v>1</v>
      </c>
      <c r="O16" s="8"/>
      <c r="P16" s="8"/>
      <c r="Q16" s="8"/>
      <c r="R16" s="8"/>
      <c r="S16" s="8"/>
      <c r="T16" s="8"/>
      <c r="U16" s="8"/>
      <c r="V16" s="8"/>
      <c r="W16" s="8"/>
      <c r="X16" s="8"/>
      <c r="Y16" s="8"/>
      <c r="Z16" s="8"/>
    </row>
    <row r="17">
      <c r="A17" s="19" t="s">
        <v>320</v>
      </c>
      <c r="B17" s="8" t="s">
        <v>176</v>
      </c>
      <c r="C17" s="8" t="s">
        <v>182</v>
      </c>
      <c r="D17" s="59" t="s">
        <v>321</v>
      </c>
      <c r="E17" s="20" t="s">
        <v>166</v>
      </c>
      <c r="F17" s="25" t="str">
        <f t="shared" si="1"/>
        <v>Yes</v>
      </c>
      <c r="G17" s="8"/>
      <c r="H17" s="25" t="str">
        <f t="shared" si="2"/>
        <v>No</v>
      </c>
      <c r="I17" s="8"/>
      <c r="J17" s="30" t="str">
        <f t="shared" si="3"/>
        <v>Dr. Md. Ashraful Haque, PhD</v>
      </c>
      <c r="K17" s="30" t="str">
        <f t="shared" si="4"/>
        <v>T4P6</v>
      </c>
      <c r="L17" s="30" t="str">
        <f t="shared" si="5"/>
        <v>ashraful.haque1@ulab.edu.bd</v>
      </c>
      <c r="M17" s="34" t="str">
        <f t="shared" si="6"/>
        <v>01675011109</v>
      </c>
      <c r="N17" s="30">
        <f t="shared" si="7"/>
        <v>1</v>
      </c>
      <c r="O17" s="8"/>
      <c r="P17" s="8"/>
      <c r="Q17" s="8"/>
      <c r="R17" s="8"/>
      <c r="S17" s="8"/>
      <c r="T17" s="8"/>
      <c r="U17" s="8"/>
      <c r="V17" s="8"/>
      <c r="W17" s="8"/>
      <c r="X17" s="8"/>
      <c r="Y17" s="8"/>
      <c r="Z17" s="8"/>
    </row>
    <row r="18">
      <c r="A18" s="19" t="s">
        <v>326</v>
      </c>
      <c r="B18" s="19" t="s">
        <v>327</v>
      </c>
      <c r="C18" s="19" t="s">
        <v>328</v>
      </c>
      <c r="D18" s="59" t="s">
        <v>329</v>
      </c>
      <c r="E18" s="20" t="s">
        <v>97</v>
      </c>
      <c r="F18" s="25" t="str">
        <f t="shared" si="1"/>
        <v>Yes</v>
      </c>
      <c r="G18" s="8"/>
      <c r="H18" s="25" t="str">
        <f t="shared" si="2"/>
        <v>No</v>
      </c>
      <c r="I18" s="8"/>
      <c r="J18" s="30" t="str">
        <f t="shared" si="3"/>
        <v>Dr. Aminur Rahman</v>
      </c>
      <c r="K18" s="30" t="str">
        <f t="shared" si="4"/>
        <v>Keynote 1</v>
      </c>
      <c r="L18" s="30" t="str">
        <f t="shared" si="5"/>
        <v>aminur@bubt.edu.bd</v>
      </c>
      <c r="M18" s="34" t="str">
        <f t="shared" si="6"/>
        <v>01716539541</v>
      </c>
      <c r="N18" s="30">
        <f t="shared" si="7"/>
        <v>1</v>
      </c>
      <c r="O18" s="8"/>
      <c r="P18" s="8"/>
      <c r="Q18" s="8"/>
      <c r="R18" s="8"/>
      <c r="S18" s="8"/>
      <c r="T18" s="8"/>
      <c r="U18" s="8"/>
      <c r="V18" s="8"/>
      <c r="W18" s="8"/>
      <c r="X18" s="8"/>
      <c r="Y18" s="8"/>
      <c r="Z18" s="8"/>
    </row>
    <row r="19">
      <c r="A19" s="19" t="s">
        <v>331</v>
      </c>
      <c r="B19" s="19" t="s">
        <v>333</v>
      </c>
      <c r="C19" s="19" t="s">
        <v>335</v>
      </c>
      <c r="D19" s="59" t="s">
        <v>337</v>
      </c>
      <c r="E19" s="20" t="s">
        <v>29</v>
      </c>
      <c r="F19" s="25" t="str">
        <f t="shared" si="1"/>
        <v>Yes</v>
      </c>
      <c r="G19" s="8"/>
      <c r="H19" s="25" t="str">
        <f t="shared" si="2"/>
        <v>No</v>
      </c>
      <c r="I19" s="8"/>
      <c r="J19" s="30" t="str">
        <f t="shared" si="3"/>
        <v>Prof. Dr. Md. Shahriar Rahman</v>
      </c>
      <c r="K19" s="30" t="str">
        <f t="shared" si="4"/>
        <v>Keynote 2</v>
      </c>
      <c r="L19" s="30" t="str">
        <f t="shared" si="5"/>
        <v>mshahriar@cse.uiu.ac.bd</v>
      </c>
      <c r="M19" s="34" t="str">
        <f t="shared" si="6"/>
        <v>01742092172</v>
      </c>
      <c r="N19" s="30">
        <f t="shared" si="7"/>
        <v>1</v>
      </c>
      <c r="O19" s="8"/>
      <c r="P19" s="8"/>
      <c r="Q19" s="8"/>
      <c r="R19" s="8"/>
      <c r="S19" s="8"/>
      <c r="T19" s="8"/>
      <c r="U19" s="8"/>
      <c r="V19" s="8"/>
      <c r="W19" s="8"/>
      <c r="X19" s="8"/>
      <c r="Y19" s="8"/>
      <c r="Z19" s="8"/>
    </row>
    <row r="20">
      <c r="A20" s="19" t="s">
        <v>338</v>
      </c>
      <c r="B20" s="8" t="s">
        <v>66</v>
      </c>
      <c r="C20" s="8" t="s">
        <v>78</v>
      </c>
      <c r="D20" s="69" t="s">
        <v>81</v>
      </c>
      <c r="E20" s="20" t="s">
        <v>70</v>
      </c>
      <c r="F20" s="25" t="str">
        <f t="shared" si="1"/>
        <v>Yes</v>
      </c>
      <c r="G20" s="8"/>
      <c r="H20" s="25" t="str">
        <f t="shared" si="2"/>
        <v>No</v>
      </c>
      <c r="I20" s="8"/>
      <c r="J20" s="30" t="str">
        <f t="shared" si="3"/>
        <v>Dr. Anwarul Haque Joarder</v>
      </c>
      <c r="K20" s="30" t="str">
        <f t="shared" si="4"/>
        <v>IEEE Workshop</v>
      </c>
      <c r="L20" s="30" t="str">
        <f t="shared" si="5"/>
        <v>anwar.joarder@ulab.edu.bd</v>
      </c>
      <c r="M20" s="34" t="str">
        <f t="shared" si="6"/>
        <v>01977000805</v>
      </c>
      <c r="N20" s="30">
        <f t="shared" si="7"/>
        <v>1</v>
      </c>
      <c r="O20" s="8"/>
      <c r="P20" s="8"/>
      <c r="Q20" s="8"/>
      <c r="R20" s="8"/>
      <c r="S20" s="8"/>
      <c r="T20" s="8"/>
      <c r="U20" s="8"/>
      <c r="V20" s="8"/>
      <c r="W20" s="8"/>
      <c r="X20" s="8"/>
      <c r="Y20" s="8"/>
      <c r="Z20" s="8"/>
    </row>
    <row r="21">
      <c r="A21" s="19" t="s">
        <v>342</v>
      </c>
      <c r="B21" s="19" t="s">
        <v>176</v>
      </c>
      <c r="C21" s="70" t="s">
        <v>343</v>
      </c>
      <c r="D21" s="69"/>
      <c r="E21" s="25"/>
      <c r="F21" s="25" t="str">
        <f t="shared" si="1"/>
        <v>No</v>
      </c>
      <c r="G21" s="8"/>
      <c r="H21" s="25" t="str">
        <f t="shared" si="2"/>
        <v>No</v>
      </c>
      <c r="I21" s="8"/>
      <c r="J21" s="30" t="str">
        <f t="shared" si="3"/>
        <v>Dr. A. B. M. Sayeed Ud Doulah</v>
      </c>
      <c r="K21" s="30" t="str">
        <f t="shared" si="4"/>
        <v/>
      </c>
      <c r="L21" s="30" t="str">
        <f t="shared" si="5"/>
        <v>sayeed.doulah@seu.edu.bd</v>
      </c>
      <c r="M21" s="34" t="str">
        <f t="shared" si="6"/>
        <v/>
      </c>
      <c r="N21" s="30" t="str">
        <f t="shared" si="7"/>
        <v/>
      </c>
      <c r="O21" s="8"/>
      <c r="P21" s="8"/>
      <c r="Q21" s="8"/>
      <c r="R21" s="8"/>
      <c r="S21" s="8"/>
      <c r="T21" s="8"/>
      <c r="U21" s="8"/>
      <c r="V21" s="8"/>
      <c r="W21" s="8"/>
      <c r="X21" s="8"/>
      <c r="Y21" s="8"/>
      <c r="Z21" s="8"/>
    </row>
    <row r="22">
      <c r="A22" s="8"/>
      <c r="B22" s="8"/>
      <c r="C22" s="8"/>
      <c r="D22" s="69"/>
      <c r="E22" s="25"/>
      <c r="F22" s="25" t="str">
        <f t="shared" si="1"/>
        <v>No</v>
      </c>
      <c r="G22" s="8"/>
      <c r="H22" s="25" t="str">
        <f t="shared" si="2"/>
        <v>No</v>
      </c>
      <c r="I22" s="8"/>
      <c r="J22" s="30" t="str">
        <f t="shared" si="3"/>
        <v/>
      </c>
      <c r="K22" s="30" t="str">
        <f t="shared" si="4"/>
        <v/>
      </c>
      <c r="L22" s="30" t="str">
        <f t="shared" si="5"/>
        <v/>
      </c>
      <c r="M22" s="30" t="str">
        <f t="shared" si="6"/>
        <v/>
      </c>
      <c r="N22" s="30" t="str">
        <f t="shared" si="7"/>
        <v/>
      </c>
      <c r="O22" s="8"/>
      <c r="P22" s="8"/>
      <c r="Q22" s="8"/>
      <c r="R22" s="8"/>
      <c r="S22" s="8"/>
      <c r="T22" s="8"/>
      <c r="U22" s="8"/>
      <c r="V22" s="8"/>
      <c r="W22" s="8"/>
      <c r="X22" s="8"/>
      <c r="Y22" s="8"/>
      <c r="Z22" s="8"/>
    </row>
    <row r="23">
      <c r="A23" s="8"/>
      <c r="B23" s="8"/>
      <c r="C23" s="8"/>
      <c r="D23" s="69"/>
      <c r="E23" s="25"/>
      <c r="F23" s="25" t="str">
        <f t="shared" si="1"/>
        <v>No</v>
      </c>
      <c r="G23" s="8"/>
      <c r="H23" s="25" t="str">
        <f t="shared" si="2"/>
        <v>No</v>
      </c>
      <c r="I23" s="8"/>
      <c r="J23" s="30" t="str">
        <f t="shared" si="3"/>
        <v/>
      </c>
      <c r="K23" s="30" t="str">
        <f t="shared" si="4"/>
        <v/>
      </c>
      <c r="L23" s="30" t="str">
        <f t="shared" si="5"/>
        <v/>
      </c>
      <c r="M23" s="30" t="str">
        <f t="shared" si="6"/>
        <v/>
      </c>
      <c r="N23" s="30" t="str">
        <f t="shared" si="7"/>
        <v/>
      </c>
      <c r="O23" s="8"/>
      <c r="P23" s="8"/>
      <c r="Q23" s="8"/>
      <c r="R23" s="8"/>
      <c r="S23" s="8"/>
      <c r="T23" s="8"/>
      <c r="U23" s="8"/>
      <c r="V23" s="8"/>
      <c r="W23" s="8"/>
      <c r="X23" s="8"/>
      <c r="Y23" s="8"/>
      <c r="Z23" s="8"/>
    </row>
    <row r="24">
      <c r="A24" s="8"/>
      <c r="B24" s="8"/>
      <c r="C24" s="8"/>
      <c r="D24" s="69"/>
      <c r="E24" s="25"/>
      <c r="F24" s="25" t="str">
        <f t="shared" si="1"/>
        <v>No</v>
      </c>
      <c r="G24" s="8"/>
      <c r="H24" s="25" t="str">
        <f t="shared" si="2"/>
        <v>No</v>
      </c>
      <c r="I24" s="8"/>
      <c r="J24" s="30" t="str">
        <f t="shared" si="3"/>
        <v/>
      </c>
      <c r="K24" s="30" t="str">
        <f t="shared" si="4"/>
        <v/>
      </c>
      <c r="L24" s="30" t="str">
        <f t="shared" si="5"/>
        <v/>
      </c>
      <c r="M24" s="30" t="str">
        <f t="shared" si="6"/>
        <v/>
      </c>
      <c r="N24" s="30" t="str">
        <f t="shared" si="7"/>
        <v/>
      </c>
      <c r="O24" s="8"/>
      <c r="P24" s="8"/>
      <c r="Q24" s="8"/>
      <c r="R24" s="8"/>
      <c r="S24" s="8"/>
      <c r="T24" s="8"/>
      <c r="U24" s="8"/>
      <c r="V24" s="8"/>
      <c r="W24" s="8"/>
      <c r="X24" s="8"/>
      <c r="Y24" s="8"/>
      <c r="Z24" s="8"/>
    </row>
    <row r="25">
      <c r="A25" s="8"/>
      <c r="B25" s="8"/>
      <c r="C25" s="8"/>
      <c r="D25" s="69"/>
      <c r="E25" s="25"/>
      <c r="F25" s="25" t="str">
        <f t="shared" si="1"/>
        <v>No</v>
      </c>
      <c r="G25" s="8"/>
      <c r="H25" s="25" t="str">
        <f t="shared" si="2"/>
        <v>No</v>
      </c>
      <c r="I25" s="8"/>
      <c r="J25" s="30" t="str">
        <f t="shared" si="3"/>
        <v/>
      </c>
      <c r="K25" s="30" t="str">
        <f t="shared" si="4"/>
        <v/>
      </c>
      <c r="L25" s="30" t="str">
        <f t="shared" si="5"/>
        <v/>
      </c>
      <c r="M25" s="30" t="str">
        <f t="shared" si="6"/>
        <v/>
      </c>
      <c r="N25" s="30" t="str">
        <f t="shared" si="7"/>
        <v/>
      </c>
      <c r="O25" s="8"/>
      <c r="P25" s="8"/>
      <c r="Q25" s="8"/>
      <c r="R25" s="8"/>
      <c r="S25" s="8"/>
      <c r="T25" s="8"/>
      <c r="U25" s="8"/>
      <c r="V25" s="8"/>
      <c r="W25" s="8"/>
      <c r="X25" s="8"/>
      <c r="Y25" s="8"/>
      <c r="Z25" s="8"/>
    </row>
    <row r="26">
      <c r="A26" s="8"/>
      <c r="B26" s="8"/>
      <c r="C26" s="8"/>
      <c r="D26" s="69"/>
      <c r="E26" s="25"/>
      <c r="F26" s="25" t="str">
        <f t="shared" si="1"/>
        <v>No</v>
      </c>
      <c r="G26" s="8"/>
      <c r="H26" s="25" t="str">
        <f t="shared" si="2"/>
        <v>No</v>
      </c>
      <c r="I26" s="8"/>
      <c r="J26" s="30" t="str">
        <f t="shared" si="3"/>
        <v/>
      </c>
      <c r="K26" s="30" t="str">
        <f t="shared" si="4"/>
        <v/>
      </c>
      <c r="L26" s="30" t="str">
        <f t="shared" si="5"/>
        <v/>
      </c>
      <c r="M26" s="30" t="str">
        <f t="shared" si="6"/>
        <v/>
      </c>
      <c r="N26" s="30" t="str">
        <f t="shared" si="7"/>
        <v/>
      </c>
      <c r="O26" s="8"/>
      <c r="P26" s="8"/>
      <c r="Q26" s="8"/>
      <c r="R26" s="8"/>
      <c r="S26" s="8"/>
      <c r="T26" s="8"/>
      <c r="U26" s="8"/>
      <c r="V26" s="8"/>
      <c r="W26" s="8"/>
      <c r="X26" s="8"/>
      <c r="Y26" s="8"/>
      <c r="Z26" s="8"/>
    </row>
    <row r="27">
      <c r="A27" s="8"/>
      <c r="B27" s="8"/>
      <c r="C27" s="8"/>
      <c r="D27" s="69"/>
      <c r="E27" s="25"/>
      <c r="F27" s="25" t="str">
        <f t="shared" si="1"/>
        <v>No</v>
      </c>
      <c r="G27" s="8"/>
      <c r="H27" s="25" t="str">
        <f t="shared" si="2"/>
        <v>No</v>
      </c>
      <c r="I27" s="8"/>
      <c r="J27" s="30" t="str">
        <f t="shared" si="3"/>
        <v/>
      </c>
      <c r="K27" s="30" t="str">
        <f t="shared" si="4"/>
        <v/>
      </c>
      <c r="L27" s="30" t="str">
        <f t="shared" si="5"/>
        <v/>
      </c>
      <c r="M27" s="30" t="str">
        <f t="shared" si="6"/>
        <v/>
      </c>
      <c r="N27" s="30" t="str">
        <f t="shared" si="7"/>
        <v/>
      </c>
      <c r="O27" s="8"/>
      <c r="P27" s="8"/>
      <c r="Q27" s="8"/>
      <c r="R27" s="8"/>
      <c r="S27" s="8"/>
      <c r="T27" s="8"/>
      <c r="U27" s="8"/>
      <c r="V27" s="8"/>
      <c r="W27" s="8"/>
      <c r="X27" s="8"/>
      <c r="Y27" s="8"/>
      <c r="Z27" s="8"/>
    </row>
    <row r="28">
      <c r="A28" s="8"/>
      <c r="B28" s="8"/>
      <c r="C28" s="8"/>
      <c r="D28" s="69"/>
      <c r="E28" s="25"/>
      <c r="F28" s="25" t="str">
        <f t="shared" si="1"/>
        <v>No</v>
      </c>
      <c r="G28" s="8"/>
      <c r="H28" s="25" t="str">
        <f t="shared" si="2"/>
        <v>No</v>
      </c>
      <c r="I28" s="8"/>
      <c r="J28" s="30" t="str">
        <f t="shared" si="3"/>
        <v/>
      </c>
      <c r="K28" s="30" t="str">
        <f t="shared" si="4"/>
        <v/>
      </c>
      <c r="L28" s="30" t="str">
        <f t="shared" si="5"/>
        <v/>
      </c>
      <c r="M28" s="30" t="str">
        <f t="shared" si="6"/>
        <v/>
      </c>
      <c r="N28" s="30" t="str">
        <f t="shared" si="7"/>
        <v/>
      </c>
      <c r="O28" s="8"/>
      <c r="P28" s="8"/>
      <c r="Q28" s="8"/>
      <c r="R28" s="8"/>
      <c r="S28" s="8"/>
      <c r="T28" s="8"/>
      <c r="U28" s="8"/>
      <c r="V28" s="8"/>
      <c r="W28" s="8"/>
      <c r="X28" s="8"/>
      <c r="Y28" s="8"/>
      <c r="Z28" s="8"/>
    </row>
    <row r="29">
      <c r="A29" s="8"/>
      <c r="B29" s="8"/>
      <c r="C29" s="8"/>
      <c r="D29" s="69"/>
      <c r="E29" s="25"/>
      <c r="F29" s="25" t="str">
        <f t="shared" si="1"/>
        <v>No</v>
      </c>
      <c r="G29" s="8"/>
      <c r="H29" s="25" t="str">
        <f t="shared" si="2"/>
        <v>No</v>
      </c>
      <c r="I29" s="8"/>
      <c r="J29" s="30" t="str">
        <f t="shared" si="3"/>
        <v/>
      </c>
      <c r="K29" s="30" t="str">
        <f t="shared" si="4"/>
        <v/>
      </c>
      <c r="L29" s="30" t="str">
        <f t="shared" si="5"/>
        <v/>
      </c>
      <c r="M29" s="30" t="str">
        <f t="shared" si="6"/>
        <v/>
      </c>
      <c r="N29" s="30" t="str">
        <f t="shared" si="7"/>
        <v/>
      </c>
      <c r="O29" s="8"/>
      <c r="P29" s="8"/>
      <c r="Q29" s="8"/>
      <c r="R29" s="8"/>
      <c r="S29" s="8"/>
      <c r="T29" s="8"/>
      <c r="U29" s="8"/>
      <c r="V29" s="8"/>
      <c r="W29" s="8"/>
      <c r="X29" s="8"/>
      <c r="Y29" s="8"/>
      <c r="Z29" s="8"/>
    </row>
    <row r="30">
      <c r="A30" s="8"/>
      <c r="B30" s="8"/>
      <c r="C30" s="8"/>
      <c r="D30" s="69"/>
      <c r="E30" s="25"/>
      <c r="F30" s="25" t="str">
        <f t="shared" si="1"/>
        <v>No</v>
      </c>
      <c r="G30" s="8"/>
      <c r="H30" s="25" t="str">
        <f t="shared" si="2"/>
        <v>No</v>
      </c>
      <c r="I30" s="8"/>
      <c r="J30" s="30" t="str">
        <f t="shared" si="3"/>
        <v/>
      </c>
      <c r="K30" s="30" t="str">
        <f t="shared" si="4"/>
        <v/>
      </c>
      <c r="L30" s="30" t="str">
        <f t="shared" si="5"/>
        <v/>
      </c>
      <c r="M30" s="30" t="str">
        <f t="shared" si="6"/>
        <v/>
      </c>
      <c r="N30" s="30" t="str">
        <f t="shared" si="7"/>
        <v/>
      </c>
      <c r="O30" s="8"/>
      <c r="P30" s="8"/>
      <c r="Q30" s="8"/>
      <c r="R30" s="8"/>
      <c r="S30" s="8"/>
      <c r="T30" s="8"/>
      <c r="U30" s="8"/>
      <c r="V30" s="8"/>
      <c r="W30" s="8"/>
      <c r="X30" s="8"/>
      <c r="Y30" s="8"/>
      <c r="Z30" s="8"/>
    </row>
    <row r="31">
      <c r="A31" s="8"/>
      <c r="B31" s="8"/>
      <c r="C31" s="8"/>
      <c r="D31" s="69"/>
      <c r="E31" s="25"/>
      <c r="F31" s="25" t="str">
        <f t="shared" si="1"/>
        <v>No</v>
      </c>
      <c r="G31" s="8"/>
      <c r="H31" s="25" t="str">
        <f t="shared" si="2"/>
        <v>No</v>
      </c>
      <c r="I31" s="8"/>
      <c r="J31" s="30" t="str">
        <f t="shared" si="3"/>
        <v/>
      </c>
      <c r="K31" s="30" t="str">
        <f t="shared" si="4"/>
        <v/>
      </c>
      <c r="L31" s="30" t="str">
        <f t="shared" si="5"/>
        <v/>
      </c>
      <c r="M31" s="30" t="str">
        <f t="shared" si="6"/>
        <v/>
      </c>
      <c r="N31" s="30" t="str">
        <f t="shared" si="7"/>
        <v/>
      </c>
      <c r="O31" s="8"/>
      <c r="P31" s="8"/>
      <c r="Q31" s="8"/>
      <c r="R31" s="8"/>
      <c r="S31" s="8"/>
      <c r="T31" s="8"/>
      <c r="U31" s="8"/>
      <c r="V31" s="8"/>
      <c r="W31" s="8"/>
      <c r="X31" s="8"/>
      <c r="Y31" s="8"/>
      <c r="Z31" s="8"/>
    </row>
    <row r="32">
      <c r="A32" s="8"/>
      <c r="B32" s="8"/>
      <c r="C32" s="8"/>
      <c r="D32" s="69"/>
      <c r="E32" s="25"/>
      <c r="F32" s="25" t="str">
        <f t="shared" si="1"/>
        <v>No</v>
      </c>
      <c r="G32" s="8"/>
      <c r="H32" s="25" t="str">
        <f t="shared" si="2"/>
        <v>No</v>
      </c>
      <c r="I32" s="8"/>
      <c r="J32" s="30" t="str">
        <f t="shared" si="3"/>
        <v/>
      </c>
      <c r="K32" s="30" t="str">
        <f t="shared" si="4"/>
        <v/>
      </c>
      <c r="L32" s="30" t="str">
        <f t="shared" si="5"/>
        <v/>
      </c>
      <c r="M32" s="30" t="str">
        <f t="shared" si="6"/>
        <v/>
      </c>
      <c r="N32" s="30" t="str">
        <f t="shared" si="7"/>
        <v/>
      </c>
      <c r="O32" s="8"/>
      <c r="P32" s="8"/>
      <c r="Q32" s="8"/>
      <c r="R32" s="8"/>
      <c r="S32" s="8"/>
      <c r="T32" s="8"/>
      <c r="U32" s="8"/>
      <c r="V32" s="8"/>
      <c r="W32" s="8"/>
      <c r="X32" s="8"/>
      <c r="Y32" s="8"/>
      <c r="Z32" s="8"/>
    </row>
    <row r="33">
      <c r="A33" s="8"/>
      <c r="B33" s="8"/>
      <c r="C33" s="8"/>
      <c r="D33" s="69"/>
      <c r="E33" s="25"/>
      <c r="F33" s="25" t="str">
        <f t="shared" si="1"/>
        <v>No</v>
      </c>
      <c r="G33" s="8"/>
      <c r="H33" s="25" t="str">
        <f t="shared" si="2"/>
        <v>No</v>
      </c>
      <c r="I33" s="8"/>
      <c r="J33" s="30" t="str">
        <f t="shared" si="3"/>
        <v/>
      </c>
      <c r="K33" s="30" t="str">
        <f t="shared" si="4"/>
        <v/>
      </c>
      <c r="L33" s="30" t="str">
        <f t="shared" si="5"/>
        <v/>
      </c>
      <c r="M33" s="30" t="str">
        <f t="shared" si="6"/>
        <v/>
      </c>
      <c r="N33" s="30" t="str">
        <f t="shared" si="7"/>
        <v/>
      </c>
      <c r="O33" s="8"/>
      <c r="P33" s="8"/>
      <c r="Q33" s="8"/>
      <c r="R33" s="8"/>
      <c r="S33" s="8"/>
      <c r="T33" s="8"/>
      <c r="U33" s="8"/>
      <c r="V33" s="8"/>
      <c r="W33" s="8"/>
      <c r="X33" s="8"/>
      <c r="Y33" s="8"/>
      <c r="Z33" s="8"/>
    </row>
    <row r="34">
      <c r="A34" s="8"/>
      <c r="B34" s="8"/>
      <c r="C34" s="8"/>
      <c r="D34" s="69"/>
      <c r="E34" s="25"/>
      <c r="F34" s="25" t="str">
        <f t="shared" si="1"/>
        <v>No</v>
      </c>
      <c r="G34" s="8"/>
      <c r="H34" s="25" t="str">
        <f t="shared" si="2"/>
        <v>No</v>
      </c>
      <c r="I34" s="8"/>
      <c r="J34" s="30" t="str">
        <f t="shared" si="3"/>
        <v/>
      </c>
      <c r="K34" s="30" t="str">
        <f t="shared" si="4"/>
        <v/>
      </c>
      <c r="L34" s="30" t="str">
        <f t="shared" si="5"/>
        <v/>
      </c>
      <c r="M34" s="30" t="str">
        <f t="shared" si="6"/>
        <v/>
      </c>
      <c r="N34" s="30" t="str">
        <f t="shared" si="7"/>
        <v/>
      </c>
      <c r="O34" s="8"/>
      <c r="P34" s="8"/>
      <c r="Q34" s="8"/>
      <c r="R34" s="8"/>
      <c r="S34" s="8"/>
      <c r="T34" s="8"/>
      <c r="U34" s="8"/>
      <c r="V34" s="8"/>
      <c r="W34" s="8"/>
      <c r="X34" s="8"/>
      <c r="Y34" s="8"/>
      <c r="Z34" s="8"/>
    </row>
    <row r="35">
      <c r="A35" s="8"/>
      <c r="B35" s="8"/>
      <c r="C35" s="8"/>
      <c r="D35" s="69"/>
      <c r="E35" s="25"/>
      <c r="F35" s="25" t="str">
        <f t="shared" si="1"/>
        <v>No</v>
      </c>
      <c r="G35" s="8"/>
      <c r="H35" s="25" t="str">
        <f t="shared" si="2"/>
        <v>No</v>
      </c>
      <c r="I35" s="8"/>
      <c r="J35" s="30" t="str">
        <f t="shared" si="3"/>
        <v/>
      </c>
      <c r="K35" s="30" t="str">
        <f t="shared" si="4"/>
        <v/>
      </c>
      <c r="L35" s="30" t="str">
        <f t="shared" si="5"/>
        <v/>
      </c>
      <c r="M35" s="30" t="str">
        <f t="shared" si="6"/>
        <v/>
      </c>
      <c r="N35" s="30" t="str">
        <f t="shared" si="7"/>
        <v/>
      </c>
      <c r="O35" s="8"/>
      <c r="P35" s="8"/>
      <c r="Q35" s="8"/>
      <c r="R35" s="8"/>
      <c r="S35" s="8"/>
      <c r="T35" s="8"/>
      <c r="U35" s="8"/>
      <c r="V35" s="8"/>
      <c r="W35" s="8"/>
      <c r="X35" s="8"/>
      <c r="Y35" s="8"/>
      <c r="Z35" s="8"/>
    </row>
    <row r="36">
      <c r="A36" s="8"/>
      <c r="B36" s="8"/>
      <c r="C36" s="8"/>
      <c r="D36" s="69"/>
      <c r="E36" s="25"/>
      <c r="F36" s="25" t="str">
        <f t="shared" si="1"/>
        <v>No</v>
      </c>
      <c r="G36" s="8"/>
      <c r="H36" s="25" t="str">
        <f t="shared" si="2"/>
        <v>No</v>
      </c>
      <c r="I36" s="8"/>
      <c r="J36" s="30" t="str">
        <f t="shared" si="3"/>
        <v/>
      </c>
      <c r="K36" s="30" t="str">
        <f t="shared" si="4"/>
        <v/>
      </c>
      <c r="L36" s="30" t="str">
        <f t="shared" si="5"/>
        <v/>
      </c>
      <c r="M36" s="30" t="str">
        <f t="shared" si="6"/>
        <v/>
      </c>
      <c r="N36" s="30" t="str">
        <f t="shared" si="7"/>
        <v/>
      </c>
      <c r="O36" s="8"/>
      <c r="P36" s="8"/>
      <c r="Q36" s="8"/>
      <c r="R36" s="8"/>
      <c r="S36" s="8"/>
      <c r="T36" s="8"/>
      <c r="U36" s="8"/>
      <c r="V36" s="8"/>
      <c r="W36" s="8"/>
      <c r="X36" s="8"/>
      <c r="Y36" s="8"/>
      <c r="Z36" s="8"/>
    </row>
    <row r="37">
      <c r="A37" s="8"/>
      <c r="B37" s="8"/>
      <c r="C37" s="8"/>
      <c r="D37" s="69"/>
      <c r="E37" s="25"/>
      <c r="F37" s="25" t="str">
        <f t="shared" si="1"/>
        <v>No</v>
      </c>
      <c r="G37" s="8"/>
      <c r="H37" s="25" t="str">
        <f t="shared" si="2"/>
        <v>No</v>
      </c>
      <c r="I37" s="8"/>
      <c r="J37" s="30" t="str">
        <f t="shared" si="3"/>
        <v/>
      </c>
      <c r="K37" s="30" t="str">
        <f t="shared" si="4"/>
        <v/>
      </c>
      <c r="L37" s="30" t="str">
        <f t="shared" si="5"/>
        <v/>
      </c>
      <c r="M37" s="30" t="str">
        <f t="shared" si="6"/>
        <v/>
      </c>
      <c r="N37" s="30" t="str">
        <f t="shared" si="7"/>
        <v/>
      </c>
      <c r="O37" s="8"/>
      <c r="P37" s="8"/>
      <c r="Q37" s="8"/>
      <c r="R37" s="8"/>
      <c r="S37" s="8"/>
      <c r="T37" s="8"/>
      <c r="U37" s="8"/>
      <c r="V37" s="8"/>
      <c r="W37" s="8"/>
      <c r="X37" s="8"/>
      <c r="Y37" s="8"/>
      <c r="Z37" s="8"/>
    </row>
    <row r="38">
      <c r="A38" s="8"/>
      <c r="B38" s="8"/>
      <c r="C38" s="8"/>
      <c r="D38" s="69"/>
      <c r="E38" s="25"/>
      <c r="F38" s="25" t="str">
        <f t="shared" si="1"/>
        <v>No</v>
      </c>
      <c r="G38" s="8"/>
      <c r="H38" s="25" t="str">
        <f t="shared" si="2"/>
        <v>No</v>
      </c>
      <c r="I38" s="8"/>
      <c r="J38" s="30" t="str">
        <f t="shared" si="3"/>
        <v/>
      </c>
      <c r="K38" s="30" t="str">
        <f t="shared" si="4"/>
        <v/>
      </c>
      <c r="L38" s="30" t="str">
        <f t="shared" si="5"/>
        <v/>
      </c>
      <c r="M38" s="30" t="str">
        <f t="shared" si="6"/>
        <v/>
      </c>
      <c r="N38" s="30" t="str">
        <f t="shared" si="7"/>
        <v/>
      </c>
      <c r="O38" s="8"/>
      <c r="P38" s="8"/>
      <c r="Q38" s="8"/>
      <c r="R38" s="8"/>
      <c r="S38" s="8"/>
      <c r="T38" s="8"/>
      <c r="U38" s="8"/>
      <c r="V38" s="8"/>
      <c r="W38" s="8"/>
      <c r="X38" s="8"/>
      <c r="Y38" s="8"/>
      <c r="Z38" s="8"/>
    </row>
    <row r="39">
      <c r="A39" s="8"/>
      <c r="B39" s="8"/>
      <c r="C39" s="8"/>
      <c r="D39" s="69"/>
      <c r="E39" s="25"/>
      <c r="F39" s="25" t="str">
        <f t="shared" si="1"/>
        <v>No</v>
      </c>
      <c r="G39" s="8"/>
      <c r="H39" s="25" t="str">
        <f t="shared" si="2"/>
        <v>No</v>
      </c>
      <c r="I39" s="8"/>
      <c r="J39" s="30" t="str">
        <f t="shared" si="3"/>
        <v/>
      </c>
      <c r="K39" s="30" t="str">
        <f t="shared" si="4"/>
        <v/>
      </c>
      <c r="L39" s="30" t="str">
        <f t="shared" si="5"/>
        <v/>
      </c>
      <c r="M39" s="30" t="str">
        <f t="shared" si="6"/>
        <v/>
      </c>
      <c r="N39" s="30" t="str">
        <f t="shared" si="7"/>
        <v/>
      </c>
      <c r="O39" s="8"/>
      <c r="P39" s="8"/>
      <c r="Q39" s="8"/>
      <c r="R39" s="8"/>
      <c r="S39" s="8"/>
      <c r="T39" s="8"/>
      <c r="U39" s="8"/>
      <c r="V39" s="8"/>
      <c r="W39" s="8"/>
      <c r="X39" s="8"/>
      <c r="Y39" s="8"/>
      <c r="Z39" s="8"/>
    </row>
    <row r="40">
      <c r="A40" s="8"/>
      <c r="B40" s="8"/>
      <c r="C40" s="8"/>
      <c r="D40" s="69"/>
      <c r="E40" s="25"/>
      <c r="F40" s="25" t="str">
        <f t="shared" si="1"/>
        <v>No</v>
      </c>
      <c r="G40" s="8"/>
      <c r="H40" s="25" t="str">
        <f t="shared" si="2"/>
        <v>No</v>
      </c>
      <c r="I40" s="8"/>
      <c r="J40" s="30" t="str">
        <f t="shared" si="3"/>
        <v/>
      </c>
      <c r="K40" s="30" t="str">
        <f t="shared" si="4"/>
        <v/>
      </c>
      <c r="L40" s="30" t="str">
        <f t="shared" si="5"/>
        <v/>
      </c>
      <c r="M40" s="30" t="str">
        <f t="shared" si="6"/>
        <v/>
      </c>
      <c r="N40" s="30" t="str">
        <f t="shared" si="7"/>
        <v/>
      </c>
      <c r="O40" s="8"/>
      <c r="P40" s="8"/>
      <c r="Q40" s="8"/>
      <c r="R40" s="8"/>
      <c r="S40" s="8"/>
      <c r="T40" s="8"/>
      <c r="U40" s="8"/>
      <c r="V40" s="8"/>
      <c r="W40" s="8"/>
      <c r="X40" s="8"/>
      <c r="Y40" s="8"/>
      <c r="Z40" s="8"/>
    </row>
    <row r="41">
      <c r="A41" s="8"/>
      <c r="B41" s="8"/>
      <c r="C41" s="8"/>
      <c r="D41" s="69"/>
      <c r="E41" s="25"/>
      <c r="F41" s="25" t="str">
        <f t="shared" si="1"/>
        <v>No</v>
      </c>
      <c r="G41" s="8"/>
      <c r="H41" s="25" t="str">
        <f t="shared" si="2"/>
        <v>No</v>
      </c>
      <c r="I41" s="8"/>
      <c r="J41" s="30" t="str">
        <f t="shared" si="3"/>
        <v/>
      </c>
      <c r="K41" s="30" t="str">
        <f t="shared" si="4"/>
        <v/>
      </c>
      <c r="L41" s="30" t="str">
        <f t="shared" si="5"/>
        <v/>
      </c>
      <c r="M41" s="30" t="str">
        <f t="shared" si="6"/>
        <v/>
      </c>
      <c r="N41" s="30" t="str">
        <f t="shared" si="7"/>
        <v/>
      </c>
      <c r="O41" s="8"/>
      <c r="P41" s="8"/>
      <c r="Q41" s="8"/>
      <c r="R41" s="8"/>
      <c r="S41" s="8"/>
      <c r="T41" s="8"/>
      <c r="U41" s="8"/>
      <c r="V41" s="8"/>
      <c r="W41" s="8"/>
      <c r="X41" s="8"/>
      <c r="Y41" s="8"/>
      <c r="Z41" s="8"/>
    </row>
    <row r="42">
      <c r="A42" s="8"/>
      <c r="B42" s="8"/>
      <c r="C42" s="8"/>
      <c r="D42" s="69"/>
      <c r="E42" s="25"/>
      <c r="F42" s="25" t="str">
        <f t="shared" si="1"/>
        <v>No</v>
      </c>
      <c r="G42" s="8"/>
      <c r="H42" s="25" t="str">
        <f t="shared" si="2"/>
        <v>No</v>
      </c>
      <c r="I42" s="8"/>
      <c r="J42" s="30" t="str">
        <f t="shared" si="3"/>
        <v/>
      </c>
      <c r="K42" s="30" t="str">
        <f t="shared" si="4"/>
        <v/>
      </c>
      <c r="L42" s="30" t="str">
        <f t="shared" si="5"/>
        <v/>
      </c>
      <c r="M42" s="30" t="str">
        <f t="shared" si="6"/>
        <v/>
      </c>
      <c r="N42" s="30" t="str">
        <f t="shared" si="7"/>
        <v/>
      </c>
      <c r="O42" s="8"/>
      <c r="P42" s="8"/>
      <c r="Q42" s="8"/>
      <c r="R42" s="8"/>
      <c r="S42" s="8"/>
      <c r="T42" s="8"/>
      <c r="U42" s="8"/>
      <c r="V42" s="8"/>
      <c r="W42" s="8"/>
      <c r="X42" s="8"/>
      <c r="Y42" s="8"/>
      <c r="Z42" s="8"/>
    </row>
    <row r="43">
      <c r="A43" s="8"/>
      <c r="B43" s="8"/>
      <c r="C43" s="8"/>
      <c r="D43" s="69"/>
      <c r="E43" s="25"/>
      <c r="F43" s="25" t="str">
        <f t="shared" si="1"/>
        <v>No</v>
      </c>
      <c r="G43" s="8"/>
      <c r="H43" s="25" t="str">
        <f t="shared" si="2"/>
        <v>No</v>
      </c>
      <c r="I43" s="8"/>
      <c r="J43" s="30" t="str">
        <f t="shared" si="3"/>
        <v/>
      </c>
      <c r="K43" s="30" t="str">
        <f t="shared" si="4"/>
        <v/>
      </c>
      <c r="L43" s="30" t="str">
        <f t="shared" si="5"/>
        <v/>
      </c>
      <c r="M43" s="30" t="str">
        <f t="shared" si="6"/>
        <v/>
      </c>
      <c r="N43" s="30" t="str">
        <f t="shared" si="7"/>
        <v/>
      </c>
      <c r="O43" s="8"/>
      <c r="P43" s="8"/>
      <c r="Q43" s="8"/>
      <c r="R43" s="8"/>
      <c r="S43" s="8"/>
      <c r="T43" s="8"/>
      <c r="U43" s="8"/>
      <c r="V43" s="8"/>
      <c r="W43" s="8"/>
      <c r="X43" s="8"/>
      <c r="Y43" s="8"/>
      <c r="Z43" s="8"/>
    </row>
    <row r="44">
      <c r="A44" s="8"/>
      <c r="B44" s="8"/>
      <c r="C44" s="8"/>
      <c r="D44" s="69"/>
      <c r="E44" s="25"/>
      <c r="F44" s="25" t="str">
        <f t="shared" si="1"/>
        <v>No</v>
      </c>
      <c r="G44" s="8"/>
      <c r="H44" s="25" t="str">
        <f t="shared" si="2"/>
        <v>No</v>
      </c>
      <c r="I44" s="8"/>
      <c r="J44" s="30" t="str">
        <f t="shared" si="3"/>
        <v/>
      </c>
      <c r="K44" s="30" t="str">
        <f t="shared" si="4"/>
        <v/>
      </c>
      <c r="L44" s="30" t="str">
        <f t="shared" si="5"/>
        <v/>
      </c>
      <c r="M44" s="30" t="str">
        <f t="shared" si="6"/>
        <v/>
      </c>
      <c r="N44" s="30" t="str">
        <f t="shared" si="7"/>
        <v/>
      </c>
      <c r="O44" s="8"/>
      <c r="P44" s="8"/>
      <c r="Q44" s="8"/>
      <c r="R44" s="8"/>
      <c r="S44" s="8"/>
      <c r="T44" s="8"/>
      <c r="U44" s="8"/>
      <c r="V44" s="8"/>
      <c r="W44" s="8"/>
      <c r="X44" s="8"/>
      <c r="Y44" s="8"/>
      <c r="Z44" s="8"/>
    </row>
    <row r="45">
      <c r="A45" s="8"/>
      <c r="B45" s="8"/>
      <c r="C45" s="8"/>
      <c r="D45" s="69"/>
      <c r="E45" s="25"/>
      <c r="F45" s="25" t="str">
        <f t="shared" si="1"/>
        <v>No</v>
      </c>
      <c r="G45" s="8"/>
      <c r="H45" s="25" t="str">
        <f t="shared" si="2"/>
        <v>No</v>
      </c>
      <c r="I45" s="8"/>
      <c r="J45" s="30" t="str">
        <f t="shared" si="3"/>
        <v/>
      </c>
      <c r="K45" s="30" t="str">
        <f t="shared" si="4"/>
        <v/>
      </c>
      <c r="L45" s="30" t="str">
        <f t="shared" si="5"/>
        <v/>
      </c>
      <c r="M45" s="30" t="str">
        <f t="shared" si="6"/>
        <v/>
      </c>
      <c r="N45" s="30" t="str">
        <f t="shared" si="7"/>
        <v/>
      </c>
      <c r="O45" s="8"/>
      <c r="P45" s="8"/>
      <c r="Q45" s="8"/>
      <c r="R45" s="8"/>
      <c r="S45" s="8"/>
      <c r="T45" s="8"/>
      <c r="U45" s="8"/>
      <c r="V45" s="8"/>
      <c r="W45" s="8"/>
      <c r="X45" s="8"/>
      <c r="Y45" s="8"/>
      <c r="Z45" s="8"/>
    </row>
    <row r="46">
      <c r="A46" s="8"/>
      <c r="B46" s="8"/>
      <c r="C46" s="8"/>
      <c r="D46" s="69"/>
      <c r="E46" s="25"/>
      <c r="F46" s="25" t="str">
        <f t="shared" si="1"/>
        <v>No</v>
      </c>
      <c r="G46" s="8"/>
      <c r="H46" s="25" t="str">
        <f t="shared" si="2"/>
        <v>No</v>
      </c>
      <c r="I46" s="8"/>
      <c r="J46" s="30" t="str">
        <f t="shared" si="3"/>
        <v/>
      </c>
      <c r="K46" s="30" t="str">
        <f t="shared" si="4"/>
        <v/>
      </c>
      <c r="L46" s="30" t="str">
        <f t="shared" si="5"/>
        <v/>
      </c>
      <c r="M46" s="30" t="str">
        <f t="shared" si="6"/>
        <v/>
      </c>
      <c r="N46" s="30" t="str">
        <f t="shared" si="7"/>
        <v/>
      </c>
      <c r="O46" s="8"/>
      <c r="P46" s="8"/>
      <c r="Q46" s="8"/>
      <c r="R46" s="8"/>
      <c r="S46" s="8"/>
      <c r="T46" s="8"/>
      <c r="U46" s="8"/>
      <c r="V46" s="8"/>
      <c r="W46" s="8"/>
      <c r="X46" s="8"/>
      <c r="Y46" s="8"/>
      <c r="Z46" s="8"/>
    </row>
    <row r="47">
      <c r="A47" s="8"/>
      <c r="B47" s="8"/>
      <c r="C47" s="8"/>
      <c r="D47" s="69"/>
      <c r="E47" s="25"/>
      <c r="F47" s="25" t="str">
        <f t="shared" si="1"/>
        <v>No</v>
      </c>
      <c r="G47" s="8"/>
      <c r="H47" s="25" t="str">
        <f t="shared" si="2"/>
        <v>No</v>
      </c>
      <c r="I47" s="8"/>
      <c r="J47" s="30" t="str">
        <f t="shared" si="3"/>
        <v/>
      </c>
      <c r="K47" s="30" t="str">
        <f t="shared" si="4"/>
        <v/>
      </c>
      <c r="L47" s="30" t="str">
        <f t="shared" si="5"/>
        <v/>
      </c>
      <c r="M47" s="30" t="str">
        <f t="shared" si="6"/>
        <v/>
      </c>
      <c r="N47" s="30" t="str">
        <f t="shared" si="7"/>
        <v/>
      </c>
      <c r="O47" s="8"/>
      <c r="P47" s="8"/>
      <c r="Q47" s="8"/>
      <c r="R47" s="8"/>
      <c r="S47" s="8"/>
      <c r="T47" s="8"/>
      <c r="U47" s="8"/>
      <c r="V47" s="8"/>
      <c r="W47" s="8"/>
      <c r="X47" s="8"/>
      <c r="Y47" s="8"/>
      <c r="Z47" s="8"/>
    </row>
    <row r="48">
      <c r="A48" s="8"/>
      <c r="B48" s="8"/>
      <c r="C48" s="8"/>
      <c r="D48" s="69"/>
      <c r="E48" s="25"/>
      <c r="F48" s="25" t="str">
        <f t="shared" si="1"/>
        <v>No</v>
      </c>
      <c r="G48" s="8"/>
      <c r="H48" s="25" t="str">
        <f t="shared" si="2"/>
        <v>No</v>
      </c>
      <c r="I48" s="8"/>
      <c r="J48" s="30" t="str">
        <f t="shared" si="3"/>
        <v/>
      </c>
      <c r="K48" s="30" t="str">
        <f t="shared" si="4"/>
        <v/>
      </c>
      <c r="L48" s="30" t="str">
        <f t="shared" si="5"/>
        <v/>
      </c>
      <c r="M48" s="30" t="str">
        <f t="shared" si="6"/>
        <v/>
      </c>
      <c r="N48" s="30" t="str">
        <f t="shared" si="7"/>
        <v/>
      </c>
      <c r="O48" s="8"/>
      <c r="P48" s="8"/>
      <c r="Q48" s="8"/>
      <c r="R48" s="8"/>
      <c r="S48" s="8"/>
      <c r="T48" s="8"/>
      <c r="U48" s="8"/>
      <c r="V48" s="8"/>
      <c r="W48" s="8"/>
      <c r="X48" s="8"/>
      <c r="Y48" s="8"/>
      <c r="Z48" s="8"/>
    </row>
    <row r="49">
      <c r="A49" s="8"/>
      <c r="B49" s="8"/>
      <c r="C49" s="8"/>
      <c r="D49" s="69"/>
      <c r="E49" s="25"/>
      <c r="F49" s="25" t="str">
        <f t="shared" si="1"/>
        <v>No</v>
      </c>
      <c r="G49" s="8"/>
      <c r="H49" s="25" t="str">
        <f t="shared" si="2"/>
        <v>No</v>
      </c>
      <c r="I49" s="8"/>
      <c r="J49" s="30" t="str">
        <f t="shared" si="3"/>
        <v/>
      </c>
      <c r="K49" s="30" t="str">
        <f t="shared" si="4"/>
        <v/>
      </c>
      <c r="L49" s="30" t="str">
        <f t="shared" si="5"/>
        <v/>
      </c>
      <c r="M49" s="30" t="str">
        <f t="shared" si="6"/>
        <v/>
      </c>
      <c r="N49" s="30" t="str">
        <f t="shared" si="7"/>
        <v/>
      </c>
      <c r="O49" s="8"/>
      <c r="P49" s="8"/>
      <c r="Q49" s="8"/>
      <c r="R49" s="8"/>
      <c r="S49" s="8"/>
      <c r="T49" s="8"/>
      <c r="U49" s="8"/>
      <c r="V49" s="8"/>
      <c r="W49" s="8"/>
      <c r="X49" s="8"/>
      <c r="Y49" s="8"/>
      <c r="Z49" s="8"/>
    </row>
    <row r="50">
      <c r="A50" s="8"/>
      <c r="B50" s="8"/>
      <c r="C50" s="8"/>
      <c r="D50" s="69"/>
      <c r="E50" s="25"/>
      <c r="F50" s="25" t="str">
        <f t="shared" si="1"/>
        <v>No</v>
      </c>
      <c r="G50" s="8"/>
      <c r="H50" s="25" t="str">
        <f t="shared" si="2"/>
        <v>No</v>
      </c>
      <c r="I50" s="8"/>
      <c r="J50" s="30" t="str">
        <f t="shared" si="3"/>
        <v/>
      </c>
      <c r="K50" s="30" t="str">
        <f t="shared" si="4"/>
        <v/>
      </c>
      <c r="L50" s="30" t="str">
        <f t="shared" si="5"/>
        <v/>
      </c>
      <c r="M50" s="30" t="str">
        <f t="shared" si="6"/>
        <v/>
      </c>
      <c r="N50" s="30" t="str">
        <f t="shared" si="7"/>
        <v/>
      </c>
      <c r="O50" s="8"/>
      <c r="P50" s="8"/>
      <c r="Q50" s="8"/>
      <c r="R50" s="8"/>
      <c r="S50" s="8"/>
      <c r="T50" s="8"/>
      <c r="U50" s="8"/>
      <c r="V50" s="8"/>
      <c r="W50" s="8"/>
      <c r="X50" s="8"/>
      <c r="Y50" s="8"/>
      <c r="Z50" s="8"/>
    </row>
    <row r="51">
      <c r="A51" s="8"/>
      <c r="B51" s="8"/>
      <c r="C51" s="8"/>
      <c r="D51" s="69"/>
      <c r="E51" s="25"/>
      <c r="F51" s="25" t="str">
        <f t="shared" si="1"/>
        <v>No</v>
      </c>
      <c r="G51" s="8"/>
      <c r="H51" s="25" t="str">
        <f t="shared" si="2"/>
        <v>No</v>
      </c>
      <c r="I51" s="8"/>
      <c r="J51" s="30" t="str">
        <f t="shared" si="3"/>
        <v/>
      </c>
      <c r="K51" s="30" t="str">
        <f t="shared" si="4"/>
        <v/>
      </c>
      <c r="L51" s="30" t="str">
        <f t="shared" si="5"/>
        <v/>
      </c>
      <c r="M51" s="30" t="str">
        <f t="shared" si="6"/>
        <v/>
      </c>
      <c r="N51" s="30" t="str">
        <f t="shared" si="7"/>
        <v/>
      </c>
      <c r="O51" s="8"/>
      <c r="P51" s="8"/>
      <c r="Q51" s="8"/>
      <c r="R51" s="8"/>
      <c r="S51" s="8"/>
      <c r="T51" s="8"/>
      <c r="U51" s="8"/>
      <c r="V51" s="8"/>
      <c r="W51" s="8"/>
      <c r="X51" s="8"/>
      <c r="Y51" s="8"/>
      <c r="Z51" s="8"/>
    </row>
    <row r="52">
      <c r="A52" s="8"/>
      <c r="B52" s="8"/>
      <c r="C52" s="8"/>
      <c r="D52" s="69"/>
      <c r="E52" s="25"/>
      <c r="F52" s="25" t="str">
        <f t="shared" si="1"/>
        <v>No</v>
      </c>
      <c r="G52" s="8"/>
      <c r="H52" s="25" t="str">
        <f t="shared" si="2"/>
        <v>No</v>
      </c>
      <c r="I52" s="8"/>
      <c r="J52" s="30" t="str">
        <f t="shared" si="3"/>
        <v/>
      </c>
      <c r="K52" s="30" t="str">
        <f t="shared" si="4"/>
        <v/>
      </c>
      <c r="L52" s="30" t="str">
        <f t="shared" si="5"/>
        <v/>
      </c>
      <c r="M52" s="30" t="str">
        <f t="shared" si="6"/>
        <v/>
      </c>
      <c r="N52" s="30" t="str">
        <f t="shared" si="7"/>
        <v/>
      </c>
      <c r="O52" s="8"/>
      <c r="P52" s="8"/>
      <c r="Q52" s="8"/>
      <c r="R52" s="8"/>
      <c r="S52" s="8"/>
      <c r="T52" s="8"/>
      <c r="U52" s="8"/>
      <c r="V52" s="8"/>
      <c r="W52" s="8"/>
      <c r="X52" s="8"/>
      <c r="Y52" s="8"/>
      <c r="Z52" s="8"/>
    </row>
    <row r="53">
      <c r="A53" s="8"/>
      <c r="B53" s="8"/>
      <c r="C53" s="8"/>
      <c r="D53" s="69"/>
      <c r="E53" s="25"/>
      <c r="F53" s="25" t="str">
        <f t="shared" si="1"/>
        <v>No</v>
      </c>
      <c r="G53" s="8"/>
      <c r="H53" s="25" t="str">
        <f t="shared" si="2"/>
        <v>No</v>
      </c>
      <c r="I53" s="8"/>
      <c r="J53" s="30" t="str">
        <f t="shared" si="3"/>
        <v/>
      </c>
      <c r="K53" s="30" t="str">
        <f t="shared" si="4"/>
        <v/>
      </c>
      <c r="L53" s="30" t="str">
        <f t="shared" si="5"/>
        <v/>
      </c>
      <c r="M53" s="30" t="str">
        <f t="shared" si="6"/>
        <v/>
      </c>
      <c r="N53" s="30" t="str">
        <f t="shared" si="7"/>
        <v/>
      </c>
      <c r="O53" s="8"/>
      <c r="P53" s="8"/>
      <c r="Q53" s="8"/>
      <c r="R53" s="8"/>
      <c r="S53" s="8"/>
      <c r="T53" s="8"/>
      <c r="U53" s="8"/>
      <c r="V53" s="8"/>
      <c r="W53" s="8"/>
      <c r="X53" s="8"/>
      <c r="Y53" s="8"/>
      <c r="Z53" s="8"/>
    </row>
    <row r="54">
      <c r="A54" s="8"/>
      <c r="B54" s="8"/>
      <c r="C54" s="8"/>
      <c r="D54" s="69"/>
      <c r="E54" s="25"/>
      <c r="F54" s="25" t="str">
        <f t="shared" si="1"/>
        <v>No</v>
      </c>
      <c r="G54" s="8"/>
      <c r="H54" s="25" t="str">
        <f t="shared" si="2"/>
        <v>No</v>
      </c>
      <c r="I54" s="8"/>
      <c r="J54" s="30" t="str">
        <f t="shared" si="3"/>
        <v/>
      </c>
      <c r="K54" s="30" t="str">
        <f t="shared" si="4"/>
        <v/>
      </c>
      <c r="L54" s="30" t="str">
        <f t="shared" si="5"/>
        <v/>
      </c>
      <c r="M54" s="30" t="str">
        <f t="shared" si="6"/>
        <v/>
      </c>
      <c r="N54" s="30" t="str">
        <f t="shared" si="7"/>
        <v/>
      </c>
      <c r="O54" s="8"/>
      <c r="P54" s="8"/>
      <c r="Q54" s="8"/>
      <c r="R54" s="8"/>
      <c r="S54" s="8"/>
      <c r="T54" s="8"/>
      <c r="U54" s="8"/>
      <c r="V54" s="8"/>
      <c r="W54" s="8"/>
      <c r="X54" s="8"/>
      <c r="Y54" s="8"/>
      <c r="Z54" s="8"/>
    </row>
    <row r="55">
      <c r="A55" s="8"/>
      <c r="B55" s="8"/>
      <c r="C55" s="8"/>
      <c r="D55" s="69"/>
      <c r="E55" s="25"/>
      <c r="F55" s="25" t="str">
        <f t="shared" si="1"/>
        <v>No</v>
      </c>
      <c r="G55" s="8"/>
      <c r="H55" s="25" t="str">
        <f t="shared" si="2"/>
        <v>No</v>
      </c>
      <c r="I55" s="8"/>
      <c r="J55" s="30" t="str">
        <f t="shared" si="3"/>
        <v/>
      </c>
      <c r="K55" s="30" t="str">
        <f t="shared" si="4"/>
        <v/>
      </c>
      <c r="L55" s="30" t="str">
        <f t="shared" si="5"/>
        <v/>
      </c>
      <c r="M55" s="30" t="str">
        <f t="shared" si="6"/>
        <v/>
      </c>
      <c r="N55" s="30" t="str">
        <f t="shared" si="7"/>
        <v/>
      </c>
      <c r="O55" s="8"/>
      <c r="P55" s="8"/>
      <c r="Q55" s="8"/>
      <c r="R55" s="8"/>
      <c r="S55" s="8"/>
      <c r="T55" s="8"/>
      <c r="U55" s="8"/>
      <c r="V55" s="8"/>
      <c r="W55" s="8"/>
      <c r="X55" s="8"/>
      <c r="Y55" s="8"/>
      <c r="Z55" s="8"/>
    </row>
    <row r="56">
      <c r="A56" s="8"/>
      <c r="B56" s="8"/>
      <c r="C56" s="8"/>
      <c r="D56" s="69"/>
      <c r="E56" s="25"/>
      <c r="F56" s="25" t="str">
        <f t="shared" si="1"/>
        <v>No</v>
      </c>
      <c r="G56" s="8"/>
      <c r="H56" s="25" t="str">
        <f t="shared" si="2"/>
        <v>No</v>
      </c>
      <c r="I56" s="8"/>
      <c r="J56" s="30" t="str">
        <f t="shared" si="3"/>
        <v/>
      </c>
      <c r="K56" s="30" t="str">
        <f t="shared" si="4"/>
        <v/>
      </c>
      <c r="L56" s="30" t="str">
        <f t="shared" si="5"/>
        <v/>
      </c>
      <c r="M56" s="30" t="str">
        <f t="shared" si="6"/>
        <v/>
      </c>
      <c r="N56" s="30" t="str">
        <f t="shared" si="7"/>
        <v/>
      </c>
      <c r="O56" s="8"/>
      <c r="P56" s="8"/>
      <c r="Q56" s="8"/>
      <c r="R56" s="8"/>
      <c r="S56" s="8"/>
      <c r="T56" s="8"/>
      <c r="U56" s="8"/>
      <c r="V56" s="8"/>
      <c r="W56" s="8"/>
      <c r="X56" s="8"/>
      <c r="Y56" s="8"/>
      <c r="Z56" s="8"/>
    </row>
    <row r="57">
      <c r="A57" s="8"/>
      <c r="B57" s="8"/>
      <c r="C57" s="8"/>
      <c r="D57" s="69"/>
      <c r="E57" s="25"/>
      <c r="F57" s="25" t="str">
        <f t="shared" si="1"/>
        <v>No</v>
      </c>
      <c r="G57" s="8"/>
      <c r="H57" s="25" t="str">
        <f t="shared" si="2"/>
        <v>No</v>
      </c>
      <c r="I57" s="8"/>
      <c r="J57" s="30" t="str">
        <f t="shared" si="3"/>
        <v/>
      </c>
      <c r="K57" s="30" t="str">
        <f t="shared" si="4"/>
        <v/>
      </c>
      <c r="L57" s="30" t="str">
        <f t="shared" si="5"/>
        <v/>
      </c>
      <c r="M57" s="30" t="str">
        <f t="shared" si="6"/>
        <v/>
      </c>
      <c r="N57" s="30" t="str">
        <f t="shared" si="7"/>
        <v/>
      </c>
      <c r="O57" s="8"/>
      <c r="P57" s="8"/>
      <c r="Q57" s="8"/>
      <c r="R57" s="8"/>
      <c r="S57" s="8"/>
      <c r="T57" s="8"/>
      <c r="U57" s="8"/>
      <c r="V57" s="8"/>
      <c r="W57" s="8"/>
      <c r="X57" s="8"/>
      <c r="Y57" s="8"/>
      <c r="Z57" s="8"/>
    </row>
    <row r="58">
      <c r="A58" s="8"/>
      <c r="B58" s="8"/>
      <c r="C58" s="8"/>
      <c r="D58" s="69"/>
      <c r="E58" s="25"/>
      <c r="F58" s="25" t="str">
        <f t="shared" si="1"/>
        <v>No</v>
      </c>
      <c r="G58" s="8"/>
      <c r="H58" s="25" t="str">
        <f t="shared" si="2"/>
        <v>No</v>
      </c>
      <c r="I58" s="8"/>
      <c r="J58" s="30" t="str">
        <f t="shared" si="3"/>
        <v/>
      </c>
      <c r="K58" s="30" t="str">
        <f t="shared" si="4"/>
        <v/>
      </c>
      <c r="L58" s="30" t="str">
        <f t="shared" si="5"/>
        <v/>
      </c>
      <c r="M58" s="30" t="str">
        <f t="shared" si="6"/>
        <v/>
      </c>
      <c r="N58" s="30" t="str">
        <f t="shared" si="7"/>
        <v/>
      </c>
      <c r="O58" s="8"/>
      <c r="P58" s="8"/>
      <c r="Q58" s="8"/>
      <c r="R58" s="8"/>
      <c r="S58" s="8"/>
      <c r="T58" s="8"/>
      <c r="U58" s="8"/>
      <c r="V58" s="8"/>
      <c r="W58" s="8"/>
      <c r="X58" s="8"/>
      <c r="Y58" s="8"/>
      <c r="Z58" s="8"/>
    </row>
    <row r="59">
      <c r="A59" s="8"/>
      <c r="B59" s="8"/>
      <c r="C59" s="8"/>
      <c r="D59" s="69"/>
      <c r="E59" s="25"/>
      <c r="F59" s="25" t="str">
        <f t="shared" si="1"/>
        <v>No</v>
      </c>
      <c r="G59" s="8"/>
      <c r="H59" s="25" t="str">
        <f t="shared" si="2"/>
        <v>No</v>
      </c>
      <c r="I59" s="8"/>
      <c r="J59" s="30" t="str">
        <f t="shared" si="3"/>
        <v/>
      </c>
      <c r="K59" s="30" t="str">
        <f t="shared" si="4"/>
        <v/>
      </c>
      <c r="L59" s="30" t="str">
        <f t="shared" si="5"/>
        <v/>
      </c>
      <c r="M59" s="30" t="str">
        <f t="shared" si="6"/>
        <v/>
      </c>
      <c r="N59" s="30" t="str">
        <f t="shared" si="7"/>
        <v/>
      </c>
      <c r="O59" s="8"/>
      <c r="P59" s="8"/>
      <c r="Q59" s="8"/>
      <c r="R59" s="8"/>
      <c r="S59" s="8"/>
      <c r="T59" s="8"/>
      <c r="U59" s="8"/>
      <c r="V59" s="8"/>
      <c r="W59" s="8"/>
      <c r="X59" s="8"/>
      <c r="Y59" s="8"/>
      <c r="Z59" s="8"/>
    </row>
    <row r="60">
      <c r="A60" s="8"/>
      <c r="B60" s="8"/>
      <c r="C60" s="8"/>
      <c r="D60" s="69"/>
      <c r="E60" s="25"/>
      <c r="F60" s="25" t="str">
        <f t="shared" si="1"/>
        <v>No</v>
      </c>
      <c r="G60" s="8"/>
      <c r="H60" s="25" t="str">
        <f t="shared" si="2"/>
        <v>No</v>
      </c>
      <c r="I60" s="8"/>
      <c r="J60" s="30" t="str">
        <f t="shared" si="3"/>
        <v/>
      </c>
      <c r="K60" s="30" t="str">
        <f t="shared" si="4"/>
        <v/>
      </c>
      <c r="L60" s="30" t="str">
        <f t="shared" si="5"/>
        <v/>
      </c>
      <c r="M60" s="30" t="str">
        <f t="shared" si="6"/>
        <v/>
      </c>
      <c r="N60" s="30" t="str">
        <f t="shared" si="7"/>
        <v/>
      </c>
      <c r="O60" s="8"/>
      <c r="P60" s="8"/>
      <c r="Q60" s="8"/>
      <c r="R60" s="8"/>
      <c r="S60" s="8"/>
      <c r="T60" s="8"/>
      <c r="U60" s="8"/>
      <c r="V60" s="8"/>
      <c r="W60" s="8"/>
      <c r="X60" s="8"/>
      <c r="Y60" s="8"/>
      <c r="Z60" s="8"/>
    </row>
    <row r="61">
      <c r="A61" s="8"/>
      <c r="B61" s="8"/>
      <c r="C61" s="8"/>
      <c r="D61" s="69"/>
      <c r="E61" s="25"/>
      <c r="F61" s="25" t="str">
        <f t="shared" si="1"/>
        <v>No</v>
      </c>
      <c r="G61" s="8"/>
      <c r="H61" s="25" t="str">
        <f t="shared" si="2"/>
        <v>No</v>
      </c>
      <c r="I61" s="8"/>
      <c r="J61" s="30" t="str">
        <f t="shared" si="3"/>
        <v/>
      </c>
      <c r="K61" s="30" t="str">
        <f t="shared" si="4"/>
        <v/>
      </c>
      <c r="L61" s="30" t="str">
        <f t="shared" si="5"/>
        <v/>
      </c>
      <c r="M61" s="30" t="str">
        <f t="shared" si="6"/>
        <v/>
      </c>
      <c r="N61" s="30" t="str">
        <f t="shared" si="7"/>
        <v/>
      </c>
      <c r="O61" s="8"/>
      <c r="P61" s="8"/>
      <c r="Q61" s="8"/>
      <c r="R61" s="8"/>
      <c r="S61" s="8"/>
      <c r="T61" s="8"/>
      <c r="U61" s="8"/>
      <c r="V61" s="8"/>
      <c r="W61" s="8"/>
      <c r="X61" s="8"/>
      <c r="Y61" s="8"/>
      <c r="Z61" s="8"/>
    </row>
    <row r="62">
      <c r="A62" s="8"/>
      <c r="B62" s="8"/>
      <c r="C62" s="8"/>
      <c r="D62" s="69"/>
      <c r="E62" s="25"/>
      <c r="F62" s="25" t="str">
        <f t="shared" si="1"/>
        <v>No</v>
      </c>
      <c r="G62" s="8"/>
      <c r="H62" s="25" t="str">
        <f t="shared" si="2"/>
        <v>No</v>
      </c>
      <c r="I62" s="8"/>
      <c r="J62" s="30" t="str">
        <f t="shared" si="3"/>
        <v/>
      </c>
      <c r="K62" s="30" t="str">
        <f t="shared" si="4"/>
        <v/>
      </c>
      <c r="L62" s="30" t="str">
        <f t="shared" si="5"/>
        <v/>
      </c>
      <c r="M62" s="30" t="str">
        <f t="shared" si="6"/>
        <v/>
      </c>
      <c r="N62" s="30" t="str">
        <f t="shared" si="7"/>
        <v/>
      </c>
      <c r="O62" s="8"/>
      <c r="P62" s="8"/>
      <c r="Q62" s="8"/>
      <c r="R62" s="8"/>
      <c r="S62" s="8"/>
      <c r="T62" s="8"/>
      <c r="U62" s="8"/>
      <c r="V62" s="8"/>
      <c r="W62" s="8"/>
      <c r="X62" s="8"/>
      <c r="Y62" s="8"/>
      <c r="Z62" s="8"/>
    </row>
    <row r="63">
      <c r="A63" s="8"/>
      <c r="B63" s="8"/>
      <c r="C63" s="8"/>
      <c r="D63" s="69"/>
      <c r="E63" s="25"/>
      <c r="F63" s="25" t="str">
        <f t="shared" si="1"/>
        <v>No</v>
      </c>
      <c r="G63" s="8"/>
      <c r="H63" s="25" t="str">
        <f t="shared" si="2"/>
        <v>No</v>
      </c>
      <c r="I63" s="8"/>
      <c r="J63" s="30" t="str">
        <f t="shared" si="3"/>
        <v/>
      </c>
      <c r="K63" s="30" t="str">
        <f t="shared" si="4"/>
        <v/>
      </c>
      <c r="L63" s="30" t="str">
        <f t="shared" si="5"/>
        <v/>
      </c>
      <c r="M63" s="30" t="str">
        <f t="shared" si="6"/>
        <v/>
      </c>
      <c r="N63" s="30" t="str">
        <f t="shared" si="7"/>
        <v/>
      </c>
      <c r="O63" s="8"/>
      <c r="P63" s="8"/>
      <c r="Q63" s="8"/>
      <c r="R63" s="8"/>
      <c r="S63" s="8"/>
      <c r="T63" s="8"/>
      <c r="U63" s="8"/>
      <c r="V63" s="8"/>
      <c r="W63" s="8"/>
      <c r="X63" s="8"/>
      <c r="Y63" s="8"/>
      <c r="Z63" s="8"/>
    </row>
    <row r="64">
      <c r="A64" s="8"/>
      <c r="B64" s="8"/>
      <c r="C64" s="8"/>
      <c r="D64" s="69"/>
      <c r="E64" s="25"/>
      <c r="F64" s="25" t="str">
        <f t="shared" si="1"/>
        <v>No</v>
      </c>
      <c r="G64" s="8"/>
      <c r="H64" s="25" t="str">
        <f t="shared" si="2"/>
        <v>No</v>
      </c>
      <c r="I64" s="8"/>
      <c r="J64" s="30" t="str">
        <f t="shared" si="3"/>
        <v/>
      </c>
      <c r="K64" s="30" t="str">
        <f t="shared" si="4"/>
        <v/>
      </c>
      <c r="L64" s="30" t="str">
        <f t="shared" si="5"/>
        <v/>
      </c>
      <c r="M64" s="30" t="str">
        <f t="shared" si="6"/>
        <v/>
      </c>
      <c r="N64" s="30" t="str">
        <f t="shared" si="7"/>
        <v/>
      </c>
      <c r="O64" s="8"/>
      <c r="P64" s="8"/>
      <c r="Q64" s="8"/>
      <c r="R64" s="8"/>
      <c r="S64" s="8"/>
      <c r="T64" s="8"/>
      <c r="U64" s="8"/>
      <c r="V64" s="8"/>
      <c r="W64" s="8"/>
      <c r="X64" s="8"/>
      <c r="Y64" s="8"/>
      <c r="Z64" s="8"/>
    </row>
    <row r="65">
      <c r="A65" s="8"/>
      <c r="B65" s="8"/>
      <c r="C65" s="8"/>
      <c r="D65" s="69"/>
      <c r="E65" s="25"/>
      <c r="F65" s="25" t="str">
        <f t="shared" si="1"/>
        <v>No</v>
      </c>
      <c r="G65" s="8"/>
      <c r="H65" s="25" t="str">
        <f t="shared" si="2"/>
        <v>No</v>
      </c>
      <c r="I65" s="8"/>
      <c r="J65" s="30" t="str">
        <f t="shared" si="3"/>
        <v/>
      </c>
      <c r="K65" s="30" t="str">
        <f t="shared" si="4"/>
        <v/>
      </c>
      <c r="L65" s="30" t="str">
        <f t="shared" si="5"/>
        <v/>
      </c>
      <c r="M65" s="30" t="str">
        <f t="shared" si="6"/>
        <v/>
      </c>
      <c r="N65" s="30" t="str">
        <f t="shared" si="7"/>
        <v/>
      </c>
      <c r="O65" s="8"/>
      <c r="P65" s="8"/>
      <c r="Q65" s="8"/>
      <c r="R65" s="8"/>
      <c r="S65" s="8"/>
      <c r="T65" s="8"/>
      <c r="U65" s="8"/>
      <c r="V65" s="8"/>
      <c r="W65" s="8"/>
      <c r="X65" s="8"/>
      <c r="Y65" s="8"/>
      <c r="Z65" s="8"/>
    </row>
    <row r="66">
      <c r="A66" s="8"/>
      <c r="B66" s="8"/>
      <c r="C66" s="8"/>
      <c r="D66" s="69"/>
      <c r="E66" s="25"/>
      <c r="F66" s="25" t="str">
        <f t="shared" si="1"/>
        <v>No</v>
      </c>
      <c r="G66" s="8"/>
      <c r="H66" s="25" t="str">
        <f t="shared" si="2"/>
        <v>No</v>
      </c>
      <c r="I66" s="8"/>
      <c r="J66" s="30" t="str">
        <f t="shared" si="3"/>
        <v/>
      </c>
      <c r="K66" s="30" t="str">
        <f t="shared" si="4"/>
        <v/>
      </c>
      <c r="L66" s="30" t="str">
        <f t="shared" si="5"/>
        <v/>
      </c>
      <c r="M66" s="30" t="str">
        <f t="shared" si="6"/>
        <v/>
      </c>
      <c r="N66" s="30" t="str">
        <f t="shared" si="7"/>
        <v/>
      </c>
      <c r="O66" s="8"/>
      <c r="P66" s="8"/>
      <c r="Q66" s="8"/>
      <c r="R66" s="8"/>
      <c r="S66" s="8"/>
      <c r="T66" s="8"/>
      <c r="U66" s="8"/>
      <c r="V66" s="8"/>
      <c r="W66" s="8"/>
      <c r="X66" s="8"/>
      <c r="Y66" s="8"/>
      <c r="Z66" s="8"/>
    </row>
    <row r="67">
      <c r="A67" s="8"/>
      <c r="B67" s="8"/>
      <c r="C67" s="8"/>
      <c r="D67" s="69"/>
      <c r="E67" s="25"/>
      <c r="F67" s="25" t="str">
        <f t="shared" si="1"/>
        <v>No</v>
      </c>
      <c r="G67" s="8"/>
      <c r="H67" s="25" t="str">
        <f t="shared" si="2"/>
        <v>No</v>
      </c>
      <c r="I67" s="8"/>
      <c r="J67" s="30" t="str">
        <f t="shared" si="3"/>
        <v/>
      </c>
      <c r="K67" s="30" t="str">
        <f t="shared" si="4"/>
        <v/>
      </c>
      <c r="L67" s="30" t="str">
        <f t="shared" si="5"/>
        <v/>
      </c>
      <c r="M67" s="30" t="str">
        <f t="shared" si="6"/>
        <v/>
      </c>
      <c r="N67" s="30" t="str">
        <f t="shared" si="7"/>
        <v/>
      </c>
      <c r="O67" s="8"/>
      <c r="P67" s="8"/>
      <c r="Q67" s="8"/>
      <c r="R67" s="8"/>
      <c r="S67" s="8"/>
      <c r="T67" s="8"/>
      <c r="U67" s="8"/>
      <c r="V67" s="8"/>
      <c r="W67" s="8"/>
      <c r="X67" s="8"/>
      <c r="Y67" s="8"/>
      <c r="Z67" s="8"/>
    </row>
    <row r="68">
      <c r="A68" s="8"/>
      <c r="B68" s="8"/>
      <c r="C68" s="8"/>
      <c r="D68" s="69"/>
      <c r="E68" s="25"/>
      <c r="F68" s="25" t="str">
        <f t="shared" si="1"/>
        <v>No</v>
      </c>
      <c r="G68" s="8"/>
      <c r="H68" s="25" t="str">
        <f t="shared" si="2"/>
        <v>No</v>
      </c>
      <c r="I68" s="8"/>
      <c r="J68" s="30" t="str">
        <f t="shared" si="3"/>
        <v/>
      </c>
      <c r="K68" s="30" t="str">
        <f t="shared" si="4"/>
        <v/>
      </c>
      <c r="L68" s="30" t="str">
        <f t="shared" si="5"/>
        <v/>
      </c>
      <c r="M68" s="30" t="str">
        <f t="shared" si="6"/>
        <v/>
      </c>
      <c r="N68" s="30" t="str">
        <f t="shared" si="7"/>
        <v/>
      </c>
      <c r="O68" s="8"/>
      <c r="P68" s="8"/>
      <c r="Q68" s="8"/>
      <c r="R68" s="8"/>
      <c r="S68" s="8"/>
      <c r="T68" s="8"/>
      <c r="U68" s="8"/>
      <c r="V68" s="8"/>
      <c r="W68" s="8"/>
      <c r="X68" s="8"/>
      <c r="Y68" s="8"/>
      <c r="Z68" s="8"/>
    </row>
    <row r="69">
      <c r="A69" s="8"/>
      <c r="B69" s="8"/>
      <c r="C69" s="8"/>
      <c r="D69" s="69"/>
      <c r="E69" s="25"/>
      <c r="F69" s="25" t="str">
        <f t="shared" si="1"/>
        <v>No</v>
      </c>
      <c r="G69" s="8"/>
      <c r="H69" s="25" t="str">
        <f t="shared" si="2"/>
        <v>No</v>
      </c>
      <c r="I69" s="8"/>
      <c r="J69" s="30" t="str">
        <f t="shared" si="3"/>
        <v/>
      </c>
      <c r="K69" s="30" t="str">
        <f t="shared" si="4"/>
        <v/>
      </c>
      <c r="L69" s="30" t="str">
        <f t="shared" si="5"/>
        <v/>
      </c>
      <c r="M69" s="30" t="str">
        <f t="shared" si="6"/>
        <v/>
      </c>
      <c r="N69" s="30" t="str">
        <f t="shared" si="7"/>
        <v/>
      </c>
      <c r="O69" s="8"/>
      <c r="P69" s="8"/>
      <c r="Q69" s="8"/>
      <c r="R69" s="8"/>
      <c r="S69" s="8"/>
      <c r="T69" s="8"/>
      <c r="U69" s="8"/>
      <c r="V69" s="8"/>
      <c r="W69" s="8"/>
      <c r="X69" s="8"/>
      <c r="Y69" s="8"/>
      <c r="Z69" s="8"/>
    </row>
    <row r="70">
      <c r="A70" s="8"/>
      <c r="B70" s="8"/>
      <c r="C70" s="8"/>
      <c r="D70" s="69"/>
      <c r="E70" s="25"/>
      <c r="F70" s="25" t="str">
        <f t="shared" si="1"/>
        <v>No</v>
      </c>
      <c r="G70" s="8"/>
      <c r="H70" s="25" t="str">
        <f t="shared" si="2"/>
        <v>No</v>
      </c>
      <c r="I70" s="8"/>
      <c r="J70" s="30" t="str">
        <f t="shared" si="3"/>
        <v/>
      </c>
      <c r="K70" s="30" t="str">
        <f t="shared" si="4"/>
        <v/>
      </c>
      <c r="L70" s="30" t="str">
        <f t="shared" si="5"/>
        <v/>
      </c>
      <c r="M70" s="30" t="str">
        <f t="shared" si="6"/>
        <v/>
      </c>
      <c r="N70" s="30" t="str">
        <f t="shared" si="7"/>
        <v/>
      </c>
      <c r="O70" s="8"/>
      <c r="P70" s="8"/>
      <c r="Q70" s="8"/>
      <c r="R70" s="8"/>
      <c r="S70" s="8"/>
      <c r="T70" s="8"/>
      <c r="U70" s="8"/>
      <c r="V70" s="8"/>
      <c r="W70" s="8"/>
      <c r="X70" s="8"/>
      <c r="Y70" s="8"/>
      <c r="Z70" s="8"/>
    </row>
    <row r="71">
      <c r="A71" s="8"/>
      <c r="B71" s="8"/>
      <c r="C71" s="8"/>
      <c r="D71" s="69"/>
      <c r="E71" s="25"/>
      <c r="F71" s="25" t="str">
        <f t="shared" si="1"/>
        <v>No</v>
      </c>
      <c r="G71" s="8"/>
      <c r="H71" s="25" t="str">
        <f t="shared" si="2"/>
        <v>No</v>
      </c>
      <c r="I71" s="8"/>
      <c r="J71" s="30" t="str">
        <f t="shared" si="3"/>
        <v/>
      </c>
      <c r="K71" s="30" t="str">
        <f t="shared" si="4"/>
        <v/>
      </c>
      <c r="L71" s="30" t="str">
        <f t="shared" si="5"/>
        <v/>
      </c>
      <c r="M71" s="30" t="str">
        <f t="shared" si="6"/>
        <v/>
      </c>
      <c r="N71" s="30" t="str">
        <f t="shared" si="7"/>
        <v/>
      </c>
      <c r="O71" s="8"/>
      <c r="P71" s="8"/>
      <c r="Q71" s="8"/>
      <c r="R71" s="8"/>
      <c r="S71" s="8"/>
      <c r="T71" s="8"/>
      <c r="U71" s="8"/>
      <c r="V71" s="8"/>
      <c r="W71" s="8"/>
      <c r="X71" s="8"/>
      <c r="Y71" s="8"/>
      <c r="Z71" s="8"/>
    </row>
    <row r="72">
      <c r="A72" s="8"/>
      <c r="B72" s="8"/>
      <c r="C72" s="8"/>
      <c r="D72" s="69"/>
      <c r="E72" s="25"/>
      <c r="F72" s="25" t="str">
        <f t="shared" si="1"/>
        <v>No</v>
      </c>
      <c r="G72" s="8"/>
      <c r="H72" s="25" t="str">
        <f t="shared" si="2"/>
        <v>No</v>
      </c>
      <c r="I72" s="8"/>
      <c r="J72" s="30" t="str">
        <f t="shared" si="3"/>
        <v/>
      </c>
      <c r="K72" s="30" t="str">
        <f t="shared" si="4"/>
        <v/>
      </c>
      <c r="L72" s="30" t="str">
        <f t="shared" si="5"/>
        <v/>
      </c>
      <c r="M72" s="30" t="str">
        <f t="shared" si="6"/>
        <v/>
      </c>
      <c r="N72" s="30" t="str">
        <f t="shared" si="7"/>
        <v/>
      </c>
      <c r="O72" s="8"/>
      <c r="P72" s="8"/>
      <c r="Q72" s="8"/>
      <c r="R72" s="8"/>
      <c r="S72" s="8"/>
      <c r="T72" s="8"/>
      <c r="U72" s="8"/>
      <c r="V72" s="8"/>
      <c r="W72" s="8"/>
      <c r="X72" s="8"/>
      <c r="Y72" s="8"/>
      <c r="Z72" s="8"/>
    </row>
    <row r="73">
      <c r="A73" s="8"/>
      <c r="B73" s="8"/>
      <c r="C73" s="8"/>
      <c r="D73" s="69"/>
      <c r="E73" s="25"/>
      <c r="F73" s="25" t="str">
        <f t="shared" si="1"/>
        <v>No</v>
      </c>
      <c r="G73" s="8"/>
      <c r="H73" s="25" t="str">
        <f t="shared" si="2"/>
        <v>No</v>
      </c>
      <c r="I73" s="8"/>
      <c r="J73" s="30" t="str">
        <f t="shared" si="3"/>
        <v/>
      </c>
      <c r="K73" s="30" t="str">
        <f t="shared" si="4"/>
        <v/>
      </c>
      <c r="L73" s="30" t="str">
        <f t="shared" si="5"/>
        <v/>
      </c>
      <c r="M73" s="30" t="str">
        <f t="shared" si="6"/>
        <v/>
      </c>
      <c r="N73" s="30" t="str">
        <f t="shared" si="7"/>
        <v/>
      </c>
      <c r="O73" s="8"/>
      <c r="P73" s="8"/>
      <c r="Q73" s="8"/>
      <c r="R73" s="8"/>
      <c r="S73" s="8"/>
      <c r="T73" s="8"/>
      <c r="U73" s="8"/>
      <c r="V73" s="8"/>
      <c r="W73" s="8"/>
      <c r="X73" s="8"/>
      <c r="Y73" s="8"/>
      <c r="Z73" s="8"/>
    </row>
    <row r="74">
      <c r="A74" s="8"/>
      <c r="B74" s="8"/>
      <c r="C74" s="8"/>
      <c r="D74" s="69"/>
      <c r="E74" s="25"/>
      <c r="F74" s="25" t="str">
        <f t="shared" si="1"/>
        <v>No</v>
      </c>
      <c r="G74" s="8"/>
      <c r="H74" s="25" t="str">
        <f t="shared" si="2"/>
        <v>No</v>
      </c>
      <c r="I74" s="8"/>
      <c r="J74" s="30" t="str">
        <f t="shared" si="3"/>
        <v/>
      </c>
      <c r="K74" s="30" t="str">
        <f t="shared" si="4"/>
        <v/>
      </c>
      <c r="L74" s="30" t="str">
        <f t="shared" si="5"/>
        <v/>
      </c>
      <c r="M74" s="30" t="str">
        <f t="shared" si="6"/>
        <v/>
      </c>
      <c r="N74" s="30" t="str">
        <f t="shared" si="7"/>
        <v/>
      </c>
      <c r="O74" s="8"/>
      <c r="P74" s="8"/>
      <c r="Q74" s="8"/>
      <c r="R74" s="8"/>
      <c r="S74" s="8"/>
      <c r="T74" s="8"/>
      <c r="U74" s="8"/>
      <c r="V74" s="8"/>
      <c r="W74" s="8"/>
      <c r="X74" s="8"/>
      <c r="Y74" s="8"/>
      <c r="Z74" s="8"/>
    </row>
    <row r="75">
      <c r="A75" s="8"/>
      <c r="B75" s="8"/>
      <c r="C75" s="8"/>
      <c r="D75" s="69"/>
      <c r="E75" s="25"/>
      <c r="F75" s="25" t="str">
        <f t="shared" si="1"/>
        <v>No</v>
      </c>
      <c r="G75" s="8"/>
      <c r="H75" s="25" t="str">
        <f t="shared" si="2"/>
        <v>No</v>
      </c>
      <c r="I75" s="8"/>
      <c r="J75" s="30" t="str">
        <f t="shared" si="3"/>
        <v/>
      </c>
      <c r="K75" s="30" t="str">
        <f t="shared" si="4"/>
        <v/>
      </c>
      <c r="L75" s="30" t="str">
        <f t="shared" si="5"/>
        <v/>
      </c>
      <c r="M75" s="30" t="str">
        <f t="shared" si="6"/>
        <v/>
      </c>
      <c r="N75" s="30" t="str">
        <f t="shared" si="7"/>
        <v/>
      </c>
      <c r="O75" s="8"/>
      <c r="P75" s="8"/>
      <c r="Q75" s="8"/>
      <c r="R75" s="8"/>
      <c r="S75" s="8"/>
      <c r="T75" s="8"/>
      <c r="U75" s="8"/>
      <c r="V75" s="8"/>
      <c r="W75" s="8"/>
      <c r="X75" s="8"/>
      <c r="Y75" s="8"/>
      <c r="Z75" s="8"/>
    </row>
    <row r="76">
      <c r="A76" s="8"/>
      <c r="B76" s="8"/>
      <c r="C76" s="8"/>
      <c r="D76" s="69"/>
      <c r="E76" s="25"/>
      <c r="F76" s="25" t="str">
        <f t="shared" si="1"/>
        <v>No</v>
      </c>
      <c r="G76" s="8"/>
      <c r="H76" s="25" t="str">
        <f t="shared" si="2"/>
        <v>No</v>
      </c>
      <c r="I76" s="8"/>
      <c r="J76" s="30" t="str">
        <f t="shared" si="3"/>
        <v/>
      </c>
      <c r="K76" s="30" t="str">
        <f t="shared" si="4"/>
        <v/>
      </c>
      <c r="L76" s="30" t="str">
        <f t="shared" si="5"/>
        <v/>
      </c>
      <c r="M76" s="30" t="str">
        <f t="shared" si="6"/>
        <v/>
      </c>
      <c r="N76" s="30" t="str">
        <f t="shared" si="7"/>
        <v/>
      </c>
      <c r="O76" s="8"/>
      <c r="P76" s="8"/>
      <c r="Q76" s="8"/>
      <c r="R76" s="8"/>
      <c r="S76" s="8"/>
      <c r="T76" s="8"/>
      <c r="U76" s="8"/>
      <c r="V76" s="8"/>
      <c r="W76" s="8"/>
      <c r="X76" s="8"/>
      <c r="Y76" s="8"/>
      <c r="Z76" s="8"/>
    </row>
    <row r="77">
      <c r="A77" s="8"/>
      <c r="B77" s="8"/>
      <c r="C77" s="8"/>
      <c r="D77" s="69"/>
      <c r="E77" s="25"/>
      <c r="F77" s="25" t="str">
        <f t="shared" si="1"/>
        <v>No</v>
      </c>
      <c r="G77" s="8"/>
      <c r="H77" s="25" t="str">
        <f t="shared" si="2"/>
        <v>No</v>
      </c>
      <c r="I77" s="8"/>
      <c r="J77" s="30" t="str">
        <f t="shared" si="3"/>
        <v/>
      </c>
      <c r="K77" s="30" t="str">
        <f t="shared" si="4"/>
        <v/>
      </c>
      <c r="L77" s="30" t="str">
        <f t="shared" si="5"/>
        <v/>
      </c>
      <c r="M77" s="30" t="str">
        <f t="shared" si="6"/>
        <v/>
      </c>
      <c r="N77" s="30" t="str">
        <f t="shared" si="7"/>
        <v/>
      </c>
      <c r="O77" s="8"/>
      <c r="P77" s="8"/>
      <c r="Q77" s="8"/>
      <c r="R77" s="8"/>
      <c r="S77" s="8"/>
      <c r="T77" s="8"/>
      <c r="U77" s="8"/>
      <c r="V77" s="8"/>
      <c r="W77" s="8"/>
      <c r="X77" s="8"/>
      <c r="Y77" s="8"/>
      <c r="Z77" s="8"/>
    </row>
    <row r="78">
      <c r="A78" s="8"/>
      <c r="B78" s="8"/>
      <c r="C78" s="8"/>
      <c r="D78" s="69"/>
      <c r="E78" s="25"/>
      <c r="F78" s="25" t="str">
        <f t="shared" si="1"/>
        <v>No</v>
      </c>
      <c r="G78" s="8"/>
      <c r="H78" s="25" t="str">
        <f t="shared" si="2"/>
        <v>No</v>
      </c>
      <c r="I78" s="8"/>
      <c r="J78" s="30" t="str">
        <f t="shared" si="3"/>
        <v/>
      </c>
      <c r="K78" s="30" t="str">
        <f t="shared" si="4"/>
        <v/>
      </c>
      <c r="L78" s="30" t="str">
        <f t="shared" si="5"/>
        <v/>
      </c>
      <c r="M78" s="30" t="str">
        <f t="shared" si="6"/>
        <v/>
      </c>
      <c r="N78" s="30" t="str">
        <f t="shared" si="7"/>
        <v/>
      </c>
      <c r="O78" s="8"/>
      <c r="P78" s="8"/>
      <c r="Q78" s="8"/>
      <c r="R78" s="8"/>
      <c r="S78" s="8"/>
      <c r="T78" s="8"/>
      <c r="U78" s="8"/>
      <c r="V78" s="8"/>
      <c r="W78" s="8"/>
      <c r="X78" s="8"/>
      <c r="Y78" s="8"/>
      <c r="Z78" s="8"/>
    </row>
    <row r="79">
      <c r="A79" s="8"/>
      <c r="B79" s="8"/>
      <c r="C79" s="8"/>
      <c r="D79" s="69"/>
      <c r="E79" s="25"/>
      <c r="F79" s="25" t="str">
        <f t="shared" si="1"/>
        <v>No</v>
      </c>
      <c r="G79" s="8"/>
      <c r="H79" s="25" t="str">
        <f t="shared" si="2"/>
        <v>No</v>
      </c>
      <c r="I79" s="8"/>
      <c r="J79" s="30" t="str">
        <f t="shared" si="3"/>
        <v/>
      </c>
      <c r="K79" s="30" t="str">
        <f t="shared" si="4"/>
        <v/>
      </c>
      <c r="L79" s="30" t="str">
        <f t="shared" si="5"/>
        <v/>
      </c>
      <c r="M79" s="30" t="str">
        <f t="shared" si="6"/>
        <v/>
      </c>
      <c r="N79" s="30" t="str">
        <f t="shared" si="7"/>
        <v/>
      </c>
      <c r="O79" s="8"/>
      <c r="P79" s="8"/>
      <c r="Q79" s="8"/>
      <c r="R79" s="8"/>
      <c r="S79" s="8"/>
      <c r="T79" s="8"/>
      <c r="U79" s="8"/>
      <c r="V79" s="8"/>
      <c r="W79" s="8"/>
      <c r="X79" s="8"/>
      <c r="Y79" s="8"/>
      <c r="Z79" s="8"/>
    </row>
    <row r="80">
      <c r="A80" s="8"/>
      <c r="B80" s="8"/>
      <c r="C80" s="8"/>
      <c r="D80" s="69"/>
      <c r="E80" s="25"/>
      <c r="F80" s="25" t="str">
        <f t="shared" si="1"/>
        <v>No</v>
      </c>
      <c r="G80" s="8"/>
      <c r="H80" s="25" t="str">
        <f t="shared" si="2"/>
        <v>No</v>
      </c>
      <c r="I80" s="8"/>
      <c r="J80" s="30" t="str">
        <f t="shared" si="3"/>
        <v/>
      </c>
      <c r="K80" s="30" t="str">
        <f t="shared" si="4"/>
        <v/>
      </c>
      <c r="L80" s="30" t="str">
        <f t="shared" si="5"/>
        <v/>
      </c>
      <c r="M80" s="30" t="str">
        <f t="shared" si="6"/>
        <v/>
      </c>
      <c r="N80" s="30" t="str">
        <f t="shared" si="7"/>
        <v/>
      </c>
      <c r="O80" s="8"/>
      <c r="P80" s="8"/>
      <c r="Q80" s="8"/>
      <c r="R80" s="8"/>
      <c r="S80" s="8"/>
      <c r="T80" s="8"/>
      <c r="U80" s="8"/>
      <c r="V80" s="8"/>
      <c r="W80" s="8"/>
      <c r="X80" s="8"/>
      <c r="Y80" s="8"/>
      <c r="Z80" s="8"/>
    </row>
    <row r="81">
      <c r="A81" s="8"/>
      <c r="B81" s="8"/>
      <c r="C81" s="8"/>
      <c r="D81" s="69"/>
      <c r="E81" s="25"/>
      <c r="F81" s="25" t="str">
        <f t="shared" si="1"/>
        <v>No</v>
      </c>
      <c r="G81" s="8"/>
      <c r="H81" s="25" t="str">
        <f t="shared" si="2"/>
        <v>No</v>
      </c>
      <c r="I81" s="8"/>
      <c r="J81" s="30" t="str">
        <f t="shared" si="3"/>
        <v/>
      </c>
      <c r="K81" s="30" t="str">
        <f t="shared" si="4"/>
        <v/>
      </c>
      <c r="L81" s="30" t="str">
        <f t="shared" si="5"/>
        <v/>
      </c>
      <c r="M81" s="30" t="str">
        <f t="shared" si="6"/>
        <v/>
      </c>
      <c r="N81" s="30" t="str">
        <f t="shared" si="7"/>
        <v/>
      </c>
      <c r="O81" s="8"/>
      <c r="P81" s="8"/>
      <c r="Q81" s="8"/>
      <c r="R81" s="8"/>
      <c r="S81" s="8"/>
      <c r="T81" s="8"/>
      <c r="U81" s="8"/>
      <c r="V81" s="8"/>
      <c r="W81" s="8"/>
      <c r="X81" s="8"/>
      <c r="Y81" s="8"/>
      <c r="Z81" s="8"/>
    </row>
    <row r="82">
      <c r="A82" s="8"/>
      <c r="B82" s="8"/>
      <c r="C82" s="8"/>
      <c r="D82" s="69"/>
      <c r="E82" s="25"/>
      <c r="F82" s="25" t="str">
        <f t="shared" si="1"/>
        <v>No</v>
      </c>
      <c r="G82" s="8"/>
      <c r="H82" s="25" t="str">
        <f t="shared" si="2"/>
        <v>No</v>
      </c>
      <c r="I82" s="8"/>
      <c r="J82" s="30" t="str">
        <f t="shared" si="3"/>
        <v/>
      </c>
      <c r="K82" s="30" t="str">
        <f t="shared" si="4"/>
        <v/>
      </c>
      <c r="L82" s="30" t="str">
        <f t="shared" si="5"/>
        <v/>
      </c>
      <c r="M82" s="30" t="str">
        <f t="shared" si="6"/>
        <v/>
      </c>
      <c r="N82" s="30" t="str">
        <f t="shared" si="7"/>
        <v/>
      </c>
      <c r="O82" s="8"/>
      <c r="P82" s="8"/>
      <c r="Q82" s="8"/>
      <c r="R82" s="8"/>
      <c r="S82" s="8"/>
      <c r="T82" s="8"/>
      <c r="U82" s="8"/>
      <c r="V82" s="8"/>
      <c r="W82" s="8"/>
      <c r="X82" s="8"/>
      <c r="Y82" s="8"/>
      <c r="Z82" s="8"/>
    </row>
    <row r="83">
      <c r="A83" s="8"/>
      <c r="B83" s="8"/>
      <c r="C83" s="8"/>
      <c r="D83" s="69"/>
      <c r="E83" s="25"/>
      <c r="F83" s="25" t="str">
        <f t="shared" si="1"/>
        <v>No</v>
      </c>
      <c r="G83" s="8"/>
      <c r="H83" s="25" t="str">
        <f t="shared" si="2"/>
        <v>No</v>
      </c>
      <c r="I83" s="8"/>
      <c r="J83" s="30" t="str">
        <f t="shared" si="3"/>
        <v/>
      </c>
      <c r="K83" s="30" t="str">
        <f t="shared" si="4"/>
        <v/>
      </c>
      <c r="L83" s="30" t="str">
        <f t="shared" si="5"/>
        <v/>
      </c>
      <c r="M83" s="30" t="str">
        <f t="shared" si="6"/>
        <v/>
      </c>
      <c r="N83" s="30" t="str">
        <f t="shared" si="7"/>
        <v/>
      </c>
      <c r="O83" s="8"/>
      <c r="P83" s="8"/>
      <c r="Q83" s="8"/>
      <c r="R83" s="8"/>
      <c r="S83" s="8"/>
      <c r="T83" s="8"/>
      <c r="U83" s="8"/>
      <c r="V83" s="8"/>
      <c r="W83" s="8"/>
      <c r="X83" s="8"/>
      <c r="Y83" s="8"/>
      <c r="Z83" s="8"/>
    </row>
    <row r="84">
      <c r="A84" s="8"/>
      <c r="B84" s="8"/>
      <c r="C84" s="8"/>
      <c r="D84" s="69"/>
      <c r="E84" s="25"/>
      <c r="F84" s="25" t="str">
        <f t="shared" si="1"/>
        <v>No</v>
      </c>
      <c r="G84" s="8"/>
      <c r="H84" s="25" t="str">
        <f t="shared" si="2"/>
        <v>No</v>
      </c>
      <c r="I84" s="8"/>
      <c r="J84" s="30" t="str">
        <f t="shared" si="3"/>
        <v/>
      </c>
      <c r="K84" s="30" t="str">
        <f t="shared" si="4"/>
        <v/>
      </c>
      <c r="L84" s="30" t="str">
        <f t="shared" si="5"/>
        <v/>
      </c>
      <c r="M84" s="30" t="str">
        <f t="shared" si="6"/>
        <v/>
      </c>
      <c r="N84" s="30" t="str">
        <f t="shared" si="7"/>
        <v/>
      </c>
      <c r="O84" s="8"/>
      <c r="P84" s="8"/>
      <c r="Q84" s="8"/>
      <c r="R84" s="8"/>
      <c r="S84" s="8"/>
      <c r="T84" s="8"/>
      <c r="U84" s="8"/>
      <c r="V84" s="8"/>
      <c r="W84" s="8"/>
      <c r="X84" s="8"/>
      <c r="Y84" s="8"/>
      <c r="Z84" s="8"/>
    </row>
    <row r="85">
      <c r="A85" s="8"/>
      <c r="B85" s="8"/>
      <c r="C85" s="8"/>
      <c r="D85" s="69"/>
      <c r="E85" s="25"/>
      <c r="F85" s="25" t="str">
        <f t="shared" si="1"/>
        <v>No</v>
      </c>
      <c r="G85" s="8"/>
      <c r="H85" s="25" t="str">
        <f t="shared" si="2"/>
        <v>No</v>
      </c>
      <c r="I85" s="8"/>
      <c r="J85" s="30" t="str">
        <f t="shared" si="3"/>
        <v/>
      </c>
      <c r="K85" s="30" t="str">
        <f t="shared" si="4"/>
        <v/>
      </c>
      <c r="L85" s="30" t="str">
        <f t="shared" si="5"/>
        <v/>
      </c>
      <c r="M85" s="30" t="str">
        <f t="shared" si="6"/>
        <v/>
      </c>
      <c r="N85" s="30" t="str">
        <f t="shared" si="7"/>
        <v/>
      </c>
      <c r="O85" s="8"/>
      <c r="P85" s="8"/>
      <c r="Q85" s="8"/>
      <c r="R85" s="8"/>
      <c r="S85" s="8"/>
      <c r="T85" s="8"/>
      <c r="U85" s="8"/>
      <c r="V85" s="8"/>
      <c r="W85" s="8"/>
      <c r="X85" s="8"/>
      <c r="Y85" s="8"/>
      <c r="Z85" s="8"/>
    </row>
    <row r="86">
      <c r="A86" s="8"/>
      <c r="B86" s="8"/>
      <c r="C86" s="8"/>
      <c r="D86" s="69"/>
      <c r="E86" s="25"/>
      <c r="F86" s="25" t="str">
        <f t="shared" si="1"/>
        <v>No</v>
      </c>
      <c r="G86" s="8"/>
      <c r="H86" s="25" t="str">
        <f t="shared" si="2"/>
        <v>No</v>
      </c>
      <c r="I86" s="8"/>
      <c r="J86" s="30" t="str">
        <f t="shared" si="3"/>
        <v/>
      </c>
      <c r="K86" s="30" t="str">
        <f t="shared" si="4"/>
        <v/>
      </c>
      <c r="L86" s="30" t="str">
        <f t="shared" si="5"/>
        <v/>
      </c>
      <c r="M86" s="30" t="str">
        <f t="shared" si="6"/>
        <v/>
      </c>
      <c r="N86" s="30" t="str">
        <f t="shared" si="7"/>
        <v/>
      </c>
      <c r="O86" s="8"/>
      <c r="P86" s="8"/>
      <c r="Q86" s="8"/>
      <c r="R86" s="8"/>
      <c r="S86" s="8"/>
      <c r="T86" s="8"/>
      <c r="U86" s="8"/>
      <c r="V86" s="8"/>
      <c r="W86" s="8"/>
      <c r="X86" s="8"/>
      <c r="Y86" s="8"/>
      <c r="Z86" s="8"/>
    </row>
    <row r="87">
      <c r="A87" s="8"/>
      <c r="B87" s="8"/>
      <c r="C87" s="8"/>
      <c r="D87" s="69"/>
      <c r="E87" s="25"/>
      <c r="F87" s="25" t="str">
        <f t="shared" si="1"/>
        <v>No</v>
      </c>
      <c r="G87" s="8"/>
      <c r="H87" s="25" t="str">
        <f t="shared" si="2"/>
        <v>No</v>
      </c>
      <c r="I87" s="8"/>
      <c r="J87" s="30" t="str">
        <f t="shared" si="3"/>
        <v/>
      </c>
      <c r="K87" s="30" t="str">
        <f t="shared" si="4"/>
        <v/>
      </c>
      <c r="L87" s="30" t="str">
        <f t="shared" si="5"/>
        <v/>
      </c>
      <c r="M87" s="30" t="str">
        <f t="shared" si="6"/>
        <v/>
      </c>
      <c r="N87" s="30" t="str">
        <f t="shared" si="7"/>
        <v/>
      </c>
      <c r="O87" s="8"/>
      <c r="P87" s="8"/>
      <c r="Q87" s="8"/>
      <c r="R87" s="8"/>
      <c r="S87" s="8"/>
      <c r="T87" s="8"/>
      <c r="U87" s="8"/>
      <c r="V87" s="8"/>
      <c r="W87" s="8"/>
      <c r="X87" s="8"/>
      <c r="Y87" s="8"/>
      <c r="Z87" s="8"/>
    </row>
    <row r="88">
      <c r="A88" s="8"/>
      <c r="B88" s="8"/>
      <c r="C88" s="8"/>
      <c r="D88" s="69"/>
      <c r="E88" s="25"/>
      <c r="F88" s="25" t="str">
        <f t="shared" si="1"/>
        <v>No</v>
      </c>
      <c r="G88" s="8"/>
      <c r="H88" s="25" t="str">
        <f t="shared" si="2"/>
        <v>No</v>
      </c>
      <c r="I88" s="8"/>
      <c r="J88" s="30" t="str">
        <f t="shared" si="3"/>
        <v/>
      </c>
      <c r="K88" s="30" t="str">
        <f t="shared" si="4"/>
        <v/>
      </c>
      <c r="L88" s="30" t="str">
        <f t="shared" si="5"/>
        <v/>
      </c>
      <c r="M88" s="30" t="str">
        <f t="shared" si="6"/>
        <v/>
      </c>
      <c r="N88" s="30" t="str">
        <f t="shared" si="7"/>
        <v/>
      </c>
      <c r="O88" s="8"/>
      <c r="P88" s="8"/>
      <c r="Q88" s="8"/>
      <c r="R88" s="8"/>
      <c r="S88" s="8"/>
      <c r="T88" s="8"/>
      <c r="U88" s="8"/>
      <c r="V88" s="8"/>
      <c r="W88" s="8"/>
      <c r="X88" s="8"/>
      <c r="Y88" s="8"/>
      <c r="Z88" s="8"/>
    </row>
    <row r="89">
      <c r="A89" s="8"/>
      <c r="B89" s="8"/>
      <c r="C89" s="8"/>
      <c r="D89" s="69"/>
      <c r="E89" s="25"/>
      <c r="F89" s="25" t="str">
        <f t="shared" si="1"/>
        <v>No</v>
      </c>
      <c r="G89" s="8"/>
      <c r="H89" s="25" t="str">
        <f t="shared" si="2"/>
        <v>No</v>
      </c>
      <c r="I89" s="8"/>
      <c r="J89" s="30" t="str">
        <f t="shared" si="3"/>
        <v/>
      </c>
      <c r="K89" s="30" t="str">
        <f t="shared" si="4"/>
        <v/>
      </c>
      <c r="L89" s="30" t="str">
        <f t="shared" si="5"/>
        <v/>
      </c>
      <c r="M89" s="30" t="str">
        <f t="shared" si="6"/>
        <v/>
      </c>
      <c r="N89" s="30" t="str">
        <f t="shared" si="7"/>
        <v/>
      </c>
      <c r="O89" s="8"/>
      <c r="P89" s="8"/>
      <c r="Q89" s="8"/>
      <c r="R89" s="8"/>
      <c r="S89" s="8"/>
      <c r="T89" s="8"/>
      <c r="U89" s="8"/>
      <c r="V89" s="8"/>
      <c r="W89" s="8"/>
      <c r="X89" s="8"/>
      <c r="Y89" s="8"/>
      <c r="Z89" s="8"/>
    </row>
    <row r="90">
      <c r="A90" s="8"/>
      <c r="B90" s="8"/>
      <c r="C90" s="8"/>
      <c r="D90" s="69"/>
      <c r="E90" s="25"/>
      <c r="F90" s="25" t="str">
        <f t="shared" si="1"/>
        <v>No</v>
      </c>
      <c r="G90" s="8"/>
      <c r="H90" s="25" t="str">
        <f t="shared" si="2"/>
        <v>No</v>
      </c>
      <c r="I90" s="8"/>
      <c r="J90" s="30" t="str">
        <f t="shared" si="3"/>
        <v/>
      </c>
      <c r="K90" s="30" t="str">
        <f t="shared" si="4"/>
        <v/>
      </c>
      <c r="L90" s="30" t="str">
        <f t="shared" si="5"/>
        <v/>
      </c>
      <c r="M90" s="30" t="str">
        <f t="shared" si="6"/>
        <v/>
      </c>
      <c r="N90" s="30" t="str">
        <f t="shared" si="7"/>
        <v/>
      </c>
      <c r="O90" s="8"/>
      <c r="P90" s="8"/>
      <c r="Q90" s="8"/>
      <c r="R90" s="8"/>
      <c r="S90" s="8"/>
      <c r="T90" s="8"/>
      <c r="U90" s="8"/>
      <c r="V90" s="8"/>
      <c r="W90" s="8"/>
      <c r="X90" s="8"/>
      <c r="Y90" s="8"/>
      <c r="Z90" s="8"/>
    </row>
    <row r="91">
      <c r="A91" s="8"/>
      <c r="B91" s="8"/>
      <c r="C91" s="8"/>
      <c r="D91" s="69"/>
      <c r="E91" s="25"/>
      <c r="F91" s="25" t="str">
        <f t="shared" si="1"/>
        <v>No</v>
      </c>
      <c r="G91" s="8"/>
      <c r="H91" s="25" t="str">
        <f t="shared" si="2"/>
        <v>No</v>
      </c>
      <c r="I91" s="8"/>
      <c r="J91" s="30" t="str">
        <f t="shared" si="3"/>
        <v/>
      </c>
      <c r="K91" s="30" t="str">
        <f t="shared" si="4"/>
        <v/>
      </c>
      <c r="L91" s="30" t="str">
        <f t="shared" si="5"/>
        <v/>
      </c>
      <c r="M91" s="30" t="str">
        <f t="shared" si="6"/>
        <v/>
      </c>
      <c r="N91" s="30" t="str">
        <f t="shared" si="7"/>
        <v/>
      </c>
      <c r="O91" s="8"/>
      <c r="P91" s="8"/>
      <c r="Q91" s="8"/>
      <c r="R91" s="8"/>
      <c r="S91" s="8"/>
      <c r="T91" s="8"/>
      <c r="U91" s="8"/>
      <c r="V91" s="8"/>
      <c r="W91" s="8"/>
      <c r="X91" s="8"/>
      <c r="Y91" s="8"/>
      <c r="Z91" s="8"/>
    </row>
    <row r="92">
      <c r="A92" s="8"/>
      <c r="B92" s="8"/>
      <c r="C92" s="8"/>
      <c r="D92" s="69"/>
      <c r="E92" s="25"/>
      <c r="F92" s="25" t="str">
        <f t="shared" si="1"/>
        <v>No</v>
      </c>
      <c r="G92" s="8"/>
      <c r="H92" s="25" t="str">
        <f t="shared" si="2"/>
        <v>No</v>
      </c>
      <c r="I92" s="8"/>
      <c r="J92" s="30" t="str">
        <f t="shared" si="3"/>
        <v/>
      </c>
      <c r="K92" s="30" t="str">
        <f t="shared" si="4"/>
        <v/>
      </c>
      <c r="L92" s="30" t="str">
        <f t="shared" si="5"/>
        <v/>
      </c>
      <c r="M92" s="30" t="str">
        <f t="shared" si="6"/>
        <v/>
      </c>
      <c r="N92" s="30" t="str">
        <f t="shared" si="7"/>
        <v/>
      </c>
      <c r="O92" s="8"/>
      <c r="P92" s="8"/>
      <c r="Q92" s="8"/>
      <c r="R92" s="8"/>
      <c r="S92" s="8"/>
      <c r="T92" s="8"/>
      <c r="U92" s="8"/>
      <c r="V92" s="8"/>
      <c r="W92" s="8"/>
      <c r="X92" s="8"/>
      <c r="Y92" s="8"/>
      <c r="Z92" s="8"/>
    </row>
    <row r="93">
      <c r="A93" s="8"/>
      <c r="B93" s="8"/>
      <c r="C93" s="8"/>
      <c r="D93" s="69"/>
      <c r="E93" s="25"/>
      <c r="F93" s="25" t="str">
        <f t="shared" si="1"/>
        <v>No</v>
      </c>
      <c r="G93" s="8"/>
      <c r="H93" s="25" t="str">
        <f t="shared" si="2"/>
        <v>No</v>
      </c>
      <c r="I93" s="8"/>
      <c r="J93" s="30" t="str">
        <f t="shared" si="3"/>
        <v/>
      </c>
      <c r="K93" s="30" t="str">
        <f t="shared" si="4"/>
        <v/>
      </c>
      <c r="L93" s="30" t="str">
        <f t="shared" si="5"/>
        <v/>
      </c>
      <c r="M93" s="30" t="str">
        <f t="shared" si="6"/>
        <v/>
      </c>
      <c r="N93" s="30" t="str">
        <f t="shared" si="7"/>
        <v/>
      </c>
      <c r="O93" s="8"/>
      <c r="P93" s="8"/>
      <c r="Q93" s="8"/>
      <c r="R93" s="8"/>
      <c r="S93" s="8"/>
      <c r="T93" s="8"/>
      <c r="U93" s="8"/>
      <c r="V93" s="8"/>
      <c r="W93" s="8"/>
      <c r="X93" s="8"/>
      <c r="Y93" s="8"/>
      <c r="Z93" s="8"/>
    </row>
    <row r="94">
      <c r="A94" s="8"/>
      <c r="B94" s="8"/>
      <c r="C94" s="8"/>
      <c r="D94" s="69"/>
      <c r="E94" s="25"/>
      <c r="F94" s="25" t="str">
        <f t="shared" si="1"/>
        <v>No</v>
      </c>
      <c r="G94" s="8"/>
      <c r="H94" s="25" t="str">
        <f t="shared" si="2"/>
        <v>No</v>
      </c>
      <c r="I94" s="8"/>
      <c r="J94" s="30" t="str">
        <f t="shared" si="3"/>
        <v/>
      </c>
      <c r="K94" s="30" t="str">
        <f t="shared" si="4"/>
        <v/>
      </c>
      <c r="L94" s="30" t="str">
        <f t="shared" si="5"/>
        <v/>
      </c>
      <c r="M94" s="30" t="str">
        <f t="shared" si="6"/>
        <v/>
      </c>
      <c r="N94" s="30" t="str">
        <f t="shared" si="7"/>
        <v/>
      </c>
      <c r="O94" s="8"/>
      <c r="P94" s="8"/>
      <c r="Q94" s="8"/>
      <c r="R94" s="8"/>
      <c r="S94" s="8"/>
      <c r="T94" s="8"/>
      <c r="U94" s="8"/>
      <c r="V94" s="8"/>
      <c r="W94" s="8"/>
      <c r="X94" s="8"/>
      <c r="Y94" s="8"/>
      <c r="Z94" s="8"/>
    </row>
    <row r="95">
      <c r="A95" s="8"/>
      <c r="B95" s="8"/>
      <c r="C95" s="8"/>
      <c r="D95" s="69"/>
      <c r="E95" s="25"/>
      <c r="F95" s="25" t="str">
        <f t="shared" si="1"/>
        <v>No</v>
      </c>
      <c r="G95" s="8"/>
      <c r="H95" s="25" t="str">
        <f t="shared" si="2"/>
        <v>No</v>
      </c>
      <c r="I95" s="8"/>
      <c r="J95" s="30" t="str">
        <f t="shared" si="3"/>
        <v/>
      </c>
      <c r="K95" s="30" t="str">
        <f t="shared" si="4"/>
        <v/>
      </c>
      <c r="L95" s="30" t="str">
        <f t="shared" si="5"/>
        <v/>
      </c>
      <c r="M95" s="30" t="str">
        <f t="shared" si="6"/>
        <v/>
      </c>
      <c r="N95" s="30" t="str">
        <f t="shared" si="7"/>
        <v/>
      </c>
      <c r="O95" s="8"/>
      <c r="P95" s="8"/>
      <c r="Q95" s="8"/>
      <c r="R95" s="8"/>
      <c r="S95" s="8"/>
      <c r="T95" s="8"/>
      <c r="U95" s="8"/>
      <c r="V95" s="8"/>
      <c r="W95" s="8"/>
      <c r="X95" s="8"/>
      <c r="Y95" s="8"/>
      <c r="Z95" s="8"/>
    </row>
    <row r="96">
      <c r="A96" s="8"/>
      <c r="B96" s="8"/>
      <c r="C96" s="8"/>
      <c r="D96" s="69"/>
      <c r="E96" s="25"/>
      <c r="F96" s="25" t="str">
        <f t="shared" si="1"/>
        <v>No</v>
      </c>
      <c r="G96" s="8"/>
      <c r="H96" s="25" t="str">
        <f t="shared" si="2"/>
        <v>No</v>
      </c>
      <c r="I96" s="8"/>
      <c r="J96" s="30" t="str">
        <f t="shared" si="3"/>
        <v/>
      </c>
      <c r="K96" s="30" t="str">
        <f t="shared" si="4"/>
        <v/>
      </c>
      <c r="L96" s="30" t="str">
        <f t="shared" si="5"/>
        <v/>
      </c>
      <c r="M96" s="30" t="str">
        <f t="shared" si="6"/>
        <v/>
      </c>
      <c r="N96" s="30" t="str">
        <f t="shared" si="7"/>
        <v/>
      </c>
      <c r="O96" s="8"/>
      <c r="P96" s="8"/>
      <c r="Q96" s="8"/>
      <c r="R96" s="8"/>
      <c r="S96" s="8"/>
      <c r="T96" s="8"/>
      <c r="U96" s="8"/>
      <c r="V96" s="8"/>
      <c r="W96" s="8"/>
      <c r="X96" s="8"/>
      <c r="Y96" s="8"/>
      <c r="Z96" s="8"/>
    </row>
    <row r="97">
      <c r="A97" s="8"/>
      <c r="B97" s="8"/>
      <c r="C97" s="8"/>
      <c r="D97" s="69"/>
      <c r="E97" s="25"/>
      <c r="F97" s="25" t="str">
        <f t="shared" si="1"/>
        <v>No</v>
      </c>
      <c r="G97" s="8"/>
      <c r="H97" s="25" t="str">
        <f t="shared" si="2"/>
        <v>No</v>
      </c>
      <c r="I97" s="8"/>
      <c r="J97" s="30" t="str">
        <f t="shared" si="3"/>
        <v/>
      </c>
      <c r="K97" s="30" t="str">
        <f t="shared" si="4"/>
        <v/>
      </c>
      <c r="L97" s="30" t="str">
        <f t="shared" si="5"/>
        <v/>
      </c>
      <c r="M97" s="30" t="str">
        <f t="shared" si="6"/>
        <v/>
      </c>
      <c r="N97" s="30" t="str">
        <f t="shared" si="7"/>
        <v/>
      </c>
      <c r="O97" s="8"/>
      <c r="P97" s="8"/>
      <c r="Q97" s="8"/>
      <c r="R97" s="8"/>
      <c r="S97" s="8"/>
      <c r="T97" s="8"/>
      <c r="U97" s="8"/>
      <c r="V97" s="8"/>
      <c r="W97" s="8"/>
      <c r="X97" s="8"/>
      <c r="Y97" s="8"/>
      <c r="Z97" s="8"/>
    </row>
    <row r="98">
      <c r="A98" s="8"/>
      <c r="B98" s="8"/>
      <c r="C98" s="8"/>
      <c r="D98" s="69"/>
      <c r="E98" s="25"/>
      <c r="F98" s="25" t="str">
        <f t="shared" si="1"/>
        <v>No</v>
      </c>
      <c r="G98" s="8"/>
      <c r="H98" s="25" t="str">
        <f t="shared" si="2"/>
        <v>No</v>
      </c>
      <c r="I98" s="8"/>
      <c r="J98" s="30" t="str">
        <f t="shared" si="3"/>
        <v/>
      </c>
      <c r="K98" s="30" t="str">
        <f t="shared" si="4"/>
        <v/>
      </c>
      <c r="L98" s="30" t="str">
        <f t="shared" si="5"/>
        <v/>
      </c>
      <c r="M98" s="30" t="str">
        <f t="shared" si="6"/>
        <v/>
      </c>
      <c r="N98" s="30" t="str">
        <f t="shared" si="7"/>
        <v/>
      </c>
      <c r="O98" s="8"/>
      <c r="P98" s="8"/>
      <c r="Q98" s="8"/>
      <c r="R98" s="8"/>
      <c r="S98" s="8"/>
      <c r="T98" s="8"/>
      <c r="U98" s="8"/>
      <c r="V98" s="8"/>
      <c r="W98" s="8"/>
      <c r="X98" s="8"/>
      <c r="Y98" s="8"/>
      <c r="Z98" s="8"/>
    </row>
    <row r="99">
      <c r="A99" s="8"/>
      <c r="B99" s="8"/>
      <c r="C99" s="8"/>
      <c r="D99" s="69"/>
      <c r="E99" s="25"/>
      <c r="F99" s="25" t="str">
        <f t="shared" si="1"/>
        <v>No</v>
      </c>
      <c r="G99" s="8"/>
      <c r="H99" s="25" t="str">
        <f t="shared" si="2"/>
        <v>No</v>
      </c>
      <c r="I99" s="8"/>
      <c r="J99" s="30" t="str">
        <f t="shared" si="3"/>
        <v/>
      </c>
      <c r="K99" s="30" t="str">
        <f t="shared" si="4"/>
        <v/>
      </c>
      <c r="L99" s="30" t="str">
        <f t="shared" si="5"/>
        <v/>
      </c>
      <c r="M99" s="30" t="str">
        <f t="shared" si="6"/>
        <v/>
      </c>
      <c r="N99" s="30" t="str">
        <f t="shared" si="7"/>
        <v/>
      </c>
      <c r="O99" s="8"/>
      <c r="P99" s="8"/>
      <c r="Q99" s="8"/>
      <c r="R99" s="8"/>
      <c r="S99" s="8"/>
      <c r="T99" s="8"/>
      <c r="U99" s="8"/>
      <c r="V99" s="8"/>
      <c r="W99" s="8"/>
      <c r="X99" s="8"/>
      <c r="Y99" s="8"/>
      <c r="Z99" s="8"/>
    </row>
    <row r="100">
      <c r="A100" s="8"/>
      <c r="B100" s="8"/>
      <c r="C100" s="8"/>
      <c r="D100" s="69"/>
      <c r="E100" s="25"/>
      <c r="F100" s="25" t="str">
        <f t="shared" si="1"/>
        <v>No</v>
      </c>
      <c r="G100" s="8"/>
      <c r="H100" s="25" t="str">
        <f t="shared" si="2"/>
        <v>No</v>
      </c>
      <c r="I100" s="8"/>
      <c r="J100" s="30" t="str">
        <f t="shared" si="3"/>
        <v/>
      </c>
      <c r="K100" s="30" t="str">
        <f t="shared" si="4"/>
        <v/>
      </c>
      <c r="L100" s="30" t="str">
        <f t="shared" si="5"/>
        <v/>
      </c>
      <c r="M100" s="30" t="str">
        <f t="shared" si="6"/>
        <v/>
      </c>
      <c r="N100" s="30" t="str">
        <f t="shared" si="7"/>
        <v/>
      </c>
      <c r="O100" s="8"/>
      <c r="P100" s="8"/>
      <c r="Q100" s="8"/>
      <c r="R100" s="8"/>
      <c r="S100" s="8"/>
      <c r="T100" s="8"/>
      <c r="U100" s="8"/>
      <c r="V100" s="8"/>
      <c r="W100" s="8"/>
      <c r="X100" s="8"/>
      <c r="Y100" s="8"/>
      <c r="Z100" s="8"/>
    </row>
    <row r="101">
      <c r="A101" s="8"/>
      <c r="B101" s="8"/>
      <c r="C101" s="8"/>
      <c r="D101" s="69"/>
      <c r="E101" s="25"/>
      <c r="F101" s="25" t="str">
        <f t="shared" si="1"/>
        <v>No</v>
      </c>
      <c r="G101" s="8"/>
      <c r="H101" s="25" t="str">
        <f t="shared" si="2"/>
        <v>No</v>
      </c>
      <c r="I101" s="8"/>
      <c r="J101" s="30" t="str">
        <f t="shared" si="3"/>
        <v/>
      </c>
      <c r="K101" s="30" t="str">
        <f t="shared" si="4"/>
        <v/>
      </c>
      <c r="L101" s="30" t="str">
        <f t="shared" si="5"/>
        <v/>
      </c>
      <c r="M101" s="30" t="str">
        <f t="shared" si="6"/>
        <v/>
      </c>
      <c r="N101" s="30" t="str">
        <f t="shared" si="7"/>
        <v/>
      </c>
      <c r="O101" s="8"/>
      <c r="P101" s="8"/>
      <c r="Q101" s="8"/>
      <c r="R101" s="8"/>
      <c r="S101" s="8"/>
      <c r="T101" s="8"/>
      <c r="U101" s="8"/>
      <c r="V101" s="8"/>
      <c r="W101" s="8"/>
      <c r="X101" s="8"/>
      <c r="Y101" s="8"/>
      <c r="Z101" s="8"/>
    </row>
    <row r="102">
      <c r="A102" s="8"/>
      <c r="B102" s="8"/>
      <c r="C102" s="8"/>
      <c r="D102" s="69"/>
      <c r="E102" s="25"/>
      <c r="F102" s="25" t="str">
        <f t="shared" si="1"/>
        <v>No</v>
      </c>
      <c r="G102" s="8"/>
      <c r="H102" s="25" t="str">
        <f t="shared" si="2"/>
        <v>No</v>
      </c>
      <c r="I102" s="8"/>
      <c r="J102" s="30" t="str">
        <f t="shared" si="3"/>
        <v/>
      </c>
      <c r="K102" s="30" t="str">
        <f t="shared" si="4"/>
        <v/>
      </c>
      <c r="L102" s="30" t="str">
        <f t="shared" si="5"/>
        <v/>
      </c>
      <c r="M102" s="30" t="str">
        <f t="shared" si="6"/>
        <v/>
      </c>
      <c r="N102" s="30" t="str">
        <f t="shared" si="7"/>
        <v/>
      </c>
      <c r="O102" s="8"/>
      <c r="P102" s="8"/>
      <c r="Q102" s="8"/>
      <c r="R102" s="8"/>
      <c r="S102" s="8"/>
      <c r="T102" s="8"/>
      <c r="U102" s="8"/>
      <c r="V102" s="8"/>
      <c r="W102" s="8"/>
      <c r="X102" s="8"/>
      <c r="Y102" s="8"/>
      <c r="Z102" s="8"/>
    </row>
    <row r="103">
      <c r="A103" s="8"/>
      <c r="B103" s="8"/>
      <c r="C103" s="8"/>
      <c r="D103" s="69"/>
      <c r="E103" s="25"/>
      <c r="F103" s="25" t="str">
        <f t="shared" si="1"/>
        <v>No</v>
      </c>
      <c r="G103" s="8"/>
      <c r="H103" s="25" t="str">
        <f t="shared" si="2"/>
        <v>No</v>
      </c>
      <c r="I103" s="8"/>
      <c r="J103" s="30" t="str">
        <f t="shared" si="3"/>
        <v/>
      </c>
      <c r="K103" s="30" t="str">
        <f t="shared" si="4"/>
        <v/>
      </c>
      <c r="L103" s="30" t="str">
        <f t="shared" si="5"/>
        <v/>
      </c>
      <c r="M103" s="30" t="str">
        <f t="shared" si="6"/>
        <v/>
      </c>
      <c r="N103" s="30" t="str">
        <f t="shared" si="7"/>
        <v/>
      </c>
      <c r="O103" s="8"/>
      <c r="P103" s="8"/>
      <c r="Q103" s="8"/>
      <c r="R103" s="8"/>
      <c r="S103" s="8"/>
      <c r="T103" s="8"/>
      <c r="U103" s="8"/>
      <c r="V103" s="8"/>
      <c r="W103" s="8"/>
      <c r="X103" s="8"/>
      <c r="Y103" s="8"/>
      <c r="Z103" s="8"/>
    </row>
    <row r="104">
      <c r="A104" s="8"/>
      <c r="B104" s="8"/>
      <c r="C104" s="8"/>
      <c r="D104" s="69"/>
      <c r="E104" s="25"/>
      <c r="F104" s="25" t="str">
        <f t="shared" si="1"/>
        <v>No</v>
      </c>
      <c r="G104" s="8"/>
      <c r="H104" s="25" t="str">
        <f t="shared" si="2"/>
        <v>No</v>
      </c>
      <c r="I104" s="8"/>
      <c r="J104" s="30" t="str">
        <f t="shared" si="3"/>
        <v/>
      </c>
      <c r="K104" s="30" t="str">
        <f t="shared" si="4"/>
        <v/>
      </c>
      <c r="L104" s="30" t="str">
        <f t="shared" si="5"/>
        <v/>
      </c>
      <c r="M104" s="30" t="str">
        <f t="shared" si="6"/>
        <v/>
      </c>
      <c r="N104" s="30" t="str">
        <f t="shared" si="7"/>
        <v/>
      </c>
      <c r="O104" s="8"/>
      <c r="P104" s="8"/>
      <c r="Q104" s="8"/>
      <c r="R104" s="8"/>
      <c r="S104" s="8"/>
      <c r="T104" s="8"/>
      <c r="U104" s="8"/>
      <c r="V104" s="8"/>
      <c r="W104" s="8"/>
      <c r="X104" s="8"/>
      <c r="Y104" s="8"/>
      <c r="Z104" s="8"/>
    </row>
    <row r="105">
      <c r="A105" s="8"/>
      <c r="B105" s="8"/>
      <c r="C105" s="8"/>
      <c r="D105" s="69"/>
      <c r="E105" s="25"/>
      <c r="F105" s="25" t="str">
        <f t="shared" si="1"/>
        <v>No</v>
      </c>
      <c r="G105" s="8"/>
      <c r="H105" s="25" t="str">
        <f t="shared" si="2"/>
        <v>No</v>
      </c>
      <c r="I105" s="8"/>
      <c r="J105" s="30" t="str">
        <f t="shared" si="3"/>
        <v/>
      </c>
      <c r="K105" s="30" t="str">
        <f t="shared" si="4"/>
        <v/>
      </c>
      <c r="L105" s="30" t="str">
        <f t="shared" si="5"/>
        <v/>
      </c>
      <c r="M105" s="30" t="str">
        <f t="shared" si="6"/>
        <v/>
      </c>
      <c r="N105" s="30" t="str">
        <f t="shared" si="7"/>
        <v/>
      </c>
      <c r="O105" s="8"/>
      <c r="P105" s="8"/>
      <c r="Q105" s="8"/>
      <c r="R105" s="8"/>
      <c r="S105" s="8"/>
      <c r="T105" s="8"/>
      <c r="U105" s="8"/>
      <c r="V105" s="8"/>
      <c r="W105" s="8"/>
      <c r="X105" s="8"/>
      <c r="Y105" s="8"/>
      <c r="Z105" s="8"/>
    </row>
    <row r="106">
      <c r="A106" s="8"/>
      <c r="B106" s="8"/>
      <c r="C106" s="8"/>
      <c r="D106" s="69"/>
      <c r="E106" s="25"/>
      <c r="F106" s="25" t="str">
        <f t="shared" si="1"/>
        <v>No</v>
      </c>
      <c r="G106" s="8"/>
      <c r="H106" s="25" t="str">
        <f t="shared" si="2"/>
        <v>No</v>
      </c>
      <c r="I106" s="8"/>
      <c r="J106" s="30" t="str">
        <f t="shared" si="3"/>
        <v/>
      </c>
      <c r="K106" s="30" t="str">
        <f t="shared" si="4"/>
        <v/>
      </c>
      <c r="L106" s="30" t="str">
        <f t="shared" si="5"/>
        <v/>
      </c>
      <c r="M106" s="30" t="str">
        <f t="shared" si="6"/>
        <v/>
      </c>
      <c r="N106" s="30" t="str">
        <f t="shared" si="7"/>
        <v/>
      </c>
      <c r="O106" s="8"/>
      <c r="P106" s="8"/>
      <c r="Q106" s="8"/>
      <c r="R106" s="8"/>
      <c r="S106" s="8"/>
      <c r="T106" s="8"/>
      <c r="U106" s="8"/>
      <c r="V106" s="8"/>
      <c r="W106" s="8"/>
      <c r="X106" s="8"/>
      <c r="Y106" s="8"/>
      <c r="Z106" s="8"/>
    </row>
    <row r="107">
      <c r="A107" s="8"/>
      <c r="B107" s="8"/>
      <c r="C107" s="8"/>
      <c r="D107" s="69"/>
      <c r="E107" s="25"/>
      <c r="F107" s="25" t="str">
        <f t="shared" si="1"/>
        <v>No</v>
      </c>
      <c r="G107" s="8"/>
      <c r="H107" s="25" t="str">
        <f t="shared" si="2"/>
        <v>No</v>
      </c>
      <c r="I107" s="8"/>
      <c r="J107" s="30" t="str">
        <f t="shared" si="3"/>
        <v/>
      </c>
      <c r="K107" s="30" t="str">
        <f t="shared" si="4"/>
        <v/>
      </c>
      <c r="L107" s="30" t="str">
        <f t="shared" si="5"/>
        <v/>
      </c>
      <c r="M107" s="30" t="str">
        <f t="shared" si="6"/>
        <v/>
      </c>
      <c r="N107" s="30" t="str">
        <f t="shared" si="7"/>
        <v/>
      </c>
      <c r="O107" s="8"/>
      <c r="P107" s="8"/>
      <c r="Q107" s="8"/>
      <c r="R107" s="8"/>
      <c r="S107" s="8"/>
      <c r="T107" s="8"/>
      <c r="U107" s="8"/>
      <c r="V107" s="8"/>
      <c r="W107" s="8"/>
      <c r="X107" s="8"/>
      <c r="Y107" s="8"/>
      <c r="Z107" s="8"/>
    </row>
    <row r="108">
      <c r="A108" s="8"/>
      <c r="B108" s="8"/>
      <c r="C108" s="8"/>
      <c r="D108" s="69"/>
      <c r="E108" s="25"/>
      <c r="F108" s="25" t="str">
        <f t="shared" si="1"/>
        <v>No</v>
      </c>
      <c r="G108" s="8"/>
      <c r="H108" s="25" t="str">
        <f t="shared" si="2"/>
        <v>No</v>
      </c>
      <c r="I108" s="8"/>
      <c r="J108" s="30" t="str">
        <f t="shared" si="3"/>
        <v/>
      </c>
      <c r="K108" s="30" t="str">
        <f t="shared" si="4"/>
        <v/>
      </c>
      <c r="L108" s="30" t="str">
        <f t="shared" si="5"/>
        <v/>
      </c>
      <c r="M108" s="30" t="str">
        <f t="shared" si="6"/>
        <v/>
      </c>
      <c r="N108" s="30" t="str">
        <f t="shared" si="7"/>
        <v/>
      </c>
      <c r="O108" s="8"/>
      <c r="P108" s="8"/>
      <c r="Q108" s="8"/>
      <c r="R108" s="8"/>
      <c r="S108" s="8"/>
      <c r="T108" s="8"/>
      <c r="U108" s="8"/>
      <c r="V108" s="8"/>
      <c r="W108" s="8"/>
      <c r="X108" s="8"/>
      <c r="Y108" s="8"/>
      <c r="Z108" s="8"/>
    </row>
    <row r="109">
      <c r="A109" s="8"/>
      <c r="B109" s="8"/>
      <c r="C109" s="8"/>
      <c r="D109" s="69"/>
      <c r="E109" s="25"/>
      <c r="F109" s="25" t="str">
        <f t="shared" si="1"/>
        <v>No</v>
      </c>
      <c r="G109" s="8"/>
      <c r="H109" s="25" t="str">
        <f t="shared" si="2"/>
        <v>No</v>
      </c>
      <c r="I109" s="8"/>
      <c r="J109" s="30" t="str">
        <f t="shared" si="3"/>
        <v/>
      </c>
      <c r="K109" s="30" t="str">
        <f t="shared" si="4"/>
        <v/>
      </c>
      <c r="L109" s="30" t="str">
        <f t="shared" si="5"/>
        <v/>
      </c>
      <c r="M109" s="30" t="str">
        <f t="shared" si="6"/>
        <v/>
      </c>
      <c r="N109" s="30" t="str">
        <f t="shared" si="7"/>
        <v/>
      </c>
      <c r="O109" s="8"/>
      <c r="P109" s="8"/>
      <c r="Q109" s="8"/>
      <c r="R109" s="8"/>
      <c r="S109" s="8"/>
      <c r="T109" s="8"/>
      <c r="U109" s="8"/>
      <c r="V109" s="8"/>
      <c r="W109" s="8"/>
      <c r="X109" s="8"/>
      <c r="Y109" s="8"/>
      <c r="Z109" s="8"/>
    </row>
    <row r="110">
      <c r="A110" s="8"/>
      <c r="B110" s="8"/>
      <c r="C110" s="8"/>
      <c r="D110" s="69"/>
      <c r="E110" s="25"/>
      <c r="F110" s="25" t="str">
        <f t="shared" si="1"/>
        <v>No</v>
      </c>
      <c r="G110" s="8"/>
      <c r="H110" s="25" t="str">
        <f t="shared" si="2"/>
        <v>No</v>
      </c>
      <c r="I110" s="8"/>
      <c r="J110" s="30" t="str">
        <f t="shared" si="3"/>
        <v/>
      </c>
      <c r="K110" s="30" t="str">
        <f t="shared" si="4"/>
        <v/>
      </c>
      <c r="L110" s="30" t="str">
        <f t="shared" si="5"/>
        <v/>
      </c>
      <c r="M110" s="30" t="str">
        <f t="shared" si="6"/>
        <v/>
      </c>
      <c r="N110" s="30" t="str">
        <f t="shared" si="7"/>
        <v/>
      </c>
      <c r="O110" s="8"/>
      <c r="P110" s="8"/>
      <c r="Q110" s="8"/>
      <c r="R110" s="8"/>
      <c r="S110" s="8"/>
      <c r="T110" s="8"/>
      <c r="U110" s="8"/>
      <c r="V110" s="8"/>
      <c r="W110" s="8"/>
      <c r="X110" s="8"/>
      <c r="Y110" s="8"/>
      <c r="Z110" s="8"/>
    </row>
    <row r="111">
      <c r="A111" s="8"/>
      <c r="B111" s="8"/>
      <c r="C111" s="8"/>
      <c r="D111" s="69"/>
      <c r="E111" s="25"/>
      <c r="F111" s="25" t="str">
        <f t="shared" si="1"/>
        <v>No</v>
      </c>
      <c r="G111" s="8"/>
      <c r="H111" s="25" t="str">
        <f t="shared" si="2"/>
        <v>No</v>
      </c>
      <c r="I111" s="8"/>
      <c r="J111" s="30" t="str">
        <f t="shared" si="3"/>
        <v/>
      </c>
      <c r="K111" s="30" t="str">
        <f t="shared" si="4"/>
        <v/>
      </c>
      <c r="L111" s="30" t="str">
        <f t="shared" si="5"/>
        <v/>
      </c>
      <c r="M111" s="30" t="str">
        <f t="shared" si="6"/>
        <v/>
      </c>
      <c r="N111" s="30" t="str">
        <f t="shared" si="7"/>
        <v/>
      </c>
      <c r="O111" s="8"/>
      <c r="P111" s="8"/>
      <c r="Q111" s="8"/>
      <c r="R111" s="8"/>
      <c r="S111" s="8"/>
      <c r="T111" s="8"/>
      <c r="U111" s="8"/>
      <c r="V111" s="8"/>
      <c r="W111" s="8"/>
      <c r="X111" s="8"/>
      <c r="Y111" s="8"/>
      <c r="Z111" s="8"/>
    </row>
    <row r="112">
      <c r="A112" s="8"/>
      <c r="B112" s="8"/>
      <c r="C112" s="8"/>
      <c r="D112" s="69"/>
      <c r="E112" s="25"/>
      <c r="F112" s="25" t="str">
        <f t="shared" si="1"/>
        <v>No</v>
      </c>
      <c r="G112" s="8"/>
      <c r="H112" s="25" t="str">
        <f t="shared" si="2"/>
        <v>No</v>
      </c>
      <c r="I112" s="8"/>
      <c r="J112" s="30" t="str">
        <f t="shared" si="3"/>
        <v/>
      </c>
      <c r="K112" s="30" t="str">
        <f t="shared" si="4"/>
        <v/>
      </c>
      <c r="L112" s="30" t="str">
        <f t="shared" si="5"/>
        <v/>
      </c>
      <c r="M112" s="30" t="str">
        <f t="shared" si="6"/>
        <v/>
      </c>
      <c r="N112" s="30" t="str">
        <f t="shared" si="7"/>
        <v/>
      </c>
      <c r="O112" s="8"/>
      <c r="P112" s="8"/>
      <c r="Q112" s="8"/>
      <c r="R112" s="8"/>
      <c r="S112" s="8"/>
      <c r="T112" s="8"/>
      <c r="U112" s="8"/>
      <c r="V112" s="8"/>
      <c r="W112" s="8"/>
      <c r="X112" s="8"/>
      <c r="Y112" s="8"/>
      <c r="Z112" s="8"/>
    </row>
    <row r="113">
      <c r="A113" s="8"/>
      <c r="B113" s="8"/>
      <c r="C113" s="8"/>
      <c r="D113" s="69"/>
      <c r="E113" s="25"/>
      <c r="F113" s="25" t="str">
        <f t="shared" si="1"/>
        <v>No</v>
      </c>
      <c r="G113" s="8"/>
      <c r="H113" s="25" t="str">
        <f t="shared" si="2"/>
        <v>No</v>
      </c>
      <c r="I113" s="8"/>
      <c r="J113" s="30" t="str">
        <f t="shared" si="3"/>
        <v/>
      </c>
      <c r="K113" s="30" t="str">
        <f t="shared" si="4"/>
        <v/>
      </c>
      <c r="L113" s="30" t="str">
        <f t="shared" si="5"/>
        <v/>
      </c>
      <c r="M113" s="30" t="str">
        <f t="shared" si="6"/>
        <v/>
      </c>
      <c r="N113" s="30" t="str">
        <f t="shared" si="7"/>
        <v/>
      </c>
      <c r="O113" s="8"/>
      <c r="P113" s="8"/>
      <c r="Q113" s="8"/>
      <c r="R113" s="8"/>
      <c r="S113" s="8"/>
      <c r="T113" s="8"/>
      <c r="U113" s="8"/>
      <c r="V113" s="8"/>
      <c r="W113" s="8"/>
      <c r="X113" s="8"/>
      <c r="Y113" s="8"/>
      <c r="Z113" s="8"/>
    </row>
    <row r="114">
      <c r="A114" s="8"/>
      <c r="B114" s="8"/>
      <c r="C114" s="8"/>
      <c r="D114" s="69"/>
      <c r="E114" s="25"/>
      <c r="F114" s="25" t="str">
        <f t="shared" si="1"/>
        <v>No</v>
      </c>
      <c r="G114" s="8"/>
      <c r="H114" s="25" t="str">
        <f t="shared" si="2"/>
        <v>No</v>
      </c>
      <c r="I114" s="8"/>
      <c r="J114" s="30" t="str">
        <f t="shared" si="3"/>
        <v/>
      </c>
      <c r="K114" s="30" t="str">
        <f t="shared" si="4"/>
        <v/>
      </c>
      <c r="L114" s="30" t="str">
        <f t="shared" si="5"/>
        <v/>
      </c>
      <c r="M114" s="30" t="str">
        <f t="shared" si="6"/>
        <v/>
      </c>
      <c r="N114" s="30" t="str">
        <f t="shared" si="7"/>
        <v/>
      </c>
      <c r="O114" s="8"/>
      <c r="P114" s="8"/>
      <c r="Q114" s="8"/>
      <c r="R114" s="8"/>
      <c r="S114" s="8"/>
      <c r="T114" s="8"/>
      <c r="U114" s="8"/>
      <c r="V114" s="8"/>
      <c r="W114" s="8"/>
      <c r="X114" s="8"/>
      <c r="Y114" s="8"/>
      <c r="Z114" s="8"/>
    </row>
    <row r="115">
      <c r="A115" s="8"/>
      <c r="B115" s="8"/>
      <c r="C115" s="8"/>
      <c r="D115" s="69"/>
      <c r="E115" s="25"/>
      <c r="F115" s="25" t="str">
        <f t="shared" si="1"/>
        <v>No</v>
      </c>
      <c r="G115" s="8"/>
      <c r="H115" s="25" t="str">
        <f t="shared" si="2"/>
        <v>No</v>
      </c>
      <c r="I115" s="8"/>
      <c r="J115" s="30" t="str">
        <f t="shared" si="3"/>
        <v/>
      </c>
      <c r="K115" s="30" t="str">
        <f t="shared" si="4"/>
        <v/>
      </c>
      <c r="L115" s="30" t="str">
        <f t="shared" si="5"/>
        <v/>
      </c>
      <c r="M115" s="30" t="str">
        <f t="shared" si="6"/>
        <v/>
      </c>
      <c r="N115" s="30" t="str">
        <f t="shared" si="7"/>
        <v/>
      </c>
      <c r="O115" s="8"/>
      <c r="P115" s="8"/>
      <c r="Q115" s="8"/>
      <c r="R115" s="8"/>
      <c r="S115" s="8"/>
      <c r="T115" s="8"/>
      <c r="U115" s="8"/>
      <c r="V115" s="8"/>
      <c r="W115" s="8"/>
      <c r="X115" s="8"/>
      <c r="Y115" s="8"/>
      <c r="Z115" s="8"/>
    </row>
    <row r="116">
      <c r="A116" s="8"/>
      <c r="B116" s="8"/>
      <c r="C116" s="8"/>
      <c r="D116" s="69"/>
      <c r="E116" s="25"/>
      <c r="F116" s="25" t="str">
        <f t="shared" si="1"/>
        <v>No</v>
      </c>
      <c r="G116" s="8"/>
      <c r="H116" s="25" t="str">
        <f t="shared" si="2"/>
        <v>No</v>
      </c>
      <c r="I116" s="8"/>
      <c r="J116" s="30" t="str">
        <f t="shared" si="3"/>
        <v/>
      </c>
      <c r="K116" s="30" t="str">
        <f t="shared" si="4"/>
        <v/>
      </c>
      <c r="L116" s="30" t="str">
        <f t="shared" si="5"/>
        <v/>
      </c>
      <c r="M116" s="30" t="str">
        <f t="shared" si="6"/>
        <v/>
      </c>
      <c r="N116" s="30" t="str">
        <f t="shared" si="7"/>
        <v/>
      </c>
      <c r="O116" s="8"/>
      <c r="P116" s="8"/>
      <c r="Q116" s="8"/>
      <c r="R116" s="8"/>
      <c r="S116" s="8"/>
      <c r="T116" s="8"/>
      <c r="U116" s="8"/>
      <c r="V116" s="8"/>
      <c r="W116" s="8"/>
      <c r="X116" s="8"/>
      <c r="Y116" s="8"/>
      <c r="Z116" s="8"/>
    </row>
    <row r="117">
      <c r="A117" s="8"/>
      <c r="B117" s="8"/>
      <c r="C117" s="8"/>
      <c r="D117" s="69"/>
      <c r="E117" s="25"/>
      <c r="F117" s="25" t="str">
        <f t="shared" si="1"/>
        <v>No</v>
      </c>
      <c r="G117" s="8"/>
      <c r="H117" s="25" t="str">
        <f t="shared" si="2"/>
        <v>No</v>
      </c>
      <c r="I117" s="8"/>
      <c r="J117" s="30" t="str">
        <f t="shared" si="3"/>
        <v/>
      </c>
      <c r="K117" s="30" t="str">
        <f t="shared" si="4"/>
        <v/>
      </c>
      <c r="L117" s="30" t="str">
        <f t="shared" si="5"/>
        <v/>
      </c>
      <c r="M117" s="30" t="str">
        <f t="shared" si="6"/>
        <v/>
      </c>
      <c r="N117" s="30" t="str">
        <f t="shared" si="7"/>
        <v/>
      </c>
      <c r="O117" s="8"/>
      <c r="P117" s="8"/>
      <c r="Q117" s="8"/>
      <c r="R117" s="8"/>
      <c r="S117" s="8"/>
      <c r="T117" s="8"/>
      <c r="U117" s="8"/>
      <c r="V117" s="8"/>
      <c r="W117" s="8"/>
      <c r="X117" s="8"/>
      <c r="Y117" s="8"/>
      <c r="Z117" s="8"/>
    </row>
    <row r="118">
      <c r="A118" s="8"/>
      <c r="B118" s="8"/>
      <c r="C118" s="8"/>
      <c r="D118" s="69"/>
      <c r="E118" s="25"/>
      <c r="F118" s="25" t="str">
        <f t="shared" si="1"/>
        <v>No</v>
      </c>
      <c r="G118" s="8"/>
      <c r="H118" s="25" t="str">
        <f t="shared" si="2"/>
        <v>No</v>
      </c>
      <c r="I118" s="8"/>
      <c r="J118" s="30" t="str">
        <f t="shared" si="3"/>
        <v/>
      </c>
      <c r="K118" s="30" t="str">
        <f t="shared" si="4"/>
        <v/>
      </c>
      <c r="L118" s="30" t="str">
        <f t="shared" si="5"/>
        <v/>
      </c>
      <c r="M118" s="30" t="str">
        <f t="shared" si="6"/>
        <v/>
      </c>
      <c r="N118" s="30" t="str">
        <f t="shared" si="7"/>
        <v/>
      </c>
      <c r="O118" s="8"/>
      <c r="P118" s="8"/>
      <c r="Q118" s="8"/>
      <c r="R118" s="8"/>
      <c r="S118" s="8"/>
      <c r="T118" s="8"/>
      <c r="U118" s="8"/>
      <c r="V118" s="8"/>
      <c r="W118" s="8"/>
      <c r="X118" s="8"/>
      <c r="Y118" s="8"/>
      <c r="Z118" s="8"/>
    </row>
    <row r="119">
      <c r="A119" s="8"/>
      <c r="B119" s="8"/>
      <c r="C119" s="8"/>
      <c r="D119" s="69"/>
      <c r="E119" s="25"/>
      <c r="F119" s="25" t="str">
        <f t="shared" si="1"/>
        <v>No</v>
      </c>
      <c r="G119" s="8"/>
      <c r="H119" s="25" t="str">
        <f t="shared" si="2"/>
        <v>No</v>
      </c>
      <c r="I119" s="8"/>
      <c r="J119" s="30" t="str">
        <f t="shared" si="3"/>
        <v/>
      </c>
      <c r="K119" s="30" t="str">
        <f t="shared" si="4"/>
        <v/>
      </c>
      <c r="L119" s="30" t="str">
        <f t="shared" si="5"/>
        <v/>
      </c>
      <c r="M119" s="30" t="str">
        <f t="shared" si="6"/>
        <v/>
      </c>
      <c r="N119" s="30" t="str">
        <f t="shared" si="7"/>
        <v/>
      </c>
      <c r="O119" s="8"/>
      <c r="P119" s="8"/>
      <c r="Q119" s="8"/>
      <c r="R119" s="8"/>
      <c r="S119" s="8"/>
      <c r="T119" s="8"/>
      <c r="U119" s="8"/>
      <c r="V119" s="8"/>
      <c r="W119" s="8"/>
      <c r="X119" s="8"/>
      <c r="Y119" s="8"/>
      <c r="Z119" s="8"/>
    </row>
    <row r="120">
      <c r="A120" s="8"/>
      <c r="B120" s="8"/>
      <c r="C120" s="8"/>
      <c r="D120" s="69"/>
      <c r="E120" s="25"/>
      <c r="F120" s="25" t="str">
        <f t="shared" si="1"/>
        <v>No</v>
      </c>
      <c r="G120" s="8"/>
      <c r="H120" s="25" t="str">
        <f t="shared" si="2"/>
        <v>No</v>
      </c>
      <c r="I120" s="8"/>
      <c r="J120" s="30" t="str">
        <f t="shared" si="3"/>
        <v/>
      </c>
      <c r="K120" s="30" t="str">
        <f t="shared" si="4"/>
        <v/>
      </c>
      <c r="L120" s="30" t="str">
        <f t="shared" si="5"/>
        <v/>
      </c>
      <c r="M120" s="30" t="str">
        <f t="shared" si="6"/>
        <v/>
      </c>
      <c r="N120" s="30" t="str">
        <f t="shared" si="7"/>
        <v/>
      </c>
      <c r="O120" s="8"/>
      <c r="P120" s="8"/>
      <c r="Q120" s="8"/>
      <c r="R120" s="8"/>
      <c r="S120" s="8"/>
      <c r="T120" s="8"/>
      <c r="U120" s="8"/>
      <c r="V120" s="8"/>
      <c r="W120" s="8"/>
      <c r="X120" s="8"/>
      <c r="Y120" s="8"/>
      <c r="Z120" s="8"/>
    </row>
    <row r="121">
      <c r="A121" s="8"/>
      <c r="B121" s="8"/>
      <c r="C121" s="8"/>
      <c r="D121" s="69"/>
      <c r="E121" s="25"/>
      <c r="F121" s="25" t="str">
        <f t="shared" si="1"/>
        <v>No</v>
      </c>
      <c r="G121" s="8"/>
      <c r="H121" s="25" t="str">
        <f t="shared" si="2"/>
        <v>No</v>
      </c>
      <c r="I121" s="8"/>
      <c r="J121" s="30" t="str">
        <f t="shared" si="3"/>
        <v/>
      </c>
      <c r="K121" s="30" t="str">
        <f t="shared" si="4"/>
        <v/>
      </c>
      <c r="L121" s="30" t="str">
        <f t="shared" si="5"/>
        <v/>
      </c>
      <c r="M121" s="30" t="str">
        <f t="shared" si="6"/>
        <v/>
      </c>
      <c r="N121" s="30" t="str">
        <f t="shared" si="7"/>
        <v/>
      </c>
      <c r="O121" s="8"/>
      <c r="P121" s="8"/>
      <c r="Q121" s="8"/>
      <c r="R121" s="8"/>
      <c r="S121" s="8"/>
      <c r="T121" s="8"/>
      <c r="U121" s="8"/>
      <c r="V121" s="8"/>
      <c r="W121" s="8"/>
      <c r="X121" s="8"/>
      <c r="Y121" s="8"/>
      <c r="Z121" s="8"/>
    </row>
    <row r="122">
      <c r="A122" s="8"/>
      <c r="B122" s="8"/>
      <c r="C122" s="8"/>
      <c r="D122" s="69"/>
      <c r="E122" s="25"/>
      <c r="F122" s="25" t="str">
        <f t="shared" si="1"/>
        <v>No</v>
      </c>
      <c r="G122" s="8"/>
      <c r="H122" s="25" t="str">
        <f t="shared" si="2"/>
        <v>No</v>
      </c>
      <c r="I122" s="8"/>
      <c r="J122" s="30" t="str">
        <f t="shared" si="3"/>
        <v/>
      </c>
      <c r="K122" s="30" t="str">
        <f t="shared" si="4"/>
        <v/>
      </c>
      <c r="L122" s="30" t="str">
        <f t="shared" si="5"/>
        <v/>
      </c>
      <c r="M122" s="30" t="str">
        <f t="shared" si="6"/>
        <v/>
      </c>
      <c r="N122" s="30" t="str">
        <f t="shared" si="7"/>
        <v/>
      </c>
      <c r="O122" s="8"/>
      <c r="P122" s="8"/>
      <c r="Q122" s="8"/>
      <c r="R122" s="8"/>
      <c r="S122" s="8"/>
      <c r="T122" s="8"/>
      <c r="U122" s="8"/>
      <c r="V122" s="8"/>
      <c r="W122" s="8"/>
      <c r="X122" s="8"/>
      <c r="Y122" s="8"/>
      <c r="Z122" s="8"/>
    </row>
    <row r="123">
      <c r="A123" s="8"/>
      <c r="B123" s="8"/>
      <c r="C123" s="8"/>
      <c r="D123" s="69"/>
      <c r="E123" s="25"/>
      <c r="F123" s="25" t="str">
        <f t="shared" si="1"/>
        <v>No</v>
      </c>
      <c r="G123" s="8"/>
      <c r="H123" s="25" t="str">
        <f t="shared" si="2"/>
        <v>No</v>
      </c>
      <c r="I123" s="8"/>
      <c r="J123" s="30" t="str">
        <f t="shared" si="3"/>
        <v/>
      </c>
      <c r="K123" s="30" t="str">
        <f t="shared" si="4"/>
        <v/>
      </c>
      <c r="L123" s="30" t="str">
        <f t="shared" si="5"/>
        <v/>
      </c>
      <c r="M123" s="30" t="str">
        <f t="shared" si="6"/>
        <v/>
      </c>
      <c r="N123" s="30" t="str">
        <f t="shared" si="7"/>
        <v/>
      </c>
      <c r="O123" s="8"/>
      <c r="P123" s="8"/>
      <c r="Q123" s="8"/>
      <c r="R123" s="8"/>
      <c r="S123" s="8"/>
      <c r="T123" s="8"/>
      <c r="U123" s="8"/>
      <c r="V123" s="8"/>
      <c r="W123" s="8"/>
      <c r="X123" s="8"/>
      <c r="Y123" s="8"/>
      <c r="Z123" s="8"/>
    </row>
    <row r="124">
      <c r="A124" s="8"/>
      <c r="B124" s="8"/>
      <c r="C124" s="8"/>
      <c r="D124" s="69"/>
      <c r="E124" s="25"/>
      <c r="F124" s="25" t="str">
        <f t="shared" si="1"/>
        <v>No</v>
      </c>
      <c r="G124" s="8"/>
      <c r="H124" s="25" t="str">
        <f t="shared" si="2"/>
        <v>No</v>
      </c>
      <c r="I124" s="8"/>
      <c r="J124" s="30" t="str">
        <f t="shared" si="3"/>
        <v/>
      </c>
      <c r="K124" s="30" t="str">
        <f t="shared" si="4"/>
        <v/>
      </c>
      <c r="L124" s="30" t="str">
        <f t="shared" si="5"/>
        <v/>
      </c>
      <c r="M124" s="30" t="str">
        <f t="shared" si="6"/>
        <v/>
      </c>
      <c r="N124" s="30" t="str">
        <f t="shared" si="7"/>
        <v/>
      </c>
      <c r="O124" s="8"/>
      <c r="P124" s="8"/>
      <c r="Q124" s="8"/>
      <c r="R124" s="8"/>
      <c r="S124" s="8"/>
      <c r="T124" s="8"/>
      <c r="U124" s="8"/>
      <c r="V124" s="8"/>
      <c r="W124" s="8"/>
      <c r="X124" s="8"/>
      <c r="Y124" s="8"/>
      <c r="Z124" s="8"/>
    </row>
    <row r="125">
      <c r="A125" s="8"/>
      <c r="B125" s="8"/>
      <c r="C125" s="8"/>
      <c r="D125" s="69"/>
      <c r="E125" s="25"/>
      <c r="F125" s="25" t="str">
        <f t="shared" si="1"/>
        <v>No</v>
      </c>
      <c r="G125" s="8"/>
      <c r="H125" s="25" t="str">
        <f t="shared" si="2"/>
        <v>No</v>
      </c>
      <c r="I125" s="8"/>
      <c r="J125" s="30" t="str">
        <f t="shared" si="3"/>
        <v/>
      </c>
      <c r="K125" s="30" t="str">
        <f t="shared" si="4"/>
        <v/>
      </c>
      <c r="L125" s="30" t="str">
        <f t="shared" si="5"/>
        <v/>
      </c>
      <c r="M125" s="30" t="str">
        <f t="shared" si="6"/>
        <v/>
      </c>
      <c r="N125" s="30" t="str">
        <f t="shared" si="7"/>
        <v/>
      </c>
      <c r="O125" s="8"/>
      <c r="P125" s="8"/>
      <c r="Q125" s="8"/>
      <c r="R125" s="8"/>
      <c r="S125" s="8"/>
      <c r="T125" s="8"/>
      <c r="U125" s="8"/>
      <c r="V125" s="8"/>
      <c r="W125" s="8"/>
      <c r="X125" s="8"/>
      <c r="Y125" s="8"/>
      <c r="Z125" s="8"/>
    </row>
    <row r="126">
      <c r="A126" s="8"/>
      <c r="B126" s="8"/>
      <c r="C126" s="8"/>
      <c r="D126" s="69"/>
      <c r="E126" s="25"/>
      <c r="F126" s="25" t="str">
        <f t="shared" si="1"/>
        <v>No</v>
      </c>
      <c r="G126" s="8"/>
      <c r="H126" s="25" t="str">
        <f t="shared" si="2"/>
        <v>No</v>
      </c>
      <c r="I126" s="8"/>
      <c r="J126" s="30" t="str">
        <f t="shared" si="3"/>
        <v/>
      </c>
      <c r="K126" s="30" t="str">
        <f t="shared" si="4"/>
        <v/>
      </c>
      <c r="L126" s="30" t="str">
        <f t="shared" si="5"/>
        <v/>
      </c>
      <c r="M126" s="30" t="str">
        <f t="shared" si="6"/>
        <v/>
      </c>
      <c r="N126" s="30" t="str">
        <f t="shared" si="7"/>
        <v/>
      </c>
      <c r="O126" s="8"/>
      <c r="P126" s="8"/>
      <c r="Q126" s="8"/>
      <c r="R126" s="8"/>
      <c r="S126" s="8"/>
      <c r="T126" s="8"/>
      <c r="U126" s="8"/>
      <c r="V126" s="8"/>
      <c r="W126" s="8"/>
      <c r="X126" s="8"/>
      <c r="Y126" s="8"/>
      <c r="Z126" s="8"/>
    </row>
    <row r="127">
      <c r="A127" s="8"/>
      <c r="B127" s="8"/>
      <c r="C127" s="8"/>
      <c r="D127" s="69"/>
      <c r="E127" s="25"/>
      <c r="F127" s="25" t="str">
        <f t="shared" si="1"/>
        <v>No</v>
      </c>
      <c r="G127" s="8"/>
      <c r="H127" s="25" t="str">
        <f t="shared" si="2"/>
        <v>No</v>
      </c>
      <c r="I127" s="8"/>
      <c r="J127" s="30" t="str">
        <f t="shared" si="3"/>
        <v/>
      </c>
      <c r="K127" s="30" t="str">
        <f t="shared" si="4"/>
        <v/>
      </c>
      <c r="L127" s="30" t="str">
        <f t="shared" si="5"/>
        <v/>
      </c>
      <c r="M127" s="30" t="str">
        <f t="shared" si="6"/>
        <v/>
      </c>
      <c r="N127" s="30" t="str">
        <f t="shared" si="7"/>
        <v/>
      </c>
      <c r="O127" s="8"/>
      <c r="P127" s="8"/>
      <c r="Q127" s="8"/>
      <c r="R127" s="8"/>
      <c r="S127" s="8"/>
      <c r="T127" s="8"/>
      <c r="U127" s="8"/>
      <c r="V127" s="8"/>
      <c r="W127" s="8"/>
      <c r="X127" s="8"/>
      <c r="Y127" s="8"/>
      <c r="Z127" s="8"/>
    </row>
    <row r="128">
      <c r="A128" s="8"/>
      <c r="B128" s="8"/>
      <c r="C128" s="8"/>
      <c r="D128" s="69"/>
      <c r="E128" s="25"/>
      <c r="F128" s="25" t="str">
        <f t="shared" si="1"/>
        <v>No</v>
      </c>
      <c r="G128" s="8"/>
      <c r="H128" s="25" t="str">
        <f t="shared" si="2"/>
        <v>No</v>
      </c>
      <c r="I128" s="8"/>
      <c r="J128" s="30" t="str">
        <f t="shared" si="3"/>
        <v/>
      </c>
      <c r="K128" s="30" t="str">
        <f t="shared" si="4"/>
        <v/>
      </c>
      <c r="L128" s="30" t="str">
        <f t="shared" si="5"/>
        <v/>
      </c>
      <c r="M128" s="30" t="str">
        <f t="shared" si="6"/>
        <v/>
      </c>
      <c r="N128" s="30" t="str">
        <f t="shared" si="7"/>
        <v/>
      </c>
      <c r="O128" s="8"/>
      <c r="P128" s="8"/>
      <c r="Q128" s="8"/>
      <c r="R128" s="8"/>
      <c r="S128" s="8"/>
      <c r="T128" s="8"/>
      <c r="U128" s="8"/>
      <c r="V128" s="8"/>
      <c r="W128" s="8"/>
      <c r="X128" s="8"/>
      <c r="Y128" s="8"/>
      <c r="Z128" s="8"/>
    </row>
    <row r="129">
      <c r="A129" s="8"/>
      <c r="B129" s="8"/>
      <c r="C129" s="8"/>
      <c r="D129" s="69"/>
      <c r="E129" s="25"/>
      <c r="F129" s="25" t="str">
        <f t="shared" si="1"/>
        <v>No</v>
      </c>
      <c r="G129" s="8"/>
      <c r="H129" s="25" t="str">
        <f t="shared" si="2"/>
        <v>No</v>
      </c>
      <c r="I129" s="8"/>
      <c r="J129" s="30" t="str">
        <f t="shared" si="3"/>
        <v/>
      </c>
      <c r="K129" s="30" t="str">
        <f t="shared" si="4"/>
        <v/>
      </c>
      <c r="L129" s="30" t="str">
        <f t="shared" si="5"/>
        <v/>
      </c>
      <c r="M129" s="30" t="str">
        <f t="shared" si="6"/>
        <v/>
      </c>
      <c r="N129" s="30" t="str">
        <f t="shared" si="7"/>
        <v/>
      </c>
      <c r="O129" s="8"/>
      <c r="P129" s="8"/>
      <c r="Q129" s="8"/>
      <c r="R129" s="8"/>
      <c r="S129" s="8"/>
      <c r="T129" s="8"/>
      <c r="U129" s="8"/>
      <c r="V129" s="8"/>
      <c r="W129" s="8"/>
      <c r="X129" s="8"/>
      <c r="Y129" s="8"/>
      <c r="Z129" s="8"/>
    </row>
    <row r="130">
      <c r="A130" s="8"/>
      <c r="B130" s="8"/>
      <c r="C130" s="8"/>
      <c r="D130" s="69"/>
      <c r="E130" s="25"/>
      <c r="F130" s="25" t="str">
        <f t="shared" si="1"/>
        <v>No</v>
      </c>
      <c r="G130" s="8"/>
      <c r="H130" s="25" t="str">
        <f t="shared" si="2"/>
        <v>No</v>
      </c>
      <c r="I130" s="8"/>
      <c r="J130" s="30" t="str">
        <f t="shared" si="3"/>
        <v/>
      </c>
      <c r="K130" s="30" t="str">
        <f t="shared" si="4"/>
        <v/>
      </c>
      <c r="L130" s="30" t="str">
        <f t="shared" si="5"/>
        <v/>
      </c>
      <c r="M130" s="30" t="str">
        <f t="shared" si="6"/>
        <v/>
      </c>
      <c r="N130" s="30" t="str">
        <f t="shared" si="7"/>
        <v/>
      </c>
      <c r="O130" s="8"/>
      <c r="P130" s="8"/>
      <c r="Q130" s="8"/>
      <c r="R130" s="8"/>
      <c r="S130" s="8"/>
      <c r="T130" s="8"/>
      <c r="U130" s="8"/>
      <c r="V130" s="8"/>
      <c r="W130" s="8"/>
      <c r="X130" s="8"/>
      <c r="Y130" s="8"/>
      <c r="Z130" s="8"/>
    </row>
    <row r="131">
      <c r="A131" s="8"/>
      <c r="B131" s="8"/>
      <c r="C131" s="8"/>
      <c r="D131" s="69"/>
      <c r="E131" s="25"/>
      <c r="F131" s="25" t="str">
        <f t="shared" si="1"/>
        <v>No</v>
      </c>
      <c r="G131" s="8"/>
      <c r="H131" s="25" t="str">
        <f t="shared" si="2"/>
        <v>No</v>
      </c>
      <c r="I131" s="8"/>
      <c r="J131" s="30" t="str">
        <f t="shared" si="3"/>
        <v/>
      </c>
      <c r="K131" s="30" t="str">
        <f t="shared" si="4"/>
        <v/>
      </c>
      <c r="L131" s="30" t="str">
        <f t="shared" si="5"/>
        <v/>
      </c>
      <c r="M131" s="30" t="str">
        <f t="shared" si="6"/>
        <v/>
      </c>
      <c r="N131" s="30" t="str">
        <f t="shared" si="7"/>
        <v/>
      </c>
      <c r="O131" s="8"/>
      <c r="P131" s="8"/>
      <c r="Q131" s="8"/>
      <c r="R131" s="8"/>
      <c r="S131" s="8"/>
      <c r="T131" s="8"/>
      <c r="U131" s="8"/>
      <c r="V131" s="8"/>
      <c r="W131" s="8"/>
      <c r="X131" s="8"/>
      <c r="Y131" s="8"/>
      <c r="Z131" s="8"/>
    </row>
    <row r="132">
      <c r="A132" s="8"/>
      <c r="B132" s="8"/>
      <c r="C132" s="8"/>
      <c r="D132" s="69"/>
      <c r="E132" s="25"/>
      <c r="F132" s="25" t="str">
        <f t="shared" si="1"/>
        <v>No</v>
      </c>
      <c r="G132" s="8"/>
      <c r="H132" s="25" t="str">
        <f t="shared" si="2"/>
        <v>No</v>
      </c>
      <c r="I132" s="8"/>
      <c r="J132" s="30" t="str">
        <f t="shared" si="3"/>
        <v/>
      </c>
      <c r="K132" s="30" t="str">
        <f t="shared" si="4"/>
        <v/>
      </c>
      <c r="L132" s="30" t="str">
        <f t="shared" si="5"/>
        <v/>
      </c>
      <c r="M132" s="30" t="str">
        <f t="shared" si="6"/>
        <v/>
      </c>
      <c r="N132" s="30" t="str">
        <f t="shared" si="7"/>
        <v/>
      </c>
      <c r="O132" s="8"/>
      <c r="P132" s="8"/>
      <c r="Q132" s="8"/>
      <c r="R132" s="8"/>
      <c r="S132" s="8"/>
      <c r="T132" s="8"/>
      <c r="U132" s="8"/>
      <c r="V132" s="8"/>
      <c r="W132" s="8"/>
      <c r="X132" s="8"/>
      <c r="Y132" s="8"/>
      <c r="Z132" s="8"/>
    </row>
    <row r="133">
      <c r="A133" s="8"/>
      <c r="B133" s="8"/>
      <c r="C133" s="8"/>
      <c r="D133" s="69"/>
      <c r="E133" s="25"/>
      <c r="F133" s="25" t="str">
        <f t="shared" si="1"/>
        <v>No</v>
      </c>
      <c r="G133" s="8"/>
      <c r="H133" s="25" t="str">
        <f t="shared" si="2"/>
        <v>No</v>
      </c>
      <c r="I133" s="8"/>
      <c r="J133" s="30" t="str">
        <f t="shared" si="3"/>
        <v/>
      </c>
      <c r="K133" s="30" t="str">
        <f t="shared" si="4"/>
        <v/>
      </c>
      <c r="L133" s="30" t="str">
        <f t="shared" si="5"/>
        <v/>
      </c>
      <c r="M133" s="30" t="str">
        <f t="shared" si="6"/>
        <v/>
      </c>
      <c r="N133" s="30" t="str">
        <f t="shared" si="7"/>
        <v/>
      </c>
      <c r="O133" s="8"/>
      <c r="P133" s="8"/>
      <c r="Q133" s="8"/>
      <c r="R133" s="8"/>
      <c r="S133" s="8"/>
      <c r="T133" s="8"/>
      <c r="U133" s="8"/>
      <c r="V133" s="8"/>
      <c r="W133" s="8"/>
      <c r="X133" s="8"/>
      <c r="Y133" s="8"/>
      <c r="Z133" s="8"/>
    </row>
    <row r="134">
      <c r="A134" s="8"/>
      <c r="B134" s="8"/>
      <c r="C134" s="8"/>
      <c r="D134" s="69"/>
      <c r="E134" s="25"/>
      <c r="F134" s="25" t="str">
        <f t="shared" si="1"/>
        <v>No</v>
      </c>
      <c r="G134" s="8"/>
      <c r="H134" s="25" t="str">
        <f t="shared" si="2"/>
        <v>No</v>
      </c>
      <c r="I134" s="8"/>
      <c r="J134" s="30" t="str">
        <f t="shared" si="3"/>
        <v/>
      </c>
      <c r="K134" s="30" t="str">
        <f t="shared" si="4"/>
        <v/>
      </c>
      <c r="L134" s="30" t="str">
        <f t="shared" si="5"/>
        <v/>
      </c>
      <c r="M134" s="30" t="str">
        <f t="shared" si="6"/>
        <v/>
      </c>
      <c r="N134" s="30" t="str">
        <f t="shared" si="7"/>
        <v/>
      </c>
      <c r="O134" s="8"/>
      <c r="P134" s="8"/>
      <c r="Q134" s="8"/>
      <c r="R134" s="8"/>
      <c r="S134" s="8"/>
      <c r="T134" s="8"/>
      <c r="U134" s="8"/>
      <c r="V134" s="8"/>
      <c r="W134" s="8"/>
      <c r="X134" s="8"/>
      <c r="Y134" s="8"/>
      <c r="Z134" s="8"/>
    </row>
    <row r="135">
      <c r="A135" s="8"/>
      <c r="B135" s="8"/>
      <c r="C135" s="8"/>
      <c r="D135" s="69"/>
      <c r="E135" s="25"/>
      <c r="F135" s="25" t="str">
        <f t="shared" si="1"/>
        <v>No</v>
      </c>
      <c r="G135" s="8"/>
      <c r="H135" s="25" t="str">
        <f t="shared" si="2"/>
        <v>No</v>
      </c>
      <c r="I135" s="8"/>
      <c r="J135" s="30" t="str">
        <f t="shared" si="3"/>
        <v/>
      </c>
      <c r="K135" s="30" t="str">
        <f t="shared" si="4"/>
        <v/>
      </c>
      <c r="L135" s="30" t="str">
        <f t="shared" si="5"/>
        <v/>
      </c>
      <c r="M135" s="30" t="str">
        <f t="shared" si="6"/>
        <v/>
      </c>
      <c r="N135" s="30" t="str">
        <f t="shared" si="7"/>
        <v/>
      </c>
      <c r="O135" s="8"/>
      <c r="P135" s="8"/>
      <c r="Q135" s="8"/>
      <c r="R135" s="8"/>
      <c r="S135" s="8"/>
      <c r="T135" s="8"/>
      <c r="U135" s="8"/>
      <c r="V135" s="8"/>
      <c r="W135" s="8"/>
      <c r="X135" s="8"/>
      <c r="Y135" s="8"/>
      <c r="Z135" s="8"/>
    </row>
    <row r="136">
      <c r="A136" s="8"/>
      <c r="B136" s="8"/>
      <c r="C136" s="8"/>
      <c r="D136" s="69"/>
      <c r="E136" s="25"/>
      <c r="F136" s="25" t="str">
        <f t="shared" si="1"/>
        <v>No</v>
      </c>
      <c r="G136" s="8"/>
      <c r="H136" s="25" t="str">
        <f t="shared" si="2"/>
        <v>No</v>
      </c>
      <c r="I136" s="8"/>
      <c r="J136" s="30" t="str">
        <f t="shared" si="3"/>
        <v/>
      </c>
      <c r="K136" s="30" t="str">
        <f t="shared" si="4"/>
        <v/>
      </c>
      <c r="L136" s="30" t="str">
        <f t="shared" si="5"/>
        <v/>
      </c>
      <c r="M136" s="30" t="str">
        <f t="shared" si="6"/>
        <v/>
      </c>
      <c r="N136" s="30" t="str">
        <f t="shared" si="7"/>
        <v/>
      </c>
      <c r="O136" s="8"/>
      <c r="P136" s="8"/>
      <c r="Q136" s="8"/>
      <c r="R136" s="8"/>
      <c r="S136" s="8"/>
      <c r="T136" s="8"/>
      <c r="U136" s="8"/>
      <c r="V136" s="8"/>
      <c r="W136" s="8"/>
      <c r="X136" s="8"/>
      <c r="Y136" s="8"/>
      <c r="Z136" s="8"/>
    </row>
    <row r="137">
      <c r="A137" s="8"/>
      <c r="B137" s="8"/>
      <c r="C137" s="8"/>
      <c r="D137" s="69"/>
      <c r="E137" s="25"/>
      <c r="F137" s="25" t="str">
        <f t="shared" si="1"/>
        <v>No</v>
      </c>
      <c r="G137" s="8"/>
      <c r="H137" s="25" t="str">
        <f t="shared" si="2"/>
        <v>No</v>
      </c>
      <c r="I137" s="8"/>
      <c r="J137" s="30" t="str">
        <f t="shared" si="3"/>
        <v/>
      </c>
      <c r="K137" s="30" t="str">
        <f t="shared" si="4"/>
        <v/>
      </c>
      <c r="L137" s="30" t="str">
        <f t="shared" si="5"/>
        <v/>
      </c>
      <c r="M137" s="30" t="str">
        <f t="shared" si="6"/>
        <v/>
      </c>
      <c r="N137" s="30" t="str">
        <f t="shared" si="7"/>
        <v/>
      </c>
      <c r="O137" s="8"/>
      <c r="P137" s="8"/>
      <c r="Q137" s="8"/>
      <c r="R137" s="8"/>
      <c r="S137" s="8"/>
      <c r="T137" s="8"/>
      <c r="U137" s="8"/>
      <c r="V137" s="8"/>
      <c r="W137" s="8"/>
      <c r="X137" s="8"/>
      <c r="Y137" s="8"/>
      <c r="Z137" s="8"/>
    </row>
    <row r="138">
      <c r="A138" s="8"/>
      <c r="B138" s="8"/>
      <c r="C138" s="8"/>
      <c r="D138" s="69"/>
      <c r="E138" s="25"/>
      <c r="F138" s="25" t="str">
        <f t="shared" si="1"/>
        <v>No</v>
      </c>
      <c r="G138" s="8"/>
      <c r="H138" s="25" t="str">
        <f t="shared" si="2"/>
        <v>No</v>
      </c>
      <c r="I138" s="8"/>
      <c r="J138" s="30" t="str">
        <f t="shared" si="3"/>
        <v/>
      </c>
      <c r="K138" s="30" t="str">
        <f t="shared" si="4"/>
        <v/>
      </c>
      <c r="L138" s="30" t="str">
        <f t="shared" si="5"/>
        <v/>
      </c>
      <c r="M138" s="30" t="str">
        <f t="shared" si="6"/>
        <v/>
      </c>
      <c r="N138" s="30" t="str">
        <f t="shared" si="7"/>
        <v/>
      </c>
      <c r="O138" s="8"/>
      <c r="P138" s="8"/>
      <c r="Q138" s="8"/>
      <c r="R138" s="8"/>
      <c r="S138" s="8"/>
      <c r="T138" s="8"/>
      <c r="U138" s="8"/>
      <c r="V138" s="8"/>
      <c r="W138" s="8"/>
      <c r="X138" s="8"/>
      <c r="Y138" s="8"/>
      <c r="Z138" s="8"/>
    </row>
    <row r="139">
      <c r="A139" s="8"/>
      <c r="B139" s="8"/>
      <c r="C139" s="8"/>
      <c r="D139" s="69"/>
      <c r="E139" s="25"/>
      <c r="F139" s="25" t="str">
        <f t="shared" si="1"/>
        <v>No</v>
      </c>
      <c r="G139" s="8"/>
      <c r="H139" s="25" t="str">
        <f t="shared" si="2"/>
        <v>No</v>
      </c>
      <c r="I139" s="8"/>
      <c r="J139" s="30" t="str">
        <f t="shared" si="3"/>
        <v/>
      </c>
      <c r="K139" s="30" t="str">
        <f t="shared" si="4"/>
        <v/>
      </c>
      <c r="L139" s="30" t="str">
        <f t="shared" si="5"/>
        <v/>
      </c>
      <c r="M139" s="30" t="str">
        <f t="shared" si="6"/>
        <v/>
      </c>
      <c r="N139" s="30" t="str">
        <f t="shared" si="7"/>
        <v/>
      </c>
      <c r="O139" s="8"/>
      <c r="P139" s="8"/>
      <c r="Q139" s="8"/>
      <c r="R139" s="8"/>
      <c r="S139" s="8"/>
      <c r="T139" s="8"/>
      <c r="U139" s="8"/>
      <c r="V139" s="8"/>
      <c r="W139" s="8"/>
      <c r="X139" s="8"/>
      <c r="Y139" s="8"/>
      <c r="Z139" s="8"/>
    </row>
    <row r="140">
      <c r="A140" s="8"/>
      <c r="B140" s="8"/>
      <c r="C140" s="8"/>
      <c r="D140" s="69"/>
      <c r="E140" s="25"/>
      <c r="F140" s="25" t="str">
        <f t="shared" si="1"/>
        <v>No</v>
      </c>
      <c r="G140" s="8"/>
      <c r="H140" s="25" t="str">
        <f t="shared" si="2"/>
        <v>No</v>
      </c>
      <c r="I140" s="8"/>
      <c r="J140" s="30" t="str">
        <f t="shared" si="3"/>
        <v/>
      </c>
      <c r="K140" s="30" t="str">
        <f t="shared" si="4"/>
        <v/>
      </c>
      <c r="L140" s="30" t="str">
        <f t="shared" si="5"/>
        <v/>
      </c>
      <c r="M140" s="30" t="str">
        <f t="shared" si="6"/>
        <v/>
      </c>
      <c r="N140" s="30" t="str">
        <f t="shared" si="7"/>
        <v/>
      </c>
      <c r="O140" s="8"/>
      <c r="P140" s="8"/>
      <c r="Q140" s="8"/>
      <c r="R140" s="8"/>
      <c r="S140" s="8"/>
      <c r="T140" s="8"/>
      <c r="U140" s="8"/>
      <c r="V140" s="8"/>
      <c r="W140" s="8"/>
      <c r="X140" s="8"/>
      <c r="Y140" s="8"/>
      <c r="Z140" s="8"/>
    </row>
    <row r="141">
      <c r="A141" s="8"/>
      <c r="B141" s="8"/>
      <c r="C141" s="8"/>
      <c r="D141" s="69"/>
      <c r="E141" s="25"/>
      <c r="F141" s="25" t="str">
        <f t="shared" si="1"/>
        <v>No</v>
      </c>
      <c r="G141" s="8"/>
      <c r="H141" s="25" t="str">
        <f t="shared" si="2"/>
        <v>No</v>
      </c>
      <c r="I141" s="8"/>
      <c r="J141" s="30" t="str">
        <f t="shared" si="3"/>
        <v/>
      </c>
      <c r="K141" s="30" t="str">
        <f t="shared" si="4"/>
        <v/>
      </c>
      <c r="L141" s="30" t="str">
        <f t="shared" si="5"/>
        <v/>
      </c>
      <c r="M141" s="30" t="str">
        <f t="shared" si="6"/>
        <v/>
      </c>
      <c r="N141" s="30" t="str">
        <f t="shared" si="7"/>
        <v/>
      </c>
      <c r="O141" s="8"/>
      <c r="P141" s="8"/>
      <c r="Q141" s="8"/>
      <c r="R141" s="8"/>
      <c r="S141" s="8"/>
      <c r="T141" s="8"/>
      <c r="U141" s="8"/>
      <c r="V141" s="8"/>
      <c r="W141" s="8"/>
      <c r="X141" s="8"/>
      <c r="Y141" s="8"/>
      <c r="Z141" s="8"/>
    </row>
    <row r="142">
      <c r="A142" s="8"/>
      <c r="B142" s="8"/>
      <c r="C142" s="8"/>
      <c r="D142" s="69"/>
      <c r="E142" s="25"/>
      <c r="F142" s="25" t="str">
        <f t="shared" si="1"/>
        <v>No</v>
      </c>
      <c r="G142" s="8"/>
      <c r="H142" s="25" t="str">
        <f t="shared" si="2"/>
        <v>No</v>
      </c>
      <c r="I142" s="8"/>
      <c r="J142" s="30" t="str">
        <f t="shared" si="3"/>
        <v/>
      </c>
      <c r="K142" s="30" t="str">
        <f t="shared" si="4"/>
        <v/>
      </c>
      <c r="L142" s="30" t="str">
        <f t="shared" si="5"/>
        <v/>
      </c>
      <c r="M142" s="30" t="str">
        <f t="shared" si="6"/>
        <v/>
      </c>
      <c r="N142" s="30" t="str">
        <f t="shared" si="7"/>
        <v/>
      </c>
      <c r="O142" s="8"/>
      <c r="P142" s="8"/>
      <c r="Q142" s="8"/>
      <c r="R142" s="8"/>
      <c r="S142" s="8"/>
      <c r="T142" s="8"/>
      <c r="U142" s="8"/>
      <c r="V142" s="8"/>
      <c r="W142" s="8"/>
      <c r="X142" s="8"/>
      <c r="Y142" s="8"/>
      <c r="Z142" s="8"/>
    </row>
    <row r="143">
      <c r="A143" s="8"/>
      <c r="B143" s="8"/>
      <c r="C143" s="8"/>
      <c r="D143" s="69"/>
      <c r="E143" s="25"/>
      <c r="F143" s="25" t="str">
        <f t="shared" si="1"/>
        <v>No</v>
      </c>
      <c r="G143" s="8"/>
      <c r="H143" s="25" t="str">
        <f t="shared" si="2"/>
        <v>No</v>
      </c>
      <c r="I143" s="8"/>
      <c r="J143" s="30" t="str">
        <f t="shared" si="3"/>
        <v/>
      </c>
      <c r="K143" s="30" t="str">
        <f t="shared" si="4"/>
        <v/>
      </c>
      <c r="L143" s="30" t="str">
        <f t="shared" si="5"/>
        <v/>
      </c>
      <c r="M143" s="30" t="str">
        <f t="shared" si="6"/>
        <v/>
      </c>
      <c r="N143" s="30" t="str">
        <f t="shared" si="7"/>
        <v/>
      </c>
      <c r="O143" s="8"/>
      <c r="P143" s="8"/>
      <c r="Q143" s="8"/>
      <c r="R143" s="8"/>
      <c r="S143" s="8"/>
      <c r="T143" s="8"/>
      <c r="U143" s="8"/>
      <c r="V143" s="8"/>
      <c r="W143" s="8"/>
      <c r="X143" s="8"/>
      <c r="Y143" s="8"/>
      <c r="Z143" s="8"/>
    </row>
    <row r="144">
      <c r="A144" s="8"/>
      <c r="B144" s="8"/>
      <c r="C144" s="8"/>
      <c r="D144" s="69"/>
      <c r="E144" s="25"/>
      <c r="F144" s="25" t="str">
        <f t="shared" si="1"/>
        <v>No</v>
      </c>
      <c r="G144" s="8"/>
      <c r="H144" s="25" t="str">
        <f t="shared" si="2"/>
        <v>No</v>
      </c>
      <c r="I144" s="8"/>
      <c r="J144" s="30" t="str">
        <f t="shared" si="3"/>
        <v/>
      </c>
      <c r="K144" s="30" t="str">
        <f t="shared" si="4"/>
        <v/>
      </c>
      <c r="L144" s="30" t="str">
        <f t="shared" si="5"/>
        <v/>
      </c>
      <c r="M144" s="30" t="str">
        <f t="shared" si="6"/>
        <v/>
      </c>
      <c r="N144" s="30" t="str">
        <f t="shared" si="7"/>
        <v/>
      </c>
      <c r="O144" s="8"/>
      <c r="P144" s="8"/>
      <c r="Q144" s="8"/>
      <c r="R144" s="8"/>
      <c r="S144" s="8"/>
      <c r="T144" s="8"/>
      <c r="U144" s="8"/>
      <c r="V144" s="8"/>
      <c r="W144" s="8"/>
      <c r="X144" s="8"/>
      <c r="Y144" s="8"/>
      <c r="Z144" s="8"/>
    </row>
    <row r="145">
      <c r="A145" s="8"/>
      <c r="B145" s="8"/>
      <c r="C145" s="8"/>
      <c r="D145" s="69"/>
      <c r="E145" s="25"/>
      <c r="F145" s="25" t="str">
        <f t="shared" si="1"/>
        <v>No</v>
      </c>
      <c r="G145" s="8"/>
      <c r="H145" s="25" t="str">
        <f t="shared" si="2"/>
        <v>No</v>
      </c>
      <c r="I145" s="8"/>
      <c r="J145" s="30" t="str">
        <f t="shared" si="3"/>
        <v/>
      </c>
      <c r="K145" s="30" t="str">
        <f t="shared" si="4"/>
        <v/>
      </c>
      <c r="L145" s="30" t="str">
        <f t="shared" si="5"/>
        <v/>
      </c>
      <c r="M145" s="30" t="str">
        <f t="shared" si="6"/>
        <v/>
      </c>
      <c r="N145" s="30" t="str">
        <f t="shared" si="7"/>
        <v/>
      </c>
      <c r="O145" s="8"/>
      <c r="P145" s="8"/>
      <c r="Q145" s="8"/>
      <c r="R145" s="8"/>
      <c r="S145" s="8"/>
      <c r="T145" s="8"/>
      <c r="U145" s="8"/>
      <c r="V145" s="8"/>
      <c r="W145" s="8"/>
      <c r="X145" s="8"/>
      <c r="Y145" s="8"/>
      <c r="Z145" s="8"/>
    </row>
    <row r="146">
      <c r="A146" s="8"/>
      <c r="B146" s="8"/>
      <c r="C146" s="8"/>
      <c r="D146" s="69"/>
      <c r="E146" s="25"/>
      <c r="F146" s="25" t="str">
        <f t="shared" si="1"/>
        <v>No</v>
      </c>
      <c r="G146" s="8"/>
      <c r="H146" s="25" t="str">
        <f t="shared" si="2"/>
        <v>No</v>
      </c>
      <c r="I146" s="8"/>
      <c r="J146" s="30" t="str">
        <f t="shared" si="3"/>
        <v/>
      </c>
      <c r="K146" s="30" t="str">
        <f t="shared" si="4"/>
        <v/>
      </c>
      <c r="L146" s="30" t="str">
        <f t="shared" si="5"/>
        <v/>
      </c>
      <c r="M146" s="30" t="str">
        <f t="shared" si="6"/>
        <v/>
      </c>
      <c r="N146" s="30" t="str">
        <f t="shared" si="7"/>
        <v/>
      </c>
      <c r="O146" s="8"/>
      <c r="P146" s="8"/>
      <c r="Q146" s="8"/>
      <c r="R146" s="8"/>
      <c r="S146" s="8"/>
      <c r="T146" s="8"/>
      <c r="U146" s="8"/>
      <c r="V146" s="8"/>
      <c r="W146" s="8"/>
      <c r="X146" s="8"/>
      <c r="Y146" s="8"/>
      <c r="Z146" s="8"/>
    </row>
    <row r="147">
      <c r="A147" s="8"/>
      <c r="B147" s="8"/>
      <c r="C147" s="8"/>
      <c r="D147" s="69"/>
      <c r="E147" s="25"/>
      <c r="F147" s="25" t="str">
        <f t="shared" si="1"/>
        <v>No</v>
      </c>
      <c r="G147" s="8"/>
      <c r="H147" s="25" t="str">
        <f t="shared" si="2"/>
        <v>No</v>
      </c>
      <c r="I147" s="8"/>
      <c r="J147" s="30" t="str">
        <f t="shared" si="3"/>
        <v/>
      </c>
      <c r="K147" s="30" t="str">
        <f t="shared" si="4"/>
        <v/>
      </c>
      <c r="L147" s="30" t="str">
        <f t="shared" si="5"/>
        <v/>
      </c>
      <c r="M147" s="30" t="str">
        <f t="shared" si="6"/>
        <v/>
      </c>
      <c r="N147" s="30" t="str">
        <f t="shared" si="7"/>
        <v/>
      </c>
      <c r="O147" s="8"/>
      <c r="P147" s="8"/>
      <c r="Q147" s="8"/>
      <c r="R147" s="8"/>
      <c r="S147" s="8"/>
      <c r="T147" s="8"/>
      <c r="U147" s="8"/>
      <c r="V147" s="8"/>
      <c r="W147" s="8"/>
      <c r="X147" s="8"/>
      <c r="Y147" s="8"/>
      <c r="Z147" s="8"/>
    </row>
    <row r="148">
      <c r="A148" s="8"/>
      <c r="B148" s="8"/>
      <c r="C148" s="8"/>
      <c r="D148" s="69"/>
      <c r="E148" s="25"/>
      <c r="F148" s="25" t="str">
        <f t="shared" si="1"/>
        <v>No</v>
      </c>
      <c r="G148" s="8"/>
      <c r="H148" s="25" t="str">
        <f t="shared" si="2"/>
        <v>No</v>
      </c>
      <c r="I148" s="8"/>
      <c r="J148" s="30" t="str">
        <f t="shared" si="3"/>
        <v/>
      </c>
      <c r="K148" s="30" t="str">
        <f t="shared" si="4"/>
        <v/>
      </c>
      <c r="L148" s="30" t="str">
        <f t="shared" si="5"/>
        <v/>
      </c>
      <c r="M148" s="30" t="str">
        <f t="shared" si="6"/>
        <v/>
      </c>
      <c r="N148" s="30" t="str">
        <f t="shared" si="7"/>
        <v/>
      </c>
      <c r="O148" s="8"/>
      <c r="P148" s="8"/>
      <c r="Q148" s="8"/>
      <c r="R148" s="8"/>
      <c r="S148" s="8"/>
      <c r="T148" s="8"/>
      <c r="U148" s="8"/>
      <c r="V148" s="8"/>
      <c r="W148" s="8"/>
      <c r="X148" s="8"/>
      <c r="Y148" s="8"/>
      <c r="Z148" s="8"/>
    </row>
    <row r="149">
      <c r="A149" s="8"/>
      <c r="B149" s="8"/>
      <c r="C149" s="8"/>
      <c r="D149" s="69"/>
      <c r="E149" s="25"/>
      <c r="F149" s="25" t="str">
        <f t="shared" si="1"/>
        <v>No</v>
      </c>
      <c r="G149" s="8"/>
      <c r="H149" s="25" t="str">
        <f t="shared" si="2"/>
        <v>No</v>
      </c>
      <c r="I149" s="8"/>
      <c r="J149" s="30" t="str">
        <f t="shared" si="3"/>
        <v/>
      </c>
      <c r="K149" s="30" t="str">
        <f t="shared" si="4"/>
        <v/>
      </c>
      <c r="L149" s="30" t="str">
        <f t="shared" si="5"/>
        <v/>
      </c>
      <c r="M149" s="30" t="str">
        <f t="shared" si="6"/>
        <v/>
      </c>
      <c r="N149" s="30" t="str">
        <f t="shared" si="7"/>
        <v/>
      </c>
      <c r="O149" s="8"/>
      <c r="P149" s="8"/>
      <c r="Q149" s="8"/>
      <c r="R149" s="8"/>
      <c r="S149" s="8"/>
      <c r="T149" s="8"/>
      <c r="U149" s="8"/>
      <c r="V149" s="8"/>
      <c r="W149" s="8"/>
      <c r="X149" s="8"/>
      <c r="Y149" s="8"/>
      <c r="Z149" s="8"/>
    </row>
    <row r="150">
      <c r="A150" s="8"/>
      <c r="B150" s="8"/>
      <c r="C150" s="8"/>
      <c r="D150" s="69"/>
      <c r="E150" s="25"/>
      <c r="F150" s="25" t="str">
        <f t="shared" si="1"/>
        <v>No</v>
      </c>
      <c r="G150" s="8"/>
      <c r="H150" s="25" t="str">
        <f t="shared" si="2"/>
        <v>No</v>
      </c>
      <c r="I150" s="8"/>
      <c r="J150" s="30" t="str">
        <f t="shared" si="3"/>
        <v/>
      </c>
      <c r="K150" s="30" t="str">
        <f t="shared" si="4"/>
        <v/>
      </c>
      <c r="L150" s="30" t="str">
        <f t="shared" si="5"/>
        <v/>
      </c>
      <c r="M150" s="30" t="str">
        <f t="shared" si="6"/>
        <v/>
      </c>
      <c r="N150" s="30" t="str">
        <f t="shared" si="7"/>
        <v/>
      </c>
      <c r="O150" s="8"/>
      <c r="P150" s="8"/>
      <c r="Q150" s="8"/>
      <c r="R150" s="8"/>
      <c r="S150" s="8"/>
      <c r="T150" s="8"/>
      <c r="U150" s="8"/>
      <c r="V150" s="8"/>
      <c r="W150" s="8"/>
      <c r="X150" s="8"/>
      <c r="Y150" s="8"/>
      <c r="Z150" s="8"/>
    </row>
    <row r="151">
      <c r="A151" s="8"/>
      <c r="B151" s="8"/>
      <c r="C151" s="8"/>
      <c r="D151" s="69"/>
      <c r="E151" s="25"/>
      <c r="F151" s="25" t="str">
        <f t="shared" si="1"/>
        <v>No</v>
      </c>
      <c r="G151" s="8"/>
      <c r="H151" s="25" t="str">
        <f t="shared" si="2"/>
        <v>No</v>
      </c>
      <c r="I151" s="8"/>
      <c r="J151" s="30" t="str">
        <f t="shared" si="3"/>
        <v/>
      </c>
      <c r="K151" s="30" t="str">
        <f t="shared" si="4"/>
        <v/>
      </c>
      <c r="L151" s="30" t="str">
        <f t="shared" si="5"/>
        <v/>
      </c>
      <c r="M151" s="30" t="str">
        <f t="shared" si="6"/>
        <v/>
      </c>
      <c r="N151" s="30" t="str">
        <f t="shared" si="7"/>
        <v/>
      </c>
      <c r="O151" s="8"/>
      <c r="P151" s="8"/>
      <c r="Q151" s="8"/>
      <c r="R151" s="8"/>
      <c r="S151" s="8"/>
      <c r="T151" s="8"/>
      <c r="U151" s="8"/>
      <c r="V151" s="8"/>
      <c r="W151" s="8"/>
      <c r="X151" s="8"/>
      <c r="Y151" s="8"/>
      <c r="Z151" s="8"/>
    </row>
    <row r="152">
      <c r="A152" s="8"/>
      <c r="B152" s="8"/>
      <c r="C152" s="8"/>
      <c r="D152" s="69"/>
      <c r="E152" s="25"/>
      <c r="F152" s="25" t="str">
        <f t="shared" si="1"/>
        <v>No</v>
      </c>
      <c r="G152" s="8"/>
      <c r="H152" s="25" t="str">
        <f t="shared" si="2"/>
        <v>No</v>
      </c>
      <c r="I152" s="8"/>
      <c r="J152" s="30" t="str">
        <f t="shared" si="3"/>
        <v/>
      </c>
      <c r="K152" s="30" t="str">
        <f t="shared" si="4"/>
        <v/>
      </c>
      <c r="L152" s="30" t="str">
        <f t="shared" si="5"/>
        <v/>
      </c>
      <c r="M152" s="30" t="str">
        <f t="shared" si="6"/>
        <v/>
      </c>
      <c r="N152" s="30" t="str">
        <f t="shared" si="7"/>
        <v/>
      </c>
      <c r="O152" s="8"/>
      <c r="P152" s="8"/>
      <c r="Q152" s="8"/>
      <c r="R152" s="8"/>
      <c r="S152" s="8"/>
      <c r="T152" s="8"/>
      <c r="U152" s="8"/>
      <c r="V152" s="8"/>
      <c r="W152" s="8"/>
      <c r="X152" s="8"/>
      <c r="Y152" s="8"/>
      <c r="Z152" s="8"/>
    </row>
    <row r="153">
      <c r="A153" s="8"/>
      <c r="B153" s="8"/>
      <c r="C153" s="8"/>
      <c r="D153" s="69"/>
      <c r="E153" s="25"/>
      <c r="F153" s="25" t="str">
        <f t="shared" si="1"/>
        <v>No</v>
      </c>
      <c r="G153" s="8"/>
      <c r="H153" s="25" t="str">
        <f t="shared" si="2"/>
        <v>No</v>
      </c>
      <c r="I153" s="8"/>
      <c r="J153" s="30" t="str">
        <f t="shared" si="3"/>
        <v/>
      </c>
      <c r="K153" s="30" t="str">
        <f t="shared" si="4"/>
        <v/>
      </c>
      <c r="L153" s="30" t="str">
        <f t="shared" si="5"/>
        <v/>
      </c>
      <c r="M153" s="30" t="str">
        <f t="shared" si="6"/>
        <v/>
      </c>
      <c r="N153" s="30" t="str">
        <f t="shared" si="7"/>
        <v/>
      </c>
      <c r="O153" s="8"/>
      <c r="P153" s="8"/>
      <c r="Q153" s="8"/>
      <c r="R153" s="8"/>
      <c r="S153" s="8"/>
      <c r="T153" s="8"/>
      <c r="U153" s="8"/>
      <c r="V153" s="8"/>
      <c r="W153" s="8"/>
      <c r="X153" s="8"/>
      <c r="Y153" s="8"/>
      <c r="Z153" s="8"/>
    </row>
    <row r="154">
      <c r="A154" s="8"/>
      <c r="B154" s="8"/>
      <c r="C154" s="8"/>
      <c r="D154" s="69"/>
      <c r="E154" s="25"/>
      <c r="F154" s="25" t="str">
        <f t="shared" si="1"/>
        <v>No</v>
      </c>
      <c r="G154" s="8"/>
      <c r="H154" s="25" t="str">
        <f t="shared" si="2"/>
        <v>No</v>
      </c>
      <c r="I154" s="8"/>
      <c r="J154" s="30" t="str">
        <f t="shared" si="3"/>
        <v/>
      </c>
      <c r="K154" s="30" t="str">
        <f t="shared" si="4"/>
        <v/>
      </c>
      <c r="L154" s="30" t="str">
        <f t="shared" si="5"/>
        <v/>
      </c>
      <c r="M154" s="30" t="str">
        <f t="shared" si="6"/>
        <v/>
      </c>
      <c r="N154" s="30" t="str">
        <f t="shared" si="7"/>
        <v/>
      </c>
      <c r="O154" s="8"/>
      <c r="P154" s="8"/>
      <c r="Q154" s="8"/>
      <c r="R154" s="8"/>
      <c r="S154" s="8"/>
      <c r="T154" s="8"/>
      <c r="U154" s="8"/>
      <c r="V154" s="8"/>
      <c r="W154" s="8"/>
      <c r="X154" s="8"/>
      <c r="Y154" s="8"/>
      <c r="Z154" s="8"/>
    </row>
    <row r="155">
      <c r="A155" s="8"/>
      <c r="B155" s="8"/>
      <c r="C155" s="8"/>
      <c r="D155" s="69"/>
      <c r="E155" s="25"/>
      <c r="F155" s="25" t="str">
        <f t="shared" si="1"/>
        <v>No</v>
      </c>
      <c r="G155" s="8"/>
      <c r="H155" s="25" t="str">
        <f t="shared" si="2"/>
        <v>No</v>
      </c>
      <c r="I155" s="8"/>
      <c r="J155" s="30" t="str">
        <f t="shared" si="3"/>
        <v/>
      </c>
      <c r="K155" s="30" t="str">
        <f t="shared" si="4"/>
        <v/>
      </c>
      <c r="L155" s="30" t="str">
        <f t="shared" si="5"/>
        <v/>
      </c>
      <c r="M155" s="30" t="str">
        <f t="shared" si="6"/>
        <v/>
      </c>
      <c r="N155" s="30" t="str">
        <f t="shared" si="7"/>
        <v/>
      </c>
      <c r="O155" s="8"/>
      <c r="P155" s="8"/>
      <c r="Q155" s="8"/>
      <c r="R155" s="8"/>
      <c r="S155" s="8"/>
      <c r="T155" s="8"/>
      <c r="U155" s="8"/>
      <c r="V155" s="8"/>
      <c r="W155" s="8"/>
      <c r="X155" s="8"/>
      <c r="Y155" s="8"/>
      <c r="Z155" s="8"/>
    </row>
    <row r="156">
      <c r="A156" s="8"/>
      <c r="B156" s="8"/>
      <c r="C156" s="8"/>
      <c r="D156" s="69"/>
      <c r="E156" s="25"/>
      <c r="F156" s="25" t="str">
        <f t="shared" si="1"/>
        <v>No</v>
      </c>
      <c r="G156" s="8"/>
      <c r="H156" s="25" t="str">
        <f t="shared" si="2"/>
        <v>No</v>
      </c>
      <c r="I156" s="8"/>
      <c r="J156" s="30" t="str">
        <f t="shared" si="3"/>
        <v/>
      </c>
      <c r="K156" s="30" t="str">
        <f t="shared" si="4"/>
        <v/>
      </c>
      <c r="L156" s="30" t="str">
        <f t="shared" si="5"/>
        <v/>
      </c>
      <c r="M156" s="30" t="str">
        <f t="shared" si="6"/>
        <v/>
      </c>
      <c r="N156" s="30" t="str">
        <f t="shared" si="7"/>
        <v/>
      </c>
      <c r="O156" s="8"/>
      <c r="P156" s="8"/>
      <c r="Q156" s="8"/>
      <c r="R156" s="8"/>
      <c r="S156" s="8"/>
      <c r="T156" s="8"/>
      <c r="U156" s="8"/>
      <c r="V156" s="8"/>
      <c r="W156" s="8"/>
      <c r="X156" s="8"/>
      <c r="Y156" s="8"/>
      <c r="Z156" s="8"/>
    </row>
    <row r="157">
      <c r="A157" s="8"/>
      <c r="B157" s="8"/>
      <c r="C157" s="8"/>
      <c r="D157" s="69"/>
      <c r="E157" s="25"/>
      <c r="F157" s="25" t="str">
        <f t="shared" si="1"/>
        <v>No</v>
      </c>
      <c r="G157" s="8"/>
      <c r="H157" s="25" t="str">
        <f t="shared" si="2"/>
        <v>No</v>
      </c>
      <c r="I157" s="8"/>
      <c r="J157" s="30" t="str">
        <f t="shared" si="3"/>
        <v/>
      </c>
      <c r="K157" s="30" t="str">
        <f t="shared" si="4"/>
        <v/>
      </c>
      <c r="L157" s="30" t="str">
        <f t="shared" si="5"/>
        <v/>
      </c>
      <c r="M157" s="30" t="str">
        <f t="shared" si="6"/>
        <v/>
      </c>
      <c r="N157" s="30" t="str">
        <f t="shared" si="7"/>
        <v/>
      </c>
      <c r="O157" s="8"/>
      <c r="P157" s="8"/>
      <c r="Q157" s="8"/>
      <c r="R157" s="8"/>
      <c r="S157" s="8"/>
      <c r="T157" s="8"/>
      <c r="U157" s="8"/>
      <c r="V157" s="8"/>
      <c r="W157" s="8"/>
      <c r="X157" s="8"/>
      <c r="Y157" s="8"/>
      <c r="Z157" s="8"/>
    </row>
    <row r="158">
      <c r="A158" s="8"/>
      <c r="B158" s="8"/>
      <c r="C158" s="8"/>
      <c r="D158" s="69"/>
      <c r="E158" s="25"/>
      <c r="F158" s="25" t="str">
        <f t="shared" si="1"/>
        <v>No</v>
      </c>
      <c r="G158" s="8"/>
      <c r="H158" s="25" t="str">
        <f t="shared" si="2"/>
        <v>No</v>
      </c>
      <c r="I158" s="8"/>
      <c r="J158" s="30" t="str">
        <f t="shared" si="3"/>
        <v/>
      </c>
      <c r="K158" s="30" t="str">
        <f t="shared" si="4"/>
        <v/>
      </c>
      <c r="L158" s="30" t="str">
        <f t="shared" si="5"/>
        <v/>
      </c>
      <c r="M158" s="30" t="str">
        <f t="shared" si="6"/>
        <v/>
      </c>
      <c r="N158" s="30" t="str">
        <f t="shared" si="7"/>
        <v/>
      </c>
      <c r="O158" s="8"/>
      <c r="P158" s="8"/>
      <c r="Q158" s="8"/>
      <c r="R158" s="8"/>
      <c r="S158" s="8"/>
      <c r="T158" s="8"/>
      <c r="U158" s="8"/>
      <c r="V158" s="8"/>
      <c r="W158" s="8"/>
      <c r="X158" s="8"/>
      <c r="Y158" s="8"/>
      <c r="Z158" s="8"/>
    </row>
    <row r="159">
      <c r="A159" s="8"/>
      <c r="B159" s="8"/>
      <c r="C159" s="8"/>
      <c r="D159" s="69"/>
      <c r="E159" s="25"/>
      <c r="F159" s="25" t="str">
        <f t="shared" si="1"/>
        <v>No</v>
      </c>
      <c r="G159" s="8"/>
      <c r="H159" s="25" t="str">
        <f t="shared" si="2"/>
        <v>No</v>
      </c>
      <c r="I159" s="8"/>
      <c r="J159" s="30" t="str">
        <f t="shared" si="3"/>
        <v/>
      </c>
      <c r="K159" s="30" t="str">
        <f t="shared" si="4"/>
        <v/>
      </c>
      <c r="L159" s="30" t="str">
        <f t="shared" si="5"/>
        <v/>
      </c>
      <c r="M159" s="30" t="str">
        <f t="shared" si="6"/>
        <v/>
      </c>
      <c r="N159" s="30" t="str">
        <f t="shared" si="7"/>
        <v/>
      </c>
      <c r="O159" s="8"/>
      <c r="P159" s="8"/>
      <c r="Q159" s="8"/>
      <c r="R159" s="8"/>
      <c r="S159" s="8"/>
      <c r="T159" s="8"/>
      <c r="U159" s="8"/>
      <c r="V159" s="8"/>
      <c r="W159" s="8"/>
      <c r="X159" s="8"/>
      <c r="Y159" s="8"/>
      <c r="Z159" s="8"/>
    </row>
    <row r="160">
      <c r="A160" s="8"/>
      <c r="B160" s="8"/>
      <c r="C160" s="8"/>
      <c r="D160" s="69"/>
      <c r="E160" s="25"/>
      <c r="F160" s="8"/>
      <c r="G160" s="8"/>
      <c r="H160" s="8"/>
      <c r="I160" s="8"/>
      <c r="J160" s="30" t="str">
        <f t="shared" ref="J160:J161" si="9">IF(#REF!="","",#REF!)</f>
        <v>#REF!</v>
      </c>
      <c r="K160" s="30" t="str">
        <f t="shared" ref="K160:K161" si="10">#REF!</f>
        <v>#REF!</v>
      </c>
      <c r="L160" s="30" t="str">
        <f t="shared" ref="L160:M160" si="8">IF(#REF!="","",#REF!)</f>
        <v>#REF!</v>
      </c>
      <c r="M160" s="30" t="str">
        <f t="shared" si="8"/>
        <v>#REF!</v>
      </c>
      <c r="N160" s="30" t="str">
        <f t="shared" si="7"/>
        <v>#REF!</v>
      </c>
      <c r="O160" s="8"/>
      <c r="P160" s="8"/>
      <c r="Q160" s="8"/>
      <c r="R160" s="8"/>
      <c r="S160" s="8"/>
      <c r="T160" s="8"/>
      <c r="U160" s="8"/>
      <c r="V160" s="8"/>
      <c r="W160" s="8"/>
      <c r="X160" s="8"/>
      <c r="Y160" s="8"/>
      <c r="Z160" s="8"/>
    </row>
    <row r="161">
      <c r="A161" s="8"/>
      <c r="B161" s="8"/>
      <c r="C161" s="8"/>
      <c r="D161" s="69"/>
      <c r="E161" s="25"/>
      <c r="F161" s="8"/>
      <c r="G161" s="8"/>
      <c r="H161" s="8"/>
      <c r="I161" s="8"/>
      <c r="J161" s="30" t="str">
        <f t="shared" si="9"/>
        <v>#REF!</v>
      </c>
      <c r="K161" s="30" t="str">
        <f t="shared" si="10"/>
        <v>#REF!</v>
      </c>
      <c r="L161" s="30" t="str">
        <f t="shared" ref="L161:M161" si="11">IF(#REF!="","",#REF!)</f>
        <v>#REF!</v>
      </c>
      <c r="M161" s="30" t="str">
        <f t="shared" si="11"/>
        <v>#REF!</v>
      </c>
      <c r="N161" s="30" t="str">
        <f t="shared" si="7"/>
        <v>#REF!</v>
      </c>
      <c r="O161" s="8"/>
      <c r="P161" s="8"/>
      <c r="Q161" s="8"/>
      <c r="R161" s="8"/>
      <c r="S161" s="8"/>
      <c r="T161" s="8"/>
      <c r="U161" s="8"/>
      <c r="V161" s="8"/>
      <c r="W161" s="8"/>
      <c r="X161" s="8"/>
      <c r="Y161" s="8"/>
      <c r="Z161" s="8"/>
    </row>
    <row r="162">
      <c r="A162" s="8"/>
      <c r="B162" s="8"/>
      <c r="C162" s="8"/>
      <c r="D162" s="69"/>
      <c r="E162" s="25"/>
      <c r="F162" s="8"/>
      <c r="G162" s="8"/>
      <c r="H162" s="8"/>
      <c r="I162" s="8"/>
      <c r="J162" s="30" t="str">
        <f t="shared" ref="J162:J163" si="12">IF($A2="","",$A2)</f>
        <v>Dr. Md.Ruhul Amin</v>
      </c>
      <c r="K162" s="30" t="str">
        <f t="shared" ref="K162:K163" si="13">$G2</f>
        <v/>
      </c>
      <c r="L162" s="30" t="str">
        <f t="shared" ref="L162:L163" si="14">IF($A2="","",$C2)</f>
        <v>dr.mdruhulamin@seu.edu.bd</v>
      </c>
      <c r="M162" s="34" t="str">
        <f t="shared" ref="M162:M163" si="15">IF($A2="","",$D2)</f>
        <v>01710949921</v>
      </c>
      <c r="N162" s="30" t="str">
        <f t="shared" si="7"/>
        <v/>
      </c>
      <c r="O162" s="8"/>
      <c r="P162" s="8"/>
      <c r="Q162" s="8"/>
      <c r="R162" s="8"/>
      <c r="S162" s="8"/>
      <c r="T162" s="8"/>
      <c r="U162" s="8"/>
      <c r="V162" s="8"/>
      <c r="W162" s="8"/>
      <c r="X162" s="8"/>
      <c r="Y162" s="8"/>
      <c r="Z162" s="8"/>
    </row>
    <row r="163">
      <c r="A163" s="8"/>
      <c r="B163" s="8"/>
      <c r="C163" s="8"/>
      <c r="D163" s="69"/>
      <c r="E163" s="25"/>
      <c r="F163" s="8"/>
      <c r="G163" s="8"/>
      <c r="H163" s="8"/>
      <c r="I163" s="8"/>
      <c r="J163" s="30" t="str">
        <f t="shared" si="12"/>
        <v>Dr. Mohammed Ashikur Rahman</v>
      </c>
      <c r="K163" s="30" t="str">
        <f t="shared" si="13"/>
        <v/>
      </c>
      <c r="L163" s="30" t="str">
        <f t="shared" si="14"/>
        <v>ashikur.rahman@seu.edu.bd</v>
      </c>
      <c r="M163" s="34" t="str">
        <f t="shared" si="15"/>
        <v>01735524483</v>
      </c>
      <c r="N163" s="30" t="str">
        <f t="shared" si="7"/>
        <v/>
      </c>
      <c r="O163" s="8"/>
      <c r="P163" s="8"/>
      <c r="Q163" s="8"/>
      <c r="R163" s="8"/>
      <c r="S163" s="8"/>
      <c r="T163" s="8"/>
      <c r="U163" s="8"/>
      <c r="V163" s="8"/>
      <c r="W163" s="8"/>
      <c r="X163" s="8"/>
      <c r="Y163" s="8"/>
      <c r="Z163" s="8"/>
    </row>
    <row r="164">
      <c r="A164" s="8"/>
      <c r="B164" s="8"/>
      <c r="C164" s="8"/>
      <c r="D164" s="69"/>
      <c r="E164" s="25"/>
      <c r="F164" s="8"/>
      <c r="G164" s="8"/>
      <c r="H164" s="8"/>
      <c r="I164" s="8"/>
      <c r="J164" s="30" t="str">
        <f t="shared" ref="J164:J165" si="17">IF(#REF!="","",#REF!)</f>
        <v>#REF!</v>
      </c>
      <c r="K164" s="30" t="str">
        <f t="shared" ref="K164:K165" si="18">#REF!</f>
        <v>#REF!</v>
      </c>
      <c r="L164" s="30" t="str">
        <f t="shared" ref="L164:M164" si="16">IF(#REF!="","",#REF!)</f>
        <v>#REF!</v>
      </c>
      <c r="M164" s="30" t="str">
        <f t="shared" si="16"/>
        <v>#REF!</v>
      </c>
      <c r="N164" s="30" t="str">
        <f t="shared" si="7"/>
        <v>#REF!</v>
      </c>
      <c r="O164" s="8"/>
      <c r="P164" s="8"/>
      <c r="Q164" s="8"/>
      <c r="R164" s="8"/>
      <c r="S164" s="8"/>
      <c r="T164" s="8"/>
      <c r="U164" s="8"/>
      <c r="V164" s="8"/>
      <c r="W164" s="8"/>
      <c r="X164" s="8"/>
      <c r="Y164" s="8"/>
      <c r="Z164" s="8"/>
    </row>
    <row r="165">
      <c r="A165" s="8"/>
      <c r="B165" s="8"/>
      <c r="C165" s="8"/>
      <c r="D165" s="69"/>
      <c r="E165" s="25"/>
      <c r="F165" s="8"/>
      <c r="G165" s="8"/>
      <c r="H165" s="8"/>
      <c r="I165" s="8"/>
      <c r="J165" s="30" t="str">
        <f t="shared" si="17"/>
        <v>#REF!</v>
      </c>
      <c r="K165" s="30" t="str">
        <f t="shared" si="18"/>
        <v>#REF!</v>
      </c>
      <c r="L165" s="30" t="str">
        <f t="shared" ref="L165:M165" si="19">IF(#REF!="","",#REF!)</f>
        <v>#REF!</v>
      </c>
      <c r="M165" s="30" t="str">
        <f t="shared" si="19"/>
        <v>#REF!</v>
      </c>
      <c r="N165" s="30" t="str">
        <f t="shared" si="7"/>
        <v>#REF!</v>
      </c>
      <c r="O165" s="8"/>
      <c r="P165" s="8"/>
      <c r="Q165" s="8"/>
      <c r="R165" s="8"/>
      <c r="S165" s="8"/>
      <c r="T165" s="8"/>
      <c r="U165" s="8"/>
      <c r="V165" s="8"/>
      <c r="W165" s="8"/>
      <c r="X165" s="8"/>
      <c r="Y165" s="8"/>
      <c r="Z165" s="8"/>
    </row>
    <row r="166">
      <c r="A166" s="8"/>
      <c r="B166" s="8"/>
      <c r="C166" s="8"/>
      <c r="D166" s="69"/>
      <c r="E166" s="25"/>
      <c r="F166" s="8"/>
      <c r="G166" s="8"/>
      <c r="H166" s="8"/>
      <c r="I166" s="8"/>
      <c r="J166" s="30" t="str">
        <f>IF($A4="","",$A4)</f>
        <v>Prof. Dr. Ishtiak Al  Mamoon</v>
      </c>
      <c r="K166" s="30" t="str">
        <f>$G4</f>
        <v/>
      </c>
      <c r="L166" s="30" t="str">
        <f>IF($A4="","",$C4)</f>
        <v>Ishtiak.cse@iubat.edu</v>
      </c>
      <c r="M166" s="34" t="str">
        <f>IF($A4="","",$D4)</f>
        <v>01713229860</v>
      </c>
      <c r="N166" s="30" t="str">
        <f t="shared" si="7"/>
        <v/>
      </c>
      <c r="O166" s="8"/>
      <c r="P166" s="8"/>
      <c r="Q166" s="8"/>
      <c r="R166" s="8"/>
      <c r="S166" s="8"/>
      <c r="T166" s="8"/>
      <c r="U166" s="8"/>
      <c r="V166" s="8"/>
      <c r="W166" s="8"/>
      <c r="X166" s="8"/>
      <c r="Y166" s="8"/>
      <c r="Z166" s="8"/>
    </row>
    <row r="167">
      <c r="A167" s="8"/>
      <c r="B167" s="8"/>
      <c r="C167" s="8"/>
      <c r="D167" s="69"/>
      <c r="E167" s="25"/>
      <c r="F167" s="8"/>
      <c r="G167" s="8"/>
      <c r="H167" s="8"/>
      <c r="I167" s="8"/>
      <c r="J167" s="30" t="str">
        <f>IF(#REF!="","",#REF!)</f>
        <v>#REF!</v>
      </c>
      <c r="K167" s="30" t="str">
        <f>#REF!</f>
        <v>#REF!</v>
      </c>
      <c r="L167" s="30" t="str">
        <f t="shared" ref="L167:M167" si="20">IF(#REF!="","",#REF!)</f>
        <v>#REF!</v>
      </c>
      <c r="M167" s="30" t="str">
        <f t="shared" si="20"/>
        <v>#REF!</v>
      </c>
      <c r="N167" s="30" t="str">
        <f t="shared" si="7"/>
        <v>#REF!</v>
      </c>
      <c r="O167" s="8"/>
      <c r="P167" s="8"/>
      <c r="Q167" s="8"/>
      <c r="R167" s="8"/>
      <c r="S167" s="8"/>
      <c r="T167" s="8"/>
      <c r="U167" s="8"/>
      <c r="V167" s="8"/>
      <c r="W167" s="8"/>
      <c r="X167" s="8"/>
      <c r="Y167" s="8"/>
      <c r="Z167" s="8"/>
    </row>
    <row r="168">
      <c r="A168" s="8"/>
      <c r="B168" s="8"/>
      <c r="C168" s="8"/>
      <c r="D168" s="69"/>
      <c r="E168" s="25"/>
      <c r="F168" s="8"/>
      <c r="G168" s="8"/>
      <c r="H168" s="8"/>
      <c r="I168" s="8"/>
      <c r="J168" s="30" t="str">
        <f>IF($A5="","",$A5)</f>
        <v>Prof. Dr. Ahmed Al Mansur</v>
      </c>
      <c r="K168" s="30" t="str">
        <f>$G5</f>
        <v/>
      </c>
      <c r="L168" s="30" t="str">
        <f>IF($A5="","",$C5)</f>
        <v>mansur.eee@bubt.edu.bd</v>
      </c>
      <c r="M168" s="34" t="str">
        <f>IF($A5="","",$D5)</f>
        <v>01715020314</v>
      </c>
      <c r="N168" s="30" t="str">
        <f t="shared" si="7"/>
        <v/>
      </c>
      <c r="O168" s="8"/>
      <c r="P168" s="8"/>
      <c r="Q168" s="8"/>
      <c r="R168" s="8"/>
      <c r="S168" s="8"/>
      <c r="T168" s="8"/>
      <c r="U168" s="8"/>
      <c r="V168" s="8"/>
      <c r="W168" s="8"/>
      <c r="X168" s="8"/>
      <c r="Y168" s="8"/>
      <c r="Z168" s="8"/>
    </row>
    <row r="169">
      <c r="A169" s="8"/>
      <c r="B169" s="8"/>
      <c r="C169" s="8"/>
      <c r="D169" s="69"/>
      <c r="E169" s="25"/>
      <c r="F169" s="8"/>
      <c r="G169" s="8"/>
      <c r="H169" s="8"/>
      <c r="I169" s="8"/>
      <c r="J169" s="30" t="str">
        <f>IF(#REF!="","",#REF!)</f>
        <v>#REF!</v>
      </c>
      <c r="K169" s="30" t="str">
        <f>#REF!</f>
        <v>#REF!</v>
      </c>
      <c r="L169" s="30" t="str">
        <f t="shared" ref="L169:M169" si="21">IF(#REF!="","",#REF!)</f>
        <v>#REF!</v>
      </c>
      <c r="M169" s="30" t="str">
        <f t="shared" si="21"/>
        <v>#REF!</v>
      </c>
      <c r="N169" s="30" t="str">
        <f t="shared" si="7"/>
        <v>#REF!</v>
      </c>
      <c r="O169" s="8"/>
      <c r="P169" s="8"/>
      <c r="Q169" s="8"/>
      <c r="R169" s="8"/>
      <c r="S169" s="8"/>
      <c r="T169" s="8"/>
      <c r="U169" s="8"/>
      <c r="V169" s="8"/>
      <c r="W169" s="8"/>
      <c r="X169" s="8"/>
      <c r="Y169" s="8"/>
      <c r="Z169" s="8"/>
    </row>
    <row r="170">
      <c r="A170" s="8"/>
      <c r="B170" s="8"/>
      <c r="C170" s="8"/>
      <c r="D170" s="69"/>
      <c r="E170" s="25"/>
      <c r="F170" s="8"/>
      <c r="G170" s="8"/>
      <c r="H170" s="8"/>
      <c r="I170" s="8"/>
      <c r="J170" s="30" t="str">
        <f>IF($A6="","",$A6)</f>
        <v>Prof. Dr. Kamruddin Nur</v>
      </c>
      <c r="K170" s="30" t="str">
        <f>$G6</f>
        <v/>
      </c>
      <c r="L170" s="30" t="str">
        <f>IF($A6="","",$C6)</f>
        <v>kamruddin.nur@gmail.com</v>
      </c>
      <c r="M170" s="34" t="str">
        <f>IF($A6="","",$D6)</f>
        <v>01777354323</v>
      </c>
      <c r="N170" s="30" t="str">
        <f t="shared" si="7"/>
        <v/>
      </c>
      <c r="O170" s="8"/>
      <c r="P170" s="8"/>
      <c r="Q170" s="8"/>
      <c r="R170" s="8"/>
      <c r="S170" s="8"/>
      <c r="T170" s="8"/>
      <c r="U170" s="8"/>
      <c r="V170" s="8"/>
      <c r="W170" s="8"/>
      <c r="X170" s="8"/>
      <c r="Y170" s="8"/>
      <c r="Z170" s="8"/>
    </row>
    <row r="171">
      <c r="A171" s="8"/>
      <c r="B171" s="8"/>
      <c r="C171" s="8"/>
      <c r="D171" s="69"/>
      <c r="E171" s="25"/>
      <c r="F171" s="8"/>
      <c r="G171" s="8"/>
      <c r="H171" s="8"/>
      <c r="I171" s="8"/>
      <c r="J171" s="30" t="str">
        <f t="shared" ref="J171:J172" si="23">IF(#REF!="","",#REF!)</f>
        <v>#REF!</v>
      </c>
      <c r="K171" s="30" t="str">
        <f t="shared" ref="K171:K172" si="24">#REF!</f>
        <v>#REF!</v>
      </c>
      <c r="L171" s="30" t="str">
        <f t="shared" ref="L171:M171" si="22">IF(#REF!="","",#REF!)</f>
        <v>#REF!</v>
      </c>
      <c r="M171" s="30" t="str">
        <f t="shared" si="22"/>
        <v>#REF!</v>
      </c>
      <c r="N171" s="30" t="str">
        <f t="shared" si="7"/>
        <v>#REF!</v>
      </c>
      <c r="O171" s="8"/>
      <c r="P171" s="8"/>
      <c r="Q171" s="8"/>
      <c r="R171" s="8"/>
      <c r="S171" s="8"/>
      <c r="T171" s="8"/>
      <c r="U171" s="8"/>
      <c r="V171" s="8"/>
      <c r="W171" s="8"/>
      <c r="X171" s="8"/>
      <c r="Y171" s="8"/>
      <c r="Z171" s="8"/>
    </row>
    <row r="172">
      <c r="A172" s="8"/>
      <c r="B172" s="8"/>
      <c r="C172" s="8"/>
      <c r="D172" s="69"/>
      <c r="E172" s="25"/>
      <c r="F172" s="8"/>
      <c r="G172" s="8"/>
      <c r="H172" s="8"/>
      <c r="I172" s="8"/>
      <c r="J172" s="30" t="str">
        <f t="shared" si="23"/>
        <v>#REF!</v>
      </c>
      <c r="K172" s="30" t="str">
        <f t="shared" si="24"/>
        <v>#REF!</v>
      </c>
      <c r="L172" s="30" t="str">
        <f t="shared" ref="L172:M172" si="25">IF(#REF!="","",#REF!)</f>
        <v>#REF!</v>
      </c>
      <c r="M172" s="30" t="str">
        <f t="shared" si="25"/>
        <v>#REF!</v>
      </c>
      <c r="N172" s="30" t="str">
        <f t="shared" si="7"/>
        <v>#REF!</v>
      </c>
      <c r="O172" s="8"/>
      <c r="P172" s="8"/>
      <c r="Q172" s="8"/>
      <c r="R172" s="8"/>
      <c r="S172" s="8"/>
      <c r="T172" s="8"/>
      <c r="U172" s="8"/>
      <c r="V172" s="8"/>
      <c r="W172" s="8"/>
      <c r="X172" s="8"/>
      <c r="Y172" s="8"/>
      <c r="Z172" s="8"/>
    </row>
    <row r="173">
      <c r="A173" s="8"/>
      <c r="B173" s="8"/>
      <c r="C173" s="8"/>
      <c r="D173" s="69"/>
      <c r="E173" s="25"/>
      <c r="F173" s="8"/>
      <c r="G173" s="8"/>
      <c r="H173" s="8"/>
      <c r="I173" s="8"/>
      <c r="J173" s="30" t="str">
        <f>IF($A7="","",$A7)</f>
        <v>Dr. Nahid Akhter Jahan</v>
      </c>
      <c r="K173" s="30" t="str">
        <f>$G7</f>
        <v/>
      </c>
      <c r="L173" s="30" t="str">
        <f>IF($A7="","",$C7)</f>
        <v>nahid.jahan@bracu.ac.bd</v>
      </c>
      <c r="M173" s="34" t="str">
        <f>IF($A7="","",$D7)</f>
        <v>01828141026</v>
      </c>
      <c r="N173" s="30" t="str">
        <f t="shared" si="7"/>
        <v/>
      </c>
      <c r="O173" s="8"/>
      <c r="P173" s="8"/>
      <c r="Q173" s="8"/>
      <c r="R173" s="8"/>
      <c r="S173" s="8"/>
      <c r="T173" s="8"/>
      <c r="U173" s="8"/>
      <c r="V173" s="8"/>
      <c r="W173" s="8"/>
      <c r="X173" s="8"/>
      <c r="Y173" s="8"/>
      <c r="Z173" s="8"/>
    </row>
    <row r="174">
      <c r="A174" s="8"/>
      <c r="B174" s="8"/>
      <c r="C174" s="8"/>
      <c r="D174" s="69"/>
      <c r="E174" s="25"/>
      <c r="F174" s="8"/>
      <c r="G174" s="8"/>
      <c r="H174" s="8"/>
      <c r="I174" s="8"/>
      <c r="J174" s="30" t="str">
        <f t="shared" ref="J174:J177" si="27">IF(#REF!="","",#REF!)</f>
        <v>#REF!</v>
      </c>
      <c r="K174" s="30" t="str">
        <f t="shared" ref="K174:K177" si="28">#REF!</f>
        <v>#REF!</v>
      </c>
      <c r="L174" s="30" t="str">
        <f t="shared" ref="L174:M174" si="26">IF(#REF!="","",#REF!)</f>
        <v>#REF!</v>
      </c>
      <c r="M174" s="30" t="str">
        <f t="shared" si="26"/>
        <v>#REF!</v>
      </c>
      <c r="N174" s="30" t="str">
        <f t="shared" si="7"/>
        <v>#REF!</v>
      </c>
      <c r="O174" s="8"/>
      <c r="P174" s="8"/>
      <c r="Q174" s="8"/>
      <c r="R174" s="8"/>
      <c r="S174" s="8"/>
      <c r="T174" s="8"/>
      <c r="U174" s="8"/>
      <c r="V174" s="8"/>
      <c r="W174" s="8"/>
      <c r="X174" s="8"/>
      <c r="Y174" s="8"/>
      <c r="Z174" s="8"/>
    </row>
    <row r="175">
      <c r="A175" s="8"/>
      <c r="B175" s="8"/>
      <c r="C175" s="8"/>
      <c r="D175" s="69"/>
      <c r="E175" s="25"/>
      <c r="F175" s="8"/>
      <c r="G175" s="8"/>
      <c r="H175" s="8"/>
      <c r="I175" s="8"/>
      <c r="J175" s="30" t="str">
        <f t="shared" si="27"/>
        <v>#REF!</v>
      </c>
      <c r="K175" s="30" t="str">
        <f t="shared" si="28"/>
        <v>#REF!</v>
      </c>
      <c r="L175" s="30" t="str">
        <f t="shared" ref="L175:M175" si="29">IF(#REF!="","",#REF!)</f>
        <v>#REF!</v>
      </c>
      <c r="M175" s="30" t="str">
        <f t="shared" si="29"/>
        <v>#REF!</v>
      </c>
      <c r="N175" s="30" t="str">
        <f t="shared" si="7"/>
        <v>#REF!</v>
      </c>
      <c r="O175" s="8"/>
      <c r="P175" s="8"/>
      <c r="Q175" s="8"/>
      <c r="R175" s="8"/>
      <c r="S175" s="8"/>
      <c r="T175" s="8"/>
      <c r="U175" s="8"/>
      <c r="V175" s="8"/>
      <c r="W175" s="8"/>
      <c r="X175" s="8"/>
      <c r="Y175" s="8"/>
      <c r="Z175" s="8"/>
    </row>
    <row r="176">
      <c r="A176" s="8"/>
      <c r="B176" s="8"/>
      <c r="C176" s="8"/>
      <c r="D176" s="69"/>
      <c r="E176" s="25"/>
      <c r="F176" s="8"/>
      <c r="G176" s="8"/>
      <c r="H176" s="8"/>
      <c r="I176" s="8"/>
      <c r="J176" s="30" t="str">
        <f t="shared" si="27"/>
        <v>#REF!</v>
      </c>
      <c r="K176" s="30" t="str">
        <f t="shared" si="28"/>
        <v>#REF!</v>
      </c>
      <c r="L176" s="30" t="str">
        <f t="shared" ref="L176:M176" si="30">IF(#REF!="","",#REF!)</f>
        <v>#REF!</v>
      </c>
      <c r="M176" s="30" t="str">
        <f t="shared" si="30"/>
        <v>#REF!</v>
      </c>
      <c r="N176" s="30" t="str">
        <f t="shared" si="7"/>
        <v>#REF!</v>
      </c>
      <c r="O176" s="8"/>
      <c r="P176" s="8"/>
      <c r="Q176" s="8"/>
      <c r="R176" s="8"/>
      <c r="S176" s="8"/>
      <c r="T176" s="8"/>
      <c r="U176" s="8"/>
      <c r="V176" s="8"/>
      <c r="W176" s="8"/>
      <c r="X176" s="8"/>
      <c r="Y176" s="8"/>
      <c r="Z176" s="8"/>
    </row>
    <row r="177">
      <c r="A177" s="8"/>
      <c r="B177" s="8"/>
      <c r="C177" s="8"/>
      <c r="D177" s="69"/>
      <c r="E177" s="25"/>
      <c r="F177" s="8"/>
      <c r="G177" s="8"/>
      <c r="H177" s="8"/>
      <c r="I177" s="8"/>
      <c r="J177" s="30" t="str">
        <f t="shared" si="27"/>
        <v>#REF!</v>
      </c>
      <c r="K177" s="30" t="str">
        <f t="shared" si="28"/>
        <v>#REF!</v>
      </c>
      <c r="L177" s="30" t="str">
        <f t="shared" ref="L177:M177" si="31">IF(#REF!="","",#REF!)</f>
        <v>#REF!</v>
      </c>
      <c r="M177" s="30" t="str">
        <f t="shared" si="31"/>
        <v>#REF!</v>
      </c>
      <c r="N177" s="30" t="str">
        <f t="shared" si="7"/>
        <v>#REF!</v>
      </c>
      <c r="O177" s="8"/>
      <c r="P177" s="8"/>
      <c r="Q177" s="8"/>
      <c r="R177" s="8"/>
      <c r="S177" s="8"/>
      <c r="T177" s="8"/>
      <c r="U177" s="8"/>
      <c r="V177" s="8"/>
      <c r="W177" s="8"/>
      <c r="X177" s="8"/>
      <c r="Y177" s="8"/>
      <c r="Z177" s="8"/>
    </row>
    <row r="178">
      <c r="A178" s="8"/>
      <c r="B178" s="8"/>
      <c r="C178" s="8"/>
      <c r="D178" s="69"/>
      <c r="E178" s="25"/>
      <c r="F178" s="8"/>
      <c r="G178" s="8"/>
      <c r="H178" s="8"/>
      <c r="I178" s="8"/>
      <c r="J178" s="30" t="str">
        <f t="shared" ref="J178:J180" si="32">IF($A8="","",$A8)</f>
        <v>Dr. Mirza Rasheduzzaman</v>
      </c>
      <c r="K178" s="30" t="str">
        <f t="shared" ref="K178:K180" si="33">$G8</f>
        <v/>
      </c>
      <c r="L178" s="30" t="str">
        <f t="shared" ref="L178:L180" si="34">IF($A8="","",$C8)</f>
        <v>mirza.rasheduzzaman@gmail.com</v>
      </c>
      <c r="M178" s="34" t="str">
        <f t="shared" ref="M178:M180" si="35">IF($A8="","",$D8)</f>
        <v>01787736780</v>
      </c>
      <c r="N178" s="30" t="str">
        <f t="shared" si="7"/>
        <v/>
      </c>
      <c r="O178" s="8"/>
      <c r="P178" s="8"/>
      <c r="Q178" s="8"/>
      <c r="R178" s="8"/>
      <c r="S178" s="8"/>
      <c r="T178" s="8"/>
      <c r="U178" s="8"/>
      <c r="V178" s="8"/>
      <c r="W178" s="8"/>
      <c r="X178" s="8"/>
      <c r="Y178" s="8"/>
      <c r="Z178" s="8"/>
    </row>
    <row r="179">
      <c r="A179" s="8"/>
      <c r="B179" s="8"/>
      <c r="C179" s="8"/>
      <c r="D179" s="69"/>
      <c r="E179" s="25"/>
      <c r="F179" s="8"/>
      <c r="G179" s="8"/>
      <c r="H179" s="8"/>
      <c r="I179" s="8"/>
      <c r="J179" s="30" t="str">
        <f t="shared" si="32"/>
        <v>Dr. Mohammad Rifat Ahmmad Rashid</v>
      </c>
      <c r="K179" s="30" t="str">
        <f t="shared" si="33"/>
        <v/>
      </c>
      <c r="L179" s="30" t="str">
        <f t="shared" si="34"/>
        <v>rifat.rashid@ewubd.edu</v>
      </c>
      <c r="M179" s="34" t="str">
        <f t="shared" si="35"/>
        <v>01314447616</v>
      </c>
      <c r="N179" s="30" t="str">
        <f t="shared" si="7"/>
        <v/>
      </c>
      <c r="O179" s="8"/>
      <c r="P179" s="8"/>
      <c r="Q179" s="8"/>
      <c r="R179" s="8"/>
      <c r="S179" s="8"/>
      <c r="T179" s="8"/>
      <c r="U179" s="8"/>
      <c r="V179" s="8"/>
      <c r="W179" s="8"/>
      <c r="X179" s="8"/>
      <c r="Y179" s="8"/>
      <c r="Z179" s="8"/>
    </row>
    <row r="180">
      <c r="A180" s="8"/>
      <c r="B180" s="8"/>
      <c r="C180" s="8"/>
      <c r="D180" s="69"/>
      <c r="E180" s="25"/>
      <c r="F180" s="8"/>
      <c r="G180" s="8"/>
      <c r="H180" s="8"/>
      <c r="I180" s="8"/>
      <c r="J180" s="30" t="str">
        <f t="shared" si="32"/>
        <v>Prof. Dr. Engr. Muhibul Haque Bhuyan</v>
      </c>
      <c r="K180" s="30" t="str">
        <f t="shared" si="33"/>
        <v/>
      </c>
      <c r="L180" s="30" t="str">
        <f t="shared" si="34"/>
        <v>muhibulhb@aiub.edu</v>
      </c>
      <c r="M180" s="34" t="str">
        <f t="shared" si="35"/>
        <v>01815657346</v>
      </c>
      <c r="N180" s="30" t="str">
        <f t="shared" si="7"/>
        <v/>
      </c>
      <c r="O180" s="8"/>
      <c r="P180" s="8"/>
      <c r="Q180" s="8"/>
      <c r="R180" s="8"/>
      <c r="S180" s="8"/>
      <c r="T180" s="8"/>
      <c r="U180" s="8"/>
      <c r="V180" s="8"/>
      <c r="W180" s="8"/>
      <c r="X180" s="8"/>
      <c r="Y180" s="8"/>
      <c r="Z180" s="8"/>
    </row>
    <row r="181">
      <c r="A181" s="8"/>
      <c r="B181" s="8"/>
      <c r="C181" s="8"/>
      <c r="D181" s="69"/>
      <c r="E181" s="25"/>
      <c r="F181" s="8"/>
      <c r="G181" s="8"/>
      <c r="H181" s="8"/>
      <c r="I181" s="8"/>
      <c r="J181" s="30" t="str">
        <f t="shared" ref="J181:J191" si="37">IF(#REF!="","",#REF!)</f>
        <v>#REF!</v>
      </c>
      <c r="K181" s="30" t="str">
        <f t="shared" ref="K181:K191" si="38">#REF!</f>
        <v>#REF!</v>
      </c>
      <c r="L181" s="30" t="str">
        <f t="shared" ref="L181:M181" si="36">IF(#REF!="","",#REF!)</f>
        <v>#REF!</v>
      </c>
      <c r="M181" s="30" t="str">
        <f t="shared" si="36"/>
        <v>#REF!</v>
      </c>
      <c r="N181" s="30" t="str">
        <f t="shared" si="7"/>
        <v>#REF!</v>
      </c>
      <c r="O181" s="8"/>
      <c r="P181" s="8"/>
      <c r="Q181" s="8"/>
      <c r="R181" s="8"/>
      <c r="S181" s="8"/>
      <c r="T181" s="8"/>
      <c r="U181" s="8"/>
      <c r="V181" s="8"/>
      <c r="W181" s="8"/>
      <c r="X181" s="8"/>
      <c r="Y181" s="8"/>
      <c r="Z181" s="8"/>
    </row>
    <row r="182">
      <c r="A182" s="8"/>
      <c r="B182" s="8"/>
      <c r="C182" s="8"/>
      <c r="D182" s="69"/>
      <c r="E182" s="25"/>
      <c r="F182" s="8"/>
      <c r="G182" s="8"/>
      <c r="H182" s="8"/>
      <c r="I182" s="8"/>
      <c r="J182" s="30" t="str">
        <f t="shared" si="37"/>
        <v>#REF!</v>
      </c>
      <c r="K182" s="30" t="str">
        <f t="shared" si="38"/>
        <v>#REF!</v>
      </c>
      <c r="L182" s="30" t="str">
        <f t="shared" ref="L182:M182" si="39">IF(#REF!="","",#REF!)</f>
        <v>#REF!</v>
      </c>
      <c r="M182" s="30" t="str">
        <f t="shared" si="39"/>
        <v>#REF!</v>
      </c>
      <c r="N182" s="30" t="str">
        <f t="shared" si="7"/>
        <v>#REF!</v>
      </c>
      <c r="O182" s="8"/>
      <c r="P182" s="8"/>
      <c r="Q182" s="8"/>
      <c r="R182" s="8"/>
      <c r="S182" s="8"/>
      <c r="T182" s="8"/>
      <c r="U182" s="8"/>
      <c r="V182" s="8"/>
      <c r="W182" s="8"/>
      <c r="X182" s="8"/>
      <c r="Y182" s="8"/>
      <c r="Z182" s="8"/>
    </row>
    <row r="183">
      <c r="A183" s="8"/>
      <c r="B183" s="8"/>
      <c r="C183" s="8"/>
      <c r="D183" s="69"/>
      <c r="E183" s="25"/>
      <c r="F183" s="8"/>
      <c r="G183" s="8"/>
      <c r="H183" s="8"/>
      <c r="I183" s="8"/>
      <c r="J183" s="30" t="str">
        <f t="shared" si="37"/>
        <v>#REF!</v>
      </c>
      <c r="K183" s="30" t="str">
        <f t="shared" si="38"/>
        <v>#REF!</v>
      </c>
      <c r="L183" s="30" t="str">
        <f t="shared" ref="L183:M183" si="40">IF(#REF!="","",#REF!)</f>
        <v>#REF!</v>
      </c>
      <c r="M183" s="30" t="str">
        <f t="shared" si="40"/>
        <v>#REF!</v>
      </c>
      <c r="N183" s="30" t="str">
        <f t="shared" si="7"/>
        <v>#REF!</v>
      </c>
      <c r="O183" s="8"/>
      <c r="P183" s="8"/>
      <c r="Q183" s="8"/>
      <c r="R183" s="8"/>
      <c r="S183" s="8"/>
      <c r="T183" s="8"/>
      <c r="U183" s="8"/>
      <c r="V183" s="8"/>
      <c r="W183" s="8"/>
      <c r="X183" s="8"/>
      <c r="Y183" s="8"/>
      <c r="Z183" s="8"/>
    </row>
    <row r="184">
      <c r="A184" s="8"/>
      <c r="B184" s="8"/>
      <c r="C184" s="8"/>
      <c r="D184" s="69"/>
      <c r="E184" s="25"/>
      <c r="F184" s="8"/>
      <c r="G184" s="8"/>
      <c r="H184" s="8"/>
      <c r="I184" s="8"/>
      <c r="J184" s="30" t="str">
        <f t="shared" si="37"/>
        <v>#REF!</v>
      </c>
      <c r="K184" s="30" t="str">
        <f t="shared" si="38"/>
        <v>#REF!</v>
      </c>
      <c r="L184" s="30" t="str">
        <f t="shared" ref="L184:M184" si="41">IF(#REF!="","",#REF!)</f>
        <v>#REF!</v>
      </c>
      <c r="M184" s="30" t="str">
        <f t="shared" si="41"/>
        <v>#REF!</v>
      </c>
      <c r="N184" s="30" t="str">
        <f t="shared" si="7"/>
        <v>#REF!</v>
      </c>
      <c r="O184" s="8"/>
      <c r="P184" s="8"/>
      <c r="Q184" s="8"/>
      <c r="R184" s="8"/>
      <c r="S184" s="8"/>
      <c r="T184" s="8"/>
      <c r="U184" s="8"/>
      <c r="V184" s="8"/>
      <c r="W184" s="8"/>
      <c r="X184" s="8"/>
      <c r="Y184" s="8"/>
      <c r="Z184" s="8"/>
    </row>
    <row r="185">
      <c r="A185" s="8"/>
      <c r="B185" s="8"/>
      <c r="C185" s="8"/>
      <c r="D185" s="69"/>
      <c r="E185" s="25"/>
      <c r="F185" s="8"/>
      <c r="G185" s="8"/>
      <c r="H185" s="8"/>
      <c r="I185" s="8"/>
      <c r="J185" s="30" t="str">
        <f t="shared" si="37"/>
        <v>#REF!</v>
      </c>
      <c r="K185" s="30" t="str">
        <f t="shared" si="38"/>
        <v>#REF!</v>
      </c>
      <c r="L185" s="30" t="str">
        <f t="shared" ref="L185:M185" si="42">IF(#REF!="","",#REF!)</f>
        <v>#REF!</v>
      </c>
      <c r="M185" s="30" t="str">
        <f t="shared" si="42"/>
        <v>#REF!</v>
      </c>
      <c r="N185" s="30" t="str">
        <f t="shared" si="7"/>
        <v>#REF!</v>
      </c>
      <c r="O185" s="8"/>
      <c r="P185" s="8"/>
      <c r="Q185" s="8"/>
      <c r="R185" s="8"/>
      <c r="S185" s="8"/>
      <c r="T185" s="8"/>
      <c r="U185" s="8"/>
      <c r="V185" s="8"/>
      <c r="W185" s="8"/>
      <c r="X185" s="8"/>
      <c r="Y185" s="8"/>
      <c r="Z185" s="8"/>
    </row>
    <row r="186">
      <c r="A186" s="8"/>
      <c r="B186" s="8"/>
      <c r="C186" s="8"/>
      <c r="D186" s="69"/>
      <c r="E186" s="25"/>
      <c r="F186" s="8"/>
      <c r="G186" s="8"/>
      <c r="H186" s="8"/>
      <c r="I186" s="8"/>
      <c r="J186" s="30" t="str">
        <f t="shared" si="37"/>
        <v>#REF!</v>
      </c>
      <c r="K186" s="30" t="str">
        <f t="shared" si="38"/>
        <v>#REF!</v>
      </c>
      <c r="L186" s="30" t="str">
        <f t="shared" ref="L186:M186" si="43">IF(#REF!="","",#REF!)</f>
        <v>#REF!</v>
      </c>
      <c r="M186" s="30" t="str">
        <f t="shared" si="43"/>
        <v>#REF!</v>
      </c>
      <c r="N186" s="30" t="str">
        <f t="shared" si="7"/>
        <v>#REF!</v>
      </c>
      <c r="O186" s="8"/>
      <c r="P186" s="8"/>
      <c r="Q186" s="8"/>
      <c r="R186" s="8"/>
      <c r="S186" s="8"/>
      <c r="T186" s="8"/>
      <c r="U186" s="8"/>
      <c r="V186" s="8"/>
      <c r="W186" s="8"/>
      <c r="X186" s="8"/>
      <c r="Y186" s="8"/>
      <c r="Z186" s="8"/>
    </row>
    <row r="187">
      <c r="A187" s="8"/>
      <c r="B187" s="8"/>
      <c r="C187" s="8"/>
      <c r="D187" s="69"/>
      <c r="E187" s="25"/>
      <c r="F187" s="8"/>
      <c r="G187" s="8"/>
      <c r="H187" s="8"/>
      <c r="I187" s="8"/>
      <c r="J187" s="30" t="str">
        <f t="shared" si="37"/>
        <v>#REF!</v>
      </c>
      <c r="K187" s="30" t="str">
        <f t="shared" si="38"/>
        <v>#REF!</v>
      </c>
      <c r="L187" s="30" t="str">
        <f t="shared" ref="L187:M187" si="44">IF(#REF!="","",#REF!)</f>
        <v>#REF!</v>
      </c>
      <c r="M187" s="30" t="str">
        <f t="shared" si="44"/>
        <v>#REF!</v>
      </c>
      <c r="N187" s="30" t="str">
        <f t="shared" si="7"/>
        <v>#REF!</v>
      </c>
      <c r="O187" s="8"/>
      <c r="P187" s="8"/>
      <c r="Q187" s="8"/>
      <c r="R187" s="8"/>
      <c r="S187" s="8"/>
      <c r="T187" s="8"/>
      <c r="U187" s="8"/>
      <c r="V187" s="8"/>
      <c r="W187" s="8"/>
      <c r="X187" s="8"/>
      <c r="Y187" s="8"/>
      <c r="Z187" s="8"/>
    </row>
    <row r="188">
      <c r="A188" s="8"/>
      <c r="B188" s="8"/>
      <c r="C188" s="8"/>
      <c r="D188" s="69"/>
      <c r="E188" s="25"/>
      <c r="F188" s="8"/>
      <c r="G188" s="8"/>
      <c r="H188" s="8"/>
      <c r="I188" s="8"/>
      <c r="J188" s="30" t="str">
        <f t="shared" si="37"/>
        <v>#REF!</v>
      </c>
      <c r="K188" s="30" t="str">
        <f t="shared" si="38"/>
        <v>#REF!</v>
      </c>
      <c r="L188" s="30" t="str">
        <f t="shared" ref="L188:M188" si="45">IF(#REF!="","",#REF!)</f>
        <v>#REF!</v>
      </c>
      <c r="M188" s="30" t="str">
        <f t="shared" si="45"/>
        <v>#REF!</v>
      </c>
      <c r="N188" s="30" t="str">
        <f t="shared" si="7"/>
        <v>#REF!</v>
      </c>
      <c r="O188" s="8"/>
      <c r="P188" s="8"/>
      <c r="Q188" s="8"/>
      <c r="R188" s="8"/>
      <c r="S188" s="8"/>
      <c r="T188" s="8"/>
      <c r="U188" s="8"/>
      <c r="V188" s="8"/>
      <c r="W188" s="8"/>
      <c r="X188" s="8"/>
      <c r="Y188" s="8"/>
      <c r="Z188" s="8"/>
    </row>
    <row r="189">
      <c r="A189" s="8"/>
      <c r="B189" s="8"/>
      <c r="C189" s="8"/>
      <c r="D189" s="69"/>
      <c r="E189" s="25"/>
      <c r="F189" s="8"/>
      <c r="G189" s="8"/>
      <c r="H189" s="8"/>
      <c r="I189" s="8"/>
      <c r="J189" s="30" t="str">
        <f t="shared" si="37"/>
        <v>#REF!</v>
      </c>
      <c r="K189" s="30" t="str">
        <f t="shared" si="38"/>
        <v>#REF!</v>
      </c>
      <c r="L189" s="30" t="str">
        <f t="shared" ref="L189:M189" si="46">IF(#REF!="","",#REF!)</f>
        <v>#REF!</v>
      </c>
      <c r="M189" s="30" t="str">
        <f t="shared" si="46"/>
        <v>#REF!</v>
      </c>
      <c r="N189" s="30" t="str">
        <f t="shared" si="7"/>
        <v>#REF!</v>
      </c>
      <c r="O189" s="8"/>
      <c r="P189" s="8"/>
      <c r="Q189" s="8"/>
      <c r="R189" s="8"/>
      <c r="S189" s="8"/>
      <c r="T189" s="8"/>
      <c r="U189" s="8"/>
      <c r="V189" s="8"/>
      <c r="W189" s="8"/>
      <c r="X189" s="8"/>
      <c r="Y189" s="8"/>
      <c r="Z189" s="8"/>
    </row>
    <row r="190">
      <c r="A190" s="8"/>
      <c r="B190" s="8"/>
      <c r="C190" s="8"/>
      <c r="D190" s="69"/>
      <c r="E190" s="25"/>
      <c r="F190" s="8"/>
      <c r="G190" s="8"/>
      <c r="H190" s="8"/>
      <c r="I190" s="8"/>
      <c r="J190" s="30" t="str">
        <f t="shared" si="37"/>
        <v>#REF!</v>
      </c>
      <c r="K190" s="30" t="str">
        <f t="shared" si="38"/>
        <v>#REF!</v>
      </c>
      <c r="L190" s="30" t="str">
        <f t="shared" ref="L190:M190" si="47">IF(#REF!="","",#REF!)</f>
        <v>#REF!</v>
      </c>
      <c r="M190" s="30" t="str">
        <f t="shared" si="47"/>
        <v>#REF!</v>
      </c>
      <c r="N190" s="30" t="str">
        <f t="shared" si="7"/>
        <v>#REF!</v>
      </c>
      <c r="O190" s="8"/>
      <c r="P190" s="8"/>
      <c r="Q190" s="8"/>
      <c r="R190" s="8"/>
      <c r="S190" s="8"/>
      <c r="T190" s="8"/>
      <c r="U190" s="8"/>
      <c r="V190" s="8"/>
      <c r="W190" s="8"/>
      <c r="X190" s="8"/>
      <c r="Y190" s="8"/>
      <c r="Z190" s="8"/>
    </row>
    <row r="191">
      <c r="A191" s="8"/>
      <c r="B191" s="8"/>
      <c r="C191" s="8"/>
      <c r="D191" s="69"/>
      <c r="E191" s="25"/>
      <c r="F191" s="8"/>
      <c r="G191" s="8"/>
      <c r="H191" s="8"/>
      <c r="I191" s="8"/>
      <c r="J191" s="30" t="str">
        <f t="shared" si="37"/>
        <v>#REF!</v>
      </c>
      <c r="K191" s="30" t="str">
        <f t="shared" si="38"/>
        <v>#REF!</v>
      </c>
      <c r="L191" s="30" t="str">
        <f t="shared" ref="L191:M191" si="48">IF(#REF!="","",#REF!)</f>
        <v>#REF!</v>
      </c>
      <c r="M191" s="30" t="str">
        <f t="shared" si="48"/>
        <v>#REF!</v>
      </c>
      <c r="N191" s="30" t="str">
        <f t="shared" si="7"/>
        <v>#REF!</v>
      </c>
      <c r="O191" s="8"/>
      <c r="P191" s="8"/>
      <c r="Q191" s="8"/>
      <c r="R191" s="8"/>
      <c r="S191" s="8"/>
      <c r="T191" s="8"/>
      <c r="U191" s="8"/>
      <c r="V191" s="8"/>
      <c r="W191" s="8"/>
      <c r="X191" s="8"/>
      <c r="Y191" s="8"/>
      <c r="Z191" s="8"/>
    </row>
    <row r="192">
      <c r="A192" s="8"/>
      <c r="B192" s="8"/>
      <c r="C192" s="8"/>
      <c r="D192" s="69"/>
      <c r="E192" s="25"/>
      <c r="F192" s="8"/>
      <c r="G192" s="8"/>
      <c r="H192" s="8"/>
      <c r="I192" s="8"/>
      <c r="J192" s="30" t="str">
        <f>IF($A11="","",$A11)</f>
        <v>Dr. Khairul Alam</v>
      </c>
      <c r="K192" s="30" t="str">
        <f>$G11</f>
        <v/>
      </c>
      <c r="L192" s="30" t="str">
        <f>IF($A11="","",$C11)</f>
        <v>kalam@ewubd.edu</v>
      </c>
      <c r="M192" s="34" t="str">
        <f>IF($A11="","",$D11)</f>
        <v>01713458911</v>
      </c>
      <c r="N192" s="30" t="str">
        <f t="shared" si="7"/>
        <v/>
      </c>
      <c r="O192" s="8"/>
      <c r="P192" s="8"/>
      <c r="Q192" s="8"/>
      <c r="R192" s="8"/>
      <c r="S192" s="8"/>
      <c r="T192" s="8"/>
      <c r="U192" s="8"/>
      <c r="V192" s="8"/>
      <c r="W192" s="8"/>
      <c r="X192" s="8"/>
      <c r="Y192" s="8"/>
      <c r="Z192" s="8"/>
    </row>
    <row r="193">
      <c r="A193" s="8"/>
      <c r="B193" s="8"/>
      <c r="C193" s="8"/>
      <c r="D193" s="69"/>
      <c r="E193" s="25"/>
      <c r="F193" s="8"/>
      <c r="G193" s="8"/>
      <c r="H193" s="8"/>
      <c r="I193" s="8"/>
      <c r="J193" s="30" t="str">
        <f t="shared" ref="J193:J199" si="50">IF(#REF!="","",#REF!)</f>
        <v>#REF!</v>
      </c>
      <c r="K193" s="30" t="str">
        <f t="shared" ref="K193:K199" si="51">#REF!</f>
        <v>#REF!</v>
      </c>
      <c r="L193" s="30" t="str">
        <f t="shared" ref="L193:M193" si="49">IF(#REF!="","",#REF!)</f>
        <v>#REF!</v>
      </c>
      <c r="M193" s="30" t="str">
        <f t="shared" si="49"/>
        <v>#REF!</v>
      </c>
      <c r="N193" s="30" t="str">
        <f t="shared" si="7"/>
        <v>#REF!</v>
      </c>
      <c r="O193" s="8"/>
      <c r="P193" s="8"/>
      <c r="Q193" s="8"/>
      <c r="R193" s="8"/>
      <c r="S193" s="8"/>
      <c r="T193" s="8"/>
      <c r="U193" s="8"/>
      <c r="V193" s="8"/>
      <c r="W193" s="8"/>
      <c r="X193" s="8"/>
      <c r="Y193" s="8"/>
      <c r="Z193" s="8"/>
    </row>
    <row r="194">
      <c r="A194" s="8"/>
      <c r="B194" s="8"/>
      <c r="C194" s="8"/>
      <c r="D194" s="69"/>
      <c r="E194" s="25"/>
      <c r="F194" s="8"/>
      <c r="G194" s="8"/>
      <c r="H194" s="8"/>
      <c r="I194" s="8"/>
      <c r="J194" s="30" t="str">
        <f t="shared" si="50"/>
        <v>#REF!</v>
      </c>
      <c r="K194" s="30" t="str">
        <f t="shared" si="51"/>
        <v>#REF!</v>
      </c>
      <c r="L194" s="30" t="str">
        <f t="shared" ref="L194:M194" si="52">IF(#REF!="","",#REF!)</f>
        <v>#REF!</v>
      </c>
      <c r="M194" s="30" t="str">
        <f t="shared" si="52"/>
        <v>#REF!</v>
      </c>
      <c r="N194" s="30" t="str">
        <f t="shared" si="7"/>
        <v>#REF!</v>
      </c>
      <c r="O194" s="8"/>
      <c r="P194" s="8"/>
      <c r="Q194" s="8"/>
      <c r="R194" s="8"/>
      <c r="S194" s="8"/>
      <c r="T194" s="8"/>
      <c r="U194" s="8"/>
      <c r="V194" s="8"/>
      <c r="W194" s="8"/>
      <c r="X194" s="8"/>
      <c r="Y194" s="8"/>
      <c r="Z194" s="8"/>
    </row>
    <row r="195">
      <c r="A195" s="8"/>
      <c r="B195" s="8"/>
      <c r="C195" s="8"/>
      <c r="D195" s="69"/>
      <c r="E195" s="25"/>
      <c r="F195" s="8"/>
      <c r="G195" s="8"/>
      <c r="H195" s="8"/>
      <c r="I195" s="8"/>
      <c r="J195" s="30" t="str">
        <f t="shared" si="50"/>
        <v>#REF!</v>
      </c>
      <c r="K195" s="30" t="str">
        <f t="shared" si="51"/>
        <v>#REF!</v>
      </c>
      <c r="L195" s="30" t="str">
        <f t="shared" ref="L195:M195" si="53">IF(#REF!="","",#REF!)</f>
        <v>#REF!</v>
      </c>
      <c r="M195" s="30" t="str">
        <f t="shared" si="53"/>
        <v>#REF!</v>
      </c>
      <c r="N195" s="30" t="str">
        <f t="shared" si="7"/>
        <v>#REF!</v>
      </c>
      <c r="O195" s="8"/>
      <c r="P195" s="8"/>
      <c r="Q195" s="8"/>
      <c r="R195" s="8"/>
      <c r="S195" s="8"/>
      <c r="T195" s="8"/>
      <c r="U195" s="8"/>
      <c r="V195" s="8"/>
      <c r="W195" s="8"/>
      <c r="X195" s="8"/>
      <c r="Y195" s="8"/>
      <c r="Z195" s="8"/>
    </row>
    <row r="196">
      <c r="A196" s="8"/>
      <c r="B196" s="8"/>
      <c r="C196" s="8"/>
      <c r="D196" s="69"/>
      <c r="E196" s="25"/>
      <c r="F196" s="8"/>
      <c r="G196" s="8"/>
      <c r="H196" s="8"/>
      <c r="I196" s="8"/>
      <c r="J196" s="30" t="str">
        <f t="shared" si="50"/>
        <v>#REF!</v>
      </c>
      <c r="K196" s="30" t="str">
        <f t="shared" si="51"/>
        <v>#REF!</v>
      </c>
      <c r="L196" s="30" t="str">
        <f t="shared" ref="L196:M196" si="54">IF(#REF!="","",#REF!)</f>
        <v>#REF!</v>
      </c>
      <c r="M196" s="30" t="str">
        <f t="shared" si="54"/>
        <v>#REF!</v>
      </c>
      <c r="N196" s="30" t="str">
        <f t="shared" si="7"/>
        <v>#REF!</v>
      </c>
      <c r="O196" s="8"/>
      <c r="P196" s="8"/>
      <c r="Q196" s="8"/>
      <c r="R196" s="8"/>
      <c r="S196" s="8"/>
      <c r="T196" s="8"/>
      <c r="U196" s="8"/>
      <c r="V196" s="8"/>
      <c r="W196" s="8"/>
      <c r="X196" s="8"/>
      <c r="Y196" s="8"/>
      <c r="Z196" s="8"/>
    </row>
    <row r="197">
      <c r="A197" s="8"/>
      <c r="B197" s="8"/>
      <c r="C197" s="8"/>
      <c r="D197" s="69"/>
      <c r="E197" s="25"/>
      <c r="F197" s="8"/>
      <c r="G197" s="8"/>
      <c r="H197" s="8"/>
      <c r="I197" s="8"/>
      <c r="J197" s="30" t="str">
        <f t="shared" si="50"/>
        <v>#REF!</v>
      </c>
      <c r="K197" s="30" t="str">
        <f t="shared" si="51"/>
        <v>#REF!</v>
      </c>
      <c r="L197" s="30" t="str">
        <f t="shared" ref="L197:M197" si="55">IF(#REF!="","",#REF!)</f>
        <v>#REF!</v>
      </c>
      <c r="M197" s="30" t="str">
        <f t="shared" si="55"/>
        <v>#REF!</v>
      </c>
      <c r="N197" s="30" t="str">
        <f t="shared" si="7"/>
        <v>#REF!</v>
      </c>
      <c r="O197" s="8"/>
      <c r="P197" s="8"/>
      <c r="Q197" s="8"/>
      <c r="R197" s="8"/>
      <c r="S197" s="8"/>
      <c r="T197" s="8"/>
      <c r="U197" s="8"/>
      <c r="V197" s="8"/>
      <c r="W197" s="8"/>
      <c r="X197" s="8"/>
      <c r="Y197" s="8"/>
      <c r="Z197" s="8"/>
    </row>
    <row r="198">
      <c r="A198" s="8"/>
      <c r="B198" s="8"/>
      <c r="C198" s="8"/>
      <c r="D198" s="69"/>
      <c r="E198" s="25"/>
      <c r="F198" s="8"/>
      <c r="G198" s="8"/>
      <c r="H198" s="8"/>
      <c r="I198" s="8"/>
      <c r="J198" s="30" t="str">
        <f t="shared" si="50"/>
        <v>#REF!</v>
      </c>
      <c r="K198" s="30" t="str">
        <f t="shared" si="51"/>
        <v>#REF!</v>
      </c>
      <c r="L198" s="30" t="str">
        <f t="shared" ref="L198:M198" si="56">IF(#REF!="","",#REF!)</f>
        <v>#REF!</v>
      </c>
      <c r="M198" s="30" t="str">
        <f t="shared" si="56"/>
        <v>#REF!</v>
      </c>
      <c r="N198" s="30" t="str">
        <f t="shared" si="7"/>
        <v>#REF!</v>
      </c>
      <c r="O198" s="8"/>
      <c r="P198" s="8"/>
      <c r="Q198" s="8"/>
      <c r="R198" s="8"/>
      <c r="S198" s="8"/>
      <c r="T198" s="8"/>
      <c r="U198" s="8"/>
      <c r="V198" s="8"/>
      <c r="W198" s="8"/>
      <c r="X198" s="8"/>
      <c r="Y198" s="8"/>
      <c r="Z198" s="8"/>
    </row>
    <row r="199">
      <c r="A199" s="8"/>
      <c r="B199" s="8"/>
      <c r="C199" s="8"/>
      <c r="D199" s="69"/>
      <c r="E199" s="25"/>
      <c r="F199" s="8"/>
      <c r="G199" s="8"/>
      <c r="H199" s="8"/>
      <c r="I199" s="8"/>
      <c r="J199" s="30" t="str">
        <f t="shared" si="50"/>
        <v>#REF!</v>
      </c>
      <c r="K199" s="30" t="str">
        <f t="shared" si="51"/>
        <v>#REF!</v>
      </c>
      <c r="L199" s="30" t="str">
        <f t="shared" ref="L199:M199" si="57">IF(#REF!="","",#REF!)</f>
        <v>#REF!</v>
      </c>
      <c r="M199" s="30" t="str">
        <f t="shared" si="57"/>
        <v>#REF!</v>
      </c>
      <c r="N199" s="30" t="str">
        <f t="shared" si="7"/>
        <v>#REF!</v>
      </c>
      <c r="O199" s="8"/>
      <c r="P199" s="8"/>
      <c r="Q199" s="8"/>
      <c r="R199" s="8"/>
      <c r="S199" s="8"/>
      <c r="T199" s="8"/>
      <c r="U199" s="8"/>
      <c r="V199" s="8"/>
      <c r="W199" s="8"/>
      <c r="X199" s="8"/>
      <c r="Y199" s="8"/>
      <c r="Z199" s="8"/>
    </row>
    <row r="200">
      <c r="A200" s="8"/>
      <c r="B200" s="8"/>
      <c r="C200" s="8"/>
      <c r="D200" s="69"/>
      <c r="E200" s="25"/>
      <c r="F200" s="8"/>
      <c r="G200" s="8"/>
      <c r="H200" s="8"/>
      <c r="I200" s="8"/>
      <c r="J200" s="30" t="str">
        <f>IF($A12="","",$A12)</f>
        <v>Dr. Sifat Momen</v>
      </c>
      <c r="K200" s="30" t="str">
        <f>$G12</f>
        <v/>
      </c>
      <c r="L200" s="30" t="str">
        <f>IF($A12="","",$C12)</f>
        <v>sifat.momen@northsouth.edu</v>
      </c>
      <c r="M200" s="34" t="str">
        <f>IF($A12="","",$D12)</f>
        <v>01754119999</v>
      </c>
      <c r="N200" s="30" t="str">
        <f t="shared" si="7"/>
        <v/>
      </c>
      <c r="O200" s="8"/>
      <c r="P200" s="8"/>
      <c r="Q200" s="8"/>
      <c r="R200" s="8"/>
      <c r="S200" s="8"/>
      <c r="T200" s="8"/>
      <c r="U200" s="8"/>
      <c r="V200" s="8"/>
      <c r="W200" s="8"/>
      <c r="X200" s="8"/>
      <c r="Y200" s="8"/>
      <c r="Z200" s="8"/>
    </row>
    <row r="201">
      <c r="A201" s="8"/>
      <c r="B201" s="8"/>
      <c r="C201" s="8"/>
      <c r="D201" s="69"/>
      <c r="E201" s="25"/>
      <c r="F201" s="8"/>
      <c r="G201" s="8"/>
      <c r="H201" s="8"/>
      <c r="I201" s="8"/>
      <c r="J201" s="30" t="str">
        <f t="shared" ref="J201:J205" si="59">IF(#REF!="","",#REF!)</f>
        <v>#REF!</v>
      </c>
      <c r="K201" s="30" t="str">
        <f t="shared" ref="K201:K205" si="60">#REF!</f>
        <v>#REF!</v>
      </c>
      <c r="L201" s="30" t="str">
        <f t="shared" ref="L201:M201" si="58">IF(#REF!="","",#REF!)</f>
        <v>#REF!</v>
      </c>
      <c r="M201" s="30" t="str">
        <f t="shared" si="58"/>
        <v>#REF!</v>
      </c>
      <c r="N201" s="30" t="str">
        <f t="shared" si="7"/>
        <v>#REF!</v>
      </c>
      <c r="O201" s="8"/>
      <c r="P201" s="8"/>
      <c r="Q201" s="8"/>
      <c r="R201" s="8"/>
      <c r="S201" s="8"/>
      <c r="T201" s="8"/>
      <c r="U201" s="8"/>
      <c r="V201" s="8"/>
      <c r="W201" s="8"/>
      <c r="X201" s="8"/>
      <c r="Y201" s="8"/>
      <c r="Z201" s="8"/>
    </row>
    <row r="202">
      <c r="A202" s="8"/>
      <c r="B202" s="8"/>
      <c r="C202" s="8"/>
      <c r="D202" s="69"/>
      <c r="E202" s="25"/>
      <c r="F202" s="8"/>
      <c r="G202" s="8"/>
      <c r="H202" s="8"/>
      <c r="I202" s="8"/>
      <c r="J202" s="30" t="str">
        <f t="shared" si="59"/>
        <v>#REF!</v>
      </c>
      <c r="K202" s="30" t="str">
        <f t="shared" si="60"/>
        <v>#REF!</v>
      </c>
      <c r="L202" s="30" t="str">
        <f t="shared" ref="L202:M202" si="61">IF(#REF!="","",#REF!)</f>
        <v>#REF!</v>
      </c>
      <c r="M202" s="30" t="str">
        <f t="shared" si="61"/>
        <v>#REF!</v>
      </c>
      <c r="N202" s="30" t="str">
        <f t="shared" si="7"/>
        <v>#REF!</v>
      </c>
      <c r="O202" s="8"/>
      <c r="P202" s="8"/>
      <c r="Q202" s="8"/>
      <c r="R202" s="8"/>
      <c r="S202" s="8"/>
      <c r="T202" s="8"/>
      <c r="U202" s="8"/>
      <c r="V202" s="8"/>
      <c r="W202" s="8"/>
      <c r="X202" s="8"/>
      <c r="Y202" s="8"/>
      <c r="Z202" s="8"/>
    </row>
    <row r="203">
      <c r="A203" s="8"/>
      <c r="B203" s="8"/>
      <c r="C203" s="8"/>
      <c r="D203" s="69"/>
      <c r="E203" s="25"/>
      <c r="F203" s="8"/>
      <c r="G203" s="8"/>
      <c r="H203" s="8"/>
      <c r="I203" s="8"/>
      <c r="J203" s="30" t="str">
        <f t="shared" si="59"/>
        <v>#REF!</v>
      </c>
      <c r="K203" s="30" t="str">
        <f t="shared" si="60"/>
        <v>#REF!</v>
      </c>
      <c r="L203" s="30" t="str">
        <f t="shared" ref="L203:M203" si="62">IF(#REF!="","",#REF!)</f>
        <v>#REF!</v>
      </c>
      <c r="M203" s="30" t="str">
        <f t="shared" si="62"/>
        <v>#REF!</v>
      </c>
      <c r="N203" s="30" t="str">
        <f t="shared" si="7"/>
        <v>#REF!</v>
      </c>
      <c r="O203" s="8"/>
      <c r="P203" s="8"/>
      <c r="Q203" s="8"/>
      <c r="R203" s="8"/>
      <c r="S203" s="8"/>
      <c r="T203" s="8"/>
      <c r="U203" s="8"/>
      <c r="V203" s="8"/>
      <c r="W203" s="8"/>
      <c r="X203" s="8"/>
      <c r="Y203" s="8"/>
      <c r="Z203" s="8"/>
    </row>
    <row r="204">
      <c r="A204" s="8"/>
      <c r="B204" s="8"/>
      <c r="C204" s="8"/>
      <c r="D204" s="69"/>
      <c r="E204" s="25"/>
      <c r="F204" s="8"/>
      <c r="G204" s="8"/>
      <c r="H204" s="8"/>
      <c r="I204" s="8"/>
      <c r="J204" s="30" t="str">
        <f t="shared" si="59"/>
        <v>#REF!</v>
      </c>
      <c r="K204" s="30" t="str">
        <f t="shared" si="60"/>
        <v>#REF!</v>
      </c>
      <c r="L204" s="30" t="str">
        <f t="shared" ref="L204:M204" si="63">IF(#REF!="","",#REF!)</f>
        <v>#REF!</v>
      </c>
      <c r="M204" s="30" t="str">
        <f t="shared" si="63"/>
        <v>#REF!</v>
      </c>
      <c r="N204" s="30" t="str">
        <f t="shared" si="7"/>
        <v>#REF!</v>
      </c>
      <c r="O204" s="8"/>
      <c r="P204" s="8"/>
      <c r="Q204" s="8"/>
      <c r="R204" s="8"/>
      <c r="S204" s="8"/>
      <c r="T204" s="8"/>
      <c r="U204" s="8"/>
      <c r="V204" s="8"/>
      <c r="W204" s="8"/>
      <c r="X204" s="8"/>
      <c r="Y204" s="8"/>
      <c r="Z204" s="8"/>
    </row>
    <row r="205">
      <c r="A205" s="8"/>
      <c r="B205" s="8"/>
      <c r="C205" s="8"/>
      <c r="D205" s="69"/>
      <c r="E205" s="25"/>
      <c r="F205" s="8"/>
      <c r="G205" s="8"/>
      <c r="H205" s="8"/>
      <c r="I205" s="8"/>
      <c r="J205" s="30" t="str">
        <f t="shared" si="59"/>
        <v>#REF!</v>
      </c>
      <c r="K205" s="30" t="str">
        <f t="shared" si="60"/>
        <v>#REF!</v>
      </c>
      <c r="L205" s="30" t="str">
        <f t="shared" ref="L205:M205" si="64">IF(#REF!="","",#REF!)</f>
        <v>#REF!</v>
      </c>
      <c r="M205" s="30" t="str">
        <f t="shared" si="64"/>
        <v>#REF!</v>
      </c>
      <c r="N205" s="30" t="str">
        <f t="shared" si="7"/>
        <v>#REF!</v>
      </c>
      <c r="O205" s="8"/>
      <c r="P205" s="8"/>
      <c r="Q205" s="8"/>
      <c r="R205" s="8"/>
      <c r="S205" s="8"/>
      <c r="T205" s="8"/>
      <c r="U205" s="8"/>
      <c r="V205" s="8"/>
      <c r="W205" s="8"/>
      <c r="X205" s="8"/>
      <c r="Y205" s="8"/>
      <c r="Z205" s="8"/>
    </row>
    <row r="206">
      <c r="A206" s="8"/>
      <c r="B206" s="8"/>
      <c r="C206" s="8"/>
      <c r="D206" s="69"/>
      <c r="E206" s="25"/>
      <c r="F206" s="8"/>
      <c r="G206" s="8"/>
      <c r="H206" s="8"/>
      <c r="I206" s="8"/>
      <c r="J206" s="30" t="str">
        <f>IF($A13="","",$A13)</f>
        <v>Dr. Mohammad Nurul Huda</v>
      </c>
      <c r="K206" s="30" t="str">
        <f>$G13</f>
        <v/>
      </c>
      <c r="L206" s="30" t="str">
        <f>IF($A13="","",$C13)</f>
        <v>mnh@cse.uiu.ac.bd</v>
      </c>
      <c r="M206" s="34" t="str">
        <f>IF($A13="","",$D13)</f>
        <v>01673476433</v>
      </c>
      <c r="N206" s="30" t="str">
        <f t="shared" si="7"/>
        <v/>
      </c>
      <c r="O206" s="8"/>
      <c r="P206" s="8"/>
      <c r="Q206" s="8"/>
      <c r="R206" s="8"/>
      <c r="S206" s="8"/>
      <c r="T206" s="8"/>
      <c r="U206" s="8"/>
      <c r="V206" s="8"/>
      <c r="W206" s="8"/>
      <c r="X206" s="8"/>
      <c r="Y206" s="8"/>
      <c r="Z206" s="8"/>
    </row>
    <row r="207">
      <c r="A207" s="8"/>
      <c r="B207" s="8"/>
      <c r="C207" s="8"/>
      <c r="D207" s="69"/>
      <c r="E207" s="25"/>
      <c r="F207" s="8"/>
      <c r="G207" s="8"/>
      <c r="H207" s="8"/>
      <c r="I207" s="8"/>
      <c r="J207" s="30" t="str">
        <f t="shared" ref="J207:J208" si="66">IF(#REF!="","",#REF!)</f>
        <v>#REF!</v>
      </c>
      <c r="K207" s="30" t="str">
        <f t="shared" ref="K207:K208" si="67">#REF!</f>
        <v>#REF!</v>
      </c>
      <c r="L207" s="30" t="str">
        <f t="shared" ref="L207:M207" si="65">IF(#REF!="","",#REF!)</f>
        <v>#REF!</v>
      </c>
      <c r="M207" s="30" t="str">
        <f t="shared" si="65"/>
        <v>#REF!</v>
      </c>
      <c r="N207" s="30" t="str">
        <f t="shared" si="7"/>
        <v>#REF!</v>
      </c>
      <c r="O207" s="8"/>
      <c r="P207" s="8"/>
      <c r="Q207" s="8"/>
      <c r="R207" s="8"/>
      <c r="S207" s="8"/>
      <c r="T207" s="8"/>
      <c r="U207" s="8"/>
      <c r="V207" s="8"/>
      <c r="W207" s="8"/>
      <c r="X207" s="8"/>
      <c r="Y207" s="8"/>
      <c r="Z207" s="8"/>
    </row>
    <row r="208">
      <c r="A208" s="8"/>
      <c r="B208" s="8"/>
      <c r="C208" s="8"/>
      <c r="D208" s="69"/>
      <c r="E208" s="25"/>
      <c r="F208" s="8"/>
      <c r="G208" s="8"/>
      <c r="H208" s="8"/>
      <c r="I208" s="8"/>
      <c r="J208" s="30" t="str">
        <f t="shared" si="66"/>
        <v>#REF!</v>
      </c>
      <c r="K208" s="30" t="str">
        <f t="shared" si="67"/>
        <v>#REF!</v>
      </c>
      <c r="L208" s="30" t="str">
        <f t="shared" ref="L208:M208" si="68">IF(#REF!="","",#REF!)</f>
        <v>#REF!</v>
      </c>
      <c r="M208" s="30" t="str">
        <f t="shared" si="68"/>
        <v>#REF!</v>
      </c>
      <c r="N208" s="30" t="str">
        <f t="shared" si="7"/>
        <v>#REF!</v>
      </c>
      <c r="O208" s="8"/>
      <c r="P208" s="8"/>
      <c r="Q208" s="8"/>
      <c r="R208" s="8"/>
      <c r="S208" s="8"/>
      <c r="T208" s="8"/>
      <c r="U208" s="8"/>
      <c r="V208" s="8"/>
      <c r="W208" s="8"/>
      <c r="X208" s="8"/>
      <c r="Y208" s="8"/>
      <c r="Z208" s="8"/>
    </row>
    <row r="209">
      <c r="A209" s="8"/>
      <c r="B209" s="8"/>
      <c r="C209" s="8"/>
      <c r="D209" s="69"/>
      <c r="E209" s="25"/>
      <c r="F209" s="8"/>
      <c r="G209" s="8"/>
      <c r="H209" s="8"/>
      <c r="I209" s="8"/>
      <c r="J209" s="30" t="str">
        <f>IF($A14="","",$A14)</f>
        <v>Dr. Mustafa Habib Chowdhury</v>
      </c>
      <c r="K209" s="30" t="str">
        <f>$G14</f>
        <v/>
      </c>
      <c r="L209" s="30" t="str">
        <f>IF($A14="","",$C14)</f>
        <v>mchowdhury@iub.edu.bd</v>
      </c>
      <c r="M209" s="34" t="str">
        <f>IF($A14="","",$D14)</f>
        <v>01706635679</v>
      </c>
      <c r="N209" s="30" t="str">
        <f t="shared" si="7"/>
        <v/>
      </c>
      <c r="O209" s="8"/>
      <c r="P209" s="8"/>
      <c r="Q209" s="8"/>
      <c r="R209" s="8"/>
      <c r="S209" s="8"/>
      <c r="T209" s="8"/>
      <c r="U209" s="8"/>
      <c r="V209" s="8"/>
      <c r="W209" s="8"/>
      <c r="X209" s="8"/>
      <c r="Y209" s="8"/>
      <c r="Z209" s="8"/>
    </row>
    <row r="210">
      <c r="A210" s="8"/>
      <c r="B210" s="8"/>
      <c r="C210" s="8"/>
      <c r="D210" s="69"/>
      <c r="E210" s="25"/>
      <c r="F210" s="8"/>
      <c r="G210" s="8"/>
      <c r="H210" s="8"/>
      <c r="I210" s="8"/>
      <c r="J210" s="30" t="str">
        <f t="shared" ref="J210:J212" si="70">IF(#REF!="","",#REF!)</f>
        <v>#REF!</v>
      </c>
      <c r="K210" s="30" t="str">
        <f t="shared" ref="K210:K212" si="71">#REF!</f>
        <v>#REF!</v>
      </c>
      <c r="L210" s="30" t="str">
        <f t="shared" ref="L210:M210" si="69">IF(#REF!="","",#REF!)</f>
        <v>#REF!</v>
      </c>
      <c r="M210" s="30" t="str">
        <f t="shared" si="69"/>
        <v>#REF!</v>
      </c>
      <c r="N210" s="30" t="str">
        <f t="shared" si="7"/>
        <v>#REF!</v>
      </c>
      <c r="O210" s="8"/>
      <c r="P210" s="8"/>
      <c r="Q210" s="8"/>
      <c r="R210" s="8"/>
      <c r="S210" s="8"/>
      <c r="T210" s="8"/>
      <c r="U210" s="8"/>
      <c r="V210" s="8"/>
      <c r="W210" s="8"/>
      <c r="X210" s="8"/>
      <c r="Y210" s="8"/>
      <c r="Z210" s="8"/>
    </row>
    <row r="211">
      <c r="A211" s="8"/>
      <c r="B211" s="8"/>
      <c r="C211" s="8"/>
      <c r="D211" s="69"/>
      <c r="E211" s="25"/>
      <c r="F211" s="8"/>
      <c r="G211" s="8"/>
      <c r="H211" s="8"/>
      <c r="I211" s="8"/>
      <c r="J211" s="30" t="str">
        <f t="shared" si="70"/>
        <v>#REF!</v>
      </c>
      <c r="K211" s="30" t="str">
        <f t="shared" si="71"/>
        <v>#REF!</v>
      </c>
      <c r="L211" s="30" t="str">
        <f t="shared" ref="L211:M211" si="72">IF(#REF!="","",#REF!)</f>
        <v>#REF!</v>
      </c>
      <c r="M211" s="30" t="str">
        <f t="shared" si="72"/>
        <v>#REF!</v>
      </c>
      <c r="N211" s="30" t="str">
        <f t="shared" si="7"/>
        <v>#REF!</v>
      </c>
      <c r="O211" s="8"/>
      <c r="P211" s="8"/>
      <c r="Q211" s="8"/>
      <c r="R211" s="8"/>
      <c r="S211" s="8"/>
      <c r="T211" s="8"/>
      <c r="U211" s="8"/>
      <c r="V211" s="8"/>
      <c r="W211" s="8"/>
      <c r="X211" s="8"/>
      <c r="Y211" s="8"/>
      <c r="Z211" s="8"/>
    </row>
    <row r="212">
      <c r="A212" s="8"/>
      <c r="B212" s="8"/>
      <c r="C212" s="8"/>
      <c r="D212" s="69"/>
      <c r="E212" s="25"/>
      <c r="F212" s="8"/>
      <c r="G212" s="8"/>
      <c r="H212" s="8"/>
      <c r="I212" s="8"/>
      <c r="J212" s="30" t="str">
        <f t="shared" si="70"/>
        <v>#REF!</v>
      </c>
      <c r="K212" s="30" t="str">
        <f t="shared" si="71"/>
        <v>#REF!</v>
      </c>
      <c r="L212" s="30" t="str">
        <f t="shared" ref="L212:M212" si="73">IF(#REF!="","",#REF!)</f>
        <v>#REF!</v>
      </c>
      <c r="M212" s="30" t="str">
        <f t="shared" si="73"/>
        <v>#REF!</v>
      </c>
      <c r="N212" s="30" t="str">
        <f t="shared" si="7"/>
        <v>#REF!</v>
      </c>
      <c r="O212" s="8"/>
      <c r="P212" s="8"/>
      <c r="Q212" s="8"/>
      <c r="R212" s="8"/>
      <c r="S212" s="8"/>
      <c r="T212" s="8"/>
      <c r="U212" s="8"/>
      <c r="V212" s="8"/>
      <c r="W212" s="8"/>
      <c r="X212" s="8"/>
      <c r="Y212" s="8"/>
      <c r="Z212" s="8"/>
    </row>
    <row r="213">
      <c r="A213" s="8"/>
      <c r="B213" s="8"/>
      <c r="C213" s="8"/>
      <c r="D213" s="69"/>
      <c r="E213" s="25"/>
      <c r="F213" s="8"/>
      <c r="G213" s="8"/>
      <c r="H213" s="8"/>
      <c r="I213" s="8"/>
      <c r="J213" s="30" t="str">
        <f>IF($A15="","",$A15)</f>
        <v>Dr. Mohammad Shazzad Hossain</v>
      </c>
      <c r="K213" s="30" t="str">
        <f>$G15</f>
        <v/>
      </c>
      <c r="L213" s="30" t="str">
        <f>IF($A15="","",$C15)</f>
        <v>shazzad.hossain@ulab.edu.bd</v>
      </c>
      <c r="M213" s="34" t="str">
        <f>IF($A15="","",$D15)</f>
        <v>01712030624</v>
      </c>
      <c r="N213" s="30" t="str">
        <f t="shared" si="7"/>
        <v/>
      </c>
      <c r="O213" s="8"/>
      <c r="P213" s="8"/>
      <c r="Q213" s="8"/>
      <c r="R213" s="8"/>
      <c r="S213" s="8"/>
      <c r="T213" s="8"/>
      <c r="U213" s="8"/>
      <c r="V213" s="8"/>
      <c r="W213" s="8"/>
      <c r="X213" s="8"/>
      <c r="Y213" s="8"/>
      <c r="Z213" s="8"/>
    </row>
    <row r="214">
      <c r="A214" s="8"/>
      <c r="B214" s="8"/>
      <c r="C214" s="8"/>
      <c r="D214" s="69"/>
      <c r="E214" s="25"/>
      <c r="F214" s="8"/>
      <c r="G214" s="8"/>
      <c r="H214" s="8"/>
      <c r="I214" s="8"/>
      <c r="J214" s="30" t="str">
        <f t="shared" ref="J214:J215" si="75">IF(#REF!="","",#REF!)</f>
        <v>#REF!</v>
      </c>
      <c r="K214" s="30" t="str">
        <f t="shared" ref="K214:K215" si="76">#REF!</f>
        <v>#REF!</v>
      </c>
      <c r="L214" s="30" t="str">
        <f t="shared" ref="L214:M214" si="74">IF(#REF!="","",#REF!)</f>
        <v>#REF!</v>
      </c>
      <c r="M214" s="30" t="str">
        <f t="shared" si="74"/>
        <v>#REF!</v>
      </c>
      <c r="N214" s="30" t="str">
        <f t="shared" si="7"/>
        <v>#REF!</v>
      </c>
      <c r="O214" s="8"/>
      <c r="P214" s="8"/>
      <c r="Q214" s="8"/>
      <c r="R214" s="8"/>
      <c r="S214" s="8"/>
      <c r="T214" s="8"/>
      <c r="U214" s="8"/>
      <c r="V214" s="8"/>
      <c r="W214" s="8"/>
      <c r="X214" s="8"/>
      <c r="Y214" s="8"/>
      <c r="Z214" s="8"/>
    </row>
    <row r="215">
      <c r="A215" s="8"/>
      <c r="B215" s="8"/>
      <c r="C215" s="8"/>
      <c r="D215" s="69"/>
      <c r="E215" s="25"/>
      <c r="F215" s="8"/>
      <c r="G215" s="8"/>
      <c r="H215" s="8"/>
      <c r="I215" s="8"/>
      <c r="J215" s="30" t="str">
        <f t="shared" si="75"/>
        <v>#REF!</v>
      </c>
      <c r="K215" s="30" t="str">
        <f t="shared" si="76"/>
        <v>#REF!</v>
      </c>
      <c r="L215" s="30" t="str">
        <f t="shared" ref="L215:M215" si="77">IF(#REF!="","",#REF!)</f>
        <v>#REF!</v>
      </c>
      <c r="M215" s="30" t="str">
        <f t="shared" si="77"/>
        <v>#REF!</v>
      </c>
      <c r="N215" s="30" t="str">
        <f t="shared" si="7"/>
        <v>#REF!</v>
      </c>
      <c r="O215" s="8"/>
      <c r="P215" s="8"/>
      <c r="Q215" s="8"/>
      <c r="R215" s="8"/>
      <c r="S215" s="8"/>
      <c r="T215" s="8"/>
      <c r="U215" s="8"/>
      <c r="V215" s="8"/>
      <c r="W215" s="8"/>
      <c r="X215" s="8"/>
      <c r="Y215" s="8"/>
      <c r="Z215" s="8"/>
    </row>
    <row r="216">
      <c r="A216" s="8"/>
      <c r="B216" s="8"/>
      <c r="C216" s="8"/>
      <c r="D216" s="69"/>
      <c r="E216" s="25"/>
      <c r="F216" s="8"/>
      <c r="G216" s="8"/>
      <c r="H216" s="8"/>
      <c r="I216" s="8"/>
      <c r="J216" s="30" t="str">
        <f t="shared" ref="J216:J359" si="78">IF($A16="","",$A16)</f>
        <v>Dr. Rezwan Al Islam Khan</v>
      </c>
      <c r="K216" s="30" t="str">
        <f t="shared" ref="K216:K359" si="79">$G16</f>
        <v/>
      </c>
      <c r="L216" s="30" t="str">
        <f t="shared" ref="L216:L359" si="80">IF($A16="","",$C16)</f>
        <v>rezwan.islam@ulab.edu.bd</v>
      </c>
      <c r="M216" s="34" t="str">
        <f t="shared" ref="M216:M359" si="81">IF($A16="","",$D16)</f>
        <v>01712530199</v>
      </c>
      <c r="N216" s="30" t="str">
        <f t="shared" si="7"/>
        <v/>
      </c>
      <c r="O216" s="8"/>
      <c r="P216" s="8"/>
      <c r="Q216" s="8"/>
      <c r="R216" s="8"/>
      <c r="S216" s="8"/>
      <c r="T216" s="8"/>
      <c r="U216" s="8"/>
      <c r="V216" s="8"/>
      <c r="W216" s="8"/>
      <c r="X216" s="8"/>
      <c r="Y216" s="8"/>
      <c r="Z216" s="8"/>
    </row>
    <row r="217">
      <c r="A217" s="8"/>
      <c r="B217" s="8"/>
      <c r="C217" s="8"/>
      <c r="D217" s="69"/>
      <c r="E217" s="25"/>
      <c r="F217" s="8"/>
      <c r="G217" s="8"/>
      <c r="H217" s="8"/>
      <c r="I217" s="8"/>
      <c r="J217" s="30" t="str">
        <f t="shared" si="78"/>
        <v>Dr. Md. Ashraful Haque, PhD</v>
      </c>
      <c r="K217" s="30" t="str">
        <f t="shared" si="79"/>
        <v/>
      </c>
      <c r="L217" s="30" t="str">
        <f t="shared" si="80"/>
        <v>ashraful.haque1@ulab.edu.bd</v>
      </c>
      <c r="M217" s="34" t="str">
        <f t="shared" si="81"/>
        <v>01675011109</v>
      </c>
      <c r="N217" s="30" t="str">
        <f t="shared" si="7"/>
        <v/>
      </c>
      <c r="O217" s="8"/>
      <c r="P217" s="8"/>
      <c r="Q217" s="8"/>
      <c r="R217" s="8"/>
      <c r="S217" s="8"/>
      <c r="T217" s="8"/>
      <c r="U217" s="8"/>
      <c r="V217" s="8"/>
      <c r="W217" s="8"/>
      <c r="X217" s="8"/>
      <c r="Y217" s="8"/>
      <c r="Z217" s="8"/>
    </row>
    <row r="218">
      <c r="A218" s="8"/>
      <c r="B218" s="8"/>
      <c r="C218" s="8"/>
      <c r="D218" s="69"/>
      <c r="E218" s="25"/>
      <c r="F218" s="8"/>
      <c r="G218" s="8"/>
      <c r="H218" s="8"/>
      <c r="I218" s="8"/>
      <c r="J218" s="30" t="str">
        <f t="shared" si="78"/>
        <v>Dr. Aminur Rahman</v>
      </c>
      <c r="K218" s="30" t="str">
        <f t="shared" si="79"/>
        <v/>
      </c>
      <c r="L218" s="30" t="str">
        <f t="shared" si="80"/>
        <v>aminur@bubt.edu.bd</v>
      </c>
      <c r="M218" s="34" t="str">
        <f t="shared" si="81"/>
        <v>01716539541</v>
      </c>
      <c r="N218" s="30" t="str">
        <f t="shared" si="7"/>
        <v/>
      </c>
      <c r="O218" s="8"/>
      <c r="P218" s="8"/>
      <c r="Q218" s="8"/>
      <c r="R218" s="8"/>
      <c r="S218" s="8"/>
      <c r="T218" s="8"/>
      <c r="U218" s="8"/>
      <c r="V218" s="8"/>
      <c r="W218" s="8"/>
      <c r="X218" s="8"/>
      <c r="Y218" s="8"/>
      <c r="Z218" s="8"/>
    </row>
    <row r="219">
      <c r="A219" s="8"/>
      <c r="B219" s="8"/>
      <c r="C219" s="8"/>
      <c r="D219" s="69"/>
      <c r="E219" s="25"/>
      <c r="F219" s="8"/>
      <c r="G219" s="8"/>
      <c r="H219" s="8"/>
      <c r="I219" s="8"/>
      <c r="J219" s="30" t="str">
        <f t="shared" si="78"/>
        <v>Prof. Dr. Md. Shahriar Rahman</v>
      </c>
      <c r="K219" s="30" t="str">
        <f t="shared" si="79"/>
        <v/>
      </c>
      <c r="L219" s="30" t="str">
        <f t="shared" si="80"/>
        <v>mshahriar@cse.uiu.ac.bd</v>
      </c>
      <c r="M219" s="34" t="str">
        <f t="shared" si="81"/>
        <v>01742092172</v>
      </c>
      <c r="N219" s="30" t="str">
        <f t="shared" si="7"/>
        <v/>
      </c>
      <c r="O219" s="8"/>
      <c r="P219" s="8"/>
      <c r="Q219" s="8"/>
      <c r="R219" s="8"/>
      <c r="S219" s="8"/>
      <c r="T219" s="8"/>
      <c r="U219" s="8"/>
      <c r="V219" s="8"/>
      <c r="W219" s="8"/>
      <c r="X219" s="8"/>
      <c r="Y219" s="8"/>
      <c r="Z219" s="8"/>
    </row>
    <row r="220">
      <c r="A220" s="8"/>
      <c r="B220" s="8"/>
      <c r="C220" s="8"/>
      <c r="D220" s="69"/>
      <c r="E220" s="25"/>
      <c r="F220" s="8"/>
      <c r="G220" s="8"/>
      <c r="H220" s="8"/>
      <c r="I220" s="8"/>
      <c r="J220" s="30" t="str">
        <f t="shared" si="78"/>
        <v>Dr. Anwarul Haque Joarder</v>
      </c>
      <c r="K220" s="30" t="str">
        <f t="shared" si="79"/>
        <v/>
      </c>
      <c r="L220" s="30" t="str">
        <f t="shared" si="80"/>
        <v>anwar.joarder@ulab.edu.bd</v>
      </c>
      <c r="M220" s="34" t="str">
        <f t="shared" si="81"/>
        <v>01977000805</v>
      </c>
      <c r="N220" s="30" t="str">
        <f t="shared" si="7"/>
        <v/>
      </c>
      <c r="O220" s="8"/>
      <c r="P220" s="8"/>
      <c r="Q220" s="8"/>
      <c r="R220" s="8"/>
      <c r="S220" s="8"/>
      <c r="T220" s="8"/>
      <c r="U220" s="8"/>
      <c r="V220" s="8"/>
      <c r="W220" s="8"/>
      <c r="X220" s="8"/>
      <c r="Y220" s="8"/>
      <c r="Z220" s="8"/>
    </row>
    <row r="221">
      <c r="A221" s="8"/>
      <c r="B221" s="8"/>
      <c r="C221" s="8"/>
      <c r="D221" s="69"/>
      <c r="E221" s="25"/>
      <c r="F221" s="8"/>
      <c r="G221" s="8"/>
      <c r="H221" s="8"/>
      <c r="I221" s="8"/>
      <c r="J221" s="30" t="str">
        <f t="shared" si="78"/>
        <v>Dr. A. B. M. Sayeed Ud Doulah</v>
      </c>
      <c r="K221" s="30" t="str">
        <f t="shared" si="79"/>
        <v/>
      </c>
      <c r="L221" s="30" t="str">
        <f t="shared" si="80"/>
        <v>sayeed.doulah@seu.edu.bd</v>
      </c>
      <c r="M221" s="34" t="str">
        <f t="shared" si="81"/>
        <v/>
      </c>
      <c r="N221" s="30" t="str">
        <f t="shared" si="7"/>
        <v/>
      </c>
      <c r="O221" s="8"/>
      <c r="P221" s="8"/>
      <c r="Q221" s="8"/>
      <c r="R221" s="8"/>
      <c r="S221" s="8"/>
      <c r="T221" s="8"/>
      <c r="U221" s="8"/>
      <c r="V221" s="8"/>
      <c r="W221" s="8"/>
      <c r="X221" s="8"/>
      <c r="Y221" s="8"/>
      <c r="Z221" s="8"/>
    </row>
    <row r="222">
      <c r="A222" s="8"/>
      <c r="B222" s="8"/>
      <c r="C222" s="8"/>
      <c r="D222" s="69"/>
      <c r="E222" s="25"/>
      <c r="F222" s="8"/>
      <c r="G222" s="8"/>
      <c r="H222" s="8"/>
      <c r="I222" s="8"/>
      <c r="J222" s="30" t="str">
        <f t="shared" si="78"/>
        <v/>
      </c>
      <c r="K222" s="30" t="str">
        <f t="shared" si="79"/>
        <v/>
      </c>
      <c r="L222" s="30" t="str">
        <f t="shared" si="80"/>
        <v/>
      </c>
      <c r="M222" s="30" t="str">
        <f t="shared" si="81"/>
        <v/>
      </c>
      <c r="N222" s="30" t="str">
        <f t="shared" si="7"/>
        <v/>
      </c>
      <c r="O222" s="8"/>
      <c r="P222" s="8"/>
      <c r="Q222" s="8"/>
      <c r="R222" s="8"/>
      <c r="S222" s="8"/>
      <c r="T222" s="8"/>
      <c r="U222" s="8"/>
      <c r="V222" s="8"/>
      <c r="W222" s="8"/>
      <c r="X222" s="8"/>
      <c r="Y222" s="8"/>
      <c r="Z222" s="8"/>
    </row>
    <row r="223">
      <c r="A223" s="8"/>
      <c r="B223" s="8"/>
      <c r="C223" s="8"/>
      <c r="D223" s="69"/>
      <c r="E223" s="25"/>
      <c r="F223" s="8"/>
      <c r="G223" s="8"/>
      <c r="H223" s="8"/>
      <c r="I223" s="8"/>
      <c r="J223" s="30" t="str">
        <f t="shared" si="78"/>
        <v/>
      </c>
      <c r="K223" s="30" t="str">
        <f t="shared" si="79"/>
        <v/>
      </c>
      <c r="L223" s="30" t="str">
        <f t="shared" si="80"/>
        <v/>
      </c>
      <c r="M223" s="30" t="str">
        <f t="shared" si="81"/>
        <v/>
      </c>
      <c r="N223" s="30" t="str">
        <f t="shared" si="7"/>
        <v/>
      </c>
      <c r="O223" s="8"/>
      <c r="P223" s="8"/>
      <c r="Q223" s="8"/>
      <c r="R223" s="8"/>
      <c r="S223" s="8"/>
      <c r="T223" s="8"/>
      <c r="U223" s="8"/>
      <c r="V223" s="8"/>
      <c r="W223" s="8"/>
      <c r="X223" s="8"/>
      <c r="Y223" s="8"/>
      <c r="Z223" s="8"/>
    </row>
    <row r="224">
      <c r="A224" s="8"/>
      <c r="B224" s="8"/>
      <c r="C224" s="8"/>
      <c r="D224" s="69"/>
      <c r="E224" s="25"/>
      <c r="F224" s="8"/>
      <c r="G224" s="8"/>
      <c r="H224" s="8"/>
      <c r="I224" s="8"/>
      <c r="J224" s="30" t="str">
        <f t="shared" si="78"/>
        <v/>
      </c>
      <c r="K224" s="30" t="str">
        <f t="shared" si="79"/>
        <v/>
      </c>
      <c r="L224" s="30" t="str">
        <f t="shared" si="80"/>
        <v/>
      </c>
      <c r="M224" s="30" t="str">
        <f t="shared" si="81"/>
        <v/>
      </c>
      <c r="N224" s="30" t="str">
        <f t="shared" si="7"/>
        <v/>
      </c>
      <c r="O224" s="8"/>
      <c r="P224" s="8"/>
      <c r="Q224" s="8"/>
      <c r="R224" s="8"/>
      <c r="S224" s="8"/>
      <c r="T224" s="8"/>
      <c r="U224" s="8"/>
      <c r="V224" s="8"/>
      <c r="W224" s="8"/>
      <c r="X224" s="8"/>
      <c r="Y224" s="8"/>
      <c r="Z224" s="8"/>
    </row>
    <row r="225">
      <c r="A225" s="8"/>
      <c r="B225" s="8"/>
      <c r="C225" s="8"/>
      <c r="D225" s="69"/>
      <c r="E225" s="25"/>
      <c r="F225" s="8"/>
      <c r="G225" s="8"/>
      <c r="H225" s="8"/>
      <c r="I225" s="8"/>
      <c r="J225" s="30" t="str">
        <f t="shared" si="78"/>
        <v/>
      </c>
      <c r="K225" s="30" t="str">
        <f t="shared" si="79"/>
        <v/>
      </c>
      <c r="L225" s="30" t="str">
        <f t="shared" si="80"/>
        <v/>
      </c>
      <c r="M225" s="30" t="str">
        <f t="shared" si="81"/>
        <v/>
      </c>
      <c r="N225" s="30" t="str">
        <f t="shared" si="7"/>
        <v/>
      </c>
      <c r="O225" s="8"/>
      <c r="P225" s="8"/>
      <c r="Q225" s="8"/>
      <c r="R225" s="8"/>
      <c r="S225" s="8"/>
      <c r="T225" s="8"/>
      <c r="U225" s="8"/>
      <c r="V225" s="8"/>
      <c r="W225" s="8"/>
      <c r="X225" s="8"/>
      <c r="Y225" s="8"/>
      <c r="Z225" s="8"/>
    </row>
    <row r="226">
      <c r="A226" s="8"/>
      <c r="B226" s="8"/>
      <c r="C226" s="8"/>
      <c r="D226" s="69"/>
      <c r="E226" s="25"/>
      <c r="F226" s="8"/>
      <c r="G226" s="8"/>
      <c r="H226" s="8"/>
      <c r="I226" s="8"/>
      <c r="J226" s="30" t="str">
        <f t="shared" si="78"/>
        <v/>
      </c>
      <c r="K226" s="30" t="str">
        <f t="shared" si="79"/>
        <v/>
      </c>
      <c r="L226" s="30" t="str">
        <f t="shared" si="80"/>
        <v/>
      </c>
      <c r="M226" s="30" t="str">
        <f t="shared" si="81"/>
        <v/>
      </c>
      <c r="N226" s="30" t="str">
        <f t="shared" si="7"/>
        <v/>
      </c>
      <c r="O226" s="8"/>
      <c r="P226" s="8"/>
      <c r="Q226" s="8"/>
      <c r="R226" s="8"/>
      <c r="S226" s="8"/>
      <c r="T226" s="8"/>
      <c r="U226" s="8"/>
      <c r="V226" s="8"/>
      <c r="W226" s="8"/>
      <c r="X226" s="8"/>
      <c r="Y226" s="8"/>
      <c r="Z226" s="8"/>
    </row>
    <row r="227">
      <c r="A227" s="8"/>
      <c r="B227" s="8"/>
      <c r="C227" s="8"/>
      <c r="D227" s="69"/>
      <c r="E227" s="25"/>
      <c r="F227" s="8"/>
      <c r="G227" s="8"/>
      <c r="H227" s="8"/>
      <c r="I227" s="8"/>
      <c r="J227" s="30" t="str">
        <f t="shared" si="78"/>
        <v/>
      </c>
      <c r="K227" s="30" t="str">
        <f t="shared" si="79"/>
        <v/>
      </c>
      <c r="L227" s="30" t="str">
        <f t="shared" si="80"/>
        <v/>
      </c>
      <c r="M227" s="30" t="str">
        <f t="shared" si="81"/>
        <v/>
      </c>
      <c r="N227" s="30" t="str">
        <f t="shared" si="7"/>
        <v/>
      </c>
      <c r="O227" s="8"/>
      <c r="P227" s="8"/>
      <c r="Q227" s="8"/>
      <c r="R227" s="8"/>
      <c r="S227" s="8"/>
      <c r="T227" s="8"/>
      <c r="U227" s="8"/>
      <c r="V227" s="8"/>
      <c r="W227" s="8"/>
      <c r="X227" s="8"/>
      <c r="Y227" s="8"/>
      <c r="Z227" s="8"/>
    </row>
    <row r="228">
      <c r="A228" s="8"/>
      <c r="B228" s="8"/>
      <c r="C228" s="8"/>
      <c r="D228" s="69"/>
      <c r="E228" s="25"/>
      <c r="F228" s="8"/>
      <c r="G228" s="8"/>
      <c r="H228" s="8"/>
      <c r="I228" s="8"/>
      <c r="J228" s="30" t="str">
        <f t="shared" si="78"/>
        <v/>
      </c>
      <c r="K228" s="30" t="str">
        <f t="shared" si="79"/>
        <v/>
      </c>
      <c r="L228" s="30" t="str">
        <f t="shared" si="80"/>
        <v/>
      </c>
      <c r="M228" s="30" t="str">
        <f t="shared" si="81"/>
        <v/>
      </c>
      <c r="N228" s="30" t="str">
        <f t="shared" si="7"/>
        <v/>
      </c>
      <c r="O228" s="8"/>
      <c r="P228" s="8"/>
      <c r="Q228" s="8"/>
      <c r="R228" s="8"/>
      <c r="S228" s="8"/>
      <c r="T228" s="8"/>
      <c r="U228" s="8"/>
      <c r="V228" s="8"/>
      <c r="W228" s="8"/>
      <c r="X228" s="8"/>
      <c r="Y228" s="8"/>
      <c r="Z228" s="8"/>
    </row>
    <row r="229">
      <c r="A229" s="8"/>
      <c r="B229" s="8"/>
      <c r="C229" s="8"/>
      <c r="D229" s="69"/>
      <c r="E229" s="25"/>
      <c r="F229" s="8"/>
      <c r="G229" s="8"/>
      <c r="H229" s="8"/>
      <c r="I229" s="8"/>
      <c r="J229" s="30" t="str">
        <f t="shared" si="78"/>
        <v/>
      </c>
      <c r="K229" s="30" t="str">
        <f t="shared" si="79"/>
        <v/>
      </c>
      <c r="L229" s="30" t="str">
        <f t="shared" si="80"/>
        <v/>
      </c>
      <c r="M229" s="30" t="str">
        <f t="shared" si="81"/>
        <v/>
      </c>
      <c r="N229" s="30" t="str">
        <f t="shared" si="7"/>
        <v/>
      </c>
      <c r="O229" s="8"/>
      <c r="P229" s="8"/>
      <c r="Q229" s="8"/>
      <c r="R229" s="8"/>
      <c r="S229" s="8"/>
      <c r="T229" s="8"/>
      <c r="U229" s="8"/>
      <c r="V229" s="8"/>
      <c r="W229" s="8"/>
      <c r="X229" s="8"/>
      <c r="Y229" s="8"/>
      <c r="Z229" s="8"/>
    </row>
    <row r="230">
      <c r="A230" s="8"/>
      <c r="B230" s="8"/>
      <c r="C230" s="8"/>
      <c r="D230" s="69"/>
      <c r="E230" s="25"/>
      <c r="F230" s="8"/>
      <c r="G230" s="8"/>
      <c r="H230" s="8"/>
      <c r="I230" s="8"/>
      <c r="J230" s="30" t="str">
        <f t="shared" si="78"/>
        <v/>
      </c>
      <c r="K230" s="30" t="str">
        <f t="shared" si="79"/>
        <v/>
      </c>
      <c r="L230" s="30" t="str">
        <f t="shared" si="80"/>
        <v/>
      </c>
      <c r="M230" s="30" t="str">
        <f t="shared" si="81"/>
        <v/>
      </c>
      <c r="N230" s="30" t="str">
        <f t="shared" si="7"/>
        <v/>
      </c>
      <c r="O230" s="8"/>
      <c r="P230" s="8"/>
      <c r="Q230" s="8"/>
      <c r="R230" s="8"/>
      <c r="S230" s="8"/>
      <c r="T230" s="8"/>
      <c r="U230" s="8"/>
      <c r="V230" s="8"/>
      <c r="W230" s="8"/>
      <c r="X230" s="8"/>
      <c r="Y230" s="8"/>
      <c r="Z230" s="8"/>
    </row>
    <row r="231">
      <c r="A231" s="8"/>
      <c r="B231" s="8"/>
      <c r="C231" s="8"/>
      <c r="D231" s="69"/>
      <c r="E231" s="25"/>
      <c r="F231" s="8"/>
      <c r="G231" s="8"/>
      <c r="H231" s="8"/>
      <c r="I231" s="8"/>
      <c r="J231" s="30" t="str">
        <f t="shared" si="78"/>
        <v/>
      </c>
      <c r="K231" s="30" t="str">
        <f t="shared" si="79"/>
        <v/>
      </c>
      <c r="L231" s="30" t="str">
        <f t="shared" si="80"/>
        <v/>
      </c>
      <c r="M231" s="30" t="str">
        <f t="shared" si="81"/>
        <v/>
      </c>
      <c r="N231" s="30" t="str">
        <f t="shared" si="7"/>
        <v/>
      </c>
      <c r="O231" s="8"/>
      <c r="P231" s="8"/>
      <c r="Q231" s="8"/>
      <c r="R231" s="8"/>
      <c r="S231" s="8"/>
      <c r="T231" s="8"/>
      <c r="U231" s="8"/>
      <c r="V231" s="8"/>
      <c r="W231" s="8"/>
      <c r="X231" s="8"/>
      <c r="Y231" s="8"/>
      <c r="Z231" s="8"/>
    </row>
    <row r="232">
      <c r="A232" s="8"/>
      <c r="B232" s="8"/>
      <c r="C232" s="8"/>
      <c r="D232" s="69"/>
      <c r="E232" s="25"/>
      <c r="F232" s="8"/>
      <c r="G232" s="8"/>
      <c r="H232" s="8"/>
      <c r="I232" s="8"/>
      <c r="J232" s="30" t="str">
        <f t="shared" si="78"/>
        <v/>
      </c>
      <c r="K232" s="30" t="str">
        <f t="shared" si="79"/>
        <v/>
      </c>
      <c r="L232" s="30" t="str">
        <f t="shared" si="80"/>
        <v/>
      </c>
      <c r="M232" s="30" t="str">
        <f t="shared" si="81"/>
        <v/>
      </c>
      <c r="N232" s="30" t="str">
        <f t="shared" si="7"/>
        <v/>
      </c>
      <c r="O232" s="8"/>
      <c r="P232" s="8"/>
      <c r="Q232" s="8"/>
      <c r="R232" s="8"/>
      <c r="S232" s="8"/>
      <c r="T232" s="8"/>
      <c r="U232" s="8"/>
      <c r="V232" s="8"/>
      <c r="W232" s="8"/>
      <c r="X232" s="8"/>
      <c r="Y232" s="8"/>
      <c r="Z232" s="8"/>
    </row>
    <row r="233">
      <c r="A233" s="8"/>
      <c r="B233" s="8"/>
      <c r="C233" s="8"/>
      <c r="D233" s="69"/>
      <c r="E233" s="25"/>
      <c r="F233" s="8"/>
      <c r="G233" s="8"/>
      <c r="H233" s="8"/>
      <c r="I233" s="8"/>
      <c r="J233" s="30" t="str">
        <f t="shared" si="78"/>
        <v/>
      </c>
      <c r="K233" s="30" t="str">
        <f t="shared" si="79"/>
        <v/>
      </c>
      <c r="L233" s="30" t="str">
        <f t="shared" si="80"/>
        <v/>
      </c>
      <c r="M233" s="30" t="str">
        <f t="shared" si="81"/>
        <v/>
      </c>
      <c r="N233" s="30" t="str">
        <f t="shared" si="7"/>
        <v/>
      </c>
      <c r="O233" s="8"/>
      <c r="P233" s="8"/>
      <c r="Q233" s="8"/>
      <c r="R233" s="8"/>
      <c r="S233" s="8"/>
      <c r="T233" s="8"/>
      <c r="U233" s="8"/>
      <c r="V233" s="8"/>
      <c r="W233" s="8"/>
      <c r="X233" s="8"/>
      <c r="Y233" s="8"/>
      <c r="Z233" s="8"/>
    </row>
    <row r="234">
      <c r="A234" s="8"/>
      <c r="B234" s="8"/>
      <c r="C234" s="8"/>
      <c r="D234" s="69"/>
      <c r="E234" s="25"/>
      <c r="F234" s="8"/>
      <c r="G234" s="8"/>
      <c r="H234" s="8"/>
      <c r="I234" s="8"/>
      <c r="J234" s="30" t="str">
        <f t="shared" si="78"/>
        <v/>
      </c>
      <c r="K234" s="30" t="str">
        <f t="shared" si="79"/>
        <v/>
      </c>
      <c r="L234" s="30" t="str">
        <f t="shared" si="80"/>
        <v/>
      </c>
      <c r="M234" s="30" t="str">
        <f t="shared" si="81"/>
        <v/>
      </c>
      <c r="N234" s="30" t="str">
        <f t="shared" si="7"/>
        <v/>
      </c>
      <c r="O234" s="8"/>
      <c r="P234" s="8"/>
      <c r="Q234" s="8"/>
      <c r="R234" s="8"/>
      <c r="S234" s="8"/>
      <c r="T234" s="8"/>
      <c r="U234" s="8"/>
      <c r="V234" s="8"/>
      <c r="W234" s="8"/>
      <c r="X234" s="8"/>
      <c r="Y234" s="8"/>
      <c r="Z234" s="8"/>
    </row>
    <row r="235">
      <c r="A235" s="8"/>
      <c r="B235" s="8"/>
      <c r="C235" s="8"/>
      <c r="D235" s="69"/>
      <c r="E235" s="25"/>
      <c r="F235" s="8"/>
      <c r="G235" s="8"/>
      <c r="H235" s="8"/>
      <c r="I235" s="8"/>
      <c r="J235" s="30" t="str">
        <f t="shared" si="78"/>
        <v/>
      </c>
      <c r="K235" s="30" t="str">
        <f t="shared" si="79"/>
        <v/>
      </c>
      <c r="L235" s="30" t="str">
        <f t="shared" si="80"/>
        <v/>
      </c>
      <c r="M235" s="30" t="str">
        <f t="shared" si="81"/>
        <v/>
      </c>
      <c r="N235" s="30" t="str">
        <f t="shared" si="7"/>
        <v/>
      </c>
      <c r="O235" s="8"/>
      <c r="P235" s="8"/>
      <c r="Q235" s="8"/>
      <c r="R235" s="8"/>
      <c r="S235" s="8"/>
      <c r="T235" s="8"/>
      <c r="U235" s="8"/>
      <c r="V235" s="8"/>
      <c r="W235" s="8"/>
      <c r="X235" s="8"/>
      <c r="Y235" s="8"/>
      <c r="Z235" s="8"/>
    </row>
    <row r="236">
      <c r="A236" s="8"/>
      <c r="B236" s="8"/>
      <c r="C236" s="8"/>
      <c r="D236" s="69"/>
      <c r="E236" s="25"/>
      <c r="F236" s="8"/>
      <c r="G236" s="8"/>
      <c r="H236" s="8"/>
      <c r="I236" s="8"/>
      <c r="J236" s="30" t="str">
        <f t="shared" si="78"/>
        <v/>
      </c>
      <c r="K236" s="30" t="str">
        <f t="shared" si="79"/>
        <v/>
      </c>
      <c r="L236" s="30" t="str">
        <f t="shared" si="80"/>
        <v/>
      </c>
      <c r="M236" s="30" t="str">
        <f t="shared" si="81"/>
        <v/>
      </c>
      <c r="N236" s="30" t="str">
        <f t="shared" si="7"/>
        <v/>
      </c>
      <c r="O236" s="8"/>
      <c r="P236" s="8"/>
      <c r="Q236" s="8"/>
      <c r="R236" s="8"/>
      <c r="S236" s="8"/>
      <c r="T236" s="8"/>
      <c r="U236" s="8"/>
      <c r="V236" s="8"/>
      <c r="W236" s="8"/>
      <c r="X236" s="8"/>
      <c r="Y236" s="8"/>
      <c r="Z236" s="8"/>
    </row>
    <row r="237">
      <c r="A237" s="8"/>
      <c r="B237" s="8"/>
      <c r="C237" s="8"/>
      <c r="D237" s="69"/>
      <c r="E237" s="25"/>
      <c r="F237" s="8"/>
      <c r="G237" s="8"/>
      <c r="H237" s="8"/>
      <c r="I237" s="8"/>
      <c r="J237" s="30" t="str">
        <f t="shared" si="78"/>
        <v/>
      </c>
      <c r="K237" s="30" t="str">
        <f t="shared" si="79"/>
        <v/>
      </c>
      <c r="L237" s="30" t="str">
        <f t="shared" si="80"/>
        <v/>
      </c>
      <c r="M237" s="30" t="str">
        <f t="shared" si="81"/>
        <v/>
      </c>
      <c r="N237" s="30" t="str">
        <f t="shared" si="7"/>
        <v/>
      </c>
      <c r="O237" s="8"/>
      <c r="P237" s="8"/>
      <c r="Q237" s="8"/>
      <c r="R237" s="8"/>
      <c r="S237" s="8"/>
      <c r="T237" s="8"/>
      <c r="U237" s="8"/>
      <c r="V237" s="8"/>
      <c r="W237" s="8"/>
      <c r="X237" s="8"/>
      <c r="Y237" s="8"/>
      <c r="Z237" s="8"/>
    </row>
    <row r="238">
      <c r="A238" s="8"/>
      <c r="B238" s="8"/>
      <c r="C238" s="8"/>
      <c r="D238" s="69"/>
      <c r="E238" s="25"/>
      <c r="F238" s="8"/>
      <c r="G238" s="8"/>
      <c r="H238" s="8"/>
      <c r="I238" s="8"/>
      <c r="J238" s="30" t="str">
        <f t="shared" si="78"/>
        <v/>
      </c>
      <c r="K238" s="30" t="str">
        <f t="shared" si="79"/>
        <v/>
      </c>
      <c r="L238" s="30" t="str">
        <f t="shared" si="80"/>
        <v/>
      </c>
      <c r="M238" s="30" t="str">
        <f t="shared" si="81"/>
        <v/>
      </c>
      <c r="N238" s="30" t="str">
        <f t="shared" si="7"/>
        <v/>
      </c>
      <c r="O238" s="8"/>
      <c r="P238" s="8"/>
      <c r="Q238" s="8"/>
      <c r="R238" s="8"/>
      <c r="S238" s="8"/>
      <c r="T238" s="8"/>
      <c r="U238" s="8"/>
      <c r="V238" s="8"/>
      <c r="W238" s="8"/>
      <c r="X238" s="8"/>
      <c r="Y238" s="8"/>
      <c r="Z238" s="8"/>
    </row>
    <row r="239">
      <c r="A239" s="8"/>
      <c r="B239" s="8"/>
      <c r="C239" s="8"/>
      <c r="D239" s="69"/>
      <c r="E239" s="25"/>
      <c r="F239" s="8"/>
      <c r="G239" s="8"/>
      <c r="H239" s="8"/>
      <c r="I239" s="8"/>
      <c r="J239" s="30" t="str">
        <f t="shared" si="78"/>
        <v/>
      </c>
      <c r="K239" s="30" t="str">
        <f t="shared" si="79"/>
        <v/>
      </c>
      <c r="L239" s="30" t="str">
        <f t="shared" si="80"/>
        <v/>
      </c>
      <c r="M239" s="30" t="str">
        <f t="shared" si="81"/>
        <v/>
      </c>
      <c r="N239" s="30" t="str">
        <f t="shared" si="7"/>
        <v/>
      </c>
      <c r="O239" s="8"/>
      <c r="P239" s="8"/>
      <c r="Q239" s="8"/>
      <c r="R239" s="8"/>
      <c r="S239" s="8"/>
      <c r="T239" s="8"/>
      <c r="U239" s="8"/>
      <c r="V239" s="8"/>
      <c r="W239" s="8"/>
      <c r="X239" s="8"/>
      <c r="Y239" s="8"/>
      <c r="Z239" s="8"/>
    </row>
    <row r="240">
      <c r="A240" s="8"/>
      <c r="B240" s="8"/>
      <c r="C240" s="8"/>
      <c r="D240" s="69"/>
      <c r="E240" s="25"/>
      <c r="F240" s="8"/>
      <c r="G240" s="8"/>
      <c r="H240" s="8"/>
      <c r="I240" s="8"/>
      <c r="J240" s="30" t="str">
        <f t="shared" si="78"/>
        <v/>
      </c>
      <c r="K240" s="30" t="str">
        <f t="shared" si="79"/>
        <v/>
      </c>
      <c r="L240" s="30" t="str">
        <f t="shared" si="80"/>
        <v/>
      </c>
      <c r="M240" s="30" t="str">
        <f t="shared" si="81"/>
        <v/>
      </c>
      <c r="N240" s="30" t="str">
        <f t="shared" si="7"/>
        <v/>
      </c>
      <c r="O240" s="8"/>
      <c r="P240" s="8"/>
      <c r="Q240" s="8"/>
      <c r="R240" s="8"/>
      <c r="S240" s="8"/>
      <c r="T240" s="8"/>
      <c r="U240" s="8"/>
      <c r="V240" s="8"/>
      <c r="W240" s="8"/>
      <c r="X240" s="8"/>
      <c r="Y240" s="8"/>
      <c r="Z240" s="8"/>
    </row>
    <row r="241">
      <c r="A241" s="8"/>
      <c r="B241" s="8"/>
      <c r="C241" s="8"/>
      <c r="D241" s="69"/>
      <c r="E241" s="25"/>
      <c r="F241" s="8"/>
      <c r="G241" s="8"/>
      <c r="H241" s="8"/>
      <c r="I241" s="8"/>
      <c r="J241" s="30" t="str">
        <f t="shared" si="78"/>
        <v/>
      </c>
      <c r="K241" s="30" t="str">
        <f t="shared" si="79"/>
        <v/>
      </c>
      <c r="L241" s="30" t="str">
        <f t="shared" si="80"/>
        <v/>
      </c>
      <c r="M241" s="30" t="str">
        <f t="shared" si="81"/>
        <v/>
      </c>
      <c r="N241" s="30" t="str">
        <f t="shared" si="7"/>
        <v/>
      </c>
      <c r="O241" s="8"/>
      <c r="P241" s="8"/>
      <c r="Q241" s="8"/>
      <c r="R241" s="8"/>
      <c r="S241" s="8"/>
      <c r="T241" s="8"/>
      <c r="U241" s="8"/>
      <c r="V241" s="8"/>
      <c r="W241" s="8"/>
      <c r="X241" s="8"/>
      <c r="Y241" s="8"/>
      <c r="Z241" s="8"/>
    </row>
    <row r="242">
      <c r="A242" s="8"/>
      <c r="B242" s="8"/>
      <c r="C242" s="8"/>
      <c r="D242" s="69"/>
      <c r="E242" s="25"/>
      <c r="F242" s="8"/>
      <c r="G242" s="8"/>
      <c r="H242" s="8"/>
      <c r="I242" s="8"/>
      <c r="J242" s="30" t="str">
        <f t="shared" si="78"/>
        <v/>
      </c>
      <c r="K242" s="30" t="str">
        <f t="shared" si="79"/>
        <v/>
      </c>
      <c r="L242" s="30" t="str">
        <f t="shared" si="80"/>
        <v/>
      </c>
      <c r="M242" s="30" t="str">
        <f t="shared" si="81"/>
        <v/>
      </c>
      <c r="N242" s="30" t="str">
        <f t="shared" si="7"/>
        <v/>
      </c>
      <c r="O242" s="8"/>
      <c r="P242" s="8"/>
      <c r="Q242" s="8"/>
      <c r="R242" s="8"/>
      <c r="S242" s="8"/>
      <c r="T242" s="8"/>
      <c r="U242" s="8"/>
      <c r="V242" s="8"/>
      <c r="W242" s="8"/>
      <c r="X242" s="8"/>
      <c r="Y242" s="8"/>
      <c r="Z242" s="8"/>
    </row>
    <row r="243">
      <c r="A243" s="8"/>
      <c r="B243" s="8"/>
      <c r="C243" s="8"/>
      <c r="D243" s="69"/>
      <c r="E243" s="25"/>
      <c r="F243" s="8"/>
      <c r="G243" s="8"/>
      <c r="H243" s="8"/>
      <c r="I243" s="8"/>
      <c r="J243" s="30" t="str">
        <f t="shared" si="78"/>
        <v/>
      </c>
      <c r="K243" s="30" t="str">
        <f t="shared" si="79"/>
        <v/>
      </c>
      <c r="L243" s="30" t="str">
        <f t="shared" si="80"/>
        <v/>
      </c>
      <c r="M243" s="30" t="str">
        <f t="shared" si="81"/>
        <v/>
      </c>
      <c r="N243" s="30" t="str">
        <f t="shared" si="7"/>
        <v/>
      </c>
      <c r="O243" s="8"/>
      <c r="P243" s="8"/>
      <c r="Q243" s="8"/>
      <c r="R243" s="8"/>
      <c r="S243" s="8"/>
      <c r="T243" s="8"/>
      <c r="U243" s="8"/>
      <c r="V243" s="8"/>
      <c r="W243" s="8"/>
      <c r="X243" s="8"/>
      <c r="Y243" s="8"/>
      <c r="Z243" s="8"/>
    </row>
    <row r="244">
      <c r="A244" s="8"/>
      <c r="B244" s="8"/>
      <c r="C244" s="8"/>
      <c r="D244" s="69"/>
      <c r="E244" s="25"/>
      <c r="F244" s="8"/>
      <c r="G244" s="8"/>
      <c r="H244" s="8"/>
      <c r="I244" s="8"/>
      <c r="J244" s="30" t="str">
        <f t="shared" si="78"/>
        <v/>
      </c>
      <c r="K244" s="30" t="str">
        <f t="shared" si="79"/>
        <v/>
      </c>
      <c r="L244" s="30" t="str">
        <f t="shared" si="80"/>
        <v/>
      </c>
      <c r="M244" s="30" t="str">
        <f t="shared" si="81"/>
        <v/>
      </c>
      <c r="N244" s="30" t="str">
        <f t="shared" si="7"/>
        <v/>
      </c>
      <c r="O244" s="8"/>
      <c r="P244" s="8"/>
      <c r="Q244" s="8"/>
      <c r="R244" s="8"/>
      <c r="S244" s="8"/>
      <c r="T244" s="8"/>
      <c r="U244" s="8"/>
      <c r="V244" s="8"/>
      <c r="W244" s="8"/>
      <c r="X244" s="8"/>
      <c r="Y244" s="8"/>
      <c r="Z244" s="8"/>
    </row>
    <row r="245">
      <c r="A245" s="8"/>
      <c r="B245" s="8"/>
      <c r="C245" s="8"/>
      <c r="D245" s="69"/>
      <c r="E245" s="25"/>
      <c r="F245" s="8"/>
      <c r="G245" s="8"/>
      <c r="H245" s="8"/>
      <c r="I245" s="8"/>
      <c r="J245" s="30" t="str">
        <f t="shared" si="78"/>
        <v/>
      </c>
      <c r="K245" s="30" t="str">
        <f t="shared" si="79"/>
        <v/>
      </c>
      <c r="L245" s="30" t="str">
        <f t="shared" si="80"/>
        <v/>
      </c>
      <c r="M245" s="30" t="str">
        <f t="shared" si="81"/>
        <v/>
      </c>
      <c r="N245" s="30" t="str">
        <f t="shared" si="7"/>
        <v/>
      </c>
      <c r="O245" s="8"/>
      <c r="P245" s="8"/>
      <c r="Q245" s="8"/>
      <c r="R245" s="8"/>
      <c r="S245" s="8"/>
      <c r="T245" s="8"/>
      <c r="U245" s="8"/>
      <c r="V245" s="8"/>
      <c r="W245" s="8"/>
      <c r="X245" s="8"/>
      <c r="Y245" s="8"/>
      <c r="Z245" s="8"/>
    </row>
    <row r="246">
      <c r="A246" s="8"/>
      <c r="B246" s="8"/>
      <c r="C246" s="8"/>
      <c r="D246" s="69"/>
      <c r="E246" s="25"/>
      <c r="F246" s="8"/>
      <c r="G246" s="8"/>
      <c r="H246" s="8"/>
      <c r="I246" s="8"/>
      <c r="J246" s="30" t="str">
        <f t="shared" si="78"/>
        <v/>
      </c>
      <c r="K246" s="30" t="str">
        <f t="shared" si="79"/>
        <v/>
      </c>
      <c r="L246" s="30" t="str">
        <f t="shared" si="80"/>
        <v/>
      </c>
      <c r="M246" s="30" t="str">
        <f t="shared" si="81"/>
        <v/>
      </c>
      <c r="N246" s="30" t="str">
        <f t="shared" si="7"/>
        <v/>
      </c>
      <c r="O246" s="8"/>
      <c r="P246" s="8"/>
      <c r="Q246" s="8"/>
      <c r="R246" s="8"/>
      <c r="S246" s="8"/>
      <c r="T246" s="8"/>
      <c r="U246" s="8"/>
      <c r="V246" s="8"/>
      <c r="W246" s="8"/>
      <c r="X246" s="8"/>
      <c r="Y246" s="8"/>
      <c r="Z246" s="8"/>
    </row>
    <row r="247">
      <c r="A247" s="8"/>
      <c r="B247" s="8"/>
      <c r="C247" s="8"/>
      <c r="D247" s="69"/>
      <c r="E247" s="25"/>
      <c r="F247" s="8"/>
      <c r="G247" s="8"/>
      <c r="H247" s="8"/>
      <c r="I247" s="8"/>
      <c r="J247" s="30" t="str">
        <f t="shared" si="78"/>
        <v/>
      </c>
      <c r="K247" s="30" t="str">
        <f t="shared" si="79"/>
        <v/>
      </c>
      <c r="L247" s="30" t="str">
        <f t="shared" si="80"/>
        <v/>
      </c>
      <c r="M247" s="30" t="str">
        <f t="shared" si="81"/>
        <v/>
      </c>
      <c r="N247" s="30" t="str">
        <f t="shared" si="7"/>
        <v/>
      </c>
      <c r="O247" s="8"/>
      <c r="P247" s="8"/>
      <c r="Q247" s="8"/>
      <c r="R247" s="8"/>
      <c r="S247" s="8"/>
      <c r="T247" s="8"/>
      <c r="U247" s="8"/>
      <c r="V247" s="8"/>
      <c r="W247" s="8"/>
      <c r="X247" s="8"/>
      <c r="Y247" s="8"/>
      <c r="Z247" s="8"/>
    </row>
    <row r="248">
      <c r="A248" s="8"/>
      <c r="B248" s="8"/>
      <c r="C248" s="8"/>
      <c r="D248" s="69"/>
      <c r="E248" s="25"/>
      <c r="F248" s="8"/>
      <c r="G248" s="8"/>
      <c r="H248" s="8"/>
      <c r="I248" s="8"/>
      <c r="J248" s="30" t="str">
        <f t="shared" si="78"/>
        <v/>
      </c>
      <c r="K248" s="30" t="str">
        <f t="shared" si="79"/>
        <v/>
      </c>
      <c r="L248" s="30" t="str">
        <f t="shared" si="80"/>
        <v/>
      </c>
      <c r="M248" s="30" t="str">
        <f t="shared" si="81"/>
        <v/>
      </c>
      <c r="N248" s="30" t="str">
        <f t="shared" si="7"/>
        <v/>
      </c>
      <c r="O248" s="8"/>
      <c r="P248" s="8"/>
      <c r="Q248" s="8"/>
      <c r="R248" s="8"/>
      <c r="S248" s="8"/>
      <c r="T248" s="8"/>
      <c r="U248" s="8"/>
      <c r="V248" s="8"/>
      <c r="W248" s="8"/>
      <c r="X248" s="8"/>
      <c r="Y248" s="8"/>
      <c r="Z248" s="8"/>
    </row>
    <row r="249">
      <c r="A249" s="8"/>
      <c r="B249" s="8"/>
      <c r="C249" s="8"/>
      <c r="D249" s="69"/>
      <c r="E249" s="25"/>
      <c r="F249" s="8"/>
      <c r="G249" s="8"/>
      <c r="H249" s="8"/>
      <c r="I249" s="8"/>
      <c r="J249" s="30" t="str">
        <f t="shared" si="78"/>
        <v/>
      </c>
      <c r="K249" s="30" t="str">
        <f t="shared" si="79"/>
        <v/>
      </c>
      <c r="L249" s="30" t="str">
        <f t="shared" si="80"/>
        <v/>
      </c>
      <c r="M249" s="30" t="str">
        <f t="shared" si="81"/>
        <v/>
      </c>
      <c r="N249" s="30" t="str">
        <f t="shared" si="7"/>
        <v/>
      </c>
      <c r="O249" s="8"/>
      <c r="P249" s="8"/>
      <c r="Q249" s="8"/>
      <c r="R249" s="8"/>
      <c r="S249" s="8"/>
      <c r="T249" s="8"/>
      <c r="U249" s="8"/>
      <c r="V249" s="8"/>
      <c r="W249" s="8"/>
      <c r="X249" s="8"/>
      <c r="Y249" s="8"/>
      <c r="Z249" s="8"/>
    </row>
    <row r="250">
      <c r="A250" s="8"/>
      <c r="B250" s="8"/>
      <c r="C250" s="8"/>
      <c r="D250" s="69"/>
      <c r="E250" s="25"/>
      <c r="F250" s="8"/>
      <c r="G250" s="8"/>
      <c r="H250" s="8"/>
      <c r="I250" s="8"/>
      <c r="J250" s="30" t="str">
        <f t="shared" si="78"/>
        <v/>
      </c>
      <c r="K250" s="30" t="str">
        <f t="shared" si="79"/>
        <v/>
      </c>
      <c r="L250" s="30" t="str">
        <f t="shared" si="80"/>
        <v/>
      </c>
      <c r="M250" s="30" t="str">
        <f t="shared" si="81"/>
        <v/>
      </c>
      <c r="N250" s="30" t="str">
        <f t="shared" si="7"/>
        <v/>
      </c>
      <c r="O250" s="8"/>
      <c r="P250" s="8"/>
      <c r="Q250" s="8"/>
      <c r="R250" s="8"/>
      <c r="S250" s="8"/>
      <c r="T250" s="8"/>
      <c r="U250" s="8"/>
      <c r="V250" s="8"/>
      <c r="W250" s="8"/>
      <c r="X250" s="8"/>
      <c r="Y250" s="8"/>
      <c r="Z250" s="8"/>
    </row>
    <row r="251">
      <c r="A251" s="8"/>
      <c r="B251" s="8"/>
      <c r="C251" s="8"/>
      <c r="D251" s="69"/>
      <c r="E251" s="25"/>
      <c r="F251" s="8"/>
      <c r="G251" s="8"/>
      <c r="H251" s="8"/>
      <c r="I251" s="8"/>
      <c r="J251" s="30" t="str">
        <f t="shared" si="78"/>
        <v/>
      </c>
      <c r="K251" s="30" t="str">
        <f t="shared" si="79"/>
        <v/>
      </c>
      <c r="L251" s="30" t="str">
        <f t="shared" si="80"/>
        <v/>
      </c>
      <c r="M251" s="30" t="str">
        <f t="shared" si="81"/>
        <v/>
      </c>
      <c r="N251" s="30" t="str">
        <f t="shared" si="7"/>
        <v/>
      </c>
      <c r="O251" s="8"/>
      <c r="P251" s="8"/>
      <c r="Q251" s="8"/>
      <c r="R251" s="8"/>
      <c r="S251" s="8"/>
      <c r="T251" s="8"/>
      <c r="U251" s="8"/>
      <c r="V251" s="8"/>
      <c r="W251" s="8"/>
      <c r="X251" s="8"/>
      <c r="Y251" s="8"/>
      <c r="Z251" s="8"/>
    </row>
    <row r="252">
      <c r="A252" s="8"/>
      <c r="B252" s="8"/>
      <c r="C252" s="8"/>
      <c r="D252" s="69"/>
      <c r="E252" s="25"/>
      <c r="F252" s="8"/>
      <c r="G252" s="8"/>
      <c r="H252" s="8"/>
      <c r="I252" s="8"/>
      <c r="J252" s="30" t="str">
        <f t="shared" si="78"/>
        <v/>
      </c>
      <c r="K252" s="30" t="str">
        <f t="shared" si="79"/>
        <v/>
      </c>
      <c r="L252" s="30" t="str">
        <f t="shared" si="80"/>
        <v/>
      </c>
      <c r="M252" s="30" t="str">
        <f t="shared" si="81"/>
        <v/>
      </c>
      <c r="N252" s="30" t="str">
        <f t="shared" si="7"/>
        <v/>
      </c>
      <c r="O252" s="8"/>
      <c r="P252" s="8"/>
      <c r="Q252" s="8"/>
      <c r="R252" s="8"/>
      <c r="S252" s="8"/>
      <c r="T252" s="8"/>
      <c r="U252" s="8"/>
      <c r="V252" s="8"/>
      <c r="W252" s="8"/>
      <c r="X252" s="8"/>
      <c r="Y252" s="8"/>
      <c r="Z252" s="8"/>
    </row>
    <row r="253">
      <c r="A253" s="8"/>
      <c r="B253" s="8"/>
      <c r="C253" s="8"/>
      <c r="D253" s="69"/>
      <c r="E253" s="25"/>
      <c r="F253" s="8"/>
      <c r="G253" s="8"/>
      <c r="H253" s="8"/>
      <c r="I253" s="8"/>
      <c r="J253" s="30" t="str">
        <f t="shared" si="78"/>
        <v/>
      </c>
      <c r="K253" s="30" t="str">
        <f t="shared" si="79"/>
        <v/>
      </c>
      <c r="L253" s="30" t="str">
        <f t="shared" si="80"/>
        <v/>
      </c>
      <c r="M253" s="30" t="str">
        <f t="shared" si="81"/>
        <v/>
      </c>
      <c r="N253" s="30" t="str">
        <f t="shared" si="7"/>
        <v/>
      </c>
      <c r="O253" s="8"/>
      <c r="P253" s="8"/>
      <c r="Q253" s="8"/>
      <c r="R253" s="8"/>
      <c r="S253" s="8"/>
      <c r="T253" s="8"/>
      <c r="U253" s="8"/>
      <c r="V253" s="8"/>
      <c r="W253" s="8"/>
      <c r="X253" s="8"/>
      <c r="Y253" s="8"/>
      <c r="Z253" s="8"/>
    </row>
    <row r="254">
      <c r="A254" s="8"/>
      <c r="B254" s="8"/>
      <c r="C254" s="8"/>
      <c r="D254" s="69"/>
      <c r="E254" s="25"/>
      <c r="F254" s="8"/>
      <c r="G254" s="8"/>
      <c r="H254" s="8"/>
      <c r="I254" s="8"/>
      <c r="J254" s="30" t="str">
        <f t="shared" si="78"/>
        <v/>
      </c>
      <c r="K254" s="30" t="str">
        <f t="shared" si="79"/>
        <v/>
      </c>
      <c r="L254" s="30" t="str">
        <f t="shared" si="80"/>
        <v/>
      </c>
      <c r="M254" s="30" t="str">
        <f t="shared" si="81"/>
        <v/>
      </c>
      <c r="N254" s="30" t="str">
        <f t="shared" si="7"/>
        <v/>
      </c>
      <c r="O254" s="8"/>
      <c r="P254" s="8"/>
      <c r="Q254" s="8"/>
      <c r="R254" s="8"/>
      <c r="S254" s="8"/>
      <c r="T254" s="8"/>
      <c r="U254" s="8"/>
      <c r="V254" s="8"/>
      <c r="W254" s="8"/>
      <c r="X254" s="8"/>
      <c r="Y254" s="8"/>
      <c r="Z254" s="8"/>
    </row>
    <row r="255">
      <c r="A255" s="8"/>
      <c r="B255" s="8"/>
      <c r="C255" s="8"/>
      <c r="D255" s="69"/>
      <c r="E255" s="25"/>
      <c r="F255" s="8"/>
      <c r="G255" s="8"/>
      <c r="H255" s="8"/>
      <c r="I255" s="8"/>
      <c r="J255" s="30" t="str">
        <f t="shared" si="78"/>
        <v/>
      </c>
      <c r="K255" s="30" t="str">
        <f t="shared" si="79"/>
        <v/>
      </c>
      <c r="L255" s="30" t="str">
        <f t="shared" si="80"/>
        <v/>
      </c>
      <c r="M255" s="30" t="str">
        <f t="shared" si="81"/>
        <v/>
      </c>
      <c r="N255" s="30" t="str">
        <f t="shared" si="7"/>
        <v/>
      </c>
      <c r="O255" s="8"/>
      <c r="P255" s="8"/>
      <c r="Q255" s="8"/>
      <c r="R255" s="8"/>
      <c r="S255" s="8"/>
      <c r="T255" s="8"/>
      <c r="U255" s="8"/>
      <c r="V255" s="8"/>
      <c r="W255" s="8"/>
      <c r="X255" s="8"/>
      <c r="Y255" s="8"/>
      <c r="Z255" s="8"/>
    </row>
    <row r="256">
      <c r="A256" s="8"/>
      <c r="B256" s="8"/>
      <c r="C256" s="8"/>
      <c r="D256" s="69"/>
      <c r="E256" s="25"/>
      <c r="F256" s="8"/>
      <c r="G256" s="8"/>
      <c r="H256" s="8"/>
      <c r="I256" s="8"/>
      <c r="J256" s="30" t="str">
        <f t="shared" si="78"/>
        <v/>
      </c>
      <c r="K256" s="30" t="str">
        <f t="shared" si="79"/>
        <v/>
      </c>
      <c r="L256" s="30" t="str">
        <f t="shared" si="80"/>
        <v/>
      </c>
      <c r="M256" s="30" t="str">
        <f t="shared" si="81"/>
        <v/>
      </c>
      <c r="N256" s="30" t="str">
        <f t="shared" si="7"/>
        <v/>
      </c>
      <c r="O256" s="8"/>
      <c r="P256" s="8"/>
      <c r="Q256" s="8"/>
      <c r="R256" s="8"/>
      <c r="S256" s="8"/>
      <c r="T256" s="8"/>
      <c r="U256" s="8"/>
      <c r="V256" s="8"/>
      <c r="W256" s="8"/>
      <c r="X256" s="8"/>
      <c r="Y256" s="8"/>
      <c r="Z256" s="8"/>
    </row>
    <row r="257">
      <c r="A257" s="8"/>
      <c r="B257" s="8"/>
      <c r="C257" s="8"/>
      <c r="D257" s="69"/>
      <c r="E257" s="25"/>
      <c r="F257" s="8"/>
      <c r="G257" s="8"/>
      <c r="H257" s="8"/>
      <c r="I257" s="8"/>
      <c r="J257" s="30" t="str">
        <f t="shared" si="78"/>
        <v/>
      </c>
      <c r="K257" s="30" t="str">
        <f t="shared" si="79"/>
        <v/>
      </c>
      <c r="L257" s="30" t="str">
        <f t="shared" si="80"/>
        <v/>
      </c>
      <c r="M257" s="30" t="str">
        <f t="shared" si="81"/>
        <v/>
      </c>
      <c r="N257" s="30" t="str">
        <f t="shared" si="7"/>
        <v/>
      </c>
      <c r="O257" s="8"/>
      <c r="P257" s="8"/>
      <c r="Q257" s="8"/>
      <c r="R257" s="8"/>
      <c r="S257" s="8"/>
      <c r="T257" s="8"/>
      <c r="U257" s="8"/>
      <c r="V257" s="8"/>
      <c r="W257" s="8"/>
      <c r="X257" s="8"/>
      <c r="Y257" s="8"/>
      <c r="Z257" s="8"/>
    </row>
    <row r="258">
      <c r="A258" s="8"/>
      <c r="B258" s="8"/>
      <c r="C258" s="8"/>
      <c r="D258" s="69"/>
      <c r="E258" s="25"/>
      <c r="F258" s="8"/>
      <c r="G258" s="8"/>
      <c r="H258" s="8"/>
      <c r="I258" s="8"/>
      <c r="J258" s="30" t="str">
        <f t="shared" si="78"/>
        <v/>
      </c>
      <c r="K258" s="30" t="str">
        <f t="shared" si="79"/>
        <v/>
      </c>
      <c r="L258" s="30" t="str">
        <f t="shared" si="80"/>
        <v/>
      </c>
      <c r="M258" s="30" t="str">
        <f t="shared" si="81"/>
        <v/>
      </c>
      <c r="N258" s="30" t="str">
        <f t="shared" si="7"/>
        <v/>
      </c>
      <c r="O258" s="8"/>
      <c r="P258" s="8"/>
      <c r="Q258" s="8"/>
      <c r="R258" s="8"/>
      <c r="S258" s="8"/>
      <c r="T258" s="8"/>
      <c r="U258" s="8"/>
      <c r="V258" s="8"/>
      <c r="W258" s="8"/>
      <c r="X258" s="8"/>
      <c r="Y258" s="8"/>
      <c r="Z258" s="8"/>
    </row>
    <row r="259">
      <c r="A259" s="8"/>
      <c r="B259" s="8"/>
      <c r="C259" s="8"/>
      <c r="D259" s="69"/>
      <c r="E259" s="25"/>
      <c r="F259" s="8"/>
      <c r="G259" s="8"/>
      <c r="H259" s="8"/>
      <c r="I259" s="8"/>
      <c r="J259" s="30" t="str">
        <f t="shared" si="78"/>
        <v/>
      </c>
      <c r="K259" s="30" t="str">
        <f t="shared" si="79"/>
        <v/>
      </c>
      <c r="L259" s="30" t="str">
        <f t="shared" si="80"/>
        <v/>
      </c>
      <c r="M259" s="30" t="str">
        <f t="shared" si="81"/>
        <v/>
      </c>
      <c r="N259" s="30" t="str">
        <f t="shared" si="7"/>
        <v/>
      </c>
      <c r="O259" s="8"/>
      <c r="P259" s="8"/>
      <c r="Q259" s="8"/>
      <c r="R259" s="8"/>
      <c r="S259" s="8"/>
      <c r="T259" s="8"/>
      <c r="U259" s="8"/>
      <c r="V259" s="8"/>
      <c r="W259" s="8"/>
      <c r="X259" s="8"/>
      <c r="Y259" s="8"/>
      <c r="Z259" s="8"/>
    </row>
    <row r="260">
      <c r="A260" s="8"/>
      <c r="B260" s="8"/>
      <c r="C260" s="8"/>
      <c r="D260" s="69"/>
      <c r="E260" s="25"/>
      <c r="F260" s="8"/>
      <c r="G260" s="8"/>
      <c r="H260" s="8"/>
      <c r="I260" s="8"/>
      <c r="J260" s="30" t="str">
        <f t="shared" si="78"/>
        <v/>
      </c>
      <c r="K260" s="30" t="str">
        <f t="shared" si="79"/>
        <v/>
      </c>
      <c r="L260" s="30" t="str">
        <f t="shared" si="80"/>
        <v/>
      </c>
      <c r="M260" s="30" t="str">
        <f t="shared" si="81"/>
        <v/>
      </c>
      <c r="N260" s="30" t="str">
        <f t="shared" si="7"/>
        <v/>
      </c>
      <c r="O260" s="8"/>
      <c r="P260" s="8"/>
      <c r="Q260" s="8"/>
      <c r="R260" s="8"/>
      <c r="S260" s="8"/>
      <c r="T260" s="8"/>
      <c r="U260" s="8"/>
      <c r="V260" s="8"/>
      <c r="W260" s="8"/>
      <c r="X260" s="8"/>
      <c r="Y260" s="8"/>
      <c r="Z260" s="8"/>
    </row>
    <row r="261">
      <c r="A261" s="8"/>
      <c r="B261" s="8"/>
      <c r="C261" s="8"/>
      <c r="D261" s="69"/>
      <c r="E261" s="25"/>
      <c r="F261" s="8"/>
      <c r="G261" s="8"/>
      <c r="H261" s="8"/>
      <c r="I261" s="8"/>
      <c r="J261" s="30" t="str">
        <f t="shared" si="78"/>
        <v/>
      </c>
      <c r="K261" s="30" t="str">
        <f t="shared" si="79"/>
        <v/>
      </c>
      <c r="L261" s="30" t="str">
        <f t="shared" si="80"/>
        <v/>
      </c>
      <c r="M261" s="30" t="str">
        <f t="shared" si="81"/>
        <v/>
      </c>
      <c r="N261" s="30" t="str">
        <f t="shared" si="7"/>
        <v/>
      </c>
      <c r="O261" s="8"/>
      <c r="P261" s="8"/>
      <c r="Q261" s="8"/>
      <c r="R261" s="8"/>
      <c r="S261" s="8"/>
      <c r="T261" s="8"/>
      <c r="U261" s="8"/>
      <c r="V261" s="8"/>
      <c r="W261" s="8"/>
      <c r="X261" s="8"/>
      <c r="Y261" s="8"/>
      <c r="Z261" s="8"/>
    </row>
    <row r="262">
      <c r="A262" s="8"/>
      <c r="B262" s="8"/>
      <c r="C262" s="8"/>
      <c r="D262" s="69"/>
      <c r="E262" s="25"/>
      <c r="F262" s="8"/>
      <c r="G262" s="8"/>
      <c r="H262" s="8"/>
      <c r="I262" s="8"/>
      <c r="J262" s="30" t="str">
        <f t="shared" si="78"/>
        <v/>
      </c>
      <c r="K262" s="30" t="str">
        <f t="shared" si="79"/>
        <v/>
      </c>
      <c r="L262" s="30" t="str">
        <f t="shared" si="80"/>
        <v/>
      </c>
      <c r="M262" s="30" t="str">
        <f t="shared" si="81"/>
        <v/>
      </c>
      <c r="N262" s="30" t="str">
        <f t="shared" si="7"/>
        <v/>
      </c>
      <c r="O262" s="8"/>
      <c r="P262" s="8"/>
      <c r="Q262" s="8"/>
      <c r="R262" s="8"/>
      <c r="S262" s="8"/>
      <c r="T262" s="8"/>
      <c r="U262" s="8"/>
      <c r="V262" s="8"/>
      <c r="W262" s="8"/>
      <c r="X262" s="8"/>
      <c r="Y262" s="8"/>
      <c r="Z262" s="8"/>
    </row>
    <row r="263">
      <c r="A263" s="8"/>
      <c r="B263" s="8"/>
      <c r="C263" s="8"/>
      <c r="D263" s="69"/>
      <c r="E263" s="25"/>
      <c r="F263" s="8"/>
      <c r="G263" s="8"/>
      <c r="H263" s="8"/>
      <c r="I263" s="8"/>
      <c r="J263" s="30" t="str">
        <f t="shared" si="78"/>
        <v/>
      </c>
      <c r="K263" s="30" t="str">
        <f t="shared" si="79"/>
        <v/>
      </c>
      <c r="L263" s="30" t="str">
        <f t="shared" si="80"/>
        <v/>
      </c>
      <c r="M263" s="30" t="str">
        <f t="shared" si="81"/>
        <v/>
      </c>
      <c r="N263" s="30" t="str">
        <f t="shared" si="7"/>
        <v/>
      </c>
      <c r="O263" s="8"/>
      <c r="P263" s="8"/>
      <c r="Q263" s="8"/>
      <c r="R263" s="8"/>
      <c r="S263" s="8"/>
      <c r="T263" s="8"/>
      <c r="U263" s="8"/>
      <c r="V263" s="8"/>
      <c r="W263" s="8"/>
      <c r="X263" s="8"/>
      <c r="Y263" s="8"/>
      <c r="Z263" s="8"/>
    </row>
    <row r="264">
      <c r="A264" s="8"/>
      <c r="B264" s="8"/>
      <c r="C264" s="8"/>
      <c r="D264" s="69"/>
      <c r="E264" s="25"/>
      <c r="F264" s="8"/>
      <c r="G264" s="8"/>
      <c r="H264" s="8"/>
      <c r="I264" s="8"/>
      <c r="J264" s="30" t="str">
        <f t="shared" si="78"/>
        <v/>
      </c>
      <c r="K264" s="30" t="str">
        <f t="shared" si="79"/>
        <v/>
      </c>
      <c r="L264" s="30" t="str">
        <f t="shared" si="80"/>
        <v/>
      </c>
      <c r="M264" s="30" t="str">
        <f t="shared" si="81"/>
        <v/>
      </c>
      <c r="N264" s="30" t="str">
        <f t="shared" si="7"/>
        <v/>
      </c>
      <c r="O264" s="8"/>
      <c r="P264" s="8"/>
      <c r="Q264" s="8"/>
      <c r="R264" s="8"/>
      <c r="S264" s="8"/>
      <c r="T264" s="8"/>
      <c r="U264" s="8"/>
      <c r="V264" s="8"/>
      <c r="W264" s="8"/>
      <c r="X264" s="8"/>
      <c r="Y264" s="8"/>
      <c r="Z264" s="8"/>
    </row>
    <row r="265">
      <c r="A265" s="8"/>
      <c r="B265" s="8"/>
      <c r="C265" s="8"/>
      <c r="D265" s="69"/>
      <c r="E265" s="25"/>
      <c r="F265" s="8"/>
      <c r="G265" s="8"/>
      <c r="H265" s="8"/>
      <c r="I265" s="8"/>
      <c r="J265" s="30" t="str">
        <f t="shared" si="78"/>
        <v/>
      </c>
      <c r="K265" s="30" t="str">
        <f t="shared" si="79"/>
        <v/>
      </c>
      <c r="L265" s="30" t="str">
        <f t="shared" si="80"/>
        <v/>
      </c>
      <c r="M265" s="30" t="str">
        <f t="shared" si="81"/>
        <v/>
      </c>
      <c r="N265" s="30" t="str">
        <f t="shared" si="7"/>
        <v/>
      </c>
      <c r="O265" s="8"/>
      <c r="P265" s="8"/>
      <c r="Q265" s="8"/>
      <c r="R265" s="8"/>
      <c r="S265" s="8"/>
      <c r="T265" s="8"/>
      <c r="U265" s="8"/>
      <c r="V265" s="8"/>
      <c r="W265" s="8"/>
      <c r="X265" s="8"/>
      <c r="Y265" s="8"/>
      <c r="Z265" s="8"/>
    </row>
    <row r="266">
      <c r="A266" s="8"/>
      <c r="B266" s="8"/>
      <c r="C266" s="8"/>
      <c r="D266" s="69"/>
      <c r="E266" s="25"/>
      <c r="F266" s="8"/>
      <c r="G266" s="8"/>
      <c r="H266" s="8"/>
      <c r="I266" s="8"/>
      <c r="J266" s="30" t="str">
        <f t="shared" si="78"/>
        <v/>
      </c>
      <c r="K266" s="30" t="str">
        <f t="shared" si="79"/>
        <v/>
      </c>
      <c r="L266" s="30" t="str">
        <f t="shared" si="80"/>
        <v/>
      </c>
      <c r="M266" s="30" t="str">
        <f t="shared" si="81"/>
        <v/>
      </c>
      <c r="N266" s="30" t="str">
        <f t="shared" si="7"/>
        <v/>
      </c>
      <c r="O266" s="8"/>
      <c r="P266" s="8"/>
      <c r="Q266" s="8"/>
      <c r="R266" s="8"/>
      <c r="S266" s="8"/>
      <c r="T266" s="8"/>
      <c r="U266" s="8"/>
      <c r="V266" s="8"/>
      <c r="W266" s="8"/>
      <c r="X266" s="8"/>
      <c r="Y266" s="8"/>
      <c r="Z266" s="8"/>
    </row>
    <row r="267">
      <c r="A267" s="8"/>
      <c r="B267" s="8"/>
      <c r="C267" s="8"/>
      <c r="D267" s="69"/>
      <c r="E267" s="25"/>
      <c r="F267" s="8"/>
      <c r="G267" s="8"/>
      <c r="H267" s="8"/>
      <c r="I267" s="8"/>
      <c r="J267" s="30" t="str">
        <f t="shared" si="78"/>
        <v/>
      </c>
      <c r="K267" s="30" t="str">
        <f t="shared" si="79"/>
        <v/>
      </c>
      <c r="L267" s="30" t="str">
        <f t="shared" si="80"/>
        <v/>
      </c>
      <c r="M267" s="30" t="str">
        <f t="shared" si="81"/>
        <v/>
      </c>
      <c r="N267" s="30" t="str">
        <f t="shared" si="7"/>
        <v/>
      </c>
      <c r="O267" s="8"/>
      <c r="P267" s="8"/>
      <c r="Q267" s="8"/>
      <c r="R267" s="8"/>
      <c r="S267" s="8"/>
      <c r="T267" s="8"/>
      <c r="U267" s="8"/>
      <c r="V267" s="8"/>
      <c r="W267" s="8"/>
      <c r="X267" s="8"/>
      <c r="Y267" s="8"/>
      <c r="Z267" s="8"/>
    </row>
    <row r="268">
      <c r="A268" s="8"/>
      <c r="B268" s="8"/>
      <c r="C268" s="8"/>
      <c r="D268" s="69"/>
      <c r="E268" s="25"/>
      <c r="F268" s="8"/>
      <c r="G268" s="8"/>
      <c r="H268" s="8"/>
      <c r="I268" s="8"/>
      <c r="J268" s="30" t="str">
        <f t="shared" si="78"/>
        <v/>
      </c>
      <c r="K268" s="30" t="str">
        <f t="shared" si="79"/>
        <v/>
      </c>
      <c r="L268" s="30" t="str">
        <f t="shared" si="80"/>
        <v/>
      </c>
      <c r="M268" s="30" t="str">
        <f t="shared" si="81"/>
        <v/>
      </c>
      <c r="N268" s="30" t="str">
        <f t="shared" si="7"/>
        <v/>
      </c>
      <c r="O268" s="8"/>
      <c r="P268" s="8"/>
      <c r="Q268" s="8"/>
      <c r="R268" s="8"/>
      <c r="S268" s="8"/>
      <c r="T268" s="8"/>
      <c r="U268" s="8"/>
      <c r="V268" s="8"/>
      <c r="W268" s="8"/>
      <c r="X268" s="8"/>
      <c r="Y268" s="8"/>
      <c r="Z268" s="8"/>
    </row>
    <row r="269">
      <c r="A269" s="8"/>
      <c r="B269" s="8"/>
      <c r="C269" s="8"/>
      <c r="D269" s="69"/>
      <c r="E269" s="25"/>
      <c r="F269" s="8"/>
      <c r="G269" s="8"/>
      <c r="H269" s="8"/>
      <c r="I269" s="8"/>
      <c r="J269" s="30" t="str">
        <f t="shared" si="78"/>
        <v/>
      </c>
      <c r="K269" s="30" t="str">
        <f t="shared" si="79"/>
        <v/>
      </c>
      <c r="L269" s="30" t="str">
        <f t="shared" si="80"/>
        <v/>
      </c>
      <c r="M269" s="30" t="str">
        <f t="shared" si="81"/>
        <v/>
      </c>
      <c r="N269" s="30" t="str">
        <f t="shared" si="7"/>
        <v/>
      </c>
      <c r="O269" s="8"/>
      <c r="P269" s="8"/>
      <c r="Q269" s="8"/>
      <c r="R269" s="8"/>
      <c r="S269" s="8"/>
      <c r="T269" s="8"/>
      <c r="U269" s="8"/>
      <c r="V269" s="8"/>
      <c r="W269" s="8"/>
      <c r="X269" s="8"/>
      <c r="Y269" s="8"/>
      <c r="Z269" s="8"/>
    </row>
    <row r="270">
      <c r="A270" s="8"/>
      <c r="B270" s="8"/>
      <c r="C270" s="8"/>
      <c r="D270" s="69"/>
      <c r="E270" s="25"/>
      <c r="F270" s="8"/>
      <c r="G270" s="8"/>
      <c r="H270" s="8"/>
      <c r="I270" s="8"/>
      <c r="J270" s="30" t="str">
        <f t="shared" si="78"/>
        <v/>
      </c>
      <c r="K270" s="30" t="str">
        <f t="shared" si="79"/>
        <v/>
      </c>
      <c r="L270" s="30" t="str">
        <f t="shared" si="80"/>
        <v/>
      </c>
      <c r="M270" s="30" t="str">
        <f t="shared" si="81"/>
        <v/>
      </c>
      <c r="N270" s="30" t="str">
        <f t="shared" si="7"/>
        <v/>
      </c>
      <c r="O270" s="8"/>
      <c r="P270" s="8"/>
      <c r="Q270" s="8"/>
      <c r="R270" s="8"/>
      <c r="S270" s="8"/>
      <c r="T270" s="8"/>
      <c r="U270" s="8"/>
      <c r="V270" s="8"/>
      <c r="W270" s="8"/>
      <c r="X270" s="8"/>
      <c r="Y270" s="8"/>
      <c r="Z270" s="8"/>
    </row>
    <row r="271">
      <c r="A271" s="8"/>
      <c r="B271" s="8"/>
      <c r="C271" s="8"/>
      <c r="D271" s="69"/>
      <c r="E271" s="25"/>
      <c r="F271" s="8"/>
      <c r="G271" s="8"/>
      <c r="H271" s="8"/>
      <c r="I271" s="8"/>
      <c r="J271" s="30" t="str">
        <f t="shared" si="78"/>
        <v/>
      </c>
      <c r="K271" s="30" t="str">
        <f t="shared" si="79"/>
        <v/>
      </c>
      <c r="L271" s="30" t="str">
        <f t="shared" si="80"/>
        <v/>
      </c>
      <c r="M271" s="30" t="str">
        <f t="shared" si="81"/>
        <v/>
      </c>
      <c r="N271" s="30" t="str">
        <f t="shared" si="7"/>
        <v/>
      </c>
      <c r="O271" s="8"/>
      <c r="P271" s="8"/>
      <c r="Q271" s="8"/>
      <c r="R271" s="8"/>
      <c r="S271" s="8"/>
      <c r="T271" s="8"/>
      <c r="U271" s="8"/>
      <c r="V271" s="8"/>
      <c r="W271" s="8"/>
      <c r="X271" s="8"/>
      <c r="Y271" s="8"/>
      <c r="Z271" s="8"/>
    </row>
    <row r="272">
      <c r="A272" s="8"/>
      <c r="B272" s="8"/>
      <c r="C272" s="8"/>
      <c r="D272" s="69"/>
      <c r="E272" s="25"/>
      <c r="F272" s="8"/>
      <c r="G272" s="8"/>
      <c r="H272" s="8"/>
      <c r="I272" s="8"/>
      <c r="J272" s="30" t="str">
        <f t="shared" si="78"/>
        <v/>
      </c>
      <c r="K272" s="30" t="str">
        <f t="shared" si="79"/>
        <v/>
      </c>
      <c r="L272" s="30" t="str">
        <f t="shared" si="80"/>
        <v/>
      </c>
      <c r="M272" s="30" t="str">
        <f t="shared" si="81"/>
        <v/>
      </c>
      <c r="N272" s="30" t="str">
        <f t="shared" si="7"/>
        <v/>
      </c>
      <c r="O272" s="8"/>
      <c r="P272" s="8"/>
      <c r="Q272" s="8"/>
      <c r="R272" s="8"/>
      <c r="S272" s="8"/>
      <c r="T272" s="8"/>
      <c r="U272" s="8"/>
      <c r="V272" s="8"/>
      <c r="W272" s="8"/>
      <c r="X272" s="8"/>
      <c r="Y272" s="8"/>
      <c r="Z272" s="8"/>
    </row>
    <row r="273">
      <c r="A273" s="8"/>
      <c r="B273" s="8"/>
      <c r="C273" s="8"/>
      <c r="D273" s="69"/>
      <c r="E273" s="25"/>
      <c r="F273" s="8"/>
      <c r="G273" s="8"/>
      <c r="H273" s="8"/>
      <c r="I273" s="8"/>
      <c r="J273" s="30" t="str">
        <f t="shared" si="78"/>
        <v/>
      </c>
      <c r="K273" s="30" t="str">
        <f t="shared" si="79"/>
        <v/>
      </c>
      <c r="L273" s="30" t="str">
        <f t="shared" si="80"/>
        <v/>
      </c>
      <c r="M273" s="30" t="str">
        <f t="shared" si="81"/>
        <v/>
      </c>
      <c r="N273" s="30" t="str">
        <f t="shared" si="7"/>
        <v/>
      </c>
      <c r="O273" s="8"/>
      <c r="P273" s="8"/>
      <c r="Q273" s="8"/>
      <c r="R273" s="8"/>
      <c r="S273" s="8"/>
      <c r="T273" s="8"/>
      <c r="U273" s="8"/>
      <c r="V273" s="8"/>
      <c r="W273" s="8"/>
      <c r="X273" s="8"/>
      <c r="Y273" s="8"/>
      <c r="Z273" s="8"/>
    </row>
    <row r="274">
      <c r="A274" s="8"/>
      <c r="B274" s="8"/>
      <c r="C274" s="8"/>
      <c r="D274" s="69"/>
      <c r="E274" s="25"/>
      <c r="F274" s="8"/>
      <c r="G274" s="8"/>
      <c r="H274" s="8"/>
      <c r="I274" s="8"/>
      <c r="J274" s="30" t="str">
        <f t="shared" si="78"/>
        <v/>
      </c>
      <c r="K274" s="30" t="str">
        <f t="shared" si="79"/>
        <v/>
      </c>
      <c r="L274" s="30" t="str">
        <f t="shared" si="80"/>
        <v/>
      </c>
      <c r="M274" s="30" t="str">
        <f t="shared" si="81"/>
        <v/>
      </c>
      <c r="N274" s="30" t="str">
        <f t="shared" si="7"/>
        <v/>
      </c>
      <c r="O274" s="8"/>
      <c r="P274" s="8"/>
      <c r="Q274" s="8"/>
      <c r="R274" s="8"/>
      <c r="S274" s="8"/>
      <c r="T274" s="8"/>
      <c r="U274" s="8"/>
      <c r="V274" s="8"/>
      <c r="W274" s="8"/>
      <c r="X274" s="8"/>
      <c r="Y274" s="8"/>
      <c r="Z274" s="8"/>
    </row>
    <row r="275">
      <c r="A275" s="8"/>
      <c r="B275" s="8"/>
      <c r="C275" s="8"/>
      <c r="D275" s="69"/>
      <c r="E275" s="25"/>
      <c r="F275" s="8"/>
      <c r="G275" s="8"/>
      <c r="H275" s="8"/>
      <c r="I275" s="8"/>
      <c r="J275" s="30" t="str">
        <f t="shared" si="78"/>
        <v/>
      </c>
      <c r="K275" s="30" t="str">
        <f t="shared" si="79"/>
        <v/>
      </c>
      <c r="L275" s="30" t="str">
        <f t="shared" si="80"/>
        <v/>
      </c>
      <c r="M275" s="30" t="str">
        <f t="shared" si="81"/>
        <v/>
      </c>
      <c r="N275" s="30" t="str">
        <f t="shared" si="7"/>
        <v/>
      </c>
      <c r="O275" s="8"/>
      <c r="P275" s="8"/>
      <c r="Q275" s="8"/>
      <c r="R275" s="8"/>
      <c r="S275" s="8"/>
      <c r="T275" s="8"/>
      <c r="U275" s="8"/>
      <c r="V275" s="8"/>
      <c r="W275" s="8"/>
      <c r="X275" s="8"/>
      <c r="Y275" s="8"/>
      <c r="Z275" s="8"/>
    </row>
    <row r="276">
      <c r="A276" s="8"/>
      <c r="B276" s="8"/>
      <c r="C276" s="8"/>
      <c r="D276" s="69"/>
      <c r="E276" s="25"/>
      <c r="F276" s="8"/>
      <c r="G276" s="8"/>
      <c r="H276" s="8"/>
      <c r="I276" s="8"/>
      <c r="J276" s="30" t="str">
        <f t="shared" si="78"/>
        <v/>
      </c>
      <c r="K276" s="30" t="str">
        <f t="shared" si="79"/>
        <v/>
      </c>
      <c r="L276" s="30" t="str">
        <f t="shared" si="80"/>
        <v/>
      </c>
      <c r="M276" s="30" t="str">
        <f t="shared" si="81"/>
        <v/>
      </c>
      <c r="N276" s="30" t="str">
        <f t="shared" si="7"/>
        <v/>
      </c>
      <c r="O276" s="8"/>
      <c r="P276" s="8"/>
      <c r="Q276" s="8"/>
      <c r="R276" s="8"/>
      <c r="S276" s="8"/>
      <c r="T276" s="8"/>
      <c r="U276" s="8"/>
      <c r="V276" s="8"/>
      <c r="W276" s="8"/>
      <c r="X276" s="8"/>
      <c r="Y276" s="8"/>
      <c r="Z276" s="8"/>
    </row>
    <row r="277">
      <c r="A277" s="8"/>
      <c r="B277" s="8"/>
      <c r="C277" s="8"/>
      <c r="D277" s="69"/>
      <c r="E277" s="25"/>
      <c r="F277" s="8"/>
      <c r="G277" s="8"/>
      <c r="H277" s="8"/>
      <c r="I277" s="8"/>
      <c r="J277" s="30" t="str">
        <f t="shared" si="78"/>
        <v/>
      </c>
      <c r="K277" s="30" t="str">
        <f t="shared" si="79"/>
        <v/>
      </c>
      <c r="L277" s="30" t="str">
        <f t="shared" si="80"/>
        <v/>
      </c>
      <c r="M277" s="30" t="str">
        <f t="shared" si="81"/>
        <v/>
      </c>
      <c r="N277" s="30" t="str">
        <f t="shared" si="7"/>
        <v/>
      </c>
      <c r="O277" s="8"/>
      <c r="P277" s="8"/>
      <c r="Q277" s="8"/>
      <c r="R277" s="8"/>
      <c r="S277" s="8"/>
      <c r="T277" s="8"/>
      <c r="U277" s="8"/>
      <c r="V277" s="8"/>
      <c r="W277" s="8"/>
      <c r="X277" s="8"/>
      <c r="Y277" s="8"/>
      <c r="Z277" s="8"/>
    </row>
    <row r="278">
      <c r="A278" s="8"/>
      <c r="B278" s="8"/>
      <c r="C278" s="8"/>
      <c r="D278" s="69"/>
      <c r="E278" s="25"/>
      <c r="F278" s="8"/>
      <c r="G278" s="8"/>
      <c r="H278" s="8"/>
      <c r="I278" s="8"/>
      <c r="J278" s="30" t="str">
        <f t="shared" si="78"/>
        <v/>
      </c>
      <c r="K278" s="30" t="str">
        <f t="shared" si="79"/>
        <v/>
      </c>
      <c r="L278" s="30" t="str">
        <f t="shared" si="80"/>
        <v/>
      </c>
      <c r="M278" s="30" t="str">
        <f t="shared" si="81"/>
        <v/>
      </c>
      <c r="N278" s="30" t="str">
        <f t="shared" si="7"/>
        <v/>
      </c>
      <c r="O278" s="8"/>
      <c r="P278" s="8"/>
      <c r="Q278" s="8"/>
      <c r="R278" s="8"/>
      <c r="S278" s="8"/>
      <c r="T278" s="8"/>
      <c r="U278" s="8"/>
      <c r="V278" s="8"/>
      <c r="W278" s="8"/>
      <c r="X278" s="8"/>
      <c r="Y278" s="8"/>
      <c r="Z278" s="8"/>
    </row>
    <row r="279">
      <c r="A279" s="8"/>
      <c r="B279" s="8"/>
      <c r="C279" s="8"/>
      <c r="D279" s="69"/>
      <c r="E279" s="25"/>
      <c r="F279" s="8"/>
      <c r="G279" s="8"/>
      <c r="H279" s="8"/>
      <c r="I279" s="8"/>
      <c r="J279" s="30" t="str">
        <f t="shared" si="78"/>
        <v/>
      </c>
      <c r="K279" s="30" t="str">
        <f t="shared" si="79"/>
        <v/>
      </c>
      <c r="L279" s="30" t="str">
        <f t="shared" si="80"/>
        <v/>
      </c>
      <c r="M279" s="30" t="str">
        <f t="shared" si="81"/>
        <v/>
      </c>
      <c r="N279" s="30" t="str">
        <f t="shared" si="7"/>
        <v/>
      </c>
      <c r="O279" s="8"/>
      <c r="P279" s="8"/>
      <c r="Q279" s="8"/>
      <c r="R279" s="8"/>
      <c r="S279" s="8"/>
      <c r="T279" s="8"/>
      <c r="U279" s="8"/>
      <c r="V279" s="8"/>
      <c r="W279" s="8"/>
      <c r="X279" s="8"/>
      <c r="Y279" s="8"/>
      <c r="Z279" s="8"/>
    </row>
    <row r="280">
      <c r="A280" s="8"/>
      <c r="B280" s="8"/>
      <c r="C280" s="8"/>
      <c r="D280" s="69"/>
      <c r="E280" s="25"/>
      <c r="F280" s="8"/>
      <c r="G280" s="8"/>
      <c r="H280" s="8"/>
      <c r="I280" s="8"/>
      <c r="J280" s="30" t="str">
        <f t="shared" si="78"/>
        <v/>
      </c>
      <c r="K280" s="30" t="str">
        <f t="shared" si="79"/>
        <v/>
      </c>
      <c r="L280" s="30" t="str">
        <f t="shared" si="80"/>
        <v/>
      </c>
      <c r="M280" s="30" t="str">
        <f t="shared" si="81"/>
        <v/>
      </c>
      <c r="N280" s="30" t="str">
        <f t="shared" si="7"/>
        <v/>
      </c>
      <c r="O280" s="8"/>
      <c r="P280" s="8"/>
      <c r="Q280" s="8"/>
      <c r="R280" s="8"/>
      <c r="S280" s="8"/>
      <c r="T280" s="8"/>
      <c r="U280" s="8"/>
      <c r="V280" s="8"/>
      <c r="W280" s="8"/>
      <c r="X280" s="8"/>
      <c r="Y280" s="8"/>
      <c r="Z280" s="8"/>
    </row>
    <row r="281">
      <c r="A281" s="8"/>
      <c r="B281" s="8"/>
      <c r="C281" s="8"/>
      <c r="D281" s="69"/>
      <c r="E281" s="25"/>
      <c r="F281" s="8"/>
      <c r="G281" s="8"/>
      <c r="H281" s="8"/>
      <c r="I281" s="8"/>
      <c r="J281" s="30" t="str">
        <f t="shared" si="78"/>
        <v/>
      </c>
      <c r="K281" s="30" t="str">
        <f t="shared" si="79"/>
        <v/>
      </c>
      <c r="L281" s="30" t="str">
        <f t="shared" si="80"/>
        <v/>
      </c>
      <c r="M281" s="30" t="str">
        <f t="shared" si="81"/>
        <v/>
      </c>
      <c r="N281" s="30" t="str">
        <f t="shared" si="7"/>
        <v/>
      </c>
      <c r="O281" s="8"/>
      <c r="P281" s="8"/>
      <c r="Q281" s="8"/>
      <c r="R281" s="8"/>
      <c r="S281" s="8"/>
      <c r="T281" s="8"/>
      <c r="U281" s="8"/>
      <c r="V281" s="8"/>
      <c r="W281" s="8"/>
      <c r="X281" s="8"/>
      <c r="Y281" s="8"/>
      <c r="Z281" s="8"/>
    </row>
    <row r="282">
      <c r="A282" s="8"/>
      <c r="B282" s="8"/>
      <c r="C282" s="8"/>
      <c r="D282" s="69"/>
      <c r="E282" s="25"/>
      <c r="F282" s="8"/>
      <c r="G282" s="8"/>
      <c r="H282" s="8"/>
      <c r="I282" s="8"/>
      <c r="J282" s="30" t="str">
        <f t="shared" si="78"/>
        <v/>
      </c>
      <c r="K282" s="30" t="str">
        <f t="shared" si="79"/>
        <v/>
      </c>
      <c r="L282" s="30" t="str">
        <f t="shared" si="80"/>
        <v/>
      </c>
      <c r="M282" s="30" t="str">
        <f t="shared" si="81"/>
        <v/>
      </c>
      <c r="N282" s="30" t="str">
        <f t="shared" si="7"/>
        <v/>
      </c>
      <c r="O282" s="8"/>
      <c r="P282" s="8"/>
      <c r="Q282" s="8"/>
      <c r="R282" s="8"/>
      <c r="S282" s="8"/>
      <c r="T282" s="8"/>
      <c r="U282" s="8"/>
      <c r="V282" s="8"/>
      <c r="W282" s="8"/>
      <c r="X282" s="8"/>
      <c r="Y282" s="8"/>
      <c r="Z282" s="8"/>
    </row>
    <row r="283">
      <c r="A283" s="8"/>
      <c r="B283" s="8"/>
      <c r="C283" s="8"/>
      <c r="D283" s="69"/>
      <c r="E283" s="25"/>
      <c r="F283" s="8"/>
      <c r="G283" s="8"/>
      <c r="H283" s="8"/>
      <c r="I283" s="8"/>
      <c r="J283" s="30" t="str">
        <f t="shared" si="78"/>
        <v/>
      </c>
      <c r="K283" s="30" t="str">
        <f t="shared" si="79"/>
        <v/>
      </c>
      <c r="L283" s="30" t="str">
        <f t="shared" si="80"/>
        <v/>
      </c>
      <c r="M283" s="30" t="str">
        <f t="shared" si="81"/>
        <v/>
      </c>
      <c r="N283" s="30" t="str">
        <f t="shared" si="7"/>
        <v/>
      </c>
      <c r="O283" s="8"/>
      <c r="P283" s="8"/>
      <c r="Q283" s="8"/>
      <c r="R283" s="8"/>
      <c r="S283" s="8"/>
      <c r="T283" s="8"/>
      <c r="U283" s="8"/>
      <c r="V283" s="8"/>
      <c r="W283" s="8"/>
      <c r="X283" s="8"/>
      <c r="Y283" s="8"/>
      <c r="Z283" s="8"/>
    </row>
    <row r="284">
      <c r="A284" s="8"/>
      <c r="B284" s="8"/>
      <c r="C284" s="8"/>
      <c r="D284" s="69"/>
      <c r="E284" s="25"/>
      <c r="F284" s="8"/>
      <c r="G284" s="8"/>
      <c r="H284" s="8"/>
      <c r="I284" s="8"/>
      <c r="J284" s="30" t="str">
        <f t="shared" si="78"/>
        <v/>
      </c>
      <c r="K284" s="30" t="str">
        <f t="shared" si="79"/>
        <v/>
      </c>
      <c r="L284" s="30" t="str">
        <f t="shared" si="80"/>
        <v/>
      </c>
      <c r="M284" s="30" t="str">
        <f t="shared" si="81"/>
        <v/>
      </c>
      <c r="N284" s="30" t="str">
        <f t="shared" si="7"/>
        <v/>
      </c>
      <c r="O284" s="8"/>
      <c r="P284" s="8"/>
      <c r="Q284" s="8"/>
      <c r="R284" s="8"/>
      <c r="S284" s="8"/>
      <c r="T284" s="8"/>
      <c r="U284" s="8"/>
      <c r="V284" s="8"/>
      <c r="W284" s="8"/>
      <c r="X284" s="8"/>
      <c r="Y284" s="8"/>
      <c r="Z284" s="8"/>
    </row>
    <row r="285">
      <c r="A285" s="8"/>
      <c r="B285" s="8"/>
      <c r="C285" s="8"/>
      <c r="D285" s="69"/>
      <c r="E285" s="25"/>
      <c r="F285" s="8"/>
      <c r="G285" s="8"/>
      <c r="H285" s="8"/>
      <c r="I285" s="8"/>
      <c r="J285" s="30" t="str">
        <f t="shared" si="78"/>
        <v/>
      </c>
      <c r="K285" s="30" t="str">
        <f t="shared" si="79"/>
        <v/>
      </c>
      <c r="L285" s="30" t="str">
        <f t="shared" si="80"/>
        <v/>
      </c>
      <c r="M285" s="30" t="str">
        <f t="shared" si="81"/>
        <v/>
      </c>
      <c r="N285" s="30" t="str">
        <f t="shared" si="7"/>
        <v/>
      </c>
      <c r="O285" s="8"/>
      <c r="P285" s="8"/>
      <c r="Q285" s="8"/>
      <c r="R285" s="8"/>
      <c r="S285" s="8"/>
      <c r="T285" s="8"/>
      <c r="U285" s="8"/>
      <c r="V285" s="8"/>
      <c r="W285" s="8"/>
      <c r="X285" s="8"/>
      <c r="Y285" s="8"/>
      <c r="Z285" s="8"/>
    </row>
    <row r="286">
      <c r="A286" s="8"/>
      <c r="B286" s="8"/>
      <c r="C286" s="8"/>
      <c r="D286" s="69"/>
      <c r="E286" s="25"/>
      <c r="F286" s="8"/>
      <c r="G286" s="8"/>
      <c r="H286" s="8"/>
      <c r="I286" s="8"/>
      <c r="J286" s="30" t="str">
        <f t="shared" si="78"/>
        <v/>
      </c>
      <c r="K286" s="30" t="str">
        <f t="shared" si="79"/>
        <v/>
      </c>
      <c r="L286" s="30" t="str">
        <f t="shared" si="80"/>
        <v/>
      </c>
      <c r="M286" s="30" t="str">
        <f t="shared" si="81"/>
        <v/>
      </c>
      <c r="N286" s="30" t="str">
        <f t="shared" si="7"/>
        <v/>
      </c>
      <c r="O286" s="8"/>
      <c r="P286" s="8"/>
      <c r="Q286" s="8"/>
      <c r="R286" s="8"/>
      <c r="S286" s="8"/>
      <c r="T286" s="8"/>
      <c r="U286" s="8"/>
      <c r="V286" s="8"/>
      <c r="W286" s="8"/>
      <c r="X286" s="8"/>
      <c r="Y286" s="8"/>
      <c r="Z286" s="8"/>
    </row>
    <row r="287">
      <c r="A287" s="8"/>
      <c r="B287" s="8"/>
      <c r="C287" s="8"/>
      <c r="D287" s="69"/>
      <c r="E287" s="25"/>
      <c r="F287" s="8"/>
      <c r="G287" s="8"/>
      <c r="H287" s="8"/>
      <c r="I287" s="8"/>
      <c r="J287" s="30" t="str">
        <f t="shared" si="78"/>
        <v/>
      </c>
      <c r="K287" s="30" t="str">
        <f t="shared" si="79"/>
        <v/>
      </c>
      <c r="L287" s="30" t="str">
        <f t="shared" si="80"/>
        <v/>
      </c>
      <c r="M287" s="30" t="str">
        <f t="shared" si="81"/>
        <v/>
      </c>
      <c r="N287" s="30" t="str">
        <f t="shared" si="7"/>
        <v/>
      </c>
      <c r="O287" s="8"/>
      <c r="P287" s="8"/>
      <c r="Q287" s="8"/>
      <c r="R287" s="8"/>
      <c r="S287" s="8"/>
      <c r="T287" s="8"/>
      <c r="U287" s="8"/>
      <c r="V287" s="8"/>
      <c r="W287" s="8"/>
      <c r="X287" s="8"/>
      <c r="Y287" s="8"/>
      <c r="Z287" s="8"/>
    </row>
    <row r="288">
      <c r="A288" s="8"/>
      <c r="B288" s="8"/>
      <c r="C288" s="8"/>
      <c r="D288" s="69"/>
      <c r="E288" s="25"/>
      <c r="F288" s="8"/>
      <c r="G288" s="8"/>
      <c r="H288" s="8"/>
      <c r="I288" s="8"/>
      <c r="J288" s="30" t="str">
        <f t="shared" si="78"/>
        <v/>
      </c>
      <c r="K288" s="30" t="str">
        <f t="shared" si="79"/>
        <v/>
      </c>
      <c r="L288" s="30" t="str">
        <f t="shared" si="80"/>
        <v/>
      </c>
      <c r="M288" s="30" t="str">
        <f t="shared" si="81"/>
        <v/>
      </c>
      <c r="N288" s="30" t="str">
        <f t="shared" si="7"/>
        <v/>
      </c>
      <c r="O288" s="8"/>
      <c r="P288" s="8"/>
      <c r="Q288" s="8"/>
      <c r="R288" s="8"/>
      <c r="S288" s="8"/>
      <c r="T288" s="8"/>
      <c r="U288" s="8"/>
      <c r="V288" s="8"/>
      <c r="W288" s="8"/>
      <c r="X288" s="8"/>
      <c r="Y288" s="8"/>
      <c r="Z288" s="8"/>
    </row>
    <row r="289">
      <c r="A289" s="8"/>
      <c r="B289" s="8"/>
      <c r="C289" s="8"/>
      <c r="D289" s="69"/>
      <c r="E289" s="25"/>
      <c r="F289" s="8"/>
      <c r="G289" s="8"/>
      <c r="H289" s="8"/>
      <c r="I289" s="8"/>
      <c r="J289" s="30" t="str">
        <f t="shared" si="78"/>
        <v/>
      </c>
      <c r="K289" s="30" t="str">
        <f t="shared" si="79"/>
        <v/>
      </c>
      <c r="L289" s="30" t="str">
        <f t="shared" si="80"/>
        <v/>
      </c>
      <c r="M289" s="30" t="str">
        <f t="shared" si="81"/>
        <v/>
      </c>
      <c r="N289" s="30" t="str">
        <f t="shared" si="7"/>
        <v/>
      </c>
      <c r="O289" s="8"/>
      <c r="P289" s="8"/>
      <c r="Q289" s="8"/>
      <c r="R289" s="8"/>
      <c r="S289" s="8"/>
      <c r="T289" s="8"/>
      <c r="U289" s="8"/>
      <c r="V289" s="8"/>
      <c r="W289" s="8"/>
      <c r="X289" s="8"/>
      <c r="Y289" s="8"/>
      <c r="Z289" s="8"/>
    </row>
    <row r="290">
      <c r="A290" s="8"/>
      <c r="B290" s="8"/>
      <c r="C290" s="8"/>
      <c r="D290" s="69"/>
      <c r="E290" s="25"/>
      <c r="F290" s="8"/>
      <c r="G290" s="8"/>
      <c r="H290" s="8"/>
      <c r="I290" s="8"/>
      <c r="J290" s="30" t="str">
        <f t="shared" si="78"/>
        <v/>
      </c>
      <c r="K290" s="30" t="str">
        <f t="shared" si="79"/>
        <v/>
      </c>
      <c r="L290" s="30" t="str">
        <f t="shared" si="80"/>
        <v/>
      </c>
      <c r="M290" s="30" t="str">
        <f t="shared" si="81"/>
        <v/>
      </c>
      <c r="N290" s="30" t="str">
        <f t="shared" si="7"/>
        <v/>
      </c>
      <c r="O290" s="8"/>
      <c r="P290" s="8"/>
      <c r="Q290" s="8"/>
      <c r="R290" s="8"/>
      <c r="S290" s="8"/>
      <c r="T290" s="8"/>
      <c r="U290" s="8"/>
      <c r="V290" s="8"/>
      <c r="W290" s="8"/>
      <c r="X290" s="8"/>
      <c r="Y290" s="8"/>
      <c r="Z290" s="8"/>
    </row>
    <row r="291">
      <c r="A291" s="8"/>
      <c r="B291" s="8"/>
      <c r="C291" s="8"/>
      <c r="D291" s="69"/>
      <c r="E291" s="25"/>
      <c r="F291" s="8"/>
      <c r="G291" s="8"/>
      <c r="H291" s="8"/>
      <c r="I291" s="8"/>
      <c r="J291" s="30" t="str">
        <f t="shared" si="78"/>
        <v/>
      </c>
      <c r="K291" s="30" t="str">
        <f t="shared" si="79"/>
        <v/>
      </c>
      <c r="L291" s="30" t="str">
        <f t="shared" si="80"/>
        <v/>
      </c>
      <c r="M291" s="30" t="str">
        <f t="shared" si="81"/>
        <v/>
      </c>
      <c r="N291" s="30" t="str">
        <f t="shared" si="7"/>
        <v/>
      </c>
      <c r="O291" s="8"/>
      <c r="P291" s="8"/>
      <c r="Q291" s="8"/>
      <c r="R291" s="8"/>
      <c r="S291" s="8"/>
      <c r="T291" s="8"/>
      <c r="U291" s="8"/>
      <c r="V291" s="8"/>
      <c r="W291" s="8"/>
      <c r="X291" s="8"/>
      <c r="Y291" s="8"/>
      <c r="Z291" s="8"/>
    </row>
    <row r="292">
      <c r="A292" s="8"/>
      <c r="B292" s="8"/>
      <c r="C292" s="8"/>
      <c r="D292" s="69"/>
      <c r="E292" s="25"/>
      <c r="F292" s="8"/>
      <c r="G292" s="8"/>
      <c r="H292" s="8"/>
      <c r="I292" s="8"/>
      <c r="J292" s="30" t="str">
        <f t="shared" si="78"/>
        <v/>
      </c>
      <c r="K292" s="30" t="str">
        <f t="shared" si="79"/>
        <v/>
      </c>
      <c r="L292" s="30" t="str">
        <f t="shared" si="80"/>
        <v/>
      </c>
      <c r="M292" s="30" t="str">
        <f t="shared" si="81"/>
        <v/>
      </c>
      <c r="N292" s="30" t="str">
        <f t="shared" si="7"/>
        <v/>
      </c>
      <c r="O292" s="8"/>
      <c r="P292" s="8"/>
      <c r="Q292" s="8"/>
      <c r="R292" s="8"/>
      <c r="S292" s="8"/>
      <c r="T292" s="8"/>
      <c r="U292" s="8"/>
      <c r="V292" s="8"/>
      <c r="W292" s="8"/>
      <c r="X292" s="8"/>
      <c r="Y292" s="8"/>
      <c r="Z292" s="8"/>
    </row>
    <row r="293">
      <c r="A293" s="8"/>
      <c r="B293" s="8"/>
      <c r="C293" s="8"/>
      <c r="D293" s="69"/>
      <c r="E293" s="25"/>
      <c r="F293" s="8"/>
      <c r="G293" s="8"/>
      <c r="H293" s="8"/>
      <c r="I293" s="8"/>
      <c r="J293" s="30" t="str">
        <f t="shared" si="78"/>
        <v/>
      </c>
      <c r="K293" s="30" t="str">
        <f t="shared" si="79"/>
        <v/>
      </c>
      <c r="L293" s="30" t="str">
        <f t="shared" si="80"/>
        <v/>
      </c>
      <c r="M293" s="30" t="str">
        <f t="shared" si="81"/>
        <v/>
      </c>
      <c r="N293" s="30" t="str">
        <f t="shared" si="7"/>
        <v/>
      </c>
      <c r="O293" s="8"/>
      <c r="P293" s="8"/>
      <c r="Q293" s="8"/>
      <c r="R293" s="8"/>
      <c r="S293" s="8"/>
      <c r="T293" s="8"/>
      <c r="U293" s="8"/>
      <c r="V293" s="8"/>
      <c r="W293" s="8"/>
      <c r="X293" s="8"/>
      <c r="Y293" s="8"/>
      <c r="Z293" s="8"/>
    </row>
    <row r="294">
      <c r="A294" s="8"/>
      <c r="B294" s="8"/>
      <c r="C294" s="8"/>
      <c r="D294" s="69"/>
      <c r="E294" s="25"/>
      <c r="F294" s="8"/>
      <c r="G294" s="8"/>
      <c r="H294" s="8"/>
      <c r="I294" s="8"/>
      <c r="J294" s="30" t="str">
        <f t="shared" si="78"/>
        <v/>
      </c>
      <c r="K294" s="30" t="str">
        <f t="shared" si="79"/>
        <v/>
      </c>
      <c r="L294" s="30" t="str">
        <f t="shared" si="80"/>
        <v/>
      </c>
      <c r="M294" s="30" t="str">
        <f t="shared" si="81"/>
        <v/>
      </c>
      <c r="N294" s="30" t="str">
        <f t="shared" si="7"/>
        <v/>
      </c>
      <c r="O294" s="8"/>
      <c r="P294" s="8"/>
      <c r="Q294" s="8"/>
      <c r="R294" s="8"/>
      <c r="S294" s="8"/>
      <c r="T294" s="8"/>
      <c r="U294" s="8"/>
      <c r="V294" s="8"/>
      <c r="W294" s="8"/>
      <c r="X294" s="8"/>
      <c r="Y294" s="8"/>
      <c r="Z294" s="8"/>
    </row>
    <row r="295">
      <c r="A295" s="8"/>
      <c r="B295" s="8"/>
      <c r="C295" s="8"/>
      <c r="D295" s="69"/>
      <c r="E295" s="25"/>
      <c r="F295" s="8"/>
      <c r="G295" s="8"/>
      <c r="H295" s="8"/>
      <c r="I295" s="8"/>
      <c r="J295" s="30" t="str">
        <f t="shared" si="78"/>
        <v/>
      </c>
      <c r="K295" s="30" t="str">
        <f t="shared" si="79"/>
        <v/>
      </c>
      <c r="L295" s="30" t="str">
        <f t="shared" si="80"/>
        <v/>
      </c>
      <c r="M295" s="30" t="str">
        <f t="shared" si="81"/>
        <v/>
      </c>
      <c r="N295" s="30" t="str">
        <f t="shared" si="7"/>
        <v/>
      </c>
      <c r="O295" s="8"/>
      <c r="P295" s="8"/>
      <c r="Q295" s="8"/>
      <c r="R295" s="8"/>
      <c r="S295" s="8"/>
      <c r="T295" s="8"/>
      <c r="U295" s="8"/>
      <c r="V295" s="8"/>
      <c r="W295" s="8"/>
      <c r="X295" s="8"/>
      <c r="Y295" s="8"/>
      <c r="Z295" s="8"/>
    </row>
    <row r="296">
      <c r="A296" s="8"/>
      <c r="B296" s="8"/>
      <c r="C296" s="8"/>
      <c r="D296" s="69"/>
      <c r="E296" s="25"/>
      <c r="F296" s="8"/>
      <c r="G296" s="8"/>
      <c r="H296" s="8"/>
      <c r="I296" s="8"/>
      <c r="J296" s="30" t="str">
        <f t="shared" si="78"/>
        <v/>
      </c>
      <c r="K296" s="30" t="str">
        <f t="shared" si="79"/>
        <v/>
      </c>
      <c r="L296" s="30" t="str">
        <f t="shared" si="80"/>
        <v/>
      </c>
      <c r="M296" s="30" t="str">
        <f t="shared" si="81"/>
        <v/>
      </c>
      <c r="N296" s="30" t="str">
        <f t="shared" si="7"/>
        <v/>
      </c>
      <c r="O296" s="8"/>
      <c r="P296" s="8"/>
      <c r="Q296" s="8"/>
      <c r="R296" s="8"/>
      <c r="S296" s="8"/>
      <c r="T296" s="8"/>
      <c r="U296" s="8"/>
      <c r="V296" s="8"/>
      <c r="W296" s="8"/>
      <c r="X296" s="8"/>
      <c r="Y296" s="8"/>
      <c r="Z296" s="8"/>
    </row>
    <row r="297">
      <c r="A297" s="8"/>
      <c r="B297" s="8"/>
      <c r="C297" s="8"/>
      <c r="D297" s="69"/>
      <c r="E297" s="25"/>
      <c r="F297" s="8"/>
      <c r="G297" s="8"/>
      <c r="H297" s="8"/>
      <c r="I297" s="8"/>
      <c r="J297" s="30" t="str">
        <f t="shared" si="78"/>
        <v/>
      </c>
      <c r="K297" s="30" t="str">
        <f t="shared" si="79"/>
        <v/>
      </c>
      <c r="L297" s="30" t="str">
        <f t="shared" si="80"/>
        <v/>
      </c>
      <c r="M297" s="30" t="str">
        <f t="shared" si="81"/>
        <v/>
      </c>
      <c r="N297" s="30" t="str">
        <f t="shared" si="7"/>
        <v/>
      </c>
      <c r="O297" s="8"/>
      <c r="P297" s="8"/>
      <c r="Q297" s="8"/>
      <c r="R297" s="8"/>
      <c r="S297" s="8"/>
      <c r="T297" s="8"/>
      <c r="U297" s="8"/>
      <c r="V297" s="8"/>
      <c r="W297" s="8"/>
      <c r="X297" s="8"/>
      <c r="Y297" s="8"/>
      <c r="Z297" s="8"/>
    </row>
    <row r="298">
      <c r="A298" s="8"/>
      <c r="B298" s="8"/>
      <c r="C298" s="8"/>
      <c r="D298" s="69"/>
      <c r="E298" s="25"/>
      <c r="F298" s="8"/>
      <c r="G298" s="8"/>
      <c r="H298" s="8"/>
      <c r="I298" s="8"/>
      <c r="J298" s="30" t="str">
        <f t="shared" si="78"/>
        <v/>
      </c>
      <c r="K298" s="30" t="str">
        <f t="shared" si="79"/>
        <v/>
      </c>
      <c r="L298" s="30" t="str">
        <f t="shared" si="80"/>
        <v/>
      </c>
      <c r="M298" s="30" t="str">
        <f t="shared" si="81"/>
        <v/>
      </c>
      <c r="N298" s="30" t="str">
        <f t="shared" si="7"/>
        <v/>
      </c>
      <c r="O298" s="8"/>
      <c r="P298" s="8"/>
      <c r="Q298" s="8"/>
      <c r="R298" s="8"/>
      <c r="S298" s="8"/>
      <c r="T298" s="8"/>
      <c r="U298" s="8"/>
      <c r="V298" s="8"/>
      <c r="W298" s="8"/>
      <c r="X298" s="8"/>
      <c r="Y298" s="8"/>
      <c r="Z298" s="8"/>
    </row>
    <row r="299">
      <c r="A299" s="8"/>
      <c r="B299" s="8"/>
      <c r="C299" s="8"/>
      <c r="D299" s="69"/>
      <c r="E299" s="25"/>
      <c r="F299" s="8"/>
      <c r="G299" s="8"/>
      <c r="H299" s="8"/>
      <c r="I299" s="8"/>
      <c r="J299" s="30" t="str">
        <f t="shared" si="78"/>
        <v/>
      </c>
      <c r="K299" s="30" t="str">
        <f t="shared" si="79"/>
        <v/>
      </c>
      <c r="L299" s="30" t="str">
        <f t="shared" si="80"/>
        <v/>
      </c>
      <c r="M299" s="30" t="str">
        <f t="shared" si="81"/>
        <v/>
      </c>
      <c r="N299" s="30" t="str">
        <f t="shared" si="7"/>
        <v/>
      </c>
      <c r="O299" s="8"/>
      <c r="P299" s="8"/>
      <c r="Q299" s="8"/>
      <c r="R299" s="8"/>
      <c r="S299" s="8"/>
      <c r="T299" s="8"/>
      <c r="U299" s="8"/>
      <c r="V299" s="8"/>
      <c r="W299" s="8"/>
      <c r="X299" s="8"/>
      <c r="Y299" s="8"/>
      <c r="Z299" s="8"/>
    </row>
    <row r="300">
      <c r="A300" s="8"/>
      <c r="B300" s="8"/>
      <c r="C300" s="8"/>
      <c r="D300" s="69"/>
      <c r="E300" s="25"/>
      <c r="F300" s="8"/>
      <c r="G300" s="8"/>
      <c r="H300" s="8"/>
      <c r="I300" s="8"/>
      <c r="J300" s="30" t="str">
        <f t="shared" si="78"/>
        <v/>
      </c>
      <c r="K300" s="30" t="str">
        <f t="shared" si="79"/>
        <v/>
      </c>
      <c r="L300" s="30" t="str">
        <f t="shared" si="80"/>
        <v/>
      </c>
      <c r="M300" s="30" t="str">
        <f t="shared" si="81"/>
        <v/>
      </c>
      <c r="N300" s="30" t="str">
        <f t="shared" si="7"/>
        <v/>
      </c>
      <c r="O300" s="8"/>
      <c r="P300" s="8"/>
      <c r="Q300" s="8"/>
      <c r="R300" s="8"/>
      <c r="S300" s="8"/>
      <c r="T300" s="8"/>
      <c r="U300" s="8"/>
      <c r="V300" s="8"/>
      <c r="W300" s="8"/>
      <c r="X300" s="8"/>
      <c r="Y300" s="8"/>
      <c r="Z300" s="8"/>
    </row>
    <row r="301">
      <c r="A301" s="8"/>
      <c r="B301" s="8"/>
      <c r="C301" s="8"/>
      <c r="D301" s="69"/>
      <c r="E301" s="25"/>
      <c r="F301" s="8"/>
      <c r="G301" s="8"/>
      <c r="H301" s="8"/>
      <c r="I301" s="8"/>
      <c r="J301" s="30" t="str">
        <f t="shared" si="78"/>
        <v/>
      </c>
      <c r="K301" s="30" t="str">
        <f t="shared" si="79"/>
        <v/>
      </c>
      <c r="L301" s="30" t="str">
        <f t="shared" si="80"/>
        <v/>
      </c>
      <c r="M301" s="30" t="str">
        <f t="shared" si="81"/>
        <v/>
      </c>
      <c r="N301" s="30" t="str">
        <f t="shared" si="7"/>
        <v/>
      </c>
      <c r="O301" s="8"/>
      <c r="P301" s="8"/>
      <c r="Q301" s="8"/>
      <c r="R301" s="8"/>
      <c r="S301" s="8"/>
      <c r="T301" s="8"/>
      <c r="U301" s="8"/>
      <c r="V301" s="8"/>
      <c r="W301" s="8"/>
      <c r="X301" s="8"/>
      <c r="Y301" s="8"/>
      <c r="Z301" s="8"/>
    </row>
    <row r="302">
      <c r="A302" s="8"/>
      <c r="B302" s="8"/>
      <c r="C302" s="8"/>
      <c r="D302" s="69"/>
      <c r="E302" s="25"/>
      <c r="F302" s="8"/>
      <c r="G302" s="8"/>
      <c r="H302" s="8"/>
      <c r="I302" s="8"/>
      <c r="J302" s="30" t="str">
        <f t="shared" si="78"/>
        <v/>
      </c>
      <c r="K302" s="30" t="str">
        <f t="shared" si="79"/>
        <v/>
      </c>
      <c r="L302" s="30" t="str">
        <f t="shared" si="80"/>
        <v/>
      </c>
      <c r="M302" s="30" t="str">
        <f t="shared" si="81"/>
        <v/>
      </c>
      <c r="N302" s="30" t="str">
        <f t="shared" si="7"/>
        <v/>
      </c>
      <c r="O302" s="8"/>
      <c r="P302" s="8"/>
      <c r="Q302" s="8"/>
      <c r="R302" s="8"/>
      <c r="S302" s="8"/>
      <c r="T302" s="8"/>
      <c r="U302" s="8"/>
      <c r="V302" s="8"/>
      <c r="W302" s="8"/>
      <c r="X302" s="8"/>
      <c r="Y302" s="8"/>
      <c r="Z302" s="8"/>
    </row>
    <row r="303">
      <c r="A303" s="8"/>
      <c r="B303" s="8"/>
      <c r="C303" s="8"/>
      <c r="D303" s="69"/>
      <c r="E303" s="25"/>
      <c r="F303" s="8"/>
      <c r="G303" s="8"/>
      <c r="H303" s="8"/>
      <c r="I303" s="8"/>
      <c r="J303" s="30" t="str">
        <f t="shared" si="78"/>
        <v/>
      </c>
      <c r="K303" s="30" t="str">
        <f t="shared" si="79"/>
        <v/>
      </c>
      <c r="L303" s="30" t="str">
        <f t="shared" si="80"/>
        <v/>
      </c>
      <c r="M303" s="30" t="str">
        <f t="shared" si="81"/>
        <v/>
      </c>
      <c r="N303" s="30" t="str">
        <f t="shared" si="7"/>
        <v/>
      </c>
      <c r="O303" s="8"/>
      <c r="P303" s="8"/>
      <c r="Q303" s="8"/>
      <c r="R303" s="8"/>
      <c r="S303" s="8"/>
      <c r="T303" s="8"/>
      <c r="U303" s="8"/>
      <c r="V303" s="8"/>
      <c r="W303" s="8"/>
      <c r="X303" s="8"/>
      <c r="Y303" s="8"/>
      <c r="Z303" s="8"/>
    </row>
    <row r="304">
      <c r="A304" s="8"/>
      <c r="B304" s="8"/>
      <c r="C304" s="8"/>
      <c r="D304" s="69"/>
      <c r="E304" s="25"/>
      <c r="F304" s="8"/>
      <c r="G304" s="8"/>
      <c r="H304" s="8"/>
      <c r="I304" s="8"/>
      <c r="J304" s="30" t="str">
        <f t="shared" si="78"/>
        <v/>
      </c>
      <c r="K304" s="30" t="str">
        <f t="shared" si="79"/>
        <v/>
      </c>
      <c r="L304" s="30" t="str">
        <f t="shared" si="80"/>
        <v/>
      </c>
      <c r="M304" s="30" t="str">
        <f t="shared" si="81"/>
        <v/>
      </c>
      <c r="N304" s="30" t="str">
        <f t="shared" si="7"/>
        <v/>
      </c>
      <c r="O304" s="8"/>
      <c r="P304" s="8"/>
      <c r="Q304" s="8"/>
      <c r="R304" s="8"/>
      <c r="S304" s="8"/>
      <c r="T304" s="8"/>
      <c r="U304" s="8"/>
      <c r="V304" s="8"/>
      <c r="W304" s="8"/>
      <c r="X304" s="8"/>
      <c r="Y304" s="8"/>
      <c r="Z304" s="8"/>
    </row>
    <row r="305">
      <c r="A305" s="8"/>
      <c r="B305" s="8"/>
      <c r="C305" s="8"/>
      <c r="D305" s="69"/>
      <c r="E305" s="25"/>
      <c r="F305" s="8"/>
      <c r="G305" s="8"/>
      <c r="H305" s="8"/>
      <c r="I305" s="8"/>
      <c r="J305" s="30" t="str">
        <f t="shared" si="78"/>
        <v/>
      </c>
      <c r="K305" s="30" t="str">
        <f t="shared" si="79"/>
        <v/>
      </c>
      <c r="L305" s="30" t="str">
        <f t="shared" si="80"/>
        <v/>
      </c>
      <c r="M305" s="30" t="str">
        <f t="shared" si="81"/>
        <v/>
      </c>
      <c r="N305" s="30" t="str">
        <f t="shared" si="7"/>
        <v/>
      </c>
      <c r="O305" s="8"/>
      <c r="P305" s="8"/>
      <c r="Q305" s="8"/>
      <c r="R305" s="8"/>
      <c r="S305" s="8"/>
      <c r="T305" s="8"/>
      <c r="U305" s="8"/>
      <c r="V305" s="8"/>
      <c r="W305" s="8"/>
      <c r="X305" s="8"/>
      <c r="Y305" s="8"/>
      <c r="Z305" s="8"/>
    </row>
    <row r="306">
      <c r="A306" s="8"/>
      <c r="B306" s="8"/>
      <c r="C306" s="8"/>
      <c r="D306" s="69"/>
      <c r="E306" s="25"/>
      <c r="F306" s="8"/>
      <c r="G306" s="8"/>
      <c r="H306" s="8"/>
      <c r="I306" s="8"/>
      <c r="J306" s="30" t="str">
        <f t="shared" si="78"/>
        <v/>
      </c>
      <c r="K306" s="30" t="str">
        <f t="shared" si="79"/>
        <v/>
      </c>
      <c r="L306" s="30" t="str">
        <f t="shared" si="80"/>
        <v/>
      </c>
      <c r="M306" s="30" t="str">
        <f t="shared" si="81"/>
        <v/>
      </c>
      <c r="N306" s="30" t="str">
        <f t="shared" si="7"/>
        <v/>
      </c>
      <c r="O306" s="8"/>
      <c r="P306" s="8"/>
      <c r="Q306" s="8"/>
      <c r="R306" s="8"/>
      <c r="S306" s="8"/>
      <c r="T306" s="8"/>
      <c r="U306" s="8"/>
      <c r="V306" s="8"/>
      <c r="W306" s="8"/>
      <c r="X306" s="8"/>
      <c r="Y306" s="8"/>
      <c r="Z306" s="8"/>
    </row>
    <row r="307">
      <c r="A307" s="8"/>
      <c r="B307" s="8"/>
      <c r="C307" s="8"/>
      <c r="D307" s="69"/>
      <c r="E307" s="25"/>
      <c r="F307" s="8"/>
      <c r="G307" s="8"/>
      <c r="H307" s="8"/>
      <c r="I307" s="8"/>
      <c r="J307" s="30" t="str">
        <f t="shared" si="78"/>
        <v/>
      </c>
      <c r="K307" s="30" t="str">
        <f t="shared" si="79"/>
        <v/>
      </c>
      <c r="L307" s="30" t="str">
        <f t="shared" si="80"/>
        <v/>
      </c>
      <c r="M307" s="30" t="str">
        <f t="shared" si="81"/>
        <v/>
      </c>
      <c r="N307" s="30" t="str">
        <f t="shared" si="7"/>
        <v/>
      </c>
      <c r="O307" s="8"/>
      <c r="P307" s="8"/>
      <c r="Q307" s="8"/>
      <c r="R307" s="8"/>
      <c r="S307" s="8"/>
      <c r="T307" s="8"/>
      <c r="U307" s="8"/>
      <c r="V307" s="8"/>
      <c r="W307" s="8"/>
      <c r="X307" s="8"/>
      <c r="Y307" s="8"/>
      <c r="Z307" s="8"/>
    </row>
    <row r="308">
      <c r="A308" s="8"/>
      <c r="B308" s="8"/>
      <c r="C308" s="8"/>
      <c r="D308" s="69"/>
      <c r="E308" s="25"/>
      <c r="F308" s="8"/>
      <c r="G308" s="8"/>
      <c r="H308" s="8"/>
      <c r="I308" s="8"/>
      <c r="J308" s="30" t="str">
        <f t="shared" si="78"/>
        <v/>
      </c>
      <c r="K308" s="30" t="str">
        <f t="shared" si="79"/>
        <v/>
      </c>
      <c r="L308" s="30" t="str">
        <f t="shared" si="80"/>
        <v/>
      </c>
      <c r="M308" s="30" t="str">
        <f t="shared" si="81"/>
        <v/>
      </c>
      <c r="N308" s="30" t="str">
        <f t="shared" si="7"/>
        <v/>
      </c>
      <c r="O308" s="8"/>
      <c r="P308" s="8"/>
      <c r="Q308" s="8"/>
      <c r="R308" s="8"/>
      <c r="S308" s="8"/>
      <c r="T308" s="8"/>
      <c r="U308" s="8"/>
      <c r="V308" s="8"/>
      <c r="W308" s="8"/>
      <c r="X308" s="8"/>
      <c r="Y308" s="8"/>
      <c r="Z308" s="8"/>
    </row>
    <row r="309">
      <c r="A309" s="8"/>
      <c r="B309" s="8"/>
      <c r="C309" s="8"/>
      <c r="D309" s="69"/>
      <c r="E309" s="25"/>
      <c r="F309" s="8"/>
      <c r="G309" s="8"/>
      <c r="H309" s="8"/>
      <c r="I309" s="8"/>
      <c r="J309" s="30" t="str">
        <f t="shared" si="78"/>
        <v/>
      </c>
      <c r="K309" s="30" t="str">
        <f t="shared" si="79"/>
        <v/>
      </c>
      <c r="L309" s="30" t="str">
        <f t="shared" si="80"/>
        <v/>
      </c>
      <c r="M309" s="30" t="str">
        <f t="shared" si="81"/>
        <v/>
      </c>
      <c r="N309" s="30" t="str">
        <f t="shared" si="7"/>
        <v/>
      </c>
      <c r="O309" s="8"/>
      <c r="P309" s="8"/>
      <c r="Q309" s="8"/>
      <c r="R309" s="8"/>
      <c r="S309" s="8"/>
      <c r="T309" s="8"/>
      <c r="U309" s="8"/>
      <c r="V309" s="8"/>
      <c r="W309" s="8"/>
      <c r="X309" s="8"/>
      <c r="Y309" s="8"/>
      <c r="Z309" s="8"/>
    </row>
    <row r="310">
      <c r="A310" s="8"/>
      <c r="B310" s="8"/>
      <c r="C310" s="8"/>
      <c r="D310" s="69"/>
      <c r="E310" s="25"/>
      <c r="F310" s="8"/>
      <c r="G310" s="8"/>
      <c r="H310" s="8"/>
      <c r="I310" s="8"/>
      <c r="J310" s="30" t="str">
        <f t="shared" si="78"/>
        <v/>
      </c>
      <c r="K310" s="30" t="str">
        <f t="shared" si="79"/>
        <v/>
      </c>
      <c r="L310" s="30" t="str">
        <f t="shared" si="80"/>
        <v/>
      </c>
      <c r="M310" s="30" t="str">
        <f t="shared" si="81"/>
        <v/>
      </c>
      <c r="N310" s="30" t="str">
        <f t="shared" si="7"/>
        <v/>
      </c>
      <c r="O310" s="8"/>
      <c r="P310" s="8"/>
      <c r="Q310" s="8"/>
      <c r="R310" s="8"/>
      <c r="S310" s="8"/>
      <c r="T310" s="8"/>
      <c r="U310" s="8"/>
      <c r="V310" s="8"/>
      <c r="W310" s="8"/>
      <c r="X310" s="8"/>
      <c r="Y310" s="8"/>
      <c r="Z310" s="8"/>
    </row>
    <row r="311">
      <c r="A311" s="8"/>
      <c r="B311" s="8"/>
      <c r="C311" s="8"/>
      <c r="D311" s="69"/>
      <c r="E311" s="25"/>
      <c r="F311" s="8"/>
      <c r="G311" s="8"/>
      <c r="H311" s="8"/>
      <c r="I311" s="8"/>
      <c r="J311" s="30" t="str">
        <f t="shared" si="78"/>
        <v/>
      </c>
      <c r="K311" s="30" t="str">
        <f t="shared" si="79"/>
        <v/>
      </c>
      <c r="L311" s="30" t="str">
        <f t="shared" si="80"/>
        <v/>
      </c>
      <c r="M311" s="30" t="str">
        <f t="shared" si="81"/>
        <v/>
      </c>
      <c r="N311" s="30" t="str">
        <f t="shared" si="7"/>
        <v/>
      </c>
      <c r="O311" s="8"/>
      <c r="P311" s="8"/>
      <c r="Q311" s="8"/>
      <c r="R311" s="8"/>
      <c r="S311" s="8"/>
      <c r="T311" s="8"/>
      <c r="U311" s="8"/>
      <c r="V311" s="8"/>
      <c r="W311" s="8"/>
      <c r="X311" s="8"/>
      <c r="Y311" s="8"/>
      <c r="Z311" s="8"/>
    </row>
    <row r="312">
      <c r="A312" s="8"/>
      <c r="B312" s="8"/>
      <c r="C312" s="8"/>
      <c r="D312" s="69"/>
      <c r="E312" s="25"/>
      <c r="F312" s="8"/>
      <c r="G312" s="8"/>
      <c r="H312" s="8"/>
      <c r="I312" s="8"/>
      <c r="J312" s="30" t="str">
        <f t="shared" si="78"/>
        <v/>
      </c>
      <c r="K312" s="30" t="str">
        <f t="shared" si="79"/>
        <v/>
      </c>
      <c r="L312" s="30" t="str">
        <f t="shared" si="80"/>
        <v/>
      </c>
      <c r="M312" s="30" t="str">
        <f t="shared" si="81"/>
        <v/>
      </c>
      <c r="N312" s="30" t="str">
        <f t="shared" si="7"/>
        <v/>
      </c>
      <c r="O312" s="8"/>
      <c r="P312" s="8"/>
      <c r="Q312" s="8"/>
      <c r="R312" s="8"/>
      <c r="S312" s="8"/>
      <c r="T312" s="8"/>
      <c r="U312" s="8"/>
      <c r="V312" s="8"/>
      <c r="W312" s="8"/>
      <c r="X312" s="8"/>
      <c r="Y312" s="8"/>
      <c r="Z312" s="8"/>
    </row>
    <row r="313">
      <c r="A313" s="8"/>
      <c r="B313" s="8"/>
      <c r="C313" s="8"/>
      <c r="D313" s="69"/>
      <c r="E313" s="25"/>
      <c r="F313" s="8"/>
      <c r="G313" s="8"/>
      <c r="H313" s="8"/>
      <c r="I313" s="8"/>
      <c r="J313" s="30" t="str">
        <f t="shared" si="78"/>
        <v/>
      </c>
      <c r="K313" s="30" t="str">
        <f t="shared" si="79"/>
        <v/>
      </c>
      <c r="L313" s="30" t="str">
        <f t="shared" si="80"/>
        <v/>
      </c>
      <c r="M313" s="30" t="str">
        <f t="shared" si="81"/>
        <v/>
      </c>
      <c r="N313" s="30" t="str">
        <f t="shared" si="7"/>
        <v/>
      </c>
      <c r="O313" s="8"/>
      <c r="P313" s="8"/>
      <c r="Q313" s="8"/>
      <c r="R313" s="8"/>
      <c r="S313" s="8"/>
      <c r="T313" s="8"/>
      <c r="U313" s="8"/>
      <c r="V313" s="8"/>
      <c r="W313" s="8"/>
      <c r="X313" s="8"/>
      <c r="Y313" s="8"/>
      <c r="Z313" s="8"/>
    </row>
    <row r="314">
      <c r="A314" s="8"/>
      <c r="B314" s="8"/>
      <c r="C314" s="8"/>
      <c r="D314" s="69"/>
      <c r="E314" s="25"/>
      <c r="F314" s="8"/>
      <c r="G314" s="8"/>
      <c r="H314" s="8"/>
      <c r="I314" s="8"/>
      <c r="J314" s="30" t="str">
        <f t="shared" si="78"/>
        <v/>
      </c>
      <c r="K314" s="30" t="str">
        <f t="shared" si="79"/>
        <v/>
      </c>
      <c r="L314" s="30" t="str">
        <f t="shared" si="80"/>
        <v/>
      </c>
      <c r="M314" s="30" t="str">
        <f t="shared" si="81"/>
        <v/>
      </c>
      <c r="N314" s="30" t="str">
        <f t="shared" si="7"/>
        <v/>
      </c>
      <c r="O314" s="8"/>
      <c r="P314" s="8"/>
      <c r="Q314" s="8"/>
      <c r="R314" s="8"/>
      <c r="S314" s="8"/>
      <c r="T314" s="8"/>
      <c r="U314" s="8"/>
      <c r="V314" s="8"/>
      <c r="W314" s="8"/>
      <c r="X314" s="8"/>
      <c r="Y314" s="8"/>
      <c r="Z314" s="8"/>
    </row>
    <row r="315">
      <c r="A315" s="8"/>
      <c r="B315" s="8"/>
      <c r="C315" s="8"/>
      <c r="D315" s="69"/>
      <c r="E315" s="25"/>
      <c r="F315" s="8"/>
      <c r="G315" s="8"/>
      <c r="H315" s="8"/>
      <c r="I315" s="8"/>
      <c r="J315" s="30" t="str">
        <f t="shared" si="78"/>
        <v/>
      </c>
      <c r="K315" s="30" t="str">
        <f t="shared" si="79"/>
        <v/>
      </c>
      <c r="L315" s="30" t="str">
        <f t="shared" si="80"/>
        <v/>
      </c>
      <c r="M315" s="30" t="str">
        <f t="shared" si="81"/>
        <v/>
      </c>
      <c r="N315" s="30" t="str">
        <f t="shared" si="7"/>
        <v/>
      </c>
      <c r="O315" s="8"/>
      <c r="P315" s="8"/>
      <c r="Q315" s="8"/>
      <c r="R315" s="8"/>
      <c r="S315" s="8"/>
      <c r="T315" s="8"/>
      <c r="U315" s="8"/>
      <c r="V315" s="8"/>
      <c r="W315" s="8"/>
      <c r="X315" s="8"/>
      <c r="Y315" s="8"/>
      <c r="Z315" s="8"/>
    </row>
    <row r="316">
      <c r="A316" s="8"/>
      <c r="B316" s="8"/>
      <c r="C316" s="8"/>
      <c r="D316" s="69"/>
      <c r="E316" s="25"/>
      <c r="F316" s="8"/>
      <c r="G316" s="8"/>
      <c r="H316" s="8"/>
      <c r="I316" s="8"/>
      <c r="J316" s="30" t="str">
        <f t="shared" si="78"/>
        <v/>
      </c>
      <c r="K316" s="30" t="str">
        <f t="shared" si="79"/>
        <v/>
      </c>
      <c r="L316" s="30" t="str">
        <f t="shared" si="80"/>
        <v/>
      </c>
      <c r="M316" s="30" t="str">
        <f t="shared" si="81"/>
        <v/>
      </c>
      <c r="N316" s="30" t="str">
        <f t="shared" si="7"/>
        <v/>
      </c>
      <c r="O316" s="8"/>
      <c r="P316" s="8"/>
      <c r="Q316" s="8"/>
      <c r="R316" s="8"/>
      <c r="S316" s="8"/>
      <c r="T316" s="8"/>
      <c r="U316" s="8"/>
      <c r="V316" s="8"/>
      <c r="W316" s="8"/>
      <c r="X316" s="8"/>
      <c r="Y316" s="8"/>
      <c r="Z316" s="8"/>
    </row>
    <row r="317">
      <c r="A317" s="8"/>
      <c r="B317" s="8"/>
      <c r="C317" s="8"/>
      <c r="D317" s="69"/>
      <c r="E317" s="25"/>
      <c r="F317" s="8"/>
      <c r="G317" s="8"/>
      <c r="H317" s="8"/>
      <c r="I317" s="8"/>
      <c r="J317" s="30" t="str">
        <f t="shared" si="78"/>
        <v/>
      </c>
      <c r="K317" s="30" t="str">
        <f t="shared" si="79"/>
        <v/>
      </c>
      <c r="L317" s="30" t="str">
        <f t="shared" si="80"/>
        <v/>
      </c>
      <c r="M317" s="30" t="str">
        <f t="shared" si="81"/>
        <v/>
      </c>
      <c r="N317" s="30" t="str">
        <f t="shared" si="7"/>
        <v/>
      </c>
      <c r="O317" s="8"/>
      <c r="P317" s="8"/>
      <c r="Q317" s="8"/>
      <c r="R317" s="8"/>
      <c r="S317" s="8"/>
      <c r="T317" s="8"/>
      <c r="U317" s="8"/>
      <c r="V317" s="8"/>
      <c r="W317" s="8"/>
      <c r="X317" s="8"/>
      <c r="Y317" s="8"/>
      <c r="Z317" s="8"/>
    </row>
    <row r="318">
      <c r="A318" s="8"/>
      <c r="B318" s="8"/>
      <c r="C318" s="8"/>
      <c r="D318" s="69"/>
      <c r="E318" s="25"/>
      <c r="F318" s="8"/>
      <c r="G318" s="8"/>
      <c r="H318" s="8"/>
      <c r="I318" s="8"/>
      <c r="J318" s="30" t="str">
        <f t="shared" si="78"/>
        <v/>
      </c>
      <c r="K318" s="30" t="str">
        <f t="shared" si="79"/>
        <v/>
      </c>
      <c r="L318" s="30" t="str">
        <f t="shared" si="80"/>
        <v/>
      </c>
      <c r="M318" s="30" t="str">
        <f t="shared" si="81"/>
        <v/>
      </c>
      <c r="N318" s="30" t="str">
        <f t="shared" si="7"/>
        <v/>
      </c>
      <c r="O318" s="8"/>
      <c r="P318" s="8"/>
      <c r="Q318" s="8"/>
      <c r="R318" s="8"/>
      <c r="S318" s="8"/>
      <c r="T318" s="8"/>
      <c r="U318" s="8"/>
      <c r="V318" s="8"/>
      <c r="W318" s="8"/>
      <c r="X318" s="8"/>
      <c r="Y318" s="8"/>
      <c r="Z318" s="8"/>
    </row>
    <row r="319">
      <c r="A319" s="8"/>
      <c r="B319" s="8"/>
      <c r="C319" s="8"/>
      <c r="D319" s="69"/>
      <c r="E319" s="25"/>
      <c r="F319" s="8"/>
      <c r="G319" s="8"/>
      <c r="H319" s="8"/>
      <c r="I319" s="8"/>
      <c r="J319" s="30" t="str">
        <f t="shared" si="78"/>
        <v/>
      </c>
      <c r="K319" s="30" t="str">
        <f t="shared" si="79"/>
        <v/>
      </c>
      <c r="L319" s="30" t="str">
        <f t="shared" si="80"/>
        <v/>
      </c>
      <c r="M319" s="30" t="str">
        <f t="shared" si="81"/>
        <v/>
      </c>
      <c r="N319" s="30" t="str">
        <f t="shared" si="7"/>
        <v/>
      </c>
      <c r="O319" s="8"/>
      <c r="P319" s="8"/>
      <c r="Q319" s="8"/>
      <c r="R319" s="8"/>
      <c r="S319" s="8"/>
      <c r="T319" s="8"/>
      <c r="U319" s="8"/>
      <c r="V319" s="8"/>
      <c r="W319" s="8"/>
      <c r="X319" s="8"/>
      <c r="Y319" s="8"/>
      <c r="Z319" s="8"/>
    </row>
    <row r="320">
      <c r="A320" s="8"/>
      <c r="B320" s="8"/>
      <c r="C320" s="8"/>
      <c r="D320" s="69"/>
      <c r="E320" s="25"/>
      <c r="F320" s="8"/>
      <c r="G320" s="8"/>
      <c r="H320" s="8"/>
      <c r="I320" s="8"/>
      <c r="J320" s="30" t="str">
        <f t="shared" si="78"/>
        <v/>
      </c>
      <c r="K320" s="30" t="str">
        <f t="shared" si="79"/>
        <v/>
      </c>
      <c r="L320" s="30" t="str">
        <f t="shared" si="80"/>
        <v/>
      </c>
      <c r="M320" s="30" t="str">
        <f t="shared" si="81"/>
        <v/>
      </c>
      <c r="N320" s="30" t="str">
        <f t="shared" si="7"/>
        <v/>
      </c>
      <c r="O320" s="8"/>
      <c r="P320" s="8"/>
      <c r="Q320" s="8"/>
      <c r="R320" s="8"/>
      <c r="S320" s="8"/>
      <c r="T320" s="8"/>
      <c r="U320" s="8"/>
      <c r="V320" s="8"/>
      <c r="W320" s="8"/>
      <c r="X320" s="8"/>
      <c r="Y320" s="8"/>
      <c r="Z320" s="8"/>
    </row>
    <row r="321">
      <c r="A321" s="8"/>
      <c r="B321" s="8"/>
      <c r="C321" s="8"/>
      <c r="D321" s="69"/>
      <c r="E321" s="25"/>
      <c r="F321" s="8"/>
      <c r="G321" s="8"/>
      <c r="H321" s="8"/>
      <c r="I321" s="8"/>
      <c r="J321" s="30" t="str">
        <f t="shared" si="78"/>
        <v/>
      </c>
      <c r="K321" s="30" t="str">
        <f t="shared" si="79"/>
        <v/>
      </c>
      <c r="L321" s="30" t="str">
        <f t="shared" si="80"/>
        <v/>
      </c>
      <c r="M321" s="30" t="str">
        <f t="shared" si="81"/>
        <v/>
      </c>
      <c r="N321" s="30" t="str">
        <f t="shared" si="7"/>
        <v/>
      </c>
      <c r="O321" s="8"/>
      <c r="P321" s="8"/>
      <c r="Q321" s="8"/>
      <c r="R321" s="8"/>
      <c r="S321" s="8"/>
      <c r="T321" s="8"/>
      <c r="U321" s="8"/>
      <c r="V321" s="8"/>
      <c r="W321" s="8"/>
      <c r="X321" s="8"/>
      <c r="Y321" s="8"/>
      <c r="Z321" s="8"/>
    </row>
    <row r="322">
      <c r="A322" s="8"/>
      <c r="B322" s="8"/>
      <c r="C322" s="8"/>
      <c r="D322" s="69"/>
      <c r="E322" s="25"/>
      <c r="F322" s="8"/>
      <c r="G322" s="8"/>
      <c r="H322" s="8"/>
      <c r="I322" s="8"/>
      <c r="J322" s="30" t="str">
        <f t="shared" si="78"/>
        <v/>
      </c>
      <c r="K322" s="30" t="str">
        <f t="shared" si="79"/>
        <v/>
      </c>
      <c r="L322" s="30" t="str">
        <f t="shared" si="80"/>
        <v/>
      </c>
      <c r="M322" s="30" t="str">
        <f t="shared" si="81"/>
        <v/>
      </c>
      <c r="N322" s="30" t="str">
        <f t="shared" si="7"/>
        <v/>
      </c>
      <c r="O322" s="8"/>
      <c r="P322" s="8"/>
      <c r="Q322" s="8"/>
      <c r="R322" s="8"/>
      <c r="S322" s="8"/>
      <c r="T322" s="8"/>
      <c r="U322" s="8"/>
      <c r="V322" s="8"/>
      <c r="W322" s="8"/>
      <c r="X322" s="8"/>
      <c r="Y322" s="8"/>
      <c r="Z322" s="8"/>
    </row>
    <row r="323">
      <c r="A323" s="8"/>
      <c r="B323" s="8"/>
      <c r="C323" s="8"/>
      <c r="D323" s="69"/>
      <c r="E323" s="25"/>
      <c r="F323" s="8"/>
      <c r="G323" s="8"/>
      <c r="H323" s="8"/>
      <c r="I323" s="8"/>
      <c r="J323" s="30" t="str">
        <f t="shared" si="78"/>
        <v/>
      </c>
      <c r="K323" s="30" t="str">
        <f t="shared" si="79"/>
        <v/>
      </c>
      <c r="L323" s="30" t="str">
        <f t="shared" si="80"/>
        <v/>
      </c>
      <c r="M323" s="30" t="str">
        <f t="shared" si="81"/>
        <v/>
      </c>
      <c r="N323" s="30" t="str">
        <f t="shared" si="7"/>
        <v/>
      </c>
      <c r="O323" s="8"/>
      <c r="P323" s="8"/>
      <c r="Q323" s="8"/>
      <c r="R323" s="8"/>
      <c r="S323" s="8"/>
      <c r="T323" s="8"/>
      <c r="U323" s="8"/>
      <c r="V323" s="8"/>
      <c r="W323" s="8"/>
      <c r="X323" s="8"/>
      <c r="Y323" s="8"/>
      <c r="Z323" s="8"/>
    </row>
    <row r="324">
      <c r="A324" s="8"/>
      <c r="B324" s="8"/>
      <c r="C324" s="8"/>
      <c r="D324" s="69"/>
      <c r="E324" s="25"/>
      <c r="F324" s="8"/>
      <c r="G324" s="8"/>
      <c r="H324" s="8"/>
      <c r="I324" s="8"/>
      <c r="J324" s="30" t="str">
        <f t="shared" si="78"/>
        <v/>
      </c>
      <c r="K324" s="30" t="str">
        <f t="shared" si="79"/>
        <v/>
      </c>
      <c r="L324" s="30" t="str">
        <f t="shared" si="80"/>
        <v/>
      </c>
      <c r="M324" s="30" t="str">
        <f t="shared" si="81"/>
        <v/>
      </c>
      <c r="N324" s="30" t="str">
        <f t="shared" si="7"/>
        <v/>
      </c>
      <c r="O324" s="8"/>
      <c r="P324" s="8"/>
      <c r="Q324" s="8"/>
      <c r="R324" s="8"/>
      <c r="S324" s="8"/>
      <c r="T324" s="8"/>
      <c r="U324" s="8"/>
      <c r="V324" s="8"/>
      <c r="W324" s="8"/>
      <c r="X324" s="8"/>
      <c r="Y324" s="8"/>
      <c r="Z324" s="8"/>
    </row>
    <row r="325">
      <c r="A325" s="8"/>
      <c r="B325" s="8"/>
      <c r="C325" s="8"/>
      <c r="D325" s="69"/>
      <c r="E325" s="25"/>
      <c r="F325" s="8"/>
      <c r="G325" s="8"/>
      <c r="H325" s="8"/>
      <c r="I325" s="8"/>
      <c r="J325" s="30" t="str">
        <f t="shared" si="78"/>
        <v/>
      </c>
      <c r="K325" s="30" t="str">
        <f t="shared" si="79"/>
        <v/>
      </c>
      <c r="L325" s="30" t="str">
        <f t="shared" si="80"/>
        <v/>
      </c>
      <c r="M325" s="30" t="str">
        <f t="shared" si="81"/>
        <v/>
      </c>
      <c r="N325" s="30" t="str">
        <f t="shared" si="7"/>
        <v/>
      </c>
      <c r="O325" s="8"/>
      <c r="P325" s="8"/>
      <c r="Q325" s="8"/>
      <c r="R325" s="8"/>
      <c r="S325" s="8"/>
      <c r="T325" s="8"/>
      <c r="U325" s="8"/>
      <c r="V325" s="8"/>
      <c r="W325" s="8"/>
      <c r="X325" s="8"/>
      <c r="Y325" s="8"/>
      <c r="Z325" s="8"/>
    </row>
    <row r="326">
      <c r="A326" s="8"/>
      <c r="B326" s="8"/>
      <c r="C326" s="8"/>
      <c r="D326" s="69"/>
      <c r="E326" s="25"/>
      <c r="F326" s="8"/>
      <c r="G326" s="8"/>
      <c r="H326" s="8"/>
      <c r="I326" s="8"/>
      <c r="J326" s="30" t="str">
        <f t="shared" si="78"/>
        <v/>
      </c>
      <c r="K326" s="30" t="str">
        <f t="shared" si="79"/>
        <v/>
      </c>
      <c r="L326" s="30" t="str">
        <f t="shared" si="80"/>
        <v/>
      </c>
      <c r="M326" s="30" t="str">
        <f t="shared" si="81"/>
        <v/>
      </c>
      <c r="N326" s="30" t="str">
        <f t="shared" si="7"/>
        <v/>
      </c>
      <c r="O326" s="8"/>
      <c r="P326" s="8"/>
      <c r="Q326" s="8"/>
      <c r="R326" s="8"/>
      <c r="S326" s="8"/>
      <c r="T326" s="8"/>
      <c r="U326" s="8"/>
      <c r="V326" s="8"/>
      <c r="W326" s="8"/>
      <c r="X326" s="8"/>
      <c r="Y326" s="8"/>
      <c r="Z326" s="8"/>
    </row>
    <row r="327">
      <c r="A327" s="8"/>
      <c r="B327" s="8"/>
      <c r="C327" s="8"/>
      <c r="D327" s="69"/>
      <c r="E327" s="25"/>
      <c r="F327" s="8"/>
      <c r="G327" s="8"/>
      <c r="H327" s="8"/>
      <c r="I327" s="8"/>
      <c r="J327" s="30" t="str">
        <f t="shared" si="78"/>
        <v/>
      </c>
      <c r="K327" s="30" t="str">
        <f t="shared" si="79"/>
        <v/>
      </c>
      <c r="L327" s="30" t="str">
        <f t="shared" si="80"/>
        <v/>
      </c>
      <c r="M327" s="30" t="str">
        <f t="shared" si="81"/>
        <v/>
      </c>
      <c r="N327" s="30" t="str">
        <f t="shared" si="7"/>
        <v/>
      </c>
      <c r="O327" s="8"/>
      <c r="P327" s="8"/>
      <c r="Q327" s="8"/>
      <c r="R327" s="8"/>
      <c r="S327" s="8"/>
      <c r="T327" s="8"/>
      <c r="U327" s="8"/>
      <c r="V327" s="8"/>
      <c r="W327" s="8"/>
      <c r="X327" s="8"/>
      <c r="Y327" s="8"/>
      <c r="Z327" s="8"/>
    </row>
    <row r="328">
      <c r="A328" s="8"/>
      <c r="B328" s="8"/>
      <c r="C328" s="8"/>
      <c r="D328" s="69"/>
      <c r="E328" s="25"/>
      <c r="F328" s="8"/>
      <c r="G328" s="8"/>
      <c r="H328" s="8"/>
      <c r="I328" s="8"/>
      <c r="J328" s="30" t="str">
        <f t="shared" si="78"/>
        <v/>
      </c>
      <c r="K328" s="30" t="str">
        <f t="shared" si="79"/>
        <v/>
      </c>
      <c r="L328" s="30" t="str">
        <f t="shared" si="80"/>
        <v/>
      </c>
      <c r="M328" s="30" t="str">
        <f t="shared" si="81"/>
        <v/>
      </c>
      <c r="N328" s="30" t="str">
        <f t="shared" si="7"/>
        <v/>
      </c>
      <c r="O328" s="8"/>
      <c r="P328" s="8"/>
      <c r="Q328" s="8"/>
      <c r="R328" s="8"/>
      <c r="S328" s="8"/>
      <c r="T328" s="8"/>
      <c r="U328" s="8"/>
      <c r="V328" s="8"/>
      <c r="W328" s="8"/>
      <c r="X328" s="8"/>
      <c r="Y328" s="8"/>
      <c r="Z328" s="8"/>
    </row>
    <row r="329">
      <c r="A329" s="8"/>
      <c r="B329" s="8"/>
      <c r="C329" s="8"/>
      <c r="D329" s="69"/>
      <c r="E329" s="25"/>
      <c r="F329" s="8"/>
      <c r="G329" s="8"/>
      <c r="H329" s="8"/>
      <c r="I329" s="8"/>
      <c r="J329" s="30" t="str">
        <f t="shared" si="78"/>
        <v/>
      </c>
      <c r="K329" s="30" t="str">
        <f t="shared" si="79"/>
        <v/>
      </c>
      <c r="L329" s="30" t="str">
        <f t="shared" si="80"/>
        <v/>
      </c>
      <c r="M329" s="30" t="str">
        <f t="shared" si="81"/>
        <v/>
      </c>
      <c r="N329" s="30" t="str">
        <f t="shared" si="7"/>
        <v/>
      </c>
      <c r="O329" s="8"/>
      <c r="P329" s="8"/>
      <c r="Q329" s="8"/>
      <c r="R329" s="8"/>
      <c r="S329" s="8"/>
      <c r="T329" s="8"/>
      <c r="U329" s="8"/>
      <c r="V329" s="8"/>
      <c r="W329" s="8"/>
      <c r="X329" s="8"/>
      <c r="Y329" s="8"/>
      <c r="Z329" s="8"/>
    </row>
    <row r="330">
      <c r="A330" s="8"/>
      <c r="B330" s="8"/>
      <c r="C330" s="8"/>
      <c r="D330" s="69"/>
      <c r="E330" s="25"/>
      <c r="F330" s="8"/>
      <c r="G330" s="8"/>
      <c r="H330" s="8"/>
      <c r="I330" s="8"/>
      <c r="J330" s="30" t="str">
        <f t="shared" si="78"/>
        <v/>
      </c>
      <c r="K330" s="30" t="str">
        <f t="shared" si="79"/>
        <v/>
      </c>
      <c r="L330" s="30" t="str">
        <f t="shared" si="80"/>
        <v/>
      </c>
      <c r="M330" s="30" t="str">
        <f t="shared" si="81"/>
        <v/>
      </c>
      <c r="N330" s="30" t="str">
        <f t="shared" si="7"/>
        <v/>
      </c>
      <c r="O330" s="8"/>
      <c r="P330" s="8"/>
      <c r="Q330" s="8"/>
      <c r="R330" s="8"/>
      <c r="S330" s="8"/>
      <c r="T330" s="8"/>
      <c r="U330" s="8"/>
      <c r="V330" s="8"/>
      <c r="W330" s="8"/>
      <c r="X330" s="8"/>
      <c r="Y330" s="8"/>
      <c r="Z330" s="8"/>
    </row>
    <row r="331">
      <c r="A331" s="8"/>
      <c r="B331" s="8"/>
      <c r="C331" s="8"/>
      <c r="D331" s="69"/>
      <c r="E331" s="25"/>
      <c r="F331" s="8"/>
      <c r="G331" s="8"/>
      <c r="H331" s="8"/>
      <c r="I331" s="8"/>
      <c r="J331" s="30" t="str">
        <f t="shared" si="78"/>
        <v/>
      </c>
      <c r="K331" s="30" t="str">
        <f t="shared" si="79"/>
        <v/>
      </c>
      <c r="L331" s="30" t="str">
        <f t="shared" si="80"/>
        <v/>
      </c>
      <c r="M331" s="30" t="str">
        <f t="shared" si="81"/>
        <v/>
      </c>
      <c r="N331" s="30" t="str">
        <f t="shared" si="7"/>
        <v/>
      </c>
      <c r="O331" s="8"/>
      <c r="P331" s="8"/>
      <c r="Q331" s="8"/>
      <c r="R331" s="8"/>
      <c r="S331" s="8"/>
      <c r="T331" s="8"/>
      <c r="U331" s="8"/>
      <c r="V331" s="8"/>
      <c r="W331" s="8"/>
      <c r="X331" s="8"/>
      <c r="Y331" s="8"/>
      <c r="Z331" s="8"/>
    </row>
    <row r="332">
      <c r="A332" s="8"/>
      <c r="B332" s="8"/>
      <c r="C332" s="8"/>
      <c r="D332" s="69"/>
      <c r="E332" s="25"/>
      <c r="F332" s="8"/>
      <c r="G332" s="8"/>
      <c r="H332" s="8"/>
      <c r="I332" s="8"/>
      <c r="J332" s="30" t="str">
        <f t="shared" si="78"/>
        <v/>
      </c>
      <c r="K332" s="30" t="str">
        <f t="shared" si="79"/>
        <v/>
      </c>
      <c r="L332" s="30" t="str">
        <f t="shared" si="80"/>
        <v/>
      </c>
      <c r="M332" s="30" t="str">
        <f t="shared" si="81"/>
        <v/>
      </c>
      <c r="N332" s="30" t="str">
        <f t="shared" si="7"/>
        <v/>
      </c>
      <c r="O332" s="8"/>
      <c r="P332" s="8"/>
      <c r="Q332" s="8"/>
      <c r="R332" s="8"/>
      <c r="S332" s="8"/>
      <c r="T332" s="8"/>
      <c r="U332" s="8"/>
      <c r="V332" s="8"/>
      <c r="W332" s="8"/>
      <c r="X332" s="8"/>
      <c r="Y332" s="8"/>
      <c r="Z332" s="8"/>
    </row>
    <row r="333">
      <c r="A333" s="8"/>
      <c r="B333" s="8"/>
      <c r="C333" s="8"/>
      <c r="D333" s="69"/>
      <c r="E333" s="25"/>
      <c r="F333" s="8"/>
      <c r="G333" s="8"/>
      <c r="H333" s="8"/>
      <c r="I333" s="8"/>
      <c r="J333" s="30" t="str">
        <f t="shared" si="78"/>
        <v/>
      </c>
      <c r="K333" s="30" t="str">
        <f t="shared" si="79"/>
        <v/>
      </c>
      <c r="L333" s="30" t="str">
        <f t="shared" si="80"/>
        <v/>
      </c>
      <c r="M333" s="30" t="str">
        <f t="shared" si="81"/>
        <v/>
      </c>
      <c r="N333" s="30" t="str">
        <f t="shared" si="7"/>
        <v/>
      </c>
      <c r="O333" s="8"/>
      <c r="P333" s="8"/>
      <c r="Q333" s="8"/>
      <c r="R333" s="8"/>
      <c r="S333" s="8"/>
      <c r="T333" s="8"/>
      <c r="U333" s="8"/>
      <c r="V333" s="8"/>
      <c r="W333" s="8"/>
      <c r="X333" s="8"/>
      <c r="Y333" s="8"/>
      <c r="Z333" s="8"/>
    </row>
    <row r="334">
      <c r="A334" s="8"/>
      <c r="B334" s="8"/>
      <c r="C334" s="8"/>
      <c r="D334" s="69"/>
      <c r="E334" s="25"/>
      <c r="F334" s="8"/>
      <c r="G334" s="8"/>
      <c r="H334" s="8"/>
      <c r="I334" s="8"/>
      <c r="J334" s="30" t="str">
        <f t="shared" si="78"/>
        <v/>
      </c>
      <c r="K334" s="30" t="str">
        <f t="shared" si="79"/>
        <v/>
      </c>
      <c r="L334" s="30" t="str">
        <f t="shared" si="80"/>
        <v/>
      </c>
      <c r="M334" s="30" t="str">
        <f t="shared" si="81"/>
        <v/>
      </c>
      <c r="N334" s="30" t="str">
        <f t="shared" si="7"/>
        <v/>
      </c>
      <c r="O334" s="8"/>
      <c r="P334" s="8"/>
      <c r="Q334" s="8"/>
      <c r="R334" s="8"/>
      <c r="S334" s="8"/>
      <c r="T334" s="8"/>
      <c r="U334" s="8"/>
      <c r="V334" s="8"/>
      <c r="W334" s="8"/>
      <c r="X334" s="8"/>
      <c r="Y334" s="8"/>
      <c r="Z334" s="8"/>
    </row>
    <row r="335">
      <c r="A335" s="8"/>
      <c r="B335" s="8"/>
      <c r="C335" s="8"/>
      <c r="D335" s="69"/>
      <c r="E335" s="25"/>
      <c r="F335" s="8"/>
      <c r="G335" s="8"/>
      <c r="H335" s="8"/>
      <c r="I335" s="8"/>
      <c r="J335" s="30" t="str">
        <f t="shared" si="78"/>
        <v/>
      </c>
      <c r="K335" s="30" t="str">
        <f t="shared" si="79"/>
        <v/>
      </c>
      <c r="L335" s="30" t="str">
        <f t="shared" si="80"/>
        <v/>
      </c>
      <c r="M335" s="30" t="str">
        <f t="shared" si="81"/>
        <v/>
      </c>
      <c r="N335" s="30" t="str">
        <f t="shared" si="7"/>
        <v/>
      </c>
      <c r="O335" s="8"/>
      <c r="P335" s="8"/>
      <c r="Q335" s="8"/>
      <c r="R335" s="8"/>
      <c r="S335" s="8"/>
      <c r="T335" s="8"/>
      <c r="U335" s="8"/>
      <c r="V335" s="8"/>
      <c r="W335" s="8"/>
      <c r="X335" s="8"/>
      <c r="Y335" s="8"/>
      <c r="Z335" s="8"/>
    </row>
    <row r="336">
      <c r="A336" s="8"/>
      <c r="B336" s="8"/>
      <c r="C336" s="8"/>
      <c r="D336" s="69"/>
      <c r="E336" s="25"/>
      <c r="F336" s="8"/>
      <c r="G336" s="8"/>
      <c r="H336" s="8"/>
      <c r="I336" s="8"/>
      <c r="J336" s="30" t="str">
        <f t="shared" si="78"/>
        <v/>
      </c>
      <c r="K336" s="30" t="str">
        <f t="shared" si="79"/>
        <v/>
      </c>
      <c r="L336" s="30" t="str">
        <f t="shared" si="80"/>
        <v/>
      </c>
      <c r="M336" s="30" t="str">
        <f t="shared" si="81"/>
        <v/>
      </c>
      <c r="N336" s="30" t="str">
        <f t="shared" si="7"/>
        <v/>
      </c>
      <c r="O336" s="8"/>
      <c r="P336" s="8"/>
      <c r="Q336" s="8"/>
      <c r="R336" s="8"/>
      <c r="S336" s="8"/>
      <c r="T336" s="8"/>
      <c r="U336" s="8"/>
      <c r="V336" s="8"/>
      <c r="W336" s="8"/>
      <c r="X336" s="8"/>
      <c r="Y336" s="8"/>
      <c r="Z336" s="8"/>
    </row>
    <row r="337">
      <c r="A337" s="8"/>
      <c r="B337" s="8"/>
      <c r="C337" s="8"/>
      <c r="D337" s="69"/>
      <c r="E337" s="25"/>
      <c r="F337" s="8"/>
      <c r="G337" s="8"/>
      <c r="H337" s="8"/>
      <c r="I337" s="8"/>
      <c r="J337" s="30" t="str">
        <f t="shared" si="78"/>
        <v/>
      </c>
      <c r="K337" s="30" t="str">
        <f t="shared" si="79"/>
        <v/>
      </c>
      <c r="L337" s="30" t="str">
        <f t="shared" si="80"/>
        <v/>
      </c>
      <c r="M337" s="30" t="str">
        <f t="shared" si="81"/>
        <v/>
      </c>
      <c r="N337" s="30" t="str">
        <f t="shared" si="7"/>
        <v/>
      </c>
      <c r="O337" s="8"/>
      <c r="P337" s="8"/>
      <c r="Q337" s="8"/>
      <c r="R337" s="8"/>
      <c r="S337" s="8"/>
      <c r="T337" s="8"/>
      <c r="U337" s="8"/>
      <c r="V337" s="8"/>
      <c r="W337" s="8"/>
      <c r="X337" s="8"/>
      <c r="Y337" s="8"/>
      <c r="Z337" s="8"/>
    </row>
    <row r="338">
      <c r="A338" s="8"/>
      <c r="B338" s="8"/>
      <c r="C338" s="8"/>
      <c r="D338" s="69"/>
      <c r="E338" s="25"/>
      <c r="F338" s="8"/>
      <c r="G338" s="8"/>
      <c r="H338" s="8"/>
      <c r="I338" s="8"/>
      <c r="J338" s="30" t="str">
        <f t="shared" si="78"/>
        <v/>
      </c>
      <c r="K338" s="30" t="str">
        <f t="shared" si="79"/>
        <v/>
      </c>
      <c r="L338" s="30" t="str">
        <f t="shared" si="80"/>
        <v/>
      </c>
      <c r="M338" s="30" t="str">
        <f t="shared" si="81"/>
        <v/>
      </c>
      <c r="N338" s="30" t="str">
        <f t="shared" si="7"/>
        <v/>
      </c>
      <c r="O338" s="8"/>
      <c r="P338" s="8"/>
      <c r="Q338" s="8"/>
      <c r="R338" s="8"/>
      <c r="S338" s="8"/>
      <c r="T338" s="8"/>
      <c r="U338" s="8"/>
      <c r="V338" s="8"/>
      <c r="W338" s="8"/>
      <c r="X338" s="8"/>
      <c r="Y338" s="8"/>
      <c r="Z338" s="8"/>
    </row>
    <row r="339">
      <c r="A339" s="8"/>
      <c r="B339" s="8"/>
      <c r="C339" s="8"/>
      <c r="D339" s="69"/>
      <c r="E339" s="25"/>
      <c r="F339" s="8"/>
      <c r="G339" s="8"/>
      <c r="H339" s="8"/>
      <c r="I339" s="8"/>
      <c r="J339" s="30" t="str">
        <f t="shared" si="78"/>
        <v/>
      </c>
      <c r="K339" s="30" t="str">
        <f t="shared" si="79"/>
        <v/>
      </c>
      <c r="L339" s="30" t="str">
        <f t="shared" si="80"/>
        <v/>
      </c>
      <c r="M339" s="30" t="str">
        <f t="shared" si="81"/>
        <v/>
      </c>
      <c r="N339" s="30" t="str">
        <f t="shared" si="7"/>
        <v/>
      </c>
      <c r="O339" s="8"/>
      <c r="P339" s="8"/>
      <c r="Q339" s="8"/>
      <c r="R339" s="8"/>
      <c r="S339" s="8"/>
      <c r="T339" s="8"/>
      <c r="U339" s="8"/>
      <c r="V339" s="8"/>
      <c r="W339" s="8"/>
      <c r="X339" s="8"/>
      <c r="Y339" s="8"/>
      <c r="Z339" s="8"/>
    </row>
    <row r="340">
      <c r="A340" s="8"/>
      <c r="B340" s="8"/>
      <c r="C340" s="8"/>
      <c r="D340" s="69"/>
      <c r="E340" s="25"/>
      <c r="F340" s="8"/>
      <c r="G340" s="8"/>
      <c r="H340" s="8"/>
      <c r="I340" s="8"/>
      <c r="J340" s="30" t="str">
        <f t="shared" si="78"/>
        <v/>
      </c>
      <c r="K340" s="30" t="str">
        <f t="shared" si="79"/>
        <v/>
      </c>
      <c r="L340" s="30" t="str">
        <f t="shared" si="80"/>
        <v/>
      </c>
      <c r="M340" s="30" t="str">
        <f t="shared" si="81"/>
        <v/>
      </c>
      <c r="N340" s="30" t="str">
        <f t="shared" si="7"/>
        <v/>
      </c>
      <c r="O340" s="8"/>
      <c r="P340" s="8"/>
      <c r="Q340" s="8"/>
      <c r="R340" s="8"/>
      <c r="S340" s="8"/>
      <c r="T340" s="8"/>
      <c r="U340" s="8"/>
      <c r="V340" s="8"/>
      <c r="W340" s="8"/>
      <c r="X340" s="8"/>
      <c r="Y340" s="8"/>
      <c r="Z340" s="8"/>
    </row>
    <row r="341">
      <c r="A341" s="8"/>
      <c r="B341" s="8"/>
      <c r="C341" s="8"/>
      <c r="D341" s="69"/>
      <c r="E341" s="25"/>
      <c r="F341" s="8"/>
      <c r="G341" s="8"/>
      <c r="H341" s="8"/>
      <c r="I341" s="8"/>
      <c r="J341" s="30" t="str">
        <f t="shared" si="78"/>
        <v/>
      </c>
      <c r="K341" s="30" t="str">
        <f t="shared" si="79"/>
        <v/>
      </c>
      <c r="L341" s="30" t="str">
        <f t="shared" si="80"/>
        <v/>
      </c>
      <c r="M341" s="30" t="str">
        <f t="shared" si="81"/>
        <v/>
      </c>
      <c r="N341" s="30" t="str">
        <f t="shared" si="7"/>
        <v/>
      </c>
      <c r="O341" s="8"/>
      <c r="P341" s="8"/>
      <c r="Q341" s="8"/>
      <c r="R341" s="8"/>
      <c r="S341" s="8"/>
      <c r="T341" s="8"/>
      <c r="U341" s="8"/>
      <c r="V341" s="8"/>
      <c r="W341" s="8"/>
      <c r="X341" s="8"/>
      <c r="Y341" s="8"/>
      <c r="Z341" s="8"/>
    </row>
    <row r="342">
      <c r="A342" s="8"/>
      <c r="B342" s="8"/>
      <c r="C342" s="8"/>
      <c r="D342" s="69"/>
      <c r="E342" s="25"/>
      <c r="F342" s="8"/>
      <c r="G342" s="8"/>
      <c r="H342" s="8"/>
      <c r="I342" s="8"/>
      <c r="J342" s="30" t="str">
        <f t="shared" si="78"/>
        <v/>
      </c>
      <c r="K342" s="30" t="str">
        <f t="shared" si="79"/>
        <v/>
      </c>
      <c r="L342" s="30" t="str">
        <f t="shared" si="80"/>
        <v/>
      </c>
      <c r="M342" s="30" t="str">
        <f t="shared" si="81"/>
        <v/>
      </c>
      <c r="N342" s="30" t="str">
        <f t="shared" si="7"/>
        <v/>
      </c>
      <c r="O342" s="8"/>
      <c r="P342" s="8"/>
      <c r="Q342" s="8"/>
      <c r="R342" s="8"/>
      <c r="S342" s="8"/>
      <c r="T342" s="8"/>
      <c r="U342" s="8"/>
      <c r="V342" s="8"/>
      <c r="W342" s="8"/>
      <c r="X342" s="8"/>
      <c r="Y342" s="8"/>
      <c r="Z342" s="8"/>
    </row>
    <row r="343">
      <c r="A343" s="8"/>
      <c r="B343" s="8"/>
      <c r="C343" s="8"/>
      <c r="D343" s="69"/>
      <c r="E343" s="25"/>
      <c r="F343" s="8"/>
      <c r="G343" s="8"/>
      <c r="H343" s="8"/>
      <c r="I343" s="8"/>
      <c r="J343" s="30" t="str">
        <f t="shared" si="78"/>
        <v/>
      </c>
      <c r="K343" s="30" t="str">
        <f t="shared" si="79"/>
        <v/>
      </c>
      <c r="L343" s="30" t="str">
        <f t="shared" si="80"/>
        <v/>
      </c>
      <c r="M343" s="30" t="str">
        <f t="shared" si="81"/>
        <v/>
      </c>
      <c r="N343" s="30" t="str">
        <f t="shared" si="7"/>
        <v/>
      </c>
      <c r="O343" s="8"/>
      <c r="P343" s="8"/>
      <c r="Q343" s="8"/>
      <c r="R343" s="8"/>
      <c r="S343" s="8"/>
      <c r="T343" s="8"/>
      <c r="U343" s="8"/>
      <c r="V343" s="8"/>
      <c r="W343" s="8"/>
      <c r="X343" s="8"/>
      <c r="Y343" s="8"/>
      <c r="Z343" s="8"/>
    </row>
    <row r="344">
      <c r="A344" s="8"/>
      <c r="B344" s="8"/>
      <c r="C344" s="8"/>
      <c r="D344" s="69"/>
      <c r="E344" s="25"/>
      <c r="F344" s="8"/>
      <c r="G344" s="8"/>
      <c r="H344" s="8"/>
      <c r="I344" s="8"/>
      <c r="J344" s="30" t="str">
        <f t="shared" si="78"/>
        <v/>
      </c>
      <c r="K344" s="30" t="str">
        <f t="shared" si="79"/>
        <v/>
      </c>
      <c r="L344" s="30" t="str">
        <f t="shared" si="80"/>
        <v/>
      </c>
      <c r="M344" s="30" t="str">
        <f t="shared" si="81"/>
        <v/>
      </c>
      <c r="N344" s="30" t="str">
        <f t="shared" si="7"/>
        <v/>
      </c>
      <c r="O344" s="8"/>
      <c r="P344" s="8"/>
      <c r="Q344" s="8"/>
      <c r="R344" s="8"/>
      <c r="S344" s="8"/>
      <c r="T344" s="8"/>
      <c r="U344" s="8"/>
      <c r="V344" s="8"/>
      <c r="W344" s="8"/>
      <c r="X344" s="8"/>
      <c r="Y344" s="8"/>
      <c r="Z344" s="8"/>
    </row>
    <row r="345">
      <c r="A345" s="8"/>
      <c r="B345" s="8"/>
      <c r="C345" s="8"/>
      <c r="D345" s="69"/>
      <c r="E345" s="25"/>
      <c r="F345" s="8"/>
      <c r="G345" s="8"/>
      <c r="H345" s="8"/>
      <c r="I345" s="8"/>
      <c r="J345" s="30" t="str">
        <f t="shared" si="78"/>
        <v/>
      </c>
      <c r="K345" s="30" t="str">
        <f t="shared" si="79"/>
        <v/>
      </c>
      <c r="L345" s="30" t="str">
        <f t="shared" si="80"/>
        <v/>
      </c>
      <c r="M345" s="30" t="str">
        <f t="shared" si="81"/>
        <v/>
      </c>
      <c r="N345" s="30" t="str">
        <f t="shared" si="7"/>
        <v/>
      </c>
      <c r="O345" s="8"/>
      <c r="P345" s="8"/>
      <c r="Q345" s="8"/>
      <c r="R345" s="8"/>
      <c r="S345" s="8"/>
      <c r="T345" s="8"/>
      <c r="U345" s="8"/>
      <c r="V345" s="8"/>
      <c r="W345" s="8"/>
      <c r="X345" s="8"/>
      <c r="Y345" s="8"/>
      <c r="Z345" s="8"/>
    </row>
    <row r="346">
      <c r="A346" s="8"/>
      <c r="B346" s="8"/>
      <c r="C346" s="8"/>
      <c r="D346" s="69"/>
      <c r="E346" s="25"/>
      <c r="F346" s="8"/>
      <c r="G346" s="8"/>
      <c r="H346" s="8"/>
      <c r="I346" s="8"/>
      <c r="J346" s="30" t="str">
        <f t="shared" si="78"/>
        <v/>
      </c>
      <c r="K346" s="30" t="str">
        <f t="shared" si="79"/>
        <v/>
      </c>
      <c r="L346" s="30" t="str">
        <f t="shared" si="80"/>
        <v/>
      </c>
      <c r="M346" s="30" t="str">
        <f t="shared" si="81"/>
        <v/>
      </c>
      <c r="N346" s="30" t="str">
        <f t="shared" si="7"/>
        <v/>
      </c>
      <c r="O346" s="8"/>
      <c r="P346" s="8"/>
      <c r="Q346" s="8"/>
      <c r="R346" s="8"/>
      <c r="S346" s="8"/>
      <c r="T346" s="8"/>
      <c r="U346" s="8"/>
      <c r="V346" s="8"/>
      <c r="W346" s="8"/>
      <c r="X346" s="8"/>
      <c r="Y346" s="8"/>
      <c r="Z346" s="8"/>
    </row>
    <row r="347">
      <c r="A347" s="8"/>
      <c r="B347" s="8"/>
      <c r="C347" s="8"/>
      <c r="D347" s="69"/>
      <c r="E347" s="25"/>
      <c r="F347" s="8"/>
      <c r="G347" s="8"/>
      <c r="H347" s="8"/>
      <c r="I347" s="8"/>
      <c r="J347" s="30" t="str">
        <f t="shared" si="78"/>
        <v/>
      </c>
      <c r="K347" s="30" t="str">
        <f t="shared" si="79"/>
        <v/>
      </c>
      <c r="L347" s="30" t="str">
        <f t="shared" si="80"/>
        <v/>
      </c>
      <c r="M347" s="30" t="str">
        <f t="shared" si="81"/>
        <v/>
      </c>
      <c r="N347" s="30" t="str">
        <f t="shared" si="7"/>
        <v/>
      </c>
      <c r="O347" s="8"/>
      <c r="P347" s="8"/>
      <c r="Q347" s="8"/>
      <c r="R347" s="8"/>
      <c r="S347" s="8"/>
      <c r="T347" s="8"/>
      <c r="U347" s="8"/>
      <c r="V347" s="8"/>
      <c r="W347" s="8"/>
      <c r="X347" s="8"/>
      <c r="Y347" s="8"/>
      <c r="Z347" s="8"/>
    </row>
    <row r="348">
      <c r="A348" s="8"/>
      <c r="B348" s="8"/>
      <c r="C348" s="8"/>
      <c r="D348" s="69"/>
      <c r="E348" s="25"/>
      <c r="F348" s="8"/>
      <c r="G348" s="8"/>
      <c r="H348" s="8"/>
      <c r="I348" s="8"/>
      <c r="J348" s="30" t="str">
        <f t="shared" si="78"/>
        <v/>
      </c>
      <c r="K348" s="30" t="str">
        <f t="shared" si="79"/>
        <v/>
      </c>
      <c r="L348" s="30" t="str">
        <f t="shared" si="80"/>
        <v/>
      </c>
      <c r="M348" s="30" t="str">
        <f t="shared" si="81"/>
        <v/>
      </c>
      <c r="N348" s="30" t="str">
        <f t="shared" si="7"/>
        <v/>
      </c>
      <c r="O348" s="8"/>
      <c r="P348" s="8"/>
      <c r="Q348" s="8"/>
      <c r="R348" s="8"/>
      <c r="S348" s="8"/>
      <c r="T348" s="8"/>
      <c r="U348" s="8"/>
      <c r="V348" s="8"/>
      <c r="W348" s="8"/>
      <c r="X348" s="8"/>
      <c r="Y348" s="8"/>
      <c r="Z348" s="8"/>
    </row>
    <row r="349">
      <c r="A349" s="8"/>
      <c r="B349" s="8"/>
      <c r="C349" s="8"/>
      <c r="D349" s="69"/>
      <c r="E349" s="25"/>
      <c r="F349" s="8"/>
      <c r="G349" s="8"/>
      <c r="H349" s="8"/>
      <c r="I349" s="8"/>
      <c r="J349" s="30" t="str">
        <f t="shared" si="78"/>
        <v/>
      </c>
      <c r="K349" s="30" t="str">
        <f t="shared" si="79"/>
        <v/>
      </c>
      <c r="L349" s="30" t="str">
        <f t="shared" si="80"/>
        <v/>
      </c>
      <c r="M349" s="30" t="str">
        <f t="shared" si="81"/>
        <v/>
      </c>
      <c r="N349" s="30" t="str">
        <f t="shared" si="7"/>
        <v/>
      </c>
      <c r="O349" s="8"/>
      <c r="P349" s="8"/>
      <c r="Q349" s="8"/>
      <c r="R349" s="8"/>
      <c r="S349" s="8"/>
      <c r="T349" s="8"/>
      <c r="U349" s="8"/>
      <c r="V349" s="8"/>
      <c r="W349" s="8"/>
      <c r="X349" s="8"/>
      <c r="Y349" s="8"/>
      <c r="Z349" s="8"/>
    </row>
    <row r="350">
      <c r="A350" s="8"/>
      <c r="B350" s="8"/>
      <c r="C350" s="8"/>
      <c r="D350" s="69"/>
      <c r="E350" s="25"/>
      <c r="F350" s="8"/>
      <c r="G350" s="8"/>
      <c r="H350" s="8"/>
      <c r="I350" s="8"/>
      <c r="J350" s="30" t="str">
        <f t="shared" si="78"/>
        <v/>
      </c>
      <c r="K350" s="30" t="str">
        <f t="shared" si="79"/>
        <v/>
      </c>
      <c r="L350" s="30" t="str">
        <f t="shared" si="80"/>
        <v/>
      </c>
      <c r="M350" s="30" t="str">
        <f t="shared" si="81"/>
        <v/>
      </c>
      <c r="N350" s="30" t="str">
        <f t="shared" si="7"/>
        <v/>
      </c>
      <c r="O350" s="8"/>
      <c r="P350" s="8"/>
      <c r="Q350" s="8"/>
      <c r="R350" s="8"/>
      <c r="S350" s="8"/>
      <c r="T350" s="8"/>
      <c r="U350" s="8"/>
      <c r="V350" s="8"/>
      <c r="W350" s="8"/>
      <c r="X350" s="8"/>
      <c r="Y350" s="8"/>
      <c r="Z350" s="8"/>
    </row>
    <row r="351">
      <c r="A351" s="8"/>
      <c r="B351" s="8"/>
      <c r="C351" s="8"/>
      <c r="D351" s="69"/>
      <c r="E351" s="25"/>
      <c r="F351" s="8"/>
      <c r="G351" s="8"/>
      <c r="H351" s="8"/>
      <c r="I351" s="8"/>
      <c r="J351" s="30" t="str">
        <f t="shared" si="78"/>
        <v/>
      </c>
      <c r="K351" s="30" t="str">
        <f t="shared" si="79"/>
        <v/>
      </c>
      <c r="L351" s="30" t="str">
        <f t="shared" si="80"/>
        <v/>
      </c>
      <c r="M351" s="30" t="str">
        <f t="shared" si="81"/>
        <v/>
      </c>
      <c r="N351" s="30" t="str">
        <f t="shared" si="7"/>
        <v/>
      </c>
      <c r="O351" s="8"/>
      <c r="P351" s="8"/>
      <c r="Q351" s="8"/>
      <c r="R351" s="8"/>
      <c r="S351" s="8"/>
      <c r="T351" s="8"/>
      <c r="U351" s="8"/>
      <c r="V351" s="8"/>
      <c r="W351" s="8"/>
      <c r="X351" s="8"/>
      <c r="Y351" s="8"/>
      <c r="Z351" s="8"/>
    </row>
    <row r="352">
      <c r="A352" s="8"/>
      <c r="B352" s="8"/>
      <c r="C352" s="8"/>
      <c r="D352" s="69"/>
      <c r="E352" s="25"/>
      <c r="F352" s="8"/>
      <c r="G352" s="8"/>
      <c r="H352" s="8"/>
      <c r="I352" s="8"/>
      <c r="J352" s="30" t="str">
        <f t="shared" si="78"/>
        <v/>
      </c>
      <c r="K352" s="30" t="str">
        <f t="shared" si="79"/>
        <v/>
      </c>
      <c r="L352" s="30" t="str">
        <f t="shared" si="80"/>
        <v/>
      </c>
      <c r="M352" s="30" t="str">
        <f t="shared" si="81"/>
        <v/>
      </c>
      <c r="N352" s="30" t="str">
        <f t="shared" si="7"/>
        <v/>
      </c>
      <c r="O352" s="8"/>
      <c r="P352" s="8"/>
      <c r="Q352" s="8"/>
      <c r="R352" s="8"/>
      <c r="S352" s="8"/>
      <c r="T352" s="8"/>
      <c r="U352" s="8"/>
      <c r="V352" s="8"/>
      <c r="W352" s="8"/>
      <c r="X352" s="8"/>
      <c r="Y352" s="8"/>
      <c r="Z352" s="8"/>
    </row>
    <row r="353">
      <c r="A353" s="8"/>
      <c r="B353" s="8"/>
      <c r="C353" s="8"/>
      <c r="D353" s="69"/>
      <c r="E353" s="25"/>
      <c r="F353" s="8"/>
      <c r="G353" s="8"/>
      <c r="H353" s="8"/>
      <c r="I353" s="8"/>
      <c r="J353" s="30" t="str">
        <f t="shared" si="78"/>
        <v/>
      </c>
      <c r="K353" s="30" t="str">
        <f t="shared" si="79"/>
        <v/>
      </c>
      <c r="L353" s="30" t="str">
        <f t="shared" si="80"/>
        <v/>
      </c>
      <c r="M353" s="30" t="str">
        <f t="shared" si="81"/>
        <v/>
      </c>
      <c r="N353" s="30" t="str">
        <f t="shared" si="7"/>
        <v/>
      </c>
      <c r="O353" s="8"/>
      <c r="P353" s="8"/>
      <c r="Q353" s="8"/>
      <c r="R353" s="8"/>
      <c r="S353" s="8"/>
      <c r="T353" s="8"/>
      <c r="U353" s="8"/>
      <c r="V353" s="8"/>
      <c r="W353" s="8"/>
      <c r="X353" s="8"/>
      <c r="Y353" s="8"/>
      <c r="Z353" s="8"/>
    </row>
    <row r="354">
      <c r="A354" s="8"/>
      <c r="B354" s="8"/>
      <c r="C354" s="8"/>
      <c r="D354" s="69"/>
      <c r="E354" s="25"/>
      <c r="F354" s="8"/>
      <c r="G354" s="8"/>
      <c r="H354" s="8"/>
      <c r="I354" s="8"/>
      <c r="J354" s="30" t="str">
        <f t="shared" si="78"/>
        <v/>
      </c>
      <c r="K354" s="30" t="str">
        <f t="shared" si="79"/>
        <v/>
      </c>
      <c r="L354" s="30" t="str">
        <f t="shared" si="80"/>
        <v/>
      </c>
      <c r="M354" s="30" t="str">
        <f t="shared" si="81"/>
        <v/>
      </c>
      <c r="N354" s="30" t="str">
        <f t="shared" si="7"/>
        <v/>
      </c>
      <c r="O354" s="8"/>
      <c r="P354" s="8"/>
      <c r="Q354" s="8"/>
      <c r="R354" s="8"/>
      <c r="S354" s="8"/>
      <c r="T354" s="8"/>
      <c r="U354" s="8"/>
      <c r="V354" s="8"/>
      <c r="W354" s="8"/>
      <c r="X354" s="8"/>
      <c r="Y354" s="8"/>
      <c r="Z354" s="8"/>
    </row>
    <row r="355">
      <c r="A355" s="8"/>
      <c r="B355" s="8"/>
      <c r="C355" s="8"/>
      <c r="D355" s="69"/>
      <c r="E355" s="25"/>
      <c r="F355" s="8"/>
      <c r="G355" s="8"/>
      <c r="H355" s="8"/>
      <c r="I355" s="8"/>
      <c r="J355" s="30" t="str">
        <f t="shared" si="78"/>
        <v/>
      </c>
      <c r="K355" s="30" t="str">
        <f t="shared" si="79"/>
        <v/>
      </c>
      <c r="L355" s="30" t="str">
        <f t="shared" si="80"/>
        <v/>
      </c>
      <c r="M355" s="30" t="str">
        <f t="shared" si="81"/>
        <v/>
      </c>
      <c r="N355" s="30" t="str">
        <f t="shared" si="7"/>
        <v/>
      </c>
      <c r="O355" s="8"/>
      <c r="P355" s="8"/>
      <c r="Q355" s="8"/>
      <c r="R355" s="8"/>
      <c r="S355" s="8"/>
      <c r="T355" s="8"/>
      <c r="U355" s="8"/>
      <c r="V355" s="8"/>
      <c r="W355" s="8"/>
      <c r="X355" s="8"/>
      <c r="Y355" s="8"/>
      <c r="Z355" s="8"/>
    </row>
    <row r="356">
      <c r="A356" s="8"/>
      <c r="B356" s="8"/>
      <c r="C356" s="8"/>
      <c r="D356" s="69"/>
      <c r="E356" s="25"/>
      <c r="F356" s="8"/>
      <c r="G356" s="8"/>
      <c r="H356" s="8"/>
      <c r="I356" s="8"/>
      <c r="J356" s="30" t="str">
        <f t="shared" si="78"/>
        <v/>
      </c>
      <c r="K356" s="30" t="str">
        <f t="shared" si="79"/>
        <v/>
      </c>
      <c r="L356" s="30" t="str">
        <f t="shared" si="80"/>
        <v/>
      </c>
      <c r="M356" s="30" t="str">
        <f t="shared" si="81"/>
        <v/>
      </c>
      <c r="N356" s="30" t="str">
        <f t="shared" si="7"/>
        <v/>
      </c>
      <c r="O356" s="8"/>
      <c r="P356" s="8"/>
      <c r="Q356" s="8"/>
      <c r="R356" s="8"/>
      <c r="S356" s="8"/>
      <c r="T356" s="8"/>
      <c r="U356" s="8"/>
      <c r="V356" s="8"/>
      <c r="W356" s="8"/>
      <c r="X356" s="8"/>
      <c r="Y356" s="8"/>
      <c r="Z356" s="8"/>
    </row>
    <row r="357">
      <c r="A357" s="8"/>
      <c r="B357" s="8"/>
      <c r="C357" s="8"/>
      <c r="D357" s="69"/>
      <c r="E357" s="25"/>
      <c r="F357" s="8"/>
      <c r="G357" s="8"/>
      <c r="H357" s="8"/>
      <c r="I357" s="8"/>
      <c r="J357" s="30" t="str">
        <f t="shared" si="78"/>
        <v/>
      </c>
      <c r="K357" s="30" t="str">
        <f t="shared" si="79"/>
        <v/>
      </c>
      <c r="L357" s="30" t="str">
        <f t="shared" si="80"/>
        <v/>
      </c>
      <c r="M357" s="30" t="str">
        <f t="shared" si="81"/>
        <v/>
      </c>
      <c r="N357" s="30" t="str">
        <f t="shared" si="7"/>
        <v/>
      </c>
      <c r="O357" s="8"/>
      <c r="P357" s="8"/>
      <c r="Q357" s="8"/>
      <c r="R357" s="8"/>
      <c r="S357" s="8"/>
      <c r="T357" s="8"/>
      <c r="U357" s="8"/>
      <c r="V357" s="8"/>
      <c r="W357" s="8"/>
      <c r="X357" s="8"/>
      <c r="Y357" s="8"/>
      <c r="Z357" s="8"/>
    </row>
    <row r="358">
      <c r="A358" s="8"/>
      <c r="B358" s="8"/>
      <c r="C358" s="8"/>
      <c r="D358" s="69"/>
      <c r="E358" s="25"/>
      <c r="F358" s="8"/>
      <c r="G358" s="8"/>
      <c r="H358" s="8"/>
      <c r="I358" s="8"/>
      <c r="J358" s="30" t="str">
        <f t="shared" si="78"/>
        <v/>
      </c>
      <c r="K358" s="30" t="str">
        <f t="shared" si="79"/>
        <v/>
      </c>
      <c r="L358" s="30" t="str">
        <f t="shared" si="80"/>
        <v/>
      </c>
      <c r="M358" s="30" t="str">
        <f t="shared" si="81"/>
        <v/>
      </c>
      <c r="N358" s="30" t="str">
        <f t="shared" si="7"/>
        <v/>
      </c>
      <c r="O358" s="8"/>
      <c r="P358" s="8"/>
      <c r="Q358" s="8"/>
      <c r="R358" s="8"/>
      <c r="S358" s="8"/>
      <c r="T358" s="8"/>
      <c r="U358" s="8"/>
      <c r="V358" s="8"/>
      <c r="W358" s="8"/>
      <c r="X358" s="8"/>
      <c r="Y358" s="8"/>
      <c r="Z358" s="8"/>
    </row>
    <row r="359">
      <c r="A359" s="8"/>
      <c r="B359" s="8"/>
      <c r="C359" s="8"/>
      <c r="D359" s="69"/>
      <c r="E359" s="25"/>
      <c r="F359" s="8"/>
      <c r="G359" s="8"/>
      <c r="H359" s="8"/>
      <c r="I359" s="8"/>
      <c r="J359" s="30" t="str">
        <f t="shared" si="78"/>
        <v/>
      </c>
      <c r="K359" s="30" t="str">
        <f t="shared" si="79"/>
        <v/>
      </c>
      <c r="L359" s="30" t="str">
        <f t="shared" si="80"/>
        <v/>
      </c>
      <c r="M359" s="30" t="str">
        <f t="shared" si="81"/>
        <v/>
      </c>
      <c r="N359" s="30" t="str">
        <f t="shared" si="7"/>
        <v/>
      </c>
      <c r="O359" s="8"/>
      <c r="P359" s="8"/>
      <c r="Q359" s="8"/>
      <c r="R359" s="8"/>
      <c r="S359" s="8"/>
      <c r="T359" s="8"/>
      <c r="U359" s="8"/>
      <c r="V359" s="8"/>
      <c r="W359" s="8"/>
      <c r="X359" s="8"/>
      <c r="Y359" s="8"/>
      <c r="Z359" s="8"/>
    </row>
    <row r="360">
      <c r="A360" s="8"/>
      <c r="B360" s="8"/>
      <c r="C360" s="8"/>
      <c r="D360" s="69"/>
      <c r="E360" s="25"/>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69"/>
      <c r="E361" s="25"/>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69"/>
      <c r="E362" s="25"/>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69"/>
      <c r="E363" s="25"/>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69"/>
      <c r="E364" s="25"/>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69"/>
      <c r="E365" s="25"/>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69"/>
      <c r="E366" s="25"/>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69"/>
      <c r="E367" s="25"/>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69"/>
      <c r="E368" s="25"/>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69"/>
      <c r="E369" s="25"/>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69"/>
      <c r="E370" s="25"/>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69"/>
      <c r="E371" s="25"/>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69"/>
      <c r="E372" s="25"/>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69"/>
      <c r="E373" s="25"/>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69"/>
      <c r="E374" s="25"/>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69"/>
      <c r="E375" s="25"/>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69"/>
      <c r="E376" s="25"/>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69"/>
      <c r="E377" s="25"/>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69"/>
      <c r="E378" s="25"/>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69"/>
      <c r="E379" s="25"/>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69"/>
      <c r="E380" s="25"/>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69"/>
      <c r="E381" s="25"/>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69"/>
      <c r="E382" s="25"/>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69"/>
      <c r="E383" s="25"/>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69"/>
      <c r="E384" s="25"/>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69"/>
      <c r="E385" s="25"/>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69"/>
      <c r="E386" s="25"/>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69"/>
      <c r="E387" s="25"/>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69"/>
      <c r="E388" s="25"/>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69"/>
      <c r="E389" s="25"/>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69"/>
      <c r="E390" s="25"/>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69"/>
      <c r="E391" s="25"/>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69"/>
      <c r="E392" s="25"/>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69"/>
      <c r="E393" s="25"/>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69"/>
      <c r="E394" s="25"/>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69"/>
      <c r="E395" s="25"/>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69"/>
      <c r="E396" s="25"/>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69"/>
      <c r="E397" s="25"/>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69"/>
      <c r="E398" s="25"/>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69"/>
      <c r="E399" s="25"/>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69"/>
      <c r="E400" s="25"/>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69"/>
      <c r="E401" s="25"/>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69"/>
      <c r="E402" s="25"/>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69"/>
      <c r="E403" s="25"/>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69"/>
      <c r="E404" s="25"/>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69"/>
      <c r="E405" s="25"/>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69"/>
      <c r="E406" s="25"/>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69"/>
      <c r="E407" s="25"/>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69"/>
      <c r="E408" s="25"/>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69"/>
      <c r="E409" s="25"/>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69"/>
      <c r="E410" s="25"/>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69"/>
      <c r="E411" s="25"/>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69"/>
      <c r="E412" s="25"/>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69"/>
      <c r="E413" s="25"/>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69"/>
      <c r="E414" s="25"/>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69"/>
      <c r="E415" s="25"/>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69"/>
      <c r="E416" s="25"/>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69"/>
      <c r="E417" s="25"/>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69"/>
      <c r="E418" s="25"/>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69"/>
      <c r="E419" s="25"/>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69"/>
      <c r="E420" s="25"/>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69"/>
      <c r="E421" s="25"/>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69"/>
      <c r="E422" s="25"/>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69"/>
      <c r="E423" s="25"/>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69"/>
      <c r="E424" s="25"/>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69"/>
      <c r="E425" s="25"/>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69"/>
      <c r="E426" s="25"/>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69"/>
      <c r="E427" s="25"/>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69"/>
      <c r="E428" s="25"/>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69"/>
      <c r="E429" s="25"/>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69"/>
      <c r="E430" s="25"/>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69"/>
      <c r="E431" s="25"/>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69"/>
      <c r="E432" s="25"/>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69"/>
      <c r="E433" s="25"/>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69"/>
      <c r="E434" s="25"/>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69"/>
      <c r="E435" s="25"/>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69"/>
      <c r="E436" s="25"/>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69"/>
      <c r="E437" s="25"/>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69"/>
      <c r="E438" s="25"/>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69"/>
      <c r="E439" s="25"/>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69"/>
      <c r="E440" s="25"/>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69"/>
      <c r="E441" s="25"/>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69"/>
      <c r="E442" s="25"/>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69"/>
      <c r="E443" s="25"/>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69"/>
      <c r="E444" s="25"/>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69"/>
      <c r="E445" s="25"/>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69"/>
      <c r="E446" s="25"/>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69"/>
      <c r="E447" s="25"/>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69"/>
      <c r="E448" s="25"/>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69"/>
      <c r="E449" s="25"/>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69"/>
      <c r="E450" s="25"/>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69"/>
      <c r="E451" s="25"/>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69"/>
      <c r="E452" s="25"/>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69"/>
      <c r="E453" s="25"/>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69"/>
      <c r="E454" s="25"/>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69"/>
      <c r="E455" s="25"/>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69"/>
      <c r="E456" s="25"/>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69"/>
      <c r="E457" s="25"/>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69"/>
      <c r="E458" s="25"/>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69"/>
      <c r="E459" s="25"/>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69"/>
      <c r="E460" s="25"/>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69"/>
      <c r="E461" s="25"/>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69"/>
      <c r="E462" s="25"/>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69"/>
      <c r="E463" s="25"/>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69"/>
      <c r="E464" s="25"/>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69"/>
      <c r="E465" s="25"/>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69"/>
      <c r="E466" s="25"/>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69"/>
      <c r="E467" s="25"/>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69"/>
      <c r="E468" s="25"/>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69"/>
      <c r="E469" s="25"/>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69"/>
      <c r="E470" s="25"/>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69"/>
      <c r="E471" s="25"/>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69"/>
      <c r="E472" s="25"/>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69"/>
      <c r="E473" s="25"/>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69"/>
      <c r="E474" s="25"/>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69"/>
      <c r="E475" s="25"/>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69"/>
      <c r="E476" s="25"/>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69"/>
      <c r="E477" s="25"/>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69"/>
      <c r="E478" s="25"/>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69"/>
      <c r="E479" s="25"/>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69"/>
      <c r="E480" s="25"/>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69"/>
      <c r="E481" s="25"/>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69"/>
      <c r="E482" s="25"/>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69"/>
      <c r="E483" s="25"/>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69"/>
      <c r="E484" s="25"/>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69"/>
      <c r="E485" s="25"/>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69"/>
      <c r="E486" s="25"/>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69"/>
      <c r="E487" s="25"/>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69"/>
      <c r="E488" s="25"/>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69"/>
      <c r="E489" s="25"/>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69"/>
      <c r="E490" s="25"/>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69"/>
      <c r="E491" s="25"/>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69"/>
      <c r="E492" s="25"/>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69"/>
      <c r="E493" s="25"/>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69"/>
      <c r="E494" s="25"/>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69"/>
      <c r="E495" s="25"/>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69"/>
      <c r="E496" s="25"/>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69"/>
      <c r="E497" s="25"/>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69"/>
      <c r="E498" s="25"/>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69"/>
      <c r="E499" s="25"/>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69"/>
      <c r="E500" s="25"/>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69"/>
      <c r="E501" s="25"/>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69"/>
      <c r="E502" s="25"/>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69"/>
      <c r="E503" s="25"/>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69"/>
      <c r="E504" s="25"/>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69"/>
      <c r="E505" s="25"/>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69"/>
      <c r="E506" s="25"/>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69"/>
      <c r="E507" s="25"/>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69"/>
      <c r="E508" s="25"/>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69"/>
      <c r="E509" s="25"/>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69"/>
      <c r="E510" s="25"/>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69"/>
      <c r="E511" s="25"/>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69"/>
      <c r="E512" s="25"/>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69"/>
      <c r="E513" s="25"/>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69"/>
      <c r="E514" s="25"/>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69"/>
      <c r="E515" s="25"/>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69"/>
      <c r="E516" s="25"/>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69"/>
      <c r="E517" s="25"/>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69"/>
      <c r="E518" s="25"/>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69"/>
      <c r="E519" s="25"/>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69"/>
      <c r="E520" s="25"/>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69"/>
      <c r="E521" s="25"/>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69"/>
      <c r="E522" s="25"/>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69"/>
      <c r="E523" s="25"/>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69"/>
      <c r="E524" s="25"/>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69"/>
      <c r="E525" s="25"/>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69"/>
      <c r="E526" s="25"/>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69"/>
      <c r="E527" s="25"/>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69"/>
      <c r="E528" s="25"/>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69"/>
      <c r="E529" s="25"/>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69"/>
      <c r="E530" s="25"/>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69"/>
      <c r="E531" s="25"/>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69"/>
      <c r="E532" s="25"/>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69"/>
      <c r="E533" s="25"/>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69"/>
      <c r="E534" s="25"/>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69"/>
      <c r="E535" s="25"/>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69"/>
      <c r="E536" s="25"/>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69"/>
      <c r="E537" s="25"/>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69"/>
      <c r="E538" s="25"/>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69"/>
      <c r="E539" s="25"/>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69"/>
      <c r="E540" s="25"/>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69"/>
      <c r="E541" s="25"/>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69"/>
      <c r="E542" s="25"/>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69"/>
      <c r="E543" s="25"/>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69"/>
      <c r="E544" s="25"/>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69"/>
      <c r="E545" s="25"/>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69"/>
      <c r="E546" s="25"/>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69"/>
      <c r="E547" s="25"/>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69"/>
      <c r="E548" s="25"/>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69"/>
      <c r="E549" s="25"/>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69"/>
      <c r="E550" s="25"/>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69"/>
      <c r="E551" s="25"/>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69"/>
      <c r="E552" s="25"/>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69"/>
      <c r="E553" s="25"/>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69"/>
      <c r="E554" s="25"/>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69"/>
      <c r="E555" s="25"/>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69"/>
      <c r="E556" s="25"/>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69"/>
      <c r="E557" s="25"/>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69"/>
      <c r="E558" s="25"/>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69"/>
      <c r="E559" s="25"/>
      <c r="F559" s="8"/>
      <c r="G559" s="8"/>
      <c r="H559" s="8"/>
      <c r="I559" s="8"/>
      <c r="J559" s="8"/>
      <c r="K559" s="8"/>
      <c r="L559" s="8"/>
      <c r="M559" s="8"/>
      <c r="N559" s="8"/>
      <c r="O559" s="8"/>
      <c r="P559" s="8"/>
      <c r="Q559" s="8"/>
      <c r="R559" s="8"/>
      <c r="S559" s="8"/>
      <c r="T559" s="8"/>
      <c r="U559" s="8"/>
      <c r="V559" s="8"/>
      <c r="W559" s="8"/>
      <c r="X559" s="8"/>
      <c r="Y559" s="8"/>
      <c r="Z559" s="8"/>
    </row>
    <row r="560">
      <c r="D560" s="74"/>
      <c r="E560" s="71"/>
    </row>
    <row r="561">
      <c r="D561" s="74"/>
      <c r="E561" s="71"/>
    </row>
    <row r="562">
      <c r="D562" s="74"/>
      <c r="E562" s="71"/>
    </row>
    <row r="563">
      <c r="D563" s="74"/>
      <c r="E563" s="71"/>
    </row>
    <row r="564">
      <c r="D564" s="74"/>
      <c r="E564" s="71"/>
    </row>
    <row r="565">
      <c r="D565" s="74"/>
      <c r="E565" s="71"/>
    </row>
    <row r="566">
      <c r="D566" s="74"/>
      <c r="E566" s="71"/>
    </row>
    <row r="567">
      <c r="D567" s="74"/>
      <c r="E567" s="71"/>
    </row>
    <row r="568">
      <c r="D568" s="74"/>
      <c r="E568" s="71"/>
    </row>
    <row r="569">
      <c r="D569" s="74"/>
      <c r="E569" s="71"/>
    </row>
    <row r="570">
      <c r="D570" s="74"/>
      <c r="E570" s="71"/>
    </row>
    <row r="571">
      <c r="D571" s="74"/>
      <c r="E571" s="71"/>
    </row>
    <row r="572">
      <c r="D572" s="74"/>
      <c r="E572" s="71"/>
    </row>
    <row r="573">
      <c r="D573" s="74"/>
      <c r="E573" s="71"/>
    </row>
    <row r="574">
      <c r="D574" s="74"/>
      <c r="E574" s="71"/>
    </row>
    <row r="575">
      <c r="D575" s="74"/>
      <c r="E575" s="71"/>
    </row>
    <row r="576">
      <c r="D576" s="74"/>
      <c r="E576" s="71"/>
    </row>
    <row r="577">
      <c r="D577" s="74"/>
      <c r="E577" s="71"/>
    </row>
    <row r="578">
      <c r="D578" s="74"/>
      <c r="E578" s="71"/>
    </row>
    <row r="579">
      <c r="D579" s="74"/>
      <c r="E579" s="71"/>
    </row>
    <row r="580">
      <c r="D580" s="74"/>
      <c r="E580" s="71"/>
    </row>
    <row r="581">
      <c r="D581" s="74"/>
      <c r="E581" s="71"/>
    </row>
    <row r="582">
      <c r="D582" s="74"/>
      <c r="E582" s="71"/>
    </row>
    <row r="583">
      <c r="D583" s="74"/>
      <c r="E583" s="71"/>
    </row>
    <row r="584">
      <c r="D584" s="74"/>
      <c r="E584" s="71"/>
    </row>
    <row r="585">
      <c r="D585" s="74"/>
      <c r="E585" s="71"/>
    </row>
    <row r="586">
      <c r="D586" s="74"/>
      <c r="E586" s="71"/>
    </row>
    <row r="587">
      <c r="D587" s="74"/>
      <c r="E587" s="71"/>
    </row>
    <row r="588">
      <c r="D588" s="74"/>
      <c r="E588" s="71"/>
    </row>
    <row r="589">
      <c r="D589" s="74"/>
      <c r="E589" s="71"/>
    </row>
    <row r="590">
      <c r="D590" s="74"/>
      <c r="E590" s="71"/>
    </row>
    <row r="591">
      <c r="D591" s="74"/>
      <c r="E591" s="71"/>
    </row>
    <row r="592">
      <c r="D592" s="74"/>
      <c r="E592" s="71"/>
    </row>
    <row r="593">
      <c r="D593" s="74"/>
      <c r="E593" s="71"/>
    </row>
    <row r="594">
      <c r="D594" s="74"/>
      <c r="E594" s="71"/>
    </row>
    <row r="595">
      <c r="D595" s="74"/>
      <c r="E595" s="71"/>
    </row>
    <row r="596">
      <c r="D596" s="74"/>
      <c r="E596" s="71"/>
    </row>
    <row r="597">
      <c r="D597" s="74"/>
      <c r="E597" s="71"/>
    </row>
    <row r="598">
      <c r="D598" s="74"/>
      <c r="E598" s="71"/>
    </row>
    <row r="599">
      <c r="D599" s="74"/>
      <c r="E599" s="71"/>
    </row>
    <row r="600">
      <c r="D600" s="74"/>
      <c r="E600" s="71"/>
    </row>
    <row r="601">
      <c r="D601" s="74"/>
      <c r="E601" s="71"/>
    </row>
    <row r="602">
      <c r="D602" s="74"/>
      <c r="E602" s="71"/>
    </row>
    <row r="603">
      <c r="D603" s="74"/>
      <c r="E603" s="71"/>
    </row>
    <row r="604">
      <c r="D604" s="74"/>
      <c r="E604" s="71"/>
    </row>
    <row r="605">
      <c r="D605" s="74"/>
      <c r="E605" s="71"/>
    </row>
    <row r="606">
      <c r="D606" s="74"/>
      <c r="E606" s="71"/>
    </row>
    <row r="607">
      <c r="D607" s="74"/>
      <c r="E607" s="71"/>
    </row>
    <row r="608">
      <c r="D608" s="74"/>
      <c r="E608" s="71"/>
    </row>
    <row r="609">
      <c r="D609" s="74"/>
      <c r="E609" s="71"/>
    </row>
    <row r="610">
      <c r="D610" s="74"/>
      <c r="E610" s="71"/>
    </row>
    <row r="611">
      <c r="D611" s="74"/>
      <c r="E611" s="71"/>
    </row>
    <row r="612">
      <c r="D612" s="74"/>
      <c r="E612" s="71"/>
    </row>
    <row r="613">
      <c r="D613" s="74"/>
      <c r="E613" s="71"/>
    </row>
    <row r="614">
      <c r="D614" s="74"/>
      <c r="E614" s="71"/>
    </row>
    <row r="615">
      <c r="D615" s="74"/>
      <c r="E615" s="71"/>
    </row>
    <row r="616">
      <c r="D616" s="74"/>
      <c r="E616" s="71"/>
    </row>
    <row r="617">
      <c r="D617" s="74"/>
      <c r="E617" s="71"/>
    </row>
    <row r="618">
      <c r="D618" s="74"/>
      <c r="E618" s="71"/>
    </row>
    <row r="619">
      <c r="D619" s="74"/>
      <c r="E619" s="71"/>
    </row>
    <row r="620">
      <c r="D620" s="74"/>
      <c r="E620" s="71"/>
    </row>
    <row r="621">
      <c r="D621" s="74"/>
      <c r="E621" s="71"/>
    </row>
    <row r="622">
      <c r="D622" s="74"/>
      <c r="E622" s="71"/>
    </row>
    <row r="623">
      <c r="D623" s="74"/>
      <c r="E623" s="71"/>
    </row>
    <row r="624">
      <c r="D624" s="74"/>
      <c r="E624" s="71"/>
    </row>
    <row r="625">
      <c r="D625" s="74"/>
      <c r="E625" s="71"/>
    </row>
    <row r="626">
      <c r="D626" s="74"/>
      <c r="E626" s="71"/>
    </row>
    <row r="627">
      <c r="D627" s="74"/>
      <c r="E627" s="71"/>
    </row>
    <row r="628">
      <c r="D628" s="74"/>
      <c r="E628" s="71"/>
    </row>
    <row r="629">
      <c r="D629" s="74"/>
      <c r="E629" s="71"/>
    </row>
    <row r="630">
      <c r="D630" s="74"/>
      <c r="E630" s="71"/>
    </row>
    <row r="631">
      <c r="D631" s="74"/>
      <c r="E631" s="71"/>
    </row>
    <row r="632">
      <c r="D632" s="74"/>
      <c r="E632" s="71"/>
    </row>
    <row r="633">
      <c r="D633" s="74"/>
      <c r="E633" s="71"/>
    </row>
    <row r="634">
      <c r="D634" s="74"/>
      <c r="E634" s="71"/>
    </row>
    <row r="635">
      <c r="D635" s="74"/>
      <c r="E635" s="71"/>
    </row>
    <row r="636">
      <c r="D636" s="74"/>
      <c r="E636" s="71"/>
    </row>
    <row r="637">
      <c r="D637" s="74"/>
      <c r="E637" s="71"/>
    </row>
    <row r="638">
      <c r="D638" s="74"/>
      <c r="E638" s="71"/>
    </row>
    <row r="639">
      <c r="D639" s="74"/>
      <c r="E639" s="71"/>
    </row>
    <row r="640">
      <c r="D640" s="74"/>
      <c r="E640" s="71"/>
    </row>
    <row r="641">
      <c r="D641" s="74"/>
      <c r="E641" s="71"/>
    </row>
    <row r="642">
      <c r="D642" s="74"/>
      <c r="E642" s="71"/>
    </row>
    <row r="643">
      <c r="D643" s="74"/>
      <c r="E643" s="71"/>
    </row>
    <row r="644">
      <c r="D644" s="74"/>
      <c r="E644" s="71"/>
    </row>
    <row r="645">
      <c r="D645" s="74"/>
      <c r="E645" s="71"/>
    </row>
    <row r="646">
      <c r="D646" s="74"/>
      <c r="E646" s="71"/>
    </row>
    <row r="647">
      <c r="D647" s="74"/>
      <c r="E647" s="71"/>
    </row>
    <row r="648">
      <c r="D648" s="74"/>
      <c r="E648" s="71"/>
    </row>
    <row r="649">
      <c r="D649" s="74"/>
      <c r="E649" s="71"/>
    </row>
    <row r="650">
      <c r="D650" s="74"/>
      <c r="E650" s="71"/>
    </row>
    <row r="651">
      <c r="D651" s="74"/>
      <c r="E651" s="71"/>
    </row>
    <row r="652">
      <c r="D652" s="74"/>
      <c r="E652" s="71"/>
    </row>
    <row r="653">
      <c r="D653" s="74"/>
      <c r="E653" s="71"/>
    </row>
    <row r="654">
      <c r="D654" s="74"/>
      <c r="E654" s="71"/>
    </row>
    <row r="655">
      <c r="D655" s="74"/>
      <c r="E655" s="71"/>
    </row>
    <row r="656">
      <c r="D656" s="74"/>
      <c r="E656" s="71"/>
    </row>
    <row r="657">
      <c r="D657" s="74"/>
      <c r="E657" s="71"/>
    </row>
    <row r="658">
      <c r="D658" s="74"/>
      <c r="E658" s="71"/>
    </row>
    <row r="659">
      <c r="D659" s="74"/>
      <c r="E659" s="71"/>
    </row>
    <row r="660">
      <c r="D660" s="74"/>
      <c r="E660" s="71"/>
    </row>
    <row r="661">
      <c r="D661" s="74"/>
      <c r="E661" s="71"/>
    </row>
    <row r="662">
      <c r="D662" s="74"/>
      <c r="E662" s="71"/>
    </row>
    <row r="663">
      <c r="D663" s="74"/>
      <c r="E663" s="71"/>
    </row>
    <row r="664">
      <c r="D664" s="74"/>
      <c r="E664" s="71"/>
    </row>
    <row r="665">
      <c r="D665" s="74"/>
      <c r="E665" s="71"/>
    </row>
    <row r="666">
      <c r="D666" s="74"/>
      <c r="E666" s="71"/>
    </row>
    <row r="667">
      <c r="D667" s="74"/>
      <c r="E667" s="71"/>
    </row>
    <row r="668">
      <c r="D668" s="74"/>
      <c r="E668" s="71"/>
    </row>
    <row r="669">
      <c r="D669" s="74"/>
      <c r="E669" s="71"/>
    </row>
    <row r="670">
      <c r="D670" s="74"/>
      <c r="E670" s="71"/>
    </row>
    <row r="671">
      <c r="D671" s="74"/>
      <c r="E671" s="71"/>
    </row>
    <row r="672">
      <c r="D672" s="74"/>
      <c r="E672" s="71"/>
    </row>
    <row r="673">
      <c r="D673" s="74"/>
      <c r="E673" s="71"/>
    </row>
    <row r="674">
      <c r="D674" s="74"/>
      <c r="E674" s="71"/>
    </row>
    <row r="675">
      <c r="D675" s="74"/>
      <c r="E675" s="71"/>
    </row>
    <row r="676">
      <c r="D676" s="74"/>
      <c r="E676" s="71"/>
    </row>
    <row r="677">
      <c r="D677" s="74"/>
      <c r="E677" s="71"/>
    </row>
    <row r="678">
      <c r="D678" s="74"/>
      <c r="E678" s="71"/>
    </row>
    <row r="679">
      <c r="D679" s="74"/>
      <c r="E679" s="71"/>
    </row>
    <row r="680">
      <c r="D680" s="74"/>
      <c r="E680" s="71"/>
    </row>
    <row r="681">
      <c r="D681" s="74"/>
      <c r="E681" s="71"/>
    </row>
    <row r="682">
      <c r="D682" s="74"/>
      <c r="E682" s="71"/>
    </row>
    <row r="683">
      <c r="D683" s="74"/>
      <c r="E683" s="71"/>
    </row>
    <row r="684">
      <c r="D684" s="74"/>
      <c r="E684" s="71"/>
    </row>
    <row r="685">
      <c r="D685" s="74"/>
      <c r="E685" s="71"/>
    </row>
    <row r="686">
      <c r="D686" s="74"/>
      <c r="E686" s="71"/>
    </row>
    <row r="687">
      <c r="D687" s="74"/>
      <c r="E687" s="71"/>
    </row>
    <row r="688">
      <c r="D688" s="74"/>
      <c r="E688" s="71"/>
    </row>
    <row r="689">
      <c r="D689" s="74"/>
      <c r="E689" s="71"/>
    </row>
    <row r="690">
      <c r="D690" s="74"/>
      <c r="E690" s="71"/>
    </row>
    <row r="691">
      <c r="D691" s="74"/>
      <c r="E691" s="71"/>
    </row>
    <row r="692">
      <c r="D692" s="74"/>
      <c r="E692" s="71"/>
    </row>
    <row r="693">
      <c r="D693" s="74"/>
      <c r="E693" s="71"/>
    </row>
    <row r="694">
      <c r="D694" s="74"/>
      <c r="E694" s="71"/>
    </row>
    <row r="695">
      <c r="D695" s="74"/>
      <c r="E695" s="71"/>
    </row>
    <row r="696">
      <c r="D696" s="74"/>
      <c r="E696" s="71"/>
    </row>
    <row r="697">
      <c r="D697" s="74"/>
      <c r="E697" s="71"/>
    </row>
    <row r="698">
      <c r="D698" s="74"/>
      <c r="E698" s="71"/>
    </row>
    <row r="699">
      <c r="D699" s="74"/>
      <c r="E699" s="71"/>
    </row>
    <row r="700">
      <c r="D700" s="74"/>
      <c r="E700" s="71"/>
    </row>
    <row r="701">
      <c r="D701" s="74"/>
      <c r="E701" s="71"/>
    </row>
    <row r="702">
      <c r="D702" s="74"/>
      <c r="E702" s="71"/>
    </row>
    <row r="703">
      <c r="D703" s="74"/>
      <c r="E703" s="71"/>
    </row>
    <row r="704">
      <c r="D704" s="74"/>
      <c r="E704" s="71"/>
    </row>
    <row r="705">
      <c r="D705" s="74"/>
      <c r="E705" s="71"/>
    </row>
    <row r="706">
      <c r="D706" s="74"/>
      <c r="E706" s="71"/>
    </row>
    <row r="707">
      <c r="D707" s="74"/>
      <c r="E707" s="71"/>
    </row>
    <row r="708">
      <c r="D708" s="74"/>
      <c r="E708" s="71"/>
    </row>
    <row r="709">
      <c r="D709" s="74"/>
      <c r="E709" s="71"/>
    </row>
    <row r="710">
      <c r="D710" s="74"/>
      <c r="E710" s="71"/>
    </row>
    <row r="711">
      <c r="D711" s="74"/>
      <c r="E711" s="71"/>
    </row>
    <row r="712">
      <c r="D712" s="74"/>
      <c r="E712" s="71"/>
    </row>
    <row r="713">
      <c r="D713" s="74"/>
      <c r="E713" s="71"/>
    </row>
    <row r="714">
      <c r="D714" s="74"/>
      <c r="E714" s="71"/>
    </row>
    <row r="715">
      <c r="D715" s="74"/>
      <c r="E715" s="71"/>
    </row>
    <row r="716">
      <c r="D716" s="74"/>
      <c r="E716" s="71"/>
    </row>
    <row r="717">
      <c r="D717" s="74"/>
      <c r="E717" s="71"/>
    </row>
    <row r="718">
      <c r="D718" s="74"/>
      <c r="E718" s="71"/>
    </row>
    <row r="719">
      <c r="D719" s="74"/>
      <c r="E719" s="71"/>
    </row>
    <row r="720">
      <c r="D720" s="74"/>
      <c r="E720" s="71"/>
    </row>
    <row r="721">
      <c r="D721" s="74"/>
      <c r="E721" s="71"/>
    </row>
    <row r="722">
      <c r="D722" s="74"/>
      <c r="E722" s="71"/>
    </row>
    <row r="723">
      <c r="D723" s="74"/>
      <c r="E723" s="71"/>
    </row>
    <row r="724">
      <c r="D724" s="74"/>
      <c r="E724" s="71"/>
    </row>
    <row r="725">
      <c r="D725" s="74"/>
      <c r="E725" s="71"/>
    </row>
    <row r="726">
      <c r="D726" s="74"/>
      <c r="E726" s="71"/>
    </row>
    <row r="727">
      <c r="D727" s="74"/>
      <c r="E727" s="71"/>
    </row>
    <row r="728">
      <c r="D728" s="74"/>
      <c r="E728" s="71"/>
    </row>
    <row r="729">
      <c r="D729" s="74"/>
      <c r="E729" s="71"/>
    </row>
    <row r="730">
      <c r="D730" s="74"/>
      <c r="E730" s="71"/>
    </row>
    <row r="731">
      <c r="D731" s="74"/>
      <c r="E731" s="71"/>
    </row>
    <row r="732">
      <c r="D732" s="74"/>
      <c r="E732" s="71"/>
    </row>
    <row r="733">
      <c r="D733" s="74"/>
      <c r="E733" s="71"/>
    </row>
    <row r="734">
      <c r="D734" s="74"/>
      <c r="E734" s="71"/>
    </row>
    <row r="735">
      <c r="D735" s="74"/>
      <c r="E735" s="71"/>
    </row>
    <row r="736">
      <c r="D736" s="74"/>
      <c r="E736" s="71"/>
    </row>
    <row r="737">
      <c r="D737" s="74"/>
      <c r="E737" s="71"/>
    </row>
    <row r="738">
      <c r="D738" s="74"/>
      <c r="E738" s="71"/>
    </row>
    <row r="739">
      <c r="D739" s="74"/>
      <c r="E739" s="71"/>
    </row>
    <row r="740">
      <c r="D740" s="74"/>
      <c r="E740" s="71"/>
    </row>
    <row r="741">
      <c r="D741" s="74"/>
      <c r="E741" s="71"/>
    </row>
    <row r="742">
      <c r="D742" s="74"/>
      <c r="E742" s="71"/>
    </row>
    <row r="743">
      <c r="D743" s="74"/>
      <c r="E743" s="71"/>
    </row>
    <row r="744">
      <c r="D744" s="74"/>
      <c r="E744" s="71"/>
    </row>
    <row r="745">
      <c r="D745" s="74"/>
      <c r="E745" s="71"/>
    </row>
    <row r="746">
      <c r="D746" s="74"/>
      <c r="E746" s="71"/>
    </row>
    <row r="747">
      <c r="D747" s="74"/>
      <c r="E747" s="71"/>
    </row>
    <row r="748">
      <c r="D748" s="74"/>
      <c r="E748" s="71"/>
    </row>
    <row r="749">
      <c r="D749" s="74"/>
      <c r="E749" s="71"/>
    </row>
    <row r="750">
      <c r="D750" s="74"/>
      <c r="E750" s="71"/>
    </row>
    <row r="751">
      <c r="D751" s="74"/>
      <c r="E751" s="71"/>
    </row>
    <row r="752">
      <c r="D752" s="74"/>
      <c r="E752" s="71"/>
    </row>
    <row r="753">
      <c r="D753" s="74"/>
      <c r="E753" s="71"/>
    </row>
    <row r="754">
      <c r="D754" s="74"/>
      <c r="E754" s="71"/>
    </row>
    <row r="755">
      <c r="D755" s="74"/>
      <c r="E755" s="71"/>
    </row>
    <row r="756">
      <c r="D756" s="74"/>
      <c r="E756" s="71"/>
    </row>
    <row r="757">
      <c r="D757" s="74"/>
      <c r="E757" s="71"/>
    </row>
    <row r="758">
      <c r="D758" s="74"/>
      <c r="E758" s="71"/>
    </row>
    <row r="759">
      <c r="D759" s="74"/>
      <c r="E759" s="71"/>
    </row>
    <row r="760">
      <c r="D760" s="74"/>
      <c r="E760" s="71"/>
    </row>
    <row r="761">
      <c r="D761" s="74"/>
      <c r="E761" s="71"/>
    </row>
    <row r="762">
      <c r="D762" s="74"/>
      <c r="E762" s="71"/>
    </row>
    <row r="763">
      <c r="D763" s="74"/>
      <c r="E763" s="71"/>
    </row>
    <row r="764">
      <c r="D764" s="74"/>
      <c r="E764" s="71"/>
    </row>
    <row r="765">
      <c r="D765" s="74"/>
      <c r="E765" s="71"/>
    </row>
    <row r="766">
      <c r="D766" s="74"/>
      <c r="E766" s="71"/>
    </row>
    <row r="767">
      <c r="D767" s="74"/>
      <c r="E767" s="71"/>
    </row>
    <row r="768">
      <c r="D768" s="74"/>
      <c r="E768" s="71"/>
    </row>
    <row r="769">
      <c r="D769" s="74"/>
      <c r="E769" s="71"/>
    </row>
    <row r="770">
      <c r="D770" s="74"/>
      <c r="E770" s="71"/>
    </row>
    <row r="771">
      <c r="D771" s="74"/>
      <c r="E771" s="71"/>
    </row>
    <row r="772">
      <c r="D772" s="74"/>
      <c r="E772" s="71"/>
    </row>
    <row r="773">
      <c r="D773" s="74"/>
      <c r="E773" s="71"/>
    </row>
    <row r="774">
      <c r="D774" s="74"/>
      <c r="E774" s="71"/>
    </row>
    <row r="775">
      <c r="D775" s="74"/>
      <c r="E775" s="71"/>
    </row>
    <row r="776">
      <c r="D776" s="74"/>
      <c r="E776" s="71"/>
    </row>
    <row r="777">
      <c r="D777" s="74"/>
      <c r="E777" s="71"/>
    </row>
    <row r="778">
      <c r="D778" s="74"/>
      <c r="E778" s="71"/>
    </row>
    <row r="779">
      <c r="D779" s="74"/>
      <c r="E779" s="71"/>
    </row>
    <row r="780">
      <c r="D780" s="74"/>
      <c r="E780" s="71"/>
    </row>
    <row r="781">
      <c r="D781" s="74"/>
      <c r="E781" s="71"/>
    </row>
    <row r="782">
      <c r="D782" s="74"/>
      <c r="E782" s="71"/>
    </row>
    <row r="783">
      <c r="D783" s="74"/>
      <c r="E783" s="71"/>
    </row>
    <row r="784">
      <c r="D784" s="74"/>
      <c r="E784" s="71"/>
    </row>
    <row r="785">
      <c r="D785" s="74"/>
      <c r="E785" s="71"/>
    </row>
    <row r="786">
      <c r="D786" s="74"/>
      <c r="E786" s="71"/>
    </row>
    <row r="787">
      <c r="D787" s="74"/>
      <c r="E787" s="71"/>
    </row>
    <row r="788">
      <c r="D788" s="74"/>
      <c r="E788" s="71"/>
    </row>
    <row r="789">
      <c r="D789" s="74"/>
      <c r="E789" s="71"/>
    </row>
    <row r="790">
      <c r="D790" s="74"/>
      <c r="E790" s="71"/>
    </row>
    <row r="791">
      <c r="D791" s="74"/>
      <c r="E791" s="71"/>
    </row>
    <row r="792">
      <c r="D792" s="74"/>
      <c r="E792" s="71"/>
    </row>
    <row r="793">
      <c r="D793" s="74"/>
      <c r="E793" s="71"/>
    </row>
    <row r="794">
      <c r="D794" s="74"/>
      <c r="E794" s="71"/>
    </row>
    <row r="795">
      <c r="D795" s="74"/>
      <c r="E795" s="71"/>
    </row>
    <row r="796">
      <c r="D796" s="74"/>
      <c r="E796" s="71"/>
    </row>
    <row r="797">
      <c r="D797" s="74"/>
      <c r="E797" s="71"/>
    </row>
    <row r="798">
      <c r="D798" s="74"/>
      <c r="E798" s="71"/>
    </row>
    <row r="799">
      <c r="D799" s="74"/>
      <c r="E799" s="71"/>
    </row>
    <row r="800">
      <c r="D800" s="74"/>
      <c r="E800" s="71"/>
    </row>
    <row r="801">
      <c r="D801" s="74"/>
      <c r="E801" s="71"/>
    </row>
    <row r="802">
      <c r="D802" s="74"/>
      <c r="E802" s="71"/>
    </row>
    <row r="803">
      <c r="D803" s="74"/>
      <c r="E803" s="71"/>
    </row>
    <row r="804">
      <c r="D804" s="74"/>
      <c r="E804" s="71"/>
    </row>
    <row r="805">
      <c r="D805" s="74"/>
      <c r="E805" s="71"/>
    </row>
    <row r="806">
      <c r="D806" s="74"/>
      <c r="E806" s="71"/>
    </row>
    <row r="807">
      <c r="D807" s="74"/>
      <c r="E807" s="71"/>
    </row>
    <row r="808">
      <c r="D808" s="74"/>
      <c r="E808" s="71"/>
    </row>
    <row r="809">
      <c r="D809" s="74"/>
      <c r="E809" s="71"/>
    </row>
    <row r="810">
      <c r="D810" s="74"/>
      <c r="E810" s="71"/>
    </row>
    <row r="811">
      <c r="D811" s="74"/>
      <c r="E811" s="71"/>
    </row>
    <row r="812">
      <c r="D812" s="74"/>
      <c r="E812" s="71"/>
    </row>
    <row r="813">
      <c r="D813" s="74"/>
      <c r="E813" s="71"/>
    </row>
    <row r="814">
      <c r="D814" s="74"/>
      <c r="E814" s="71"/>
    </row>
    <row r="815">
      <c r="D815" s="74"/>
      <c r="E815" s="71"/>
    </row>
    <row r="816">
      <c r="D816" s="74"/>
      <c r="E816" s="71"/>
    </row>
    <row r="817">
      <c r="D817" s="74"/>
      <c r="E817" s="71"/>
    </row>
    <row r="818">
      <c r="D818" s="74"/>
      <c r="E818" s="71"/>
    </row>
    <row r="819">
      <c r="D819" s="74"/>
      <c r="E819" s="71"/>
    </row>
    <row r="820">
      <c r="D820" s="74"/>
      <c r="E820" s="71"/>
    </row>
    <row r="821">
      <c r="D821" s="74"/>
      <c r="E821" s="71"/>
    </row>
    <row r="822">
      <c r="D822" s="74"/>
      <c r="E822" s="71"/>
    </row>
    <row r="823">
      <c r="D823" s="74"/>
      <c r="E823" s="71"/>
    </row>
    <row r="824">
      <c r="D824" s="74"/>
      <c r="E824" s="71"/>
    </row>
    <row r="825">
      <c r="D825" s="74"/>
      <c r="E825" s="71"/>
    </row>
    <row r="826">
      <c r="D826" s="74"/>
      <c r="E826" s="71"/>
    </row>
    <row r="827">
      <c r="D827" s="74"/>
      <c r="E827" s="71"/>
    </row>
    <row r="828">
      <c r="D828" s="74"/>
      <c r="E828" s="71"/>
    </row>
    <row r="829">
      <c r="D829" s="74"/>
      <c r="E829" s="71"/>
    </row>
    <row r="830">
      <c r="D830" s="74"/>
      <c r="E830" s="71"/>
    </row>
    <row r="831">
      <c r="D831" s="74"/>
      <c r="E831" s="71"/>
    </row>
    <row r="832">
      <c r="D832" s="74"/>
      <c r="E832" s="71"/>
    </row>
    <row r="833">
      <c r="D833" s="74"/>
      <c r="E833" s="71"/>
    </row>
    <row r="834">
      <c r="D834" s="74"/>
      <c r="E834" s="71"/>
    </row>
    <row r="835">
      <c r="D835" s="74"/>
      <c r="E835" s="71"/>
    </row>
    <row r="836">
      <c r="D836" s="74"/>
      <c r="E836" s="71"/>
    </row>
    <row r="837">
      <c r="D837" s="74"/>
      <c r="E837" s="71"/>
    </row>
    <row r="838">
      <c r="D838" s="74"/>
      <c r="E838" s="71"/>
    </row>
    <row r="839">
      <c r="D839" s="74"/>
      <c r="E839" s="71"/>
    </row>
    <row r="840">
      <c r="D840" s="74"/>
      <c r="E840" s="71"/>
    </row>
    <row r="841">
      <c r="D841" s="74"/>
      <c r="E841" s="71"/>
    </row>
    <row r="842">
      <c r="D842" s="74"/>
      <c r="E842" s="71"/>
    </row>
    <row r="843">
      <c r="D843" s="74"/>
      <c r="E843" s="71"/>
    </row>
    <row r="844">
      <c r="D844" s="74"/>
      <c r="E844" s="71"/>
    </row>
    <row r="845">
      <c r="D845" s="74"/>
      <c r="E845" s="71"/>
    </row>
    <row r="846">
      <c r="D846" s="74"/>
      <c r="E846" s="71"/>
    </row>
    <row r="847">
      <c r="D847" s="74"/>
      <c r="E847" s="71"/>
    </row>
    <row r="848">
      <c r="D848" s="74"/>
      <c r="E848" s="71"/>
    </row>
    <row r="849">
      <c r="D849" s="74"/>
      <c r="E849" s="71"/>
    </row>
    <row r="850">
      <c r="D850" s="74"/>
      <c r="E850" s="71"/>
    </row>
    <row r="851">
      <c r="D851" s="74"/>
      <c r="E851" s="71"/>
    </row>
    <row r="852">
      <c r="D852" s="74"/>
      <c r="E852" s="71"/>
    </row>
    <row r="853">
      <c r="D853" s="74"/>
      <c r="E853" s="71"/>
    </row>
    <row r="854">
      <c r="D854" s="74"/>
      <c r="E854" s="71"/>
    </row>
    <row r="855">
      <c r="D855" s="74"/>
      <c r="E855" s="71"/>
    </row>
    <row r="856">
      <c r="D856" s="74"/>
      <c r="E856" s="71"/>
    </row>
    <row r="857">
      <c r="D857" s="74"/>
      <c r="E857" s="71"/>
    </row>
    <row r="858">
      <c r="D858" s="74"/>
      <c r="E858" s="71"/>
    </row>
    <row r="859">
      <c r="D859" s="74"/>
      <c r="E859" s="71"/>
    </row>
    <row r="860">
      <c r="D860" s="74"/>
      <c r="E860" s="71"/>
    </row>
    <row r="861">
      <c r="D861" s="74"/>
      <c r="E861" s="71"/>
    </row>
    <row r="862">
      <c r="D862" s="74"/>
      <c r="E862" s="71"/>
    </row>
    <row r="863">
      <c r="D863" s="74"/>
      <c r="E863" s="71"/>
    </row>
    <row r="864">
      <c r="D864" s="74"/>
      <c r="E864" s="71"/>
    </row>
    <row r="865">
      <c r="D865" s="74"/>
      <c r="E865" s="71"/>
    </row>
    <row r="866">
      <c r="D866" s="74"/>
      <c r="E866" s="71"/>
    </row>
    <row r="867">
      <c r="D867" s="74"/>
      <c r="E867" s="71"/>
    </row>
    <row r="868">
      <c r="D868" s="74"/>
      <c r="E868" s="71"/>
    </row>
    <row r="869">
      <c r="D869" s="74"/>
      <c r="E869" s="71"/>
    </row>
    <row r="870">
      <c r="D870" s="74"/>
      <c r="E870" s="71"/>
    </row>
    <row r="871">
      <c r="D871" s="74"/>
      <c r="E871" s="71"/>
    </row>
    <row r="872">
      <c r="D872" s="74"/>
      <c r="E872" s="71"/>
    </row>
    <row r="873">
      <c r="D873" s="74"/>
      <c r="E873" s="71"/>
    </row>
    <row r="874">
      <c r="D874" s="74"/>
      <c r="E874" s="71"/>
    </row>
    <row r="875">
      <c r="D875" s="74"/>
      <c r="E875" s="71"/>
    </row>
    <row r="876">
      <c r="D876" s="74"/>
      <c r="E876" s="71"/>
    </row>
    <row r="877">
      <c r="D877" s="74"/>
      <c r="E877" s="71"/>
    </row>
    <row r="878">
      <c r="D878" s="74"/>
      <c r="E878" s="71"/>
    </row>
    <row r="879">
      <c r="D879" s="74"/>
      <c r="E879" s="71"/>
    </row>
    <row r="880">
      <c r="D880" s="74"/>
      <c r="E880" s="71"/>
    </row>
    <row r="881">
      <c r="D881" s="74"/>
      <c r="E881" s="71"/>
    </row>
    <row r="882">
      <c r="D882" s="74"/>
      <c r="E882" s="71"/>
    </row>
    <row r="883">
      <c r="D883" s="74"/>
      <c r="E883" s="71"/>
    </row>
    <row r="884">
      <c r="D884" s="74"/>
      <c r="E884" s="71"/>
    </row>
    <row r="885">
      <c r="D885" s="74"/>
      <c r="E885" s="71"/>
    </row>
    <row r="886">
      <c r="D886" s="74"/>
      <c r="E886" s="71"/>
    </row>
    <row r="887">
      <c r="D887" s="74"/>
      <c r="E887" s="71"/>
    </row>
    <row r="888">
      <c r="D888" s="74"/>
      <c r="E888" s="71"/>
    </row>
    <row r="889">
      <c r="D889" s="74"/>
      <c r="E889" s="71"/>
    </row>
    <row r="890">
      <c r="D890" s="74"/>
      <c r="E890" s="71"/>
    </row>
    <row r="891">
      <c r="D891" s="74"/>
      <c r="E891" s="71"/>
    </row>
    <row r="892">
      <c r="D892" s="74"/>
      <c r="E892" s="71"/>
    </row>
    <row r="893">
      <c r="D893" s="74"/>
      <c r="E893" s="71"/>
    </row>
    <row r="894">
      <c r="D894" s="74"/>
      <c r="E894" s="71"/>
    </row>
    <row r="895">
      <c r="D895" s="74"/>
      <c r="E895" s="71"/>
    </row>
    <row r="896">
      <c r="D896" s="74"/>
      <c r="E896" s="71"/>
    </row>
    <row r="897">
      <c r="D897" s="74"/>
      <c r="E897" s="71"/>
    </row>
    <row r="898">
      <c r="D898" s="74"/>
      <c r="E898" s="71"/>
    </row>
    <row r="899">
      <c r="D899" s="74"/>
      <c r="E899" s="71"/>
    </row>
    <row r="900">
      <c r="D900" s="74"/>
      <c r="E900" s="71"/>
    </row>
    <row r="901">
      <c r="D901" s="74"/>
      <c r="E901" s="71"/>
    </row>
    <row r="902">
      <c r="D902" s="74"/>
      <c r="E902" s="71"/>
    </row>
    <row r="903">
      <c r="D903" s="74"/>
      <c r="E903" s="71"/>
    </row>
    <row r="904">
      <c r="D904" s="74"/>
      <c r="E904" s="71"/>
    </row>
    <row r="905">
      <c r="D905" s="74"/>
      <c r="E905" s="71"/>
    </row>
    <row r="906">
      <c r="D906" s="74"/>
      <c r="E906" s="71"/>
    </row>
    <row r="907">
      <c r="D907" s="74"/>
      <c r="E907" s="71"/>
    </row>
    <row r="908">
      <c r="D908" s="74"/>
      <c r="E908" s="71"/>
    </row>
    <row r="909">
      <c r="D909" s="74"/>
      <c r="E909" s="71"/>
    </row>
    <row r="910">
      <c r="D910" s="74"/>
      <c r="E910" s="71"/>
    </row>
    <row r="911">
      <c r="D911" s="74"/>
      <c r="E911" s="71"/>
    </row>
    <row r="912">
      <c r="D912" s="74"/>
      <c r="E912" s="71"/>
    </row>
    <row r="913">
      <c r="D913" s="74"/>
      <c r="E913" s="71"/>
    </row>
    <row r="914">
      <c r="D914" s="74"/>
      <c r="E914" s="71"/>
    </row>
    <row r="915">
      <c r="D915" s="74"/>
      <c r="E915" s="71"/>
    </row>
    <row r="916">
      <c r="D916" s="74"/>
      <c r="E916" s="71"/>
    </row>
    <row r="917">
      <c r="D917" s="74"/>
      <c r="E917" s="71"/>
    </row>
    <row r="918">
      <c r="D918" s="74"/>
      <c r="E918" s="71"/>
    </row>
    <row r="919">
      <c r="D919" s="74"/>
      <c r="E919" s="71"/>
    </row>
    <row r="920">
      <c r="D920" s="74"/>
      <c r="E920" s="71"/>
    </row>
    <row r="921">
      <c r="D921" s="74"/>
      <c r="E921" s="71"/>
    </row>
    <row r="922">
      <c r="D922" s="74"/>
      <c r="E922" s="71"/>
    </row>
    <row r="923">
      <c r="D923" s="74"/>
      <c r="E923" s="71"/>
    </row>
    <row r="924">
      <c r="D924" s="74"/>
      <c r="E924" s="71"/>
    </row>
    <row r="925">
      <c r="D925" s="74"/>
      <c r="E925" s="71"/>
    </row>
    <row r="926">
      <c r="D926" s="74"/>
      <c r="E926" s="71"/>
    </row>
    <row r="927">
      <c r="D927" s="74"/>
      <c r="E927" s="71"/>
    </row>
    <row r="928">
      <c r="D928" s="74"/>
      <c r="E928" s="71"/>
    </row>
    <row r="929">
      <c r="D929" s="74"/>
      <c r="E929" s="71"/>
    </row>
    <row r="930">
      <c r="D930" s="74"/>
      <c r="E930" s="71"/>
    </row>
    <row r="931">
      <c r="D931" s="74"/>
      <c r="E931" s="71"/>
    </row>
    <row r="932">
      <c r="D932" s="74"/>
      <c r="E932" s="71"/>
    </row>
    <row r="933">
      <c r="D933" s="74"/>
      <c r="E933" s="71"/>
    </row>
    <row r="934">
      <c r="D934" s="74"/>
      <c r="E934" s="71"/>
    </row>
    <row r="935">
      <c r="D935" s="74"/>
      <c r="E935" s="71"/>
    </row>
    <row r="936">
      <c r="D936" s="74"/>
      <c r="E936" s="71"/>
    </row>
    <row r="937">
      <c r="D937" s="74"/>
      <c r="E937" s="71"/>
    </row>
    <row r="938">
      <c r="D938" s="74"/>
      <c r="E938" s="71"/>
    </row>
    <row r="939">
      <c r="D939" s="74"/>
      <c r="E939" s="71"/>
    </row>
    <row r="940">
      <c r="D940" s="74"/>
      <c r="E940" s="71"/>
    </row>
    <row r="941">
      <c r="D941" s="74"/>
      <c r="E941" s="71"/>
    </row>
    <row r="942">
      <c r="D942" s="74"/>
      <c r="E942" s="71"/>
    </row>
    <row r="943">
      <c r="D943" s="74"/>
      <c r="E943" s="71"/>
    </row>
    <row r="944">
      <c r="D944" s="74"/>
      <c r="E944" s="71"/>
    </row>
    <row r="945">
      <c r="D945" s="74"/>
      <c r="E945" s="71"/>
    </row>
    <row r="946">
      <c r="D946" s="74"/>
      <c r="E946" s="71"/>
    </row>
    <row r="947">
      <c r="D947" s="74"/>
      <c r="E947" s="71"/>
    </row>
    <row r="948">
      <c r="D948" s="74"/>
      <c r="E948" s="71"/>
    </row>
    <row r="949">
      <c r="D949" s="74"/>
      <c r="E949" s="71"/>
    </row>
    <row r="950">
      <c r="D950" s="74"/>
      <c r="E950" s="71"/>
    </row>
    <row r="951">
      <c r="D951" s="74"/>
      <c r="E951" s="71"/>
    </row>
    <row r="952">
      <c r="D952" s="74"/>
      <c r="E952" s="71"/>
    </row>
    <row r="953">
      <c r="D953" s="74"/>
      <c r="E953" s="71"/>
    </row>
    <row r="954">
      <c r="D954" s="74"/>
      <c r="E954" s="71"/>
    </row>
    <row r="955">
      <c r="D955" s="74"/>
      <c r="E955" s="71"/>
    </row>
    <row r="956">
      <c r="D956" s="74"/>
      <c r="E956" s="71"/>
    </row>
    <row r="957">
      <c r="D957" s="74"/>
      <c r="E957" s="71"/>
    </row>
    <row r="958">
      <c r="D958" s="74"/>
      <c r="E958" s="71"/>
    </row>
  </sheetData>
  <conditionalFormatting sqref="A2:H359">
    <cfRule type="expression" dxfId="0" priority="1">
      <formula>$A2&lt;&gt;""</formula>
    </cfRule>
  </conditionalFormatting>
  <conditionalFormatting sqref="A2:N359">
    <cfRule type="expression" dxfId="1" priority="2">
      <formula>$A2=""</formula>
    </cfRule>
  </conditionalFormatting>
  <dataValidations>
    <dataValidation type="list" allowBlank="1" sqref="E2:E159 G2:G159">
      <formula1>'_Lists'!$B$2:$B$25</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B82F6"/>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5.13"/>
    <col customWidth="1" min="2" max="2" width="14.0"/>
    <col customWidth="1" min="3" max="3" width="28.13"/>
    <col customWidth="1" min="4" max="4" width="37.0"/>
    <col customWidth="1" min="5" max="5" width="31.63"/>
    <col customWidth="1" hidden="1" min="6" max="6" width="13.63"/>
    <col customWidth="1" min="7" max="7" width="8.25"/>
    <col customWidth="1" min="8" max="8" width="8.38"/>
    <col customWidth="1" min="9" max="9" width="7.25"/>
    <col customWidth="1" min="10" max="10" width="13.38"/>
    <col customWidth="1" min="11" max="11" width="18.38"/>
    <col customWidth="1" min="12" max="12" width="12.0"/>
    <col customWidth="1" min="13" max="13" width="6.38"/>
    <col customWidth="1" min="14" max="27" width="9.13"/>
  </cols>
  <sheetData>
    <row r="1">
      <c r="A1" s="60" t="s">
        <v>174</v>
      </c>
      <c r="B1" s="61" t="s">
        <v>0</v>
      </c>
      <c r="C1" s="61" t="s">
        <v>256</v>
      </c>
      <c r="D1" s="61" t="s">
        <v>257</v>
      </c>
      <c r="E1" s="61" t="s">
        <v>258</v>
      </c>
      <c r="F1" s="61" t="s">
        <v>259</v>
      </c>
      <c r="G1" s="60" t="s">
        <v>260</v>
      </c>
      <c r="H1" s="60" t="s">
        <v>10</v>
      </c>
      <c r="I1" s="60" t="s">
        <v>264</v>
      </c>
      <c r="J1" s="60" t="s">
        <v>265</v>
      </c>
      <c r="K1" s="60" t="s">
        <v>266</v>
      </c>
      <c r="L1" s="60" t="s">
        <v>267</v>
      </c>
      <c r="M1" s="60" t="s">
        <v>268</v>
      </c>
      <c r="N1" s="62"/>
      <c r="O1" s="62"/>
      <c r="P1" s="62"/>
      <c r="Q1" s="62"/>
      <c r="R1" s="62"/>
      <c r="S1" s="62"/>
      <c r="T1" s="62"/>
      <c r="U1" s="62"/>
      <c r="V1" s="62"/>
      <c r="W1" s="62"/>
      <c r="X1" s="62"/>
      <c r="Y1" s="62"/>
      <c r="Z1" s="62"/>
      <c r="AA1" s="62"/>
    </row>
    <row r="2" ht="12.75" customHeight="1">
      <c r="A2" s="63">
        <v>2.0</v>
      </c>
      <c r="B2" s="64" t="s">
        <v>277</v>
      </c>
      <c r="C2" s="64" t="s">
        <v>278</v>
      </c>
      <c r="D2" s="64" t="s">
        <v>279</v>
      </c>
      <c r="E2" s="64" t="s">
        <v>280</v>
      </c>
      <c r="F2" s="64" t="s">
        <v>281</v>
      </c>
      <c r="G2" s="65" t="s">
        <v>72</v>
      </c>
      <c r="H2" s="63" t="str">
        <f t="shared" ref="H2:H201" si="1">IF(TRIM(G2)="","No","Yes")</f>
        <v>Yes</v>
      </c>
      <c r="I2" s="63">
        <f t="shared" ref="I2:I201" si="2">IF(TRIM(G2)="","",COUNTIFS($G$2:G2,G2))</f>
        <v>1</v>
      </c>
      <c r="J2" s="66" t="str">
        <f t="shared" ref="J2:J201" si="3">IF(OR($A2="",TRIM($G2)=""),"",IFERROR(IF(INDEX(INDIRECT("'"&amp;$G2&amp;"'!F1:F100"),MATCH($A2,INDIRECT("'"&amp;$G2&amp;"'!A1:A100"),0))="","",INDEX(INDIRECT("'"&amp;$G2&amp;"'!F1:F100"),MATCH($A2,INDIRECT("'"&amp;$G2&amp;"'!A1:A100"),0))),""))</f>
        <v/>
      </c>
      <c r="K2" s="67">
        <v>35.0</v>
      </c>
      <c r="L2" s="66" t="str">
        <f t="shared" ref="L2:L201" si="4">IF(COUNT(J2:K2)&lt;2,"",J2+K2)</f>
        <v/>
      </c>
      <c r="M2" s="68" t="str">
        <f t="shared" ref="M2:M201" si="5">IF(L2="","",RANK(L2,$L$2:$L$201,0))</f>
        <v/>
      </c>
      <c r="N2" s="64"/>
      <c r="O2" s="64"/>
      <c r="P2" s="64"/>
      <c r="Q2" s="64"/>
      <c r="R2" s="64"/>
      <c r="S2" s="64"/>
      <c r="T2" s="64"/>
      <c r="U2" s="64"/>
      <c r="V2" s="64"/>
      <c r="W2" s="64"/>
      <c r="X2" s="64"/>
      <c r="Y2" s="64"/>
      <c r="Z2" s="64"/>
      <c r="AA2" s="64"/>
    </row>
    <row r="3" ht="12.75" customHeight="1">
      <c r="A3" s="63">
        <v>5.0</v>
      </c>
      <c r="B3" s="64" t="s">
        <v>277</v>
      </c>
      <c r="C3" s="64" t="s">
        <v>322</v>
      </c>
      <c r="D3" s="64" t="s">
        <v>323</v>
      </c>
      <c r="E3" s="64" t="s">
        <v>324</v>
      </c>
      <c r="F3" s="64" t="s">
        <v>325</v>
      </c>
      <c r="G3" s="65" t="s">
        <v>72</v>
      </c>
      <c r="H3" s="63" t="str">
        <f t="shared" si="1"/>
        <v>Yes</v>
      </c>
      <c r="I3" s="63">
        <f t="shared" si="2"/>
        <v>2</v>
      </c>
      <c r="J3" s="66" t="str">
        <f t="shared" si="3"/>
        <v/>
      </c>
      <c r="K3" s="67"/>
      <c r="L3" s="66" t="str">
        <f t="shared" si="4"/>
        <v/>
      </c>
      <c r="M3" s="68" t="str">
        <f t="shared" si="5"/>
        <v/>
      </c>
      <c r="N3" s="64"/>
      <c r="O3" s="64"/>
      <c r="P3" s="64"/>
      <c r="Q3" s="64"/>
      <c r="R3" s="64"/>
      <c r="S3" s="64"/>
      <c r="T3" s="64"/>
      <c r="U3" s="64"/>
      <c r="V3" s="64"/>
      <c r="W3" s="64"/>
      <c r="X3" s="64"/>
      <c r="Y3" s="64"/>
      <c r="Z3" s="64"/>
      <c r="AA3" s="64"/>
    </row>
    <row r="4" ht="12.75" customHeight="1">
      <c r="A4" s="63">
        <v>48.0</v>
      </c>
      <c r="B4" s="64" t="s">
        <v>277</v>
      </c>
      <c r="C4" s="64" t="s">
        <v>330</v>
      </c>
      <c r="D4" s="64" t="s">
        <v>332</v>
      </c>
      <c r="E4" s="64" t="s">
        <v>334</v>
      </c>
      <c r="F4" s="64" t="s">
        <v>336</v>
      </c>
      <c r="G4" s="65" t="s">
        <v>155</v>
      </c>
      <c r="H4" s="63" t="str">
        <f t="shared" si="1"/>
        <v>Yes</v>
      </c>
      <c r="I4" s="63">
        <f t="shared" si="2"/>
        <v>1</v>
      </c>
      <c r="J4" s="66" t="str">
        <f t="shared" si="3"/>
        <v/>
      </c>
      <c r="K4" s="67">
        <v>40.0</v>
      </c>
      <c r="L4" s="66" t="str">
        <f t="shared" si="4"/>
        <v/>
      </c>
      <c r="M4" s="68" t="str">
        <f t="shared" si="5"/>
        <v/>
      </c>
      <c r="N4" s="64"/>
      <c r="O4" s="64"/>
      <c r="P4" s="64"/>
      <c r="Q4" s="64"/>
      <c r="R4" s="64"/>
      <c r="S4" s="64"/>
      <c r="T4" s="64"/>
      <c r="U4" s="64"/>
      <c r="V4" s="64"/>
      <c r="W4" s="64"/>
      <c r="X4" s="64"/>
      <c r="Y4" s="64"/>
      <c r="Z4" s="64"/>
      <c r="AA4" s="64"/>
    </row>
    <row r="5" ht="12.75" customHeight="1">
      <c r="A5" s="63">
        <v>49.0</v>
      </c>
      <c r="B5" s="64" t="s">
        <v>277</v>
      </c>
      <c r="C5" s="64" t="s">
        <v>339</v>
      </c>
      <c r="D5" s="64" t="s">
        <v>340</v>
      </c>
      <c r="E5" s="64" t="s">
        <v>341</v>
      </c>
      <c r="F5" s="64" t="s">
        <v>336</v>
      </c>
      <c r="G5" s="65" t="s">
        <v>22</v>
      </c>
      <c r="H5" s="63" t="str">
        <f t="shared" si="1"/>
        <v>Yes</v>
      </c>
      <c r="I5" s="63">
        <f t="shared" si="2"/>
        <v>1</v>
      </c>
      <c r="J5" s="66" t="str">
        <f t="shared" si="3"/>
        <v/>
      </c>
      <c r="K5" s="67"/>
      <c r="L5" s="66" t="str">
        <f t="shared" si="4"/>
        <v/>
      </c>
      <c r="M5" s="68" t="str">
        <f t="shared" si="5"/>
        <v/>
      </c>
      <c r="N5" s="64"/>
      <c r="O5" s="64"/>
      <c r="P5" s="64"/>
      <c r="Q5" s="64"/>
      <c r="R5" s="64"/>
      <c r="S5" s="64"/>
      <c r="T5" s="64"/>
      <c r="U5" s="64"/>
      <c r="V5" s="64"/>
      <c r="W5" s="64"/>
      <c r="X5" s="64"/>
      <c r="Y5" s="64"/>
      <c r="Z5" s="64"/>
      <c r="AA5" s="64"/>
    </row>
    <row r="6" ht="12.75" customHeight="1">
      <c r="A6" s="63">
        <v>58.0</v>
      </c>
      <c r="B6" s="64" t="s">
        <v>277</v>
      </c>
      <c r="C6" s="64" t="s">
        <v>344</v>
      </c>
      <c r="D6" s="64" t="s">
        <v>345</v>
      </c>
      <c r="E6" s="64" t="s">
        <v>346</v>
      </c>
      <c r="F6" s="64" t="s">
        <v>336</v>
      </c>
      <c r="G6" s="65" t="s">
        <v>22</v>
      </c>
      <c r="H6" s="63" t="str">
        <f t="shared" si="1"/>
        <v>Yes</v>
      </c>
      <c r="I6" s="63">
        <f t="shared" si="2"/>
        <v>2</v>
      </c>
      <c r="J6" s="66" t="str">
        <f t="shared" si="3"/>
        <v/>
      </c>
      <c r="K6" s="67"/>
      <c r="L6" s="66" t="str">
        <f t="shared" si="4"/>
        <v/>
      </c>
      <c r="M6" s="68" t="str">
        <f t="shared" si="5"/>
        <v/>
      </c>
      <c r="N6" s="64"/>
      <c r="O6" s="64"/>
      <c r="P6" s="64"/>
      <c r="Q6" s="64"/>
      <c r="R6" s="64"/>
      <c r="S6" s="64"/>
      <c r="T6" s="64"/>
      <c r="U6" s="64"/>
      <c r="V6" s="64"/>
      <c r="W6" s="64"/>
      <c r="X6" s="64"/>
      <c r="Y6" s="64"/>
      <c r="Z6" s="64"/>
      <c r="AA6" s="64"/>
    </row>
    <row r="7" ht="12.75" customHeight="1">
      <c r="A7" s="63">
        <v>59.0</v>
      </c>
      <c r="B7" s="64" t="s">
        <v>277</v>
      </c>
      <c r="C7" s="64" t="s">
        <v>347</v>
      </c>
      <c r="D7" s="64" t="s">
        <v>348</v>
      </c>
      <c r="E7" s="64" t="s">
        <v>349</v>
      </c>
      <c r="F7" s="64" t="s">
        <v>350</v>
      </c>
      <c r="G7" s="65" t="s">
        <v>72</v>
      </c>
      <c r="H7" s="63" t="str">
        <f t="shared" si="1"/>
        <v>Yes</v>
      </c>
      <c r="I7" s="63">
        <f t="shared" si="2"/>
        <v>3</v>
      </c>
      <c r="J7" s="66" t="str">
        <f t="shared" si="3"/>
        <v/>
      </c>
      <c r="K7" s="67"/>
      <c r="L7" s="66" t="str">
        <f t="shared" si="4"/>
        <v/>
      </c>
      <c r="M7" s="68" t="str">
        <f t="shared" si="5"/>
        <v/>
      </c>
      <c r="N7" s="64"/>
      <c r="O7" s="64"/>
      <c r="P7" s="64"/>
      <c r="Q7" s="64"/>
      <c r="R7" s="64"/>
      <c r="S7" s="64"/>
      <c r="T7" s="64"/>
      <c r="U7" s="64"/>
      <c r="V7" s="64"/>
      <c r="W7" s="64"/>
      <c r="X7" s="64"/>
      <c r="Y7" s="64"/>
      <c r="Z7" s="64"/>
      <c r="AA7" s="64"/>
    </row>
    <row r="8" ht="12.75" customHeight="1">
      <c r="A8" s="63">
        <v>61.0</v>
      </c>
      <c r="B8" s="64" t="s">
        <v>277</v>
      </c>
      <c r="C8" s="64" t="s">
        <v>351</v>
      </c>
      <c r="D8" s="64" t="s">
        <v>352</v>
      </c>
      <c r="E8" s="64" t="s">
        <v>353</v>
      </c>
      <c r="F8" s="64" t="s">
        <v>350</v>
      </c>
      <c r="G8" s="65" t="s">
        <v>41</v>
      </c>
      <c r="H8" s="63" t="str">
        <f t="shared" si="1"/>
        <v>Yes</v>
      </c>
      <c r="I8" s="63">
        <f t="shared" si="2"/>
        <v>1</v>
      </c>
      <c r="J8" s="66">
        <f t="shared" si="3"/>
        <v>30</v>
      </c>
      <c r="K8" s="67"/>
      <c r="L8" s="66" t="str">
        <f t="shared" si="4"/>
        <v/>
      </c>
      <c r="M8" s="68" t="str">
        <f t="shared" si="5"/>
        <v/>
      </c>
      <c r="N8" s="64"/>
      <c r="O8" s="64"/>
      <c r="P8" s="64"/>
      <c r="Q8" s="64"/>
      <c r="R8" s="64"/>
      <c r="S8" s="64"/>
      <c r="T8" s="64"/>
      <c r="U8" s="64"/>
      <c r="V8" s="64"/>
      <c r="W8" s="64"/>
      <c r="X8" s="64"/>
      <c r="Y8" s="64"/>
      <c r="Z8" s="64"/>
      <c r="AA8" s="64"/>
    </row>
    <row r="9" ht="12.75" customHeight="1">
      <c r="A9" s="63">
        <v>64.0</v>
      </c>
      <c r="B9" s="64" t="s">
        <v>277</v>
      </c>
      <c r="C9" s="64" t="s">
        <v>354</v>
      </c>
      <c r="D9" s="64" t="s">
        <v>355</v>
      </c>
      <c r="E9" s="64" t="s">
        <v>356</v>
      </c>
      <c r="F9" s="64" t="s">
        <v>357</v>
      </c>
      <c r="G9" s="65" t="s">
        <v>155</v>
      </c>
      <c r="H9" s="63" t="str">
        <f t="shared" si="1"/>
        <v>Yes</v>
      </c>
      <c r="I9" s="63">
        <f t="shared" si="2"/>
        <v>2</v>
      </c>
      <c r="J9" s="66" t="str">
        <f t="shared" si="3"/>
        <v/>
      </c>
      <c r="K9" s="67"/>
      <c r="L9" s="66" t="str">
        <f t="shared" si="4"/>
        <v/>
      </c>
      <c r="M9" s="68" t="str">
        <f t="shared" si="5"/>
        <v/>
      </c>
      <c r="N9" s="64"/>
      <c r="O9" s="64"/>
      <c r="P9" s="64"/>
      <c r="Q9" s="64"/>
      <c r="R9" s="64"/>
      <c r="S9" s="64"/>
      <c r="T9" s="64"/>
      <c r="U9" s="64"/>
      <c r="V9" s="64"/>
      <c r="W9" s="64"/>
      <c r="X9" s="64"/>
      <c r="Y9" s="64"/>
      <c r="Z9" s="64"/>
      <c r="AA9" s="64"/>
    </row>
    <row r="10" ht="12.75" customHeight="1">
      <c r="A10" s="63">
        <v>66.0</v>
      </c>
      <c r="B10" s="64" t="s">
        <v>277</v>
      </c>
      <c r="C10" s="64" t="s">
        <v>358</v>
      </c>
      <c r="D10" s="64" t="s">
        <v>359</v>
      </c>
      <c r="E10" s="64" t="s">
        <v>360</v>
      </c>
      <c r="F10" s="64" t="s">
        <v>350</v>
      </c>
      <c r="G10" s="65" t="s">
        <v>41</v>
      </c>
      <c r="H10" s="63" t="str">
        <f t="shared" si="1"/>
        <v>Yes</v>
      </c>
      <c r="I10" s="63">
        <f t="shared" si="2"/>
        <v>2</v>
      </c>
      <c r="J10" s="66" t="str">
        <f t="shared" si="3"/>
        <v/>
      </c>
      <c r="K10" s="67"/>
      <c r="L10" s="66" t="str">
        <f t="shared" si="4"/>
        <v/>
      </c>
      <c r="M10" s="68" t="str">
        <f t="shared" si="5"/>
        <v/>
      </c>
      <c r="N10" s="64"/>
      <c r="O10" s="64"/>
      <c r="P10" s="64"/>
      <c r="Q10" s="64"/>
      <c r="R10" s="64"/>
      <c r="S10" s="64"/>
      <c r="T10" s="64"/>
      <c r="U10" s="64"/>
      <c r="V10" s="64"/>
      <c r="W10" s="64"/>
      <c r="X10" s="64"/>
      <c r="Y10" s="64"/>
      <c r="Z10" s="64"/>
      <c r="AA10" s="64"/>
    </row>
    <row r="11" ht="12.75" customHeight="1">
      <c r="A11" s="63">
        <v>79.0</v>
      </c>
      <c r="B11" s="64" t="s">
        <v>277</v>
      </c>
      <c r="C11" s="64" t="s">
        <v>361</v>
      </c>
      <c r="D11" s="64" t="s">
        <v>362</v>
      </c>
      <c r="E11" s="64" t="s">
        <v>363</v>
      </c>
      <c r="F11" s="64" t="s">
        <v>364</v>
      </c>
      <c r="G11" s="65" t="s">
        <v>166</v>
      </c>
      <c r="H11" s="63" t="str">
        <f t="shared" si="1"/>
        <v>Yes</v>
      </c>
      <c r="I11" s="63">
        <f t="shared" si="2"/>
        <v>1</v>
      </c>
      <c r="J11" s="66" t="str">
        <f t="shared" si="3"/>
        <v/>
      </c>
      <c r="K11" s="67"/>
      <c r="L11" s="66" t="str">
        <f t="shared" si="4"/>
        <v/>
      </c>
      <c r="M11" s="68" t="str">
        <f t="shared" si="5"/>
        <v/>
      </c>
      <c r="N11" s="64"/>
      <c r="O11" s="64"/>
      <c r="P11" s="64"/>
      <c r="Q11" s="64"/>
      <c r="R11" s="64"/>
      <c r="S11" s="64"/>
      <c r="T11" s="64"/>
      <c r="U11" s="64"/>
      <c r="V11" s="64"/>
      <c r="W11" s="64"/>
      <c r="X11" s="64"/>
      <c r="Y11" s="64"/>
      <c r="Z11" s="64"/>
      <c r="AA11" s="64"/>
    </row>
    <row r="12" ht="12.75" customHeight="1">
      <c r="A12" s="63">
        <v>86.0</v>
      </c>
      <c r="B12" s="64" t="s">
        <v>277</v>
      </c>
      <c r="C12" s="64" t="s">
        <v>365</v>
      </c>
      <c r="D12" s="64" t="s">
        <v>366</v>
      </c>
      <c r="E12" s="64" t="s">
        <v>367</v>
      </c>
      <c r="F12" s="64" t="s">
        <v>364</v>
      </c>
      <c r="G12" s="65" t="s">
        <v>155</v>
      </c>
      <c r="H12" s="63" t="str">
        <f t="shared" si="1"/>
        <v>Yes</v>
      </c>
      <c r="I12" s="63">
        <f t="shared" si="2"/>
        <v>3</v>
      </c>
      <c r="J12" s="66" t="str">
        <f t="shared" si="3"/>
        <v/>
      </c>
      <c r="K12" s="67"/>
      <c r="L12" s="66" t="str">
        <f t="shared" si="4"/>
        <v/>
      </c>
      <c r="M12" s="68" t="str">
        <f t="shared" si="5"/>
        <v/>
      </c>
      <c r="N12" s="64"/>
      <c r="O12" s="64"/>
      <c r="P12" s="64"/>
      <c r="Q12" s="64"/>
      <c r="R12" s="64"/>
      <c r="S12" s="64"/>
      <c r="T12" s="64"/>
      <c r="U12" s="64"/>
      <c r="V12" s="64"/>
      <c r="W12" s="64"/>
      <c r="X12" s="64"/>
      <c r="Y12" s="64"/>
      <c r="Z12" s="64"/>
      <c r="AA12" s="64"/>
    </row>
    <row r="13" ht="12.75" customHeight="1">
      <c r="A13" s="63">
        <v>94.0</v>
      </c>
      <c r="B13" s="64" t="s">
        <v>277</v>
      </c>
      <c r="C13" s="64" t="s">
        <v>368</v>
      </c>
      <c r="D13" s="64" t="s">
        <v>369</v>
      </c>
      <c r="E13" s="64" t="s">
        <v>370</v>
      </c>
      <c r="F13" s="64" t="s">
        <v>153</v>
      </c>
      <c r="G13" s="65" t="s">
        <v>30</v>
      </c>
      <c r="H13" s="63" t="str">
        <f t="shared" si="1"/>
        <v>Yes</v>
      </c>
      <c r="I13" s="63">
        <f t="shared" si="2"/>
        <v>1</v>
      </c>
      <c r="J13" s="66" t="str">
        <f t="shared" si="3"/>
        <v/>
      </c>
      <c r="K13" s="67"/>
      <c r="L13" s="66" t="str">
        <f t="shared" si="4"/>
        <v/>
      </c>
      <c r="M13" s="68" t="str">
        <f t="shared" si="5"/>
        <v/>
      </c>
      <c r="N13" s="64"/>
      <c r="O13" s="64"/>
      <c r="P13" s="64"/>
      <c r="Q13" s="64"/>
      <c r="R13" s="64"/>
      <c r="S13" s="64"/>
      <c r="T13" s="64"/>
      <c r="U13" s="64"/>
      <c r="V13" s="64"/>
      <c r="W13" s="64"/>
      <c r="X13" s="64"/>
      <c r="Y13" s="64"/>
      <c r="Z13" s="64"/>
      <c r="AA13" s="64"/>
    </row>
    <row r="14" ht="12.75" customHeight="1">
      <c r="A14" s="63">
        <v>95.0</v>
      </c>
      <c r="B14" s="64" t="s">
        <v>277</v>
      </c>
      <c r="C14" s="64" t="s">
        <v>371</v>
      </c>
      <c r="D14" s="64" t="s">
        <v>372</v>
      </c>
      <c r="E14" s="64" t="s">
        <v>373</v>
      </c>
      <c r="F14" s="64" t="s">
        <v>364</v>
      </c>
      <c r="G14" s="65" t="s">
        <v>63</v>
      </c>
      <c r="H14" s="63" t="str">
        <f t="shared" si="1"/>
        <v>Yes</v>
      </c>
      <c r="I14" s="63">
        <f t="shared" si="2"/>
        <v>1</v>
      </c>
      <c r="J14" s="66" t="str">
        <f t="shared" si="3"/>
        <v/>
      </c>
      <c r="K14" s="67"/>
      <c r="L14" s="66" t="str">
        <f t="shared" si="4"/>
        <v/>
      </c>
      <c r="M14" s="68" t="str">
        <f t="shared" si="5"/>
        <v/>
      </c>
      <c r="N14" s="64"/>
      <c r="O14" s="64"/>
      <c r="P14" s="64"/>
      <c r="Q14" s="64"/>
      <c r="R14" s="64"/>
      <c r="S14" s="64"/>
      <c r="T14" s="64"/>
      <c r="U14" s="64"/>
      <c r="V14" s="64"/>
      <c r="W14" s="64"/>
      <c r="X14" s="64"/>
      <c r="Y14" s="64"/>
      <c r="Z14" s="64"/>
      <c r="AA14" s="64"/>
    </row>
    <row r="15" ht="12.75" customHeight="1">
      <c r="A15" s="63">
        <v>100.0</v>
      </c>
      <c r="B15" s="64" t="s">
        <v>277</v>
      </c>
      <c r="C15" s="64" t="s">
        <v>374</v>
      </c>
      <c r="D15" s="64" t="s">
        <v>375</v>
      </c>
      <c r="E15" s="64" t="s">
        <v>376</v>
      </c>
      <c r="F15" s="64" t="s">
        <v>377</v>
      </c>
      <c r="G15" s="65"/>
      <c r="H15" s="63" t="str">
        <f t="shared" si="1"/>
        <v>No</v>
      </c>
      <c r="I15" s="63" t="str">
        <f t="shared" si="2"/>
        <v/>
      </c>
      <c r="J15" s="66" t="str">
        <f t="shared" si="3"/>
        <v/>
      </c>
      <c r="K15" s="67"/>
      <c r="L15" s="66" t="str">
        <f t="shared" si="4"/>
        <v/>
      </c>
      <c r="M15" s="68" t="str">
        <f t="shared" si="5"/>
        <v/>
      </c>
      <c r="N15" s="64"/>
      <c r="O15" s="64"/>
      <c r="P15" s="64"/>
      <c r="Q15" s="64"/>
      <c r="R15" s="64"/>
      <c r="S15" s="64"/>
      <c r="T15" s="64"/>
      <c r="U15" s="64"/>
      <c r="V15" s="64"/>
      <c r="W15" s="64"/>
      <c r="X15" s="64"/>
      <c r="Y15" s="64"/>
      <c r="Z15" s="64"/>
      <c r="AA15" s="64"/>
    </row>
    <row r="16" ht="12.75" customHeight="1">
      <c r="A16" s="63">
        <v>104.0</v>
      </c>
      <c r="B16" s="64" t="s">
        <v>277</v>
      </c>
      <c r="C16" s="64" t="s">
        <v>378</v>
      </c>
      <c r="D16" s="64" t="s">
        <v>379</v>
      </c>
      <c r="E16" s="64" t="s">
        <v>380</v>
      </c>
      <c r="F16" s="64" t="s">
        <v>381</v>
      </c>
      <c r="G16" s="65"/>
      <c r="H16" s="63" t="str">
        <f t="shared" si="1"/>
        <v>No</v>
      </c>
      <c r="I16" s="63" t="str">
        <f t="shared" si="2"/>
        <v/>
      </c>
      <c r="J16" s="66" t="str">
        <f t="shared" si="3"/>
        <v/>
      </c>
      <c r="K16" s="67"/>
      <c r="L16" s="66" t="str">
        <f t="shared" si="4"/>
        <v/>
      </c>
      <c r="M16" s="68" t="str">
        <f t="shared" si="5"/>
        <v/>
      </c>
      <c r="N16" s="64"/>
      <c r="O16" s="64"/>
      <c r="P16" s="64"/>
      <c r="Q16" s="64"/>
      <c r="R16" s="64"/>
      <c r="S16" s="64"/>
      <c r="T16" s="64"/>
      <c r="U16" s="64"/>
      <c r="V16" s="64"/>
      <c r="W16" s="64"/>
      <c r="X16" s="64"/>
      <c r="Y16" s="64"/>
      <c r="Z16" s="64"/>
      <c r="AA16" s="64"/>
    </row>
    <row r="17" ht="12.75" customHeight="1">
      <c r="A17" s="63">
        <v>124.0</v>
      </c>
      <c r="B17" s="64" t="s">
        <v>277</v>
      </c>
      <c r="C17" s="64" t="s">
        <v>382</v>
      </c>
      <c r="D17" s="64" t="s">
        <v>383</v>
      </c>
      <c r="E17" s="64" t="s">
        <v>384</v>
      </c>
      <c r="F17" s="64" t="s">
        <v>385</v>
      </c>
      <c r="G17" s="65" t="s">
        <v>49</v>
      </c>
      <c r="H17" s="63" t="str">
        <f t="shared" si="1"/>
        <v>Yes</v>
      </c>
      <c r="I17" s="63">
        <f t="shared" si="2"/>
        <v>1</v>
      </c>
      <c r="J17" s="66" t="str">
        <f t="shared" si="3"/>
        <v/>
      </c>
      <c r="K17" s="67"/>
      <c r="L17" s="66" t="str">
        <f t="shared" si="4"/>
        <v/>
      </c>
      <c r="M17" s="68" t="str">
        <f t="shared" si="5"/>
        <v/>
      </c>
      <c r="N17" s="64"/>
      <c r="O17" s="64"/>
      <c r="P17" s="64"/>
      <c r="Q17" s="64"/>
      <c r="R17" s="64"/>
      <c r="S17" s="64"/>
      <c r="T17" s="64"/>
      <c r="U17" s="64"/>
      <c r="V17" s="64"/>
      <c r="W17" s="64"/>
      <c r="X17" s="64"/>
      <c r="Y17" s="64"/>
      <c r="Z17" s="64"/>
      <c r="AA17" s="64"/>
    </row>
    <row r="18" ht="12.75" customHeight="1">
      <c r="A18" s="63">
        <v>127.0</v>
      </c>
      <c r="B18" s="64" t="s">
        <v>277</v>
      </c>
      <c r="C18" s="64" t="s">
        <v>386</v>
      </c>
      <c r="D18" s="64" t="s">
        <v>387</v>
      </c>
      <c r="E18" s="64" t="s">
        <v>388</v>
      </c>
      <c r="F18" s="64" t="s">
        <v>389</v>
      </c>
      <c r="G18" s="65" t="s">
        <v>49</v>
      </c>
      <c r="H18" s="63" t="str">
        <f t="shared" si="1"/>
        <v>Yes</v>
      </c>
      <c r="I18" s="63">
        <f t="shared" si="2"/>
        <v>2</v>
      </c>
      <c r="J18" s="66" t="str">
        <f t="shared" si="3"/>
        <v/>
      </c>
      <c r="K18" s="67"/>
      <c r="L18" s="66" t="str">
        <f t="shared" si="4"/>
        <v/>
      </c>
      <c r="M18" s="68" t="str">
        <f t="shared" si="5"/>
        <v/>
      </c>
      <c r="N18" s="64"/>
      <c r="O18" s="64"/>
      <c r="P18" s="64"/>
      <c r="Q18" s="64"/>
      <c r="R18" s="64"/>
      <c r="S18" s="64"/>
      <c r="T18" s="64"/>
      <c r="U18" s="64"/>
      <c r="V18" s="64"/>
      <c r="W18" s="64"/>
      <c r="X18" s="64"/>
      <c r="Y18" s="64"/>
      <c r="Z18" s="64"/>
      <c r="AA18" s="64"/>
    </row>
    <row r="19" ht="12.75" customHeight="1">
      <c r="A19" s="63">
        <v>135.0</v>
      </c>
      <c r="B19" s="64" t="s">
        <v>277</v>
      </c>
      <c r="C19" s="64" t="s">
        <v>390</v>
      </c>
      <c r="D19" s="64" t="s">
        <v>391</v>
      </c>
      <c r="E19" s="64" t="s">
        <v>392</v>
      </c>
      <c r="F19" s="64" t="s">
        <v>393</v>
      </c>
      <c r="G19" s="65" t="s">
        <v>166</v>
      </c>
      <c r="H19" s="63" t="str">
        <f t="shared" si="1"/>
        <v>Yes</v>
      </c>
      <c r="I19" s="63">
        <f t="shared" si="2"/>
        <v>2</v>
      </c>
      <c r="J19" s="66" t="str">
        <f t="shared" si="3"/>
        <v/>
      </c>
      <c r="K19" s="67"/>
      <c r="L19" s="66" t="str">
        <f t="shared" si="4"/>
        <v/>
      </c>
      <c r="M19" s="68" t="str">
        <f t="shared" si="5"/>
        <v/>
      </c>
      <c r="N19" s="64"/>
      <c r="O19" s="64"/>
      <c r="P19" s="64"/>
      <c r="Q19" s="64"/>
      <c r="R19" s="64"/>
      <c r="S19" s="64"/>
      <c r="T19" s="64"/>
      <c r="U19" s="64"/>
      <c r="V19" s="64"/>
      <c r="W19" s="64"/>
      <c r="X19" s="64"/>
      <c r="Y19" s="64"/>
      <c r="Z19" s="64"/>
      <c r="AA19" s="64"/>
    </row>
    <row r="20" ht="12.75" customHeight="1">
      <c r="A20" s="63">
        <v>138.0</v>
      </c>
      <c r="B20" s="64" t="s">
        <v>277</v>
      </c>
      <c r="C20" s="64" t="s">
        <v>394</v>
      </c>
      <c r="D20" s="64" t="s">
        <v>395</v>
      </c>
      <c r="E20" s="64" t="s">
        <v>324</v>
      </c>
      <c r="F20" s="64" t="s">
        <v>325</v>
      </c>
      <c r="G20" s="65" t="s">
        <v>72</v>
      </c>
      <c r="H20" s="63" t="str">
        <f t="shared" si="1"/>
        <v>Yes</v>
      </c>
      <c r="I20" s="63">
        <f t="shared" si="2"/>
        <v>4</v>
      </c>
      <c r="J20" s="66" t="str">
        <f t="shared" si="3"/>
        <v/>
      </c>
      <c r="K20" s="67"/>
      <c r="L20" s="66" t="str">
        <f t="shared" si="4"/>
        <v/>
      </c>
      <c r="M20" s="68" t="str">
        <f t="shared" si="5"/>
        <v/>
      </c>
      <c r="N20" s="64"/>
      <c r="O20" s="64"/>
      <c r="P20" s="64"/>
      <c r="Q20" s="64"/>
      <c r="R20" s="64"/>
      <c r="S20" s="64"/>
      <c r="T20" s="64"/>
      <c r="U20" s="64"/>
      <c r="V20" s="64"/>
      <c r="W20" s="64"/>
      <c r="X20" s="64"/>
      <c r="Y20" s="64"/>
      <c r="Z20" s="64"/>
      <c r="AA20" s="64"/>
    </row>
    <row r="21" ht="12.75" customHeight="1">
      <c r="A21" s="63">
        <v>147.0</v>
      </c>
      <c r="B21" s="64" t="s">
        <v>277</v>
      </c>
      <c r="C21" s="64" t="s">
        <v>396</v>
      </c>
      <c r="D21" s="64" t="s">
        <v>397</v>
      </c>
      <c r="E21" s="64" t="s">
        <v>398</v>
      </c>
      <c r="F21" s="64" t="s">
        <v>399</v>
      </c>
      <c r="G21" s="65" t="s">
        <v>49</v>
      </c>
      <c r="H21" s="63" t="str">
        <f t="shared" si="1"/>
        <v>Yes</v>
      </c>
      <c r="I21" s="63">
        <f t="shared" si="2"/>
        <v>3</v>
      </c>
      <c r="J21" s="66" t="str">
        <f t="shared" si="3"/>
        <v/>
      </c>
      <c r="K21" s="67"/>
      <c r="L21" s="66" t="str">
        <f t="shared" si="4"/>
        <v/>
      </c>
      <c r="M21" s="68" t="str">
        <f t="shared" si="5"/>
        <v/>
      </c>
      <c r="N21" s="64"/>
      <c r="O21" s="64"/>
      <c r="P21" s="64"/>
      <c r="Q21" s="64"/>
      <c r="R21" s="64"/>
      <c r="S21" s="64"/>
      <c r="T21" s="64"/>
      <c r="U21" s="64"/>
      <c r="V21" s="64"/>
      <c r="W21" s="64"/>
      <c r="X21" s="64"/>
      <c r="Y21" s="64"/>
      <c r="Z21" s="64"/>
      <c r="AA21" s="64"/>
    </row>
    <row r="22" ht="12.75" customHeight="1">
      <c r="A22" s="63">
        <v>162.0</v>
      </c>
      <c r="B22" s="64" t="s">
        <v>277</v>
      </c>
      <c r="C22" s="64" t="s">
        <v>400</v>
      </c>
      <c r="D22" s="64" t="s">
        <v>401</v>
      </c>
      <c r="E22" s="64" t="s">
        <v>402</v>
      </c>
      <c r="F22" s="64" t="s">
        <v>223</v>
      </c>
      <c r="G22" s="65" t="s">
        <v>30</v>
      </c>
      <c r="H22" s="63" t="str">
        <f t="shared" si="1"/>
        <v>Yes</v>
      </c>
      <c r="I22" s="63">
        <f t="shared" si="2"/>
        <v>2</v>
      </c>
      <c r="J22" s="66" t="str">
        <f t="shared" si="3"/>
        <v/>
      </c>
      <c r="K22" s="67"/>
      <c r="L22" s="66" t="str">
        <f t="shared" si="4"/>
        <v/>
      </c>
      <c r="M22" s="68" t="str">
        <f t="shared" si="5"/>
        <v/>
      </c>
      <c r="N22" s="64"/>
      <c r="O22" s="64"/>
      <c r="P22" s="64"/>
      <c r="Q22" s="64"/>
      <c r="R22" s="64"/>
      <c r="S22" s="64"/>
      <c r="T22" s="64"/>
      <c r="U22" s="64"/>
      <c r="V22" s="64"/>
      <c r="W22" s="64"/>
      <c r="X22" s="64"/>
      <c r="Y22" s="64"/>
      <c r="Z22" s="64"/>
      <c r="AA22" s="64"/>
    </row>
    <row r="23" ht="12.75" customHeight="1">
      <c r="A23" s="63">
        <v>166.0</v>
      </c>
      <c r="B23" s="64" t="s">
        <v>277</v>
      </c>
      <c r="C23" s="64" t="s">
        <v>403</v>
      </c>
      <c r="D23" s="64" t="s">
        <v>404</v>
      </c>
      <c r="E23" s="64" t="s">
        <v>405</v>
      </c>
      <c r="F23" s="64" t="s">
        <v>406</v>
      </c>
      <c r="G23" s="65" t="s">
        <v>166</v>
      </c>
      <c r="H23" s="63" t="str">
        <f t="shared" si="1"/>
        <v>Yes</v>
      </c>
      <c r="I23" s="63">
        <f t="shared" si="2"/>
        <v>3</v>
      </c>
      <c r="J23" s="66" t="str">
        <f t="shared" si="3"/>
        <v/>
      </c>
      <c r="K23" s="67"/>
      <c r="L23" s="66" t="str">
        <f t="shared" si="4"/>
        <v/>
      </c>
      <c r="M23" s="68" t="str">
        <f t="shared" si="5"/>
        <v/>
      </c>
      <c r="N23" s="64"/>
      <c r="O23" s="64"/>
      <c r="P23" s="64"/>
      <c r="Q23" s="64"/>
      <c r="R23" s="64"/>
      <c r="S23" s="64"/>
      <c r="T23" s="64"/>
      <c r="U23" s="64"/>
      <c r="V23" s="64"/>
      <c r="W23" s="64"/>
      <c r="X23" s="64"/>
      <c r="Y23" s="64"/>
      <c r="Z23" s="64"/>
      <c r="AA23" s="64"/>
    </row>
    <row r="24" ht="12.75" customHeight="1">
      <c r="A24" s="63">
        <v>167.0</v>
      </c>
      <c r="B24" s="64" t="s">
        <v>277</v>
      </c>
      <c r="C24" s="64" t="s">
        <v>407</v>
      </c>
      <c r="D24" s="64" t="s">
        <v>408</v>
      </c>
      <c r="E24" s="64" t="s">
        <v>409</v>
      </c>
      <c r="F24" s="64" t="s">
        <v>410</v>
      </c>
      <c r="G24" s="65" t="s">
        <v>166</v>
      </c>
      <c r="H24" s="63" t="str">
        <f t="shared" si="1"/>
        <v>Yes</v>
      </c>
      <c r="I24" s="63">
        <f t="shared" si="2"/>
        <v>4</v>
      </c>
      <c r="J24" s="66" t="str">
        <f t="shared" si="3"/>
        <v/>
      </c>
      <c r="K24" s="67"/>
      <c r="L24" s="66" t="str">
        <f t="shared" si="4"/>
        <v/>
      </c>
      <c r="M24" s="68" t="str">
        <f t="shared" si="5"/>
        <v/>
      </c>
      <c r="N24" s="64"/>
      <c r="O24" s="64"/>
      <c r="P24" s="64"/>
      <c r="Q24" s="64"/>
      <c r="R24" s="64"/>
      <c r="S24" s="64"/>
      <c r="T24" s="64"/>
      <c r="U24" s="64"/>
      <c r="V24" s="64"/>
      <c r="W24" s="64"/>
      <c r="X24" s="64"/>
      <c r="Y24" s="64"/>
      <c r="Z24" s="64"/>
      <c r="AA24" s="64"/>
    </row>
    <row r="25" ht="12.75" customHeight="1">
      <c r="A25" s="63">
        <v>176.0</v>
      </c>
      <c r="B25" s="64" t="s">
        <v>277</v>
      </c>
      <c r="C25" s="64" t="s">
        <v>411</v>
      </c>
      <c r="D25" s="64" t="s">
        <v>412</v>
      </c>
      <c r="E25" s="64" t="s">
        <v>413</v>
      </c>
      <c r="F25" s="64" t="s">
        <v>414</v>
      </c>
      <c r="G25" s="65" t="s">
        <v>63</v>
      </c>
      <c r="H25" s="63" t="str">
        <f t="shared" si="1"/>
        <v>Yes</v>
      </c>
      <c r="I25" s="63">
        <f t="shared" si="2"/>
        <v>2</v>
      </c>
      <c r="J25" s="66" t="str">
        <f t="shared" si="3"/>
        <v/>
      </c>
      <c r="K25" s="67"/>
      <c r="L25" s="66" t="str">
        <f t="shared" si="4"/>
        <v/>
      </c>
      <c r="M25" s="68" t="str">
        <f t="shared" si="5"/>
        <v/>
      </c>
      <c r="N25" s="64"/>
      <c r="O25" s="64"/>
      <c r="P25" s="64"/>
      <c r="Q25" s="64"/>
      <c r="R25" s="64"/>
      <c r="S25" s="64"/>
      <c r="T25" s="64"/>
      <c r="U25" s="64"/>
      <c r="V25" s="64"/>
      <c r="W25" s="64"/>
      <c r="X25" s="64"/>
      <c r="Y25" s="64"/>
      <c r="Z25" s="64"/>
      <c r="AA25" s="64"/>
    </row>
    <row r="26" ht="12.75" customHeight="1">
      <c r="A26" s="63">
        <v>177.0</v>
      </c>
      <c r="B26" s="64" t="s">
        <v>277</v>
      </c>
      <c r="C26" s="64" t="s">
        <v>415</v>
      </c>
      <c r="D26" s="64" t="s">
        <v>416</v>
      </c>
      <c r="E26" s="64" t="s">
        <v>417</v>
      </c>
      <c r="F26" s="64" t="s">
        <v>233</v>
      </c>
      <c r="G26" s="65" t="s">
        <v>22</v>
      </c>
      <c r="H26" s="63" t="str">
        <f t="shared" si="1"/>
        <v>Yes</v>
      </c>
      <c r="I26" s="63">
        <f t="shared" si="2"/>
        <v>3</v>
      </c>
      <c r="J26" s="66" t="str">
        <f t="shared" si="3"/>
        <v/>
      </c>
      <c r="K26" s="67"/>
      <c r="L26" s="66" t="str">
        <f t="shared" si="4"/>
        <v/>
      </c>
      <c r="M26" s="68" t="str">
        <f t="shared" si="5"/>
        <v/>
      </c>
      <c r="N26" s="64"/>
      <c r="O26" s="64"/>
      <c r="P26" s="64"/>
      <c r="Q26" s="64"/>
      <c r="R26" s="64"/>
      <c r="S26" s="64"/>
      <c r="T26" s="64"/>
      <c r="U26" s="64"/>
      <c r="V26" s="64"/>
      <c r="W26" s="64"/>
      <c r="X26" s="64"/>
      <c r="Y26" s="64"/>
      <c r="Z26" s="64"/>
      <c r="AA26" s="64"/>
    </row>
    <row r="27" ht="12.75" customHeight="1">
      <c r="A27" s="63">
        <v>181.0</v>
      </c>
      <c r="B27" s="64" t="s">
        <v>277</v>
      </c>
      <c r="C27" s="64" t="s">
        <v>418</v>
      </c>
      <c r="D27" s="64" t="s">
        <v>419</v>
      </c>
      <c r="E27" s="64" t="s">
        <v>420</v>
      </c>
      <c r="F27" s="64" t="s">
        <v>421</v>
      </c>
      <c r="G27" s="65"/>
      <c r="H27" s="63" t="str">
        <f t="shared" si="1"/>
        <v>No</v>
      </c>
      <c r="I27" s="63" t="str">
        <f t="shared" si="2"/>
        <v/>
      </c>
      <c r="J27" s="66" t="str">
        <f t="shared" si="3"/>
        <v/>
      </c>
      <c r="K27" s="67"/>
      <c r="L27" s="66" t="str">
        <f t="shared" si="4"/>
        <v/>
      </c>
      <c r="M27" s="68" t="str">
        <f t="shared" si="5"/>
        <v/>
      </c>
      <c r="N27" s="64"/>
      <c r="O27" s="64"/>
      <c r="P27" s="64"/>
      <c r="Q27" s="64"/>
      <c r="R27" s="64"/>
      <c r="S27" s="64"/>
      <c r="T27" s="64"/>
      <c r="U27" s="64"/>
      <c r="V27" s="64"/>
      <c r="W27" s="64"/>
      <c r="X27" s="64"/>
      <c r="Y27" s="64"/>
      <c r="Z27" s="64"/>
      <c r="AA27" s="64"/>
    </row>
    <row r="28" ht="12.75" customHeight="1">
      <c r="A28" s="63">
        <v>193.0</v>
      </c>
      <c r="B28" s="64" t="s">
        <v>277</v>
      </c>
      <c r="C28" s="64" t="s">
        <v>422</v>
      </c>
      <c r="D28" s="64" t="s">
        <v>423</v>
      </c>
      <c r="E28" s="64" t="s">
        <v>424</v>
      </c>
      <c r="F28" s="64" t="s">
        <v>425</v>
      </c>
      <c r="G28" s="65"/>
      <c r="H28" s="63" t="str">
        <f t="shared" si="1"/>
        <v>No</v>
      </c>
      <c r="I28" s="63" t="str">
        <f t="shared" si="2"/>
        <v/>
      </c>
      <c r="J28" s="66" t="str">
        <f t="shared" si="3"/>
        <v/>
      </c>
      <c r="K28" s="67"/>
      <c r="L28" s="66" t="str">
        <f t="shared" si="4"/>
        <v/>
      </c>
      <c r="M28" s="68" t="str">
        <f t="shared" si="5"/>
        <v/>
      </c>
      <c r="N28" s="64"/>
      <c r="O28" s="64"/>
      <c r="P28" s="64"/>
      <c r="Q28" s="64"/>
      <c r="R28" s="64"/>
      <c r="S28" s="64"/>
      <c r="T28" s="64"/>
      <c r="U28" s="64"/>
      <c r="V28" s="64"/>
      <c r="W28" s="64"/>
      <c r="X28" s="64"/>
      <c r="Y28" s="64"/>
      <c r="Z28" s="64"/>
      <c r="AA28" s="64"/>
    </row>
    <row r="29" ht="12.75" customHeight="1">
      <c r="A29" s="63">
        <v>215.0</v>
      </c>
      <c r="B29" s="64" t="s">
        <v>277</v>
      </c>
      <c r="C29" s="64" t="s">
        <v>426</v>
      </c>
      <c r="D29" s="64" t="s">
        <v>427</v>
      </c>
      <c r="E29" s="64" t="s">
        <v>428</v>
      </c>
      <c r="F29" s="64" t="s">
        <v>429</v>
      </c>
      <c r="G29" s="65" t="s">
        <v>155</v>
      </c>
      <c r="H29" s="63" t="str">
        <f t="shared" si="1"/>
        <v>Yes</v>
      </c>
      <c r="I29" s="63">
        <f t="shared" si="2"/>
        <v>4</v>
      </c>
      <c r="J29" s="66" t="str">
        <f t="shared" si="3"/>
        <v/>
      </c>
      <c r="K29" s="67"/>
      <c r="L29" s="66" t="str">
        <f t="shared" si="4"/>
        <v/>
      </c>
      <c r="M29" s="68" t="str">
        <f t="shared" si="5"/>
        <v/>
      </c>
      <c r="N29" s="64"/>
      <c r="O29" s="64"/>
      <c r="P29" s="64"/>
      <c r="Q29" s="64"/>
      <c r="R29" s="64"/>
      <c r="S29" s="64"/>
      <c r="T29" s="64"/>
      <c r="U29" s="64"/>
      <c r="V29" s="64"/>
      <c r="W29" s="64"/>
      <c r="X29" s="64"/>
      <c r="Y29" s="64"/>
      <c r="Z29" s="64"/>
      <c r="AA29" s="64"/>
    </row>
    <row r="30" ht="12.75" customHeight="1">
      <c r="A30" s="63">
        <v>232.0</v>
      </c>
      <c r="B30" s="64" t="s">
        <v>277</v>
      </c>
      <c r="C30" s="64" t="s">
        <v>430</v>
      </c>
      <c r="D30" s="64" t="s">
        <v>431</v>
      </c>
      <c r="E30" s="64" t="s">
        <v>432</v>
      </c>
      <c r="F30" s="64" t="s">
        <v>433</v>
      </c>
      <c r="G30" s="65"/>
      <c r="H30" s="63" t="str">
        <f t="shared" si="1"/>
        <v>No</v>
      </c>
      <c r="I30" s="63" t="str">
        <f t="shared" si="2"/>
        <v/>
      </c>
      <c r="J30" s="66" t="str">
        <f t="shared" si="3"/>
        <v/>
      </c>
      <c r="K30" s="67"/>
      <c r="L30" s="66" t="str">
        <f t="shared" si="4"/>
        <v/>
      </c>
      <c r="M30" s="68" t="str">
        <f t="shared" si="5"/>
        <v/>
      </c>
      <c r="N30" s="64"/>
      <c r="O30" s="64"/>
      <c r="P30" s="64"/>
      <c r="Q30" s="64"/>
      <c r="R30" s="64"/>
      <c r="S30" s="64"/>
      <c r="T30" s="64"/>
      <c r="U30" s="64"/>
      <c r="V30" s="64"/>
      <c r="W30" s="64"/>
      <c r="X30" s="64"/>
      <c r="Y30" s="64"/>
      <c r="Z30" s="64"/>
      <c r="AA30" s="64"/>
    </row>
    <row r="31" ht="12.75" customHeight="1">
      <c r="A31" s="63">
        <v>238.0</v>
      </c>
      <c r="B31" s="64" t="s">
        <v>277</v>
      </c>
      <c r="C31" s="64" t="s">
        <v>434</v>
      </c>
      <c r="D31" s="64" t="s">
        <v>435</v>
      </c>
      <c r="E31" s="64" t="s">
        <v>436</v>
      </c>
      <c r="F31" s="64" t="s">
        <v>437</v>
      </c>
      <c r="G31" s="65" t="s">
        <v>63</v>
      </c>
      <c r="H31" s="63" t="str">
        <f t="shared" si="1"/>
        <v>Yes</v>
      </c>
      <c r="I31" s="63">
        <f t="shared" si="2"/>
        <v>3</v>
      </c>
      <c r="J31" s="66" t="str">
        <f t="shared" si="3"/>
        <v/>
      </c>
      <c r="K31" s="67"/>
      <c r="L31" s="66" t="str">
        <f t="shared" si="4"/>
        <v/>
      </c>
      <c r="M31" s="68" t="str">
        <f t="shared" si="5"/>
        <v/>
      </c>
      <c r="N31" s="64"/>
      <c r="O31" s="64"/>
      <c r="P31" s="64"/>
      <c r="Q31" s="64"/>
      <c r="R31" s="64"/>
      <c r="S31" s="64"/>
      <c r="T31" s="64"/>
      <c r="U31" s="64"/>
      <c r="V31" s="64"/>
      <c r="W31" s="64"/>
      <c r="X31" s="64"/>
      <c r="Y31" s="64"/>
      <c r="Z31" s="64"/>
      <c r="AA31" s="64"/>
    </row>
    <row r="32" ht="12.75" customHeight="1">
      <c r="A32" s="63">
        <v>242.0</v>
      </c>
      <c r="B32" s="64" t="s">
        <v>277</v>
      </c>
      <c r="C32" s="64" t="s">
        <v>438</v>
      </c>
      <c r="D32" s="64" t="s">
        <v>439</v>
      </c>
      <c r="E32" s="64" t="s">
        <v>440</v>
      </c>
      <c r="F32" s="64" t="s">
        <v>441</v>
      </c>
      <c r="G32" s="65"/>
      <c r="H32" s="63" t="str">
        <f t="shared" si="1"/>
        <v>No</v>
      </c>
      <c r="I32" s="63" t="str">
        <f t="shared" si="2"/>
        <v/>
      </c>
      <c r="J32" s="66" t="str">
        <f t="shared" si="3"/>
        <v/>
      </c>
      <c r="K32" s="67"/>
      <c r="L32" s="66" t="str">
        <f t="shared" si="4"/>
        <v/>
      </c>
      <c r="M32" s="68" t="str">
        <f t="shared" si="5"/>
        <v/>
      </c>
      <c r="N32" s="64"/>
      <c r="O32" s="64"/>
      <c r="P32" s="64"/>
      <c r="Q32" s="64"/>
      <c r="R32" s="64"/>
      <c r="S32" s="64"/>
      <c r="T32" s="64"/>
      <c r="U32" s="64"/>
      <c r="V32" s="64"/>
      <c r="W32" s="64"/>
      <c r="X32" s="64"/>
      <c r="Y32" s="64"/>
      <c r="Z32" s="64"/>
      <c r="AA32" s="64"/>
    </row>
    <row r="33" ht="12.75" customHeight="1">
      <c r="A33" s="63">
        <v>243.0</v>
      </c>
      <c r="B33" s="64" t="s">
        <v>277</v>
      </c>
      <c r="C33" s="64" t="s">
        <v>442</v>
      </c>
      <c r="D33" s="64" t="s">
        <v>443</v>
      </c>
      <c r="E33" s="64" t="s">
        <v>444</v>
      </c>
      <c r="F33" s="64" t="s">
        <v>445</v>
      </c>
      <c r="G33" s="65" t="s">
        <v>72</v>
      </c>
      <c r="H33" s="63" t="str">
        <f t="shared" si="1"/>
        <v>Yes</v>
      </c>
      <c r="I33" s="63">
        <f t="shared" si="2"/>
        <v>5</v>
      </c>
      <c r="J33" s="66" t="str">
        <f t="shared" si="3"/>
        <v/>
      </c>
      <c r="K33" s="67"/>
      <c r="L33" s="66" t="str">
        <f t="shared" si="4"/>
        <v/>
      </c>
      <c r="M33" s="68" t="str">
        <f t="shared" si="5"/>
        <v/>
      </c>
      <c r="N33" s="64"/>
      <c r="O33" s="64"/>
      <c r="P33" s="64"/>
      <c r="Q33" s="64"/>
      <c r="R33" s="64"/>
      <c r="S33" s="64"/>
      <c r="T33" s="64"/>
      <c r="U33" s="64"/>
      <c r="V33" s="64"/>
      <c r="W33" s="64"/>
      <c r="X33" s="64"/>
      <c r="Y33" s="64"/>
      <c r="Z33" s="64"/>
      <c r="AA33" s="64"/>
    </row>
    <row r="34" ht="12.75" customHeight="1">
      <c r="A34" s="63">
        <v>250.0</v>
      </c>
      <c r="B34" s="64" t="s">
        <v>277</v>
      </c>
      <c r="C34" s="64" t="s">
        <v>446</v>
      </c>
      <c r="D34" s="64" t="s">
        <v>447</v>
      </c>
      <c r="E34" s="64" t="s">
        <v>448</v>
      </c>
      <c r="F34" s="64" t="s">
        <v>164</v>
      </c>
      <c r="G34" s="65" t="s">
        <v>72</v>
      </c>
      <c r="H34" s="63" t="str">
        <f t="shared" si="1"/>
        <v>Yes</v>
      </c>
      <c r="I34" s="63">
        <f t="shared" si="2"/>
        <v>6</v>
      </c>
      <c r="J34" s="66" t="str">
        <f t="shared" si="3"/>
        <v/>
      </c>
      <c r="K34" s="67"/>
      <c r="L34" s="66" t="str">
        <f t="shared" si="4"/>
        <v/>
      </c>
      <c r="M34" s="68" t="str">
        <f t="shared" si="5"/>
        <v/>
      </c>
      <c r="N34" s="64"/>
      <c r="O34" s="64"/>
      <c r="P34" s="64"/>
      <c r="Q34" s="64"/>
      <c r="R34" s="64"/>
      <c r="S34" s="64"/>
      <c r="T34" s="64"/>
      <c r="U34" s="64"/>
      <c r="V34" s="64"/>
      <c r="W34" s="64"/>
      <c r="X34" s="64"/>
      <c r="Y34" s="64"/>
      <c r="Z34" s="64"/>
      <c r="AA34" s="64"/>
    </row>
    <row r="35" ht="12.75" customHeight="1">
      <c r="A35" s="63">
        <v>251.0</v>
      </c>
      <c r="B35" s="64" t="s">
        <v>277</v>
      </c>
      <c r="C35" s="64" t="s">
        <v>449</v>
      </c>
      <c r="D35" s="64" t="s">
        <v>450</v>
      </c>
      <c r="E35" s="64" t="s">
        <v>451</v>
      </c>
      <c r="F35" s="64" t="s">
        <v>164</v>
      </c>
      <c r="G35" s="65" t="s">
        <v>184</v>
      </c>
      <c r="H35" s="63" t="str">
        <f t="shared" si="1"/>
        <v>Yes</v>
      </c>
      <c r="I35" s="63">
        <f t="shared" si="2"/>
        <v>1</v>
      </c>
      <c r="J35" s="66" t="str">
        <f t="shared" si="3"/>
        <v/>
      </c>
      <c r="K35" s="67"/>
      <c r="L35" s="66" t="str">
        <f t="shared" si="4"/>
        <v/>
      </c>
      <c r="M35" s="68" t="str">
        <f t="shared" si="5"/>
        <v/>
      </c>
      <c r="N35" s="64"/>
      <c r="O35" s="64"/>
      <c r="P35" s="64"/>
      <c r="Q35" s="64"/>
      <c r="R35" s="64"/>
      <c r="S35" s="64"/>
      <c r="T35" s="64"/>
      <c r="U35" s="64"/>
      <c r="V35" s="64"/>
      <c r="W35" s="64"/>
      <c r="X35" s="64"/>
      <c r="Y35" s="64"/>
      <c r="Z35" s="64"/>
      <c r="AA35" s="64"/>
    </row>
    <row r="36" ht="12.75" customHeight="1">
      <c r="A36" s="63">
        <v>254.0</v>
      </c>
      <c r="B36" s="64" t="s">
        <v>277</v>
      </c>
      <c r="C36" s="64" t="s">
        <v>452</v>
      </c>
      <c r="D36" s="64" t="s">
        <v>453</v>
      </c>
      <c r="E36" s="64" t="s">
        <v>454</v>
      </c>
      <c r="F36" s="64" t="s">
        <v>455</v>
      </c>
      <c r="G36" s="65" t="s">
        <v>57</v>
      </c>
      <c r="H36" s="63" t="str">
        <f t="shared" si="1"/>
        <v>Yes</v>
      </c>
      <c r="I36" s="63">
        <f t="shared" si="2"/>
        <v>1</v>
      </c>
      <c r="J36" s="66" t="str">
        <f t="shared" si="3"/>
        <v/>
      </c>
      <c r="K36" s="67"/>
      <c r="L36" s="66" t="str">
        <f t="shared" si="4"/>
        <v/>
      </c>
      <c r="M36" s="68" t="str">
        <f t="shared" si="5"/>
        <v/>
      </c>
      <c r="N36" s="64"/>
      <c r="O36" s="64"/>
      <c r="P36" s="64"/>
      <c r="Q36" s="64"/>
      <c r="R36" s="64"/>
      <c r="S36" s="64"/>
      <c r="T36" s="64"/>
      <c r="U36" s="64"/>
      <c r="V36" s="64"/>
      <c r="W36" s="64"/>
      <c r="X36" s="64"/>
      <c r="Y36" s="64"/>
      <c r="Z36" s="64"/>
      <c r="AA36" s="64"/>
    </row>
    <row r="37" ht="12.75" customHeight="1">
      <c r="A37" s="63">
        <v>262.0</v>
      </c>
      <c r="B37" s="64" t="s">
        <v>277</v>
      </c>
      <c r="C37" s="64" t="s">
        <v>456</v>
      </c>
      <c r="D37" s="64" t="s">
        <v>457</v>
      </c>
      <c r="E37" s="64" t="s">
        <v>458</v>
      </c>
      <c r="F37" s="64" t="s">
        <v>459</v>
      </c>
      <c r="G37" s="65" t="s">
        <v>41</v>
      </c>
      <c r="H37" s="63" t="str">
        <f t="shared" si="1"/>
        <v>Yes</v>
      </c>
      <c r="I37" s="63">
        <f t="shared" si="2"/>
        <v>3</v>
      </c>
      <c r="J37" s="66" t="str">
        <f t="shared" si="3"/>
        <v/>
      </c>
      <c r="K37" s="67"/>
      <c r="L37" s="66" t="str">
        <f t="shared" si="4"/>
        <v/>
      </c>
      <c r="M37" s="68" t="str">
        <f t="shared" si="5"/>
        <v/>
      </c>
      <c r="N37" s="64"/>
      <c r="O37" s="64"/>
      <c r="P37" s="64"/>
      <c r="Q37" s="64"/>
      <c r="R37" s="64"/>
      <c r="S37" s="64"/>
      <c r="T37" s="64"/>
      <c r="U37" s="64"/>
      <c r="V37" s="64"/>
      <c r="W37" s="64"/>
      <c r="X37" s="64"/>
      <c r="Y37" s="64"/>
      <c r="Z37" s="64"/>
      <c r="AA37" s="64"/>
    </row>
    <row r="38" ht="12.75" customHeight="1">
      <c r="A38" s="63">
        <v>263.0</v>
      </c>
      <c r="B38" s="64" t="s">
        <v>277</v>
      </c>
      <c r="C38" s="64" t="s">
        <v>460</v>
      </c>
      <c r="D38" s="64" t="s">
        <v>461</v>
      </c>
      <c r="E38" s="64" t="s">
        <v>462</v>
      </c>
      <c r="F38" s="64" t="s">
        <v>463</v>
      </c>
      <c r="G38" s="65" t="s">
        <v>155</v>
      </c>
      <c r="H38" s="63" t="str">
        <f t="shared" si="1"/>
        <v>Yes</v>
      </c>
      <c r="I38" s="63">
        <f t="shared" si="2"/>
        <v>5</v>
      </c>
      <c r="J38" s="66" t="str">
        <f t="shared" si="3"/>
        <v/>
      </c>
      <c r="K38" s="67"/>
      <c r="L38" s="66" t="str">
        <f t="shared" si="4"/>
        <v/>
      </c>
      <c r="M38" s="68" t="str">
        <f t="shared" si="5"/>
        <v/>
      </c>
      <c r="N38" s="64"/>
      <c r="O38" s="64"/>
      <c r="P38" s="64"/>
      <c r="Q38" s="64"/>
      <c r="R38" s="64"/>
      <c r="S38" s="64"/>
      <c r="T38" s="64"/>
      <c r="U38" s="64"/>
      <c r="V38" s="64"/>
      <c r="W38" s="64"/>
      <c r="X38" s="64"/>
      <c r="Y38" s="64"/>
      <c r="Z38" s="64"/>
      <c r="AA38" s="64"/>
    </row>
    <row r="39" ht="12.75" customHeight="1">
      <c r="A39" s="63">
        <v>265.0</v>
      </c>
      <c r="B39" s="64" t="s">
        <v>277</v>
      </c>
      <c r="C39" s="64" t="s">
        <v>464</v>
      </c>
      <c r="D39" s="64" t="s">
        <v>465</v>
      </c>
      <c r="E39" s="64" t="s">
        <v>466</v>
      </c>
      <c r="F39" s="64" t="s">
        <v>467</v>
      </c>
      <c r="G39" s="65" t="s">
        <v>184</v>
      </c>
      <c r="H39" s="63" t="str">
        <f t="shared" si="1"/>
        <v>Yes</v>
      </c>
      <c r="I39" s="63">
        <f t="shared" si="2"/>
        <v>2</v>
      </c>
      <c r="J39" s="66" t="str">
        <f t="shared" si="3"/>
        <v/>
      </c>
      <c r="K39" s="67"/>
      <c r="L39" s="66" t="str">
        <f t="shared" si="4"/>
        <v/>
      </c>
      <c r="M39" s="68" t="str">
        <f t="shared" si="5"/>
        <v/>
      </c>
      <c r="N39" s="64"/>
      <c r="O39" s="64"/>
      <c r="P39" s="64"/>
      <c r="Q39" s="64"/>
      <c r="R39" s="64"/>
      <c r="S39" s="64"/>
      <c r="T39" s="64"/>
      <c r="U39" s="64"/>
      <c r="V39" s="64"/>
      <c r="W39" s="64"/>
      <c r="X39" s="64"/>
      <c r="Y39" s="64"/>
      <c r="Z39" s="64"/>
      <c r="AA39" s="64"/>
    </row>
    <row r="40" ht="12.75" customHeight="1">
      <c r="A40" s="63">
        <v>266.0</v>
      </c>
      <c r="B40" s="64" t="s">
        <v>277</v>
      </c>
      <c r="C40" s="64" t="s">
        <v>468</v>
      </c>
      <c r="D40" s="64" t="s">
        <v>469</v>
      </c>
      <c r="E40" s="64" t="s">
        <v>470</v>
      </c>
      <c r="F40" s="64" t="s">
        <v>471</v>
      </c>
      <c r="G40" s="65" t="s">
        <v>184</v>
      </c>
      <c r="H40" s="63" t="str">
        <f t="shared" si="1"/>
        <v>Yes</v>
      </c>
      <c r="I40" s="63">
        <f t="shared" si="2"/>
        <v>3</v>
      </c>
      <c r="J40" s="66" t="str">
        <f t="shared" si="3"/>
        <v/>
      </c>
      <c r="K40" s="67"/>
      <c r="L40" s="66" t="str">
        <f t="shared" si="4"/>
        <v/>
      </c>
      <c r="M40" s="68" t="str">
        <f t="shared" si="5"/>
        <v/>
      </c>
      <c r="N40" s="64"/>
      <c r="O40" s="64"/>
      <c r="P40" s="64"/>
      <c r="Q40" s="64"/>
      <c r="R40" s="64"/>
      <c r="S40" s="64"/>
      <c r="T40" s="64"/>
      <c r="U40" s="64"/>
      <c r="V40" s="64"/>
      <c r="W40" s="64"/>
      <c r="X40" s="64"/>
      <c r="Y40" s="64"/>
      <c r="Z40" s="64"/>
      <c r="AA40" s="64"/>
    </row>
    <row r="41" ht="12.75" customHeight="1">
      <c r="A41" s="63">
        <v>273.0</v>
      </c>
      <c r="B41" s="64" t="s">
        <v>277</v>
      </c>
      <c r="C41" s="64" t="s">
        <v>472</v>
      </c>
      <c r="D41" s="64" t="s">
        <v>473</v>
      </c>
      <c r="E41" s="64" t="s">
        <v>474</v>
      </c>
      <c r="F41" s="64" t="s">
        <v>475</v>
      </c>
      <c r="G41" s="65" t="s">
        <v>113</v>
      </c>
      <c r="H41" s="63" t="str">
        <f t="shared" si="1"/>
        <v>Yes</v>
      </c>
      <c r="I41" s="63">
        <f t="shared" si="2"/>
        <v>1</v>
      </c>
      <c r="J41" s="66" t="str">
        <f t="shared" si="3"/>
        <v/>
      </c>
      <c r="K41" s="67"/>
      <c r="L41" s="66" t="str">
        <f t="shared" si="4"/>
        <v/>
      </c>
      <c r="M41" s="68" t="str">
        <f t="shared" si="5"/>
        <v/>
      </c>
      <c r="N41" s="64"/>
      <c r="O41" s="64"/>
      <c r="P41" s="64"/>
      <c r="Q41" s="64"/>
      <c r="R41" s="64"/>
      <c r="S41" s="64"/>
      <c r="T41" s="64"/>
      <c r="U41" s="64"/>
      <c r="V41" s="64"/>
      <c r="W41" s="64"/>
      <c r="X41" s="64"/>
      <c r="Y41" s="64"/>
      <c r="Z41" s="64"/>
      <c r="AA41" s="64"/>
    </row>
    <row r="42" ht="12.75" customHeight="1">
      <c r="A42" s="63">
        <v>275.0</v>
      </c>
      <c r="B42" s="64" t="s">
        <v>277</v>
      </c>
      <c r="C42" s="64" t="s">
        <v>476</v>
      </c>
      <c r="D42" s="64" t="s">
        <v>477</v>
      </c>
      <c r="E42" s="64" t="s">
        <v>478</v>
      </c>
      <c r="F42" s="64" t="s">
        <v>214</v>
      </c>
      <c r="G42" s="65" t="s">
        <v>57</v>
      </c>
      <c r="H42" s="63" t="str">
        <f t="shared" si="1"/>
        <v>Yes</v>
      </c>
      <c r="I42" s="63">
        <f t="shared" si="2"/>
        <v>2</v>
      </c>
      <c r="J42" s="66" t="str">
        <f t="shared" si="3"/>
        <v/>
      </c>
      <c r="K42" s="67"/>
      <c r="L42" s="66" t="str">
        <f t="shared" si="4"/>
        <v/>
      </c>
      <c r="M42" s="68" t="str">
        <f t="shared" si="5"/>
        <v/>
      </c>
      <c r="N42" s="64"/>
      <c r="O42" s="64"/>
      <c r="P42" s="64"/>
      <c r="Q42" s="64"/>
      <c r="R42" s="64"/>
      <c r="S42" s="64"/>
      <c r="T42" s="64"/>
      <c r="U42" s="64"/>
      <c r="V42" s="64"/>
      <c r="W42" s="64"/>
      <c r="X42" s="64"/>
      <c r="Y42" s="64"/>
      <c r="Z42" s="64"/>
      <c r="AA42" s="64"/>
    </row>
    <row r="43" ht="12.75" customHeight="1">
      <c r="A43" s="63">
        <v>305.0</v>
      </c>
      <c r="B43" s="64" t="s">
        <v>277</v>
      </c>
      <c r="C43" s="64" t="s">
        <v>479</v>
      </c>
      <c r="D43" s="64" t="s">
        <v>480</v>
      </c>
      <c r="E43" s="64" t="s">
        <v>481</v>
      </c>
      <c r="F43" s="64" t="s">
        <v>482</v>
      </c>
      <c r="G43" s="65" t="s">
        <v>72</v>
      </c>
      <c r="H43" s="63" t="str">
        <f t="shared" si="1"/>
        <v>Yes</v>
      </c>
      <c r="I43" s="63">
        <f t="shared" si="2"/>
        <v>7</v>
      </c>
      <c r="J43" s="66" t="str">
        <f t="shared" si="3"/>
        <v/>
      </c>
      <c r="K43" s="67"/>
      <c r="L43" s="66" t="str">
        <f t="shared" si="4"/>
        <v/>
      </c>
      <c r="M43" s="68" t="str">
        <f t="shared" si="5"/>
        <v/>
      </c>
      <c r="N43" s="64"/>
      <c r="O43" s="64"/>
      <c r="P43" s="64"/>
      <c r="Q43" s="64"/>
      <c r="R43" s="64"/>
      <c r="S43" s="64"/>
      <c r="T43" s="64"/>
      <c r="U43" s="64"/>
      <c r="V43" s="64"/>
      <c r="W43" s="64"/>
      <c r="X43" s="64"/>
      <c r="Y43" s="64"/>
      <c r="Z43" s="64"/>
      <c r="AA43" s="64"/>
    </row>
    <row r="44" ht="12.75" customHeight="1">
      <c r="A44" s="63">
        <v>310.0</v>
      </c>
      <c r="B44" s="64" t="s">
        <v>277</v>
      </c>
      <c r="C44" s="64" t="s">
        <v>483</v>
      </c>
      <c r="D44" s="64" t="s">
        <v>484</v>
      </c>
      <c r="E44" s="64" t="s">
        <v>485</v>
      </c>
      <c r="F44" s="64" t="s">
        <v>486</v>
      </c>
      <c r="G44" s="65" t="s">
        <v>118</v>
      </c>
      <c r="H44" s="63" t="str">
        <f t="shared" si="1"/>
        <v>Yes</v>
      </c>
      <c r="I44" s="63">
        <f t="shared" si="2"/>
        <v>1</v>
      </c>
      <c r="J44" s="66" t="str">
        <f t="shared" si="3"/>
        <v/>
      </c>
      <c r="K44" s="67"/>
      <c r="L44" s="66" t="str">
        <f t="shared" si="4"/>
        <v/>
      </c>
      <c r="M44" s="68" t="str">
        <f t="shared" si="5"/>
        <v/>
      </c>
      <c r="N44" s="64"/>
      <c r="O44" s="64"/>
      <c r="P44" s="64"/>
      <c r="Q44" s="64"/>
      <c r="R44" s="64"/>
      <c r="S44" s="64"/>
      <c r="T44" s="64"/>
      <c r="U44" s="64"/>
      <c r="V44" s="64"/>
      <c r="W44" s="64"/>
      <c r="X44" s="64"/>
      <c r="Y44" s="64"/>
      <c r="Z44" s="64"/>
      <c r="AA44" s="64"/>
    </row>
    <row r="45" ht="12.75" customHeight="1">
      <c r="A45" s="63">
        <v>312.0</v>
      </c>
      <c r="B45" s="64" t="s">
        <v>277</v>
      </c>
      <c r="C45" s="64" t="s">
        <v>487</v>
      </c>
      <c r="D45" s="64" t="s">
        <v>488</v>
      </c>
      <c r="E45" s="64" t="s">
        <v>489</v>
      </c>
      <c r="F45" s="64" t="s">
        <v>490</v>
      </c>
      <c r="G45" s="65"/>
      <c r="H45" s="63" t="str">
        <f t="shared" si="1"/>
        <v>No</v>
      </c>
      <c r="I45" s="63" t="str">
        <f t="shared" si="2"/>
        <v/>
      </c>
      <c r="J45" s="66" t="str">
        <f t="shared" si="3"/>
        <v/>
      </c>
      <c r="K45" s="67"/>
      <c r="L45" s="66" t="str">
        <f t="shared" si="4"/>
        <v/>
      </c>
      <c r="M45" s="68" t="str">
        <f t="shared" si="5"/>
        <v/>
      </c>
      <c r="N45" s="64"/>
      <c r="O45" s="64"/>
      <c r="P45" s="64"/>
      <c r="Q45" s="64"/>
      <c r="R45" s="64"/>
      <c r="S45" s="64"/>
      <c r="T45" s="64"/>
      <c r="U45" s="64"/>
      <c r="V45" s="64"/>
      <c r="W45" s="64"/>
      <c r="X45" s="64"/>
      <c r="Y45" s="64"/>
      <c r="Z45" s="64"/>
      <c r="AA45" s="64"/>
    </row>
    <row r="46" ht="12.75" customHeight="1">
      <c r="A46" s="63">
        <v>322.0</v>
      </c>
      <c r="B46" s="64" t="s">
        <v>277</v>
      </c>
      <c r="C46" s="64" t="s">
        <v>491</v>
      </c>
      <c r="D46" s="64" t="s">
        <v>492</v>
      </c>
      <c r="E46" s="64" t="s">
        <v>493</v>
      </c>
      <c r="F46" s="64" t="s">
        <v>494</v>
      </c>
      <c r="G46" s="65" t="s">
        <v>57</v>
      </c>
      <c r="H46" s="63" t="str">
        <f t="shared" si="1"/>
        <v>Yes</v>
      </c>
      <c r="I46" s="63">
        <f t="shared" si="2"/>
        <v>3</v>
      </c>
      <c r="J46" s="66" t="str">
        <f t="shared" si="3"/>
        <v/>
      </c>
      <c r="K46" s="67"/>
      <c r="L46" s="66" t="str">
        <f t="shared" si="4"/>
        <v/>
      </c>
      <c r="M46" s="68" t="str">
        <f t="shared" si="5"/>
        <v/>
      </c>
      <c r="N46" s="64"/>
      <c r="O46" s="64"/>
      <c r="P46" s="64"/>
      <c r="Q46" s="64"/>
      <c r="R46" s="64"/>
      <c r="S46" s="64"/>
      <c r="T46" s="64"/>
      <c r="U46" s="64"/>
      <c r="V46" s="64"/>
      <c r="W46" s="64"/>
      <c r="X46" s="64"/>
      <c r="Y46" s="64"/>
      <c r="Z46" s="64"/>
      <c r="AA46" s="64"/>
    </row>
    <row r="47" ht="12.75" customHeight="1">
      <c r="A47" s="63">
        <v>327.0</v>
      </c>
      <c r="B47" s="64" t="s">
        <v>277</v>
      </c>
      <c r="C47" s="64" t="s">
        <v>495</v>
      </c>
      <c r="D47" s="64" t="s">
        <v>496</v>
      </c>
      <c r="E47" s="64" t="s">
        <v>406</v>
      </c>
      <c r="F47" s="64" t="s">
        <v>406</v>
      </c>
      <c r="G47" s="65" t="s">
        <v>118</v>
      </c>
      <c r="H47" s="63" t="str">
        <f t="shared" si="1"/>
        <v>Yes</v>
      </c>
      <c r="I47" s="63">
        <f t="shared" si="2"/>
        <v>2</v>
      </c>
      <c r="J47" s="66" t="str">
        <f t="shared" si="3"/>
        <v/>
      </c>
      <c r="K47" s="67"/>
      <c r="L47" s="66" t="str">
        <f t="shared" si="4"/>
        <v/>
      </c>
      <c r="M47" s="68" t="str">
        <f t="shared" si="5"/>
        <v/>
      </c>
      <c r="N47" s="64"/>
      <c r="O47" s="64"/>
      <c r="P47" s="64"/>
      <c r="Q47" s="64"/>
      <c r="R47" s="64"/>
      <c r="S47" s="64"/>
      <c r="T47" s="64"/>
      <c r="U47" s="64"/>
      <c r="V47" s="64"/>
      <c r="W47" s="64"/>
      <c r="X47" s="64"/>
      <c r="Y47" s="64"/>
      <c r="Z47" s="64"/>
      <c r="AA47" s="64"/>
    </row>
    <row r="48" ht="12.75" customHeight="1">
      <c r="A48" s="63">
        <v>332.0</v>
      </c>
      <c r="B48" s="64" t="s">
        <v>277</v>
      </c>
      <c r="C48" s="64" t="s">
        <v>497</v>
      </c>
      <c r="D48" s="64" t="s">
        <v>498</v>
      </c>
      <c r="E48" s="64" t="s">
        <v>499</v>
      </c>
      <c r="F48" s="64" t="s">
        <v>500</v>
      </c>
      <c r="G48" s="65" t="s">
        <v>72</v>
      </c>
      <c r="H48" s="63" t="str">
        <f t="shared" si="1"/>
        <v>Yes</v>
      </c>
      <c r="I48" s="63">
        <f t="shared" si="2"/>
        <v>8</v>
      </c>
      <c r="J48" s="66" t="str">
        <f t="shared" si="3"/>
        <v/>
      </c>
      <c r="K48" s="67"/>
      <c r="L48" s="66" t="str">
        <f t="shared" si="4"/>
        <v/>
      </c>
      <c r="M48" s="68" t="str">
        <f t="shared" si="5"/>
        <v/>
      </c>
      <c r="N48" s="64"/>
      <c r="O48" s="64"/>
      <c r="P48" s="64"/>
      <c r="Q48" s="64"/>
      <c r="R48" s="64"/>
      <c r="S48" s="64"/>
      <c r="T48" s="64"/>
      <c r="U48" s="64"/>
      <c r="V48" s="64"/>
      <c r="W48" s="64"/>
      <c r="X48" s="64"/>
      <c r="Y48" s="64"/>
      <c r="Z48" s="64"/>
      <c r="AA48" s="64"/>
    </row>
    <row r="49" ht="12.75" customHeight="1">
      <c r="A49" s="63">
        <v>346.0</v>
      </c>
      <c r="B49" s="64" t="s">
        <v>277</v>
      </c>
      <c r="C49" s="64" t="s">
        <v>501</v>
      </c>
      <c r="D49" s="64" t="s">
        <v>502</v>
      </c>
      <c r="E49" s="64" t="s">
        <v>503</v>
      </c>
      <c r="F49" s="64" t="s">
        <v>504</v>
      </c>
      <c r="G49" s="65" t="s">
        <v>63</v>
      </c>
      <c r="H49" s="63" t="str">
        <f t="shared" si="1"/>
        <v>Yes</v>
      </c>
      <c r="I49" s="63">
        <f t="shared" si="2"/>
        <v>4</v>
      </c>
      <c r="J49" s="66" t="str">
        <f t="shared" si="3"/>
        <v/>
      </c>
      <c r="K49" s="67"/>
      <c r="L49" s="66" t="str">
        <f t="shared" si="4"/>
        <v/>
      </c>
      <c r="M49" s="68" t="str">
        <f t="shared" si="5"/>
        <v/>
      </c>
      <c r="N49" s="64"/>
      <c r="O49" s="64"/>
      <c r="P49" s="64"/>
      <c r="Q49" s="64"/>
      <c r="R49" s="64"/>
      <c r="S49" s="64"/>
      <c r="T49" s="64"/>
      <c r="U49" s="64"/>
      <c r="V49" s="64"/>
      <c r="W49" s="64"/>
      <c r="X49" s="64"/>
      <c r="Y49" s="64"/>
      <c r="Z49" s="64"/>
      <c r="AA49" s="64"/>
    </row>
    <row r="50" ht="12.75" customHeight="1">
      <c r="A50" s="63">
        <v>347.0</v>
      </c>
      <c r="B50" s="64" t="s">
        <v>277</v>
      </c>
      <c r="C50" s="64" t="s">
        <v>505</v>
      </c>
      <c r="D50" s="64" t="s">
        <v>506</v>
      </c>
      <c r="E50" s="64" t="s">
        <v>507</v>
      </c>
      <c r="F50" s="64" t="s">
        <v>508</v>
      </c>
      <c r="G50" s="65"/>
      <c r="H50" s="63" t="str">
        <f t="shared" si="1"/>
        <v>No</v>
      </c>
      <c r="I50" s="63" t="str">
        <f t="shared" si="2"/>
        <v/>
      </c>
      <c r="J50" s="66" t="str">
        <f t="shared" si="3"/>
        <v/>
      </c>
      <c r="K50" s="67"/>
      <c r="L50" s="66" t="str">
        <f t="shared" si="4"/>
        <v/>
      </c>
      <c r="M50" s="68" t="str">
        <f t="shared" si="5"/>
        <v/>
      </c>
      <c r="N50" s="64"/>
      <c r="O50" s="64"/>
      <c r="P50" s="64"/>
      <c r="Q50" s="64"/>
      <c r="R50" s="64"/>
      <c r="S50" s="64"/>
      <c r="T50" s="64"/>
      <c r="U50" s="64"/>
      <c r="V50" s="64"/>
      <c r="W50" s="64"/>
      <c r="X50" s="64"/>
      <c r="Y50" s="64"/>
      <c r="Z50" s="64"/>
      <c r="AA50" s="64"/>
    </row>
    <row r="51" ht="12.75" customHeight="1">
      <c r="A51" s="63">
        <v>354.0</v>
      </c>
      <c r="B51" s="64" t="s">
        <v>277</v>
      </c>
      <c r="C51" s="64" t="s">
        <v>509</v>
      </c>
      <c r="D51" s="64" t="s">
        <v>510</v>
      </c>
      <c r="E51" s="64" t="s">
        <v>511</v>
      </c>
      <c r="F51" s="64" t="s">
        <v>512</v>
      </c>
      <c r="G51" s="65" t="s">
        <v>166</v>
      </c>
      <c r="H51" s="63" t="str">
        <f t="shared" si="1"/>
        <v>Yes</v>
      </c>
      <c r="I51" s="63">
        <f t="shared" si="2"/>
        <v>5</v>
      </c>
      <c r="J51" s="66" t="str">
        <f t="shared" si="3"/>
        <v/>
      </c>
      <c r="K51" s="67"/>
      <c r="L51" s="66" t="str">
        <f t="shared" si="4"/>
        <v/>
      </c>
      <c r="M51" s="68" t="str">
        <f t="shared" si="5"/>
        <v/>
      </c>
      <c r="N51" s="64"/>
      <c r="O51" s="64"/>
      <c r="P51" s="64"/>
      <c r="Q51" s="64"/>
      <c r="R51" s="64"/>
      <c r="S51" s="64"/>
      <c r="T51" s="64"/>
      <c r="U51" s="64"/>
      <c r="V51" s="64"/>
      <c r="W51" s="64"/>
      <c r="X51" s="64"/>
      <c r="Y51" s="64"/>
      <c r="Z51" s="64"/>
      <c r="AA51" s="64"/>
    </row>
    <row r="52" ht="12.75" customHeight="1">
      <c r="A52" s="63">
        <v>355.0</v>
      </c>
      <c r="B52" s="64" t="s">
        <v>277</v>
      </c>
      <c r="C52" s="64" t="s">
        <v>513</v>
      </c>
      <c r="D52" s="64" t="s">
        <v>514</v>
      </c>
      <c r="E52" s="64" t="s">
        <v>515</v>
      </c>
      <c r="F52" s="64" t="s">
        <v>516</v>
      </c>
      <c r="G52" s="65" t="s">
        <v>155</v>
      </c>
      <c r="H52" s="63" t="str">
        <f t="shared" si="1"/>
        <v>Yes</v>
      </c>
      <c r="I52" s="63">
        <f t="shared" si="2"/>
        <v>6</v>
      </c>
      <c r="J52" s="66" t="str">
        <f t="shared" si="3"/>
        <v/>
      </c>
      <c r="K52" s="67"/>
      <c r="L52" s="66" t="str">
        <f t="shared" si="4"/>
        <v/>
      </c>
      <c r="M52" s="68" t="str">
        <f t="shared" si="5"/>
        <v/>
      </c>
      <c r="N52" s="64"/>
      <c r="O52" s="64"/>
      <c r="P52" s="64"/>
      <c r="Q52" s="64"/>
      <c r="R52" s="64"/>
      <c r="S52" s="64"/>
      <c r="T52" s="64"/>
      <c r="U52" s="64"/>
      <c r="V52" s="64"/>
      <c r="W52" s="64"/>
      <c r="X52" s="64"/>
      <c r="Y52" s="64"/>
      <c r="Z52" s="64"/>
      <c r="AA52" s="64"/>
    </row>
    <row r="53" ht="12.75" customHeight="1">
      <c r="A53" s="63">
        <v>357.0</v>
      </c>
      <c r="B53" s="64" t="s">
        <v>277</v>
      </c>
      <c r="C53" s="64" t="s">
        <v>517</v>
      </c>
      <c r="D53" s="64" t="s">
        <v>518</v>
      </c>
      <c r="E53" s="64" t="s">
        <v>519</v>
      </c>
      <c r="F53" s="64" t="s">
        <v>520</v>
      </c>
      <c r="G53" s="65"/>
      <c r="H53" s="63" t="str">
        <f t="shared" si="1"/>
        <v>No</v>
      </c>
      <c r="I53" s="63" t="str">
        <f t="shared" si="2"/>
        <v/>
      </c>
      <c r="J53" s="66" t="str">
        <f t="shared" si="3"/>
        <v/>
      </c>
      <c r="K53" s="67"/>
      <c r="L53" s="66" t="str">
        <f t="shared" si="4"/>
        <v/>
      </c>
      <c r="M53" s="68" t="str">
        <f t="shared" si="5"/>
        <v/>
      </c>
      <c r="N53" s="64"/>
      <c r="O53" s="64"/>
      <c r="P53" s="64"/>
      <c r="Q53" s="64"/>
      <c r="R53" s="64"/>
      <c r="S53" s="64"/>
      <c r="T53" s="64"/>
      <c r="U53" s="64"/>
      <c r="V53" s="64"/>
      <c r="W53" s="64"/>
      <c r="X53" s="64"/>
      <c r="Y53" s="64"/>
      <c r="Z53" s="64"/>
      <c r="AA53" s="64"/>
    </row>
    <row r="54" ht="12.75" customHeight="1">
      <c r="A54" s="63">
        <v>358.0</v>
      </c>
      <c r="B54" s="64" t="s">
        <v>277</v>
      </c>
      <c r="C54" s="64" t="s">
        <v>521</v>
      </c>
      <c r="D54" s="64" t="s">
        <v>522</v>
      </c>
      <c r="E54" s="64" t="s">
        <v>523</v>
      </c>
      <c r="F54" s="64" t="s">
        <v>153</v>
      </c>
      <c r="G54" s="65" t="s">
        <v>57</v>
      </c>
      <c r="H54" s="63" t="str">
        <f t="shared" si="1"/>
        <v>Yes</v>
      </c>
      <c r="I54" s="63">
        <f t="shared" si="2"/>
        <v>4</v>
      </c>
      <c r="J54" s="66" t="str">
        <f t="shared" si="3"/>
        <v/>
      </c>
      <c r="K54" s="67"/>
      <c r="L54" s="66" t="str">
        <f t="shared" si="4"/>
        <v/>
      </c>
      <c r="M54" s="68" t="str">
        <f t="shared" si="5"/>
        <v/>
      </c>
      <c r="N54" s="64"/>
      <c r="O54" s="64"/>
      <c r="P54" s="64"/>
      <c r="Q54" s="64"/>
      <c r="R54" s="64"/>
      <c r="S54" s="64"/>
      <c r="T54" s="64"/>
      <c r="U54" s="64"/>
      <c r="V54" s="64"/>
      <c r="W54" s="64"/>
      <c r="X54" s="64"/>
      <c r="Y54" s="64"/>
      <c r="Z54" s="64"/>
      <c r="AA54" s="64"/>
    </row>
    <row r="55">
      <c r="A55" s="63">
        <v>362.0</v>
      </c>
      <c r="B55" s="64" t="s">
        <v>277</v>
      </c>
      <c r="C55" s="64" t="s">
        <v>524</v>
      </c>
      <c r="D55" s="64" t="s">
        <v>525</v>
      </c>
      <c r="E55" s="64" t="s">
        <v>526</v>
      </c>
      <c r="F55" s="64" t="s">
        <v>527</v>
      </c>
      <c r="G55" s="65" t="s">
        <v>184</v>
      </c>
      <c r="H55" s="63" t="str">
        <f t="shared" si="1"/>
        <v>Yes</v>
      </c>
      <c r="I55" s="63">
        <f t="shared" si="2"/>
        <v>4</v>
      </c>
      <c r="J55" s="66" t="str">
        <f t="shared" si="3"/>
        <v/>
      </c>
      <c r="K55" s="67"/>
      <c r="L55" s="66" t="str">
        <f t="shared" si="4"/>
        <v/>
      </c>
      <c r="M55" s="68" t="str">
        <f t="shared" si="5"/>
        <v/>
      </c>
      <c r="N55" s="64"/>
      <c r="O55" s="64"/>
      <c r="P55" s="64"/>
      <c r="Q55" s="64"/>
      <c r="R55" s="64"/>
      <c r="S55" s="64"/>
      <c r="T55" s="64"/>
      <c r="U55" s="64"/>
      <c r="V55" s="64"/>
      <c r="W55" s="64"/>
      <c r="X55" s="64"/>
      <c r="Y55" s="64"/>
      <c r="Z55" s="64"/>
      <c r="AA55" s="64"/>
    </row>
    <row r="56" ht="12.75" customHeight="1">
      <c r="A56" s="63">
        <v>373.0</v>
      </c>
      <c r="B56" s="64" t="s">
        <v>277</v>
      </c>
      <c r="C56" s="64" t="s">
        <v>528</v>
      </c>
      <c r="D56" s="64" t="s">
        <v>529</v>
      </c>
      <c r="E56" s="64" t="s">
        <v>530</v>
      </c>
      <c r="F56" s="64" t="s">
        <v>531</v>
      </c>
      <c r="G56" s="65" t="s">
        <v>166</v>
      </c>
      <c r="H56" s="63" t="str">
        <f t="shared" si="1"/>
        <v>Yes</v>
      </c>
      <c r="I56" s="63">
        <f t="shared" si="2"/>
        <v>6</v>
      </c>
      <c r="J56" s="66" t="str">
        <f t="shared" si="3"/>
        <v/>
      </c>
      <c r="K56" s="67"/>
      <c r="L56" s="66" t="str">
        <f t="shared" si="4"/>
        <v/>
      </c>
      <c r="M56" s="68" t="str">
        <f t="shared" si="5"/>
        <v/>
      </c>
      <c r="N56" s="64"/>
      <c r="O56" s="64"/>
      <c r="P56" s="64"/>
      <c r="Q56" s="64"/>
      <c r="R56" s="64"/>
      <c r="S56" s="64"/>
      <c r="T56" s="64"/>
      <c r="U56" s="64"/>
      <c r="V56" s="64"/>
      <c r="W56" s="64"/>
      <c r="X56" s="64"/>
      <c r="Y56" s="64"/>
      <c r="Z56" s="64"/>
      <c r="AA56" s="64"/>
    </row>
    <row r="57" ht="12.75" customHeight="1">
      <c r="A57" s="63">
        <v>375.0</v>
      </c>
      <c r="B57" s="64" t="s">
        <v>277</v>
      </c>
      <c r="C57" s="64" t="s">
        <v>532</v>
      </c>
      <c r="D57" s="64" t="s">
        <v>533</v>
      </c>
      <c r="E57" s="64" t="s">
        <v>534</v>
      </c>
      <c r="F57" s="64" t="s">
        <v>535</v>
      </c>
      <c r="G57" s="65" t="s">
        <v>49</v>
      </c>
      <c r="H57" s="63" t="str">
        <f t="shared" si="1"/>
        <v>Yes</v>
      </c>
      <c r="I57" s="63">
        <f t="shared" si="2"/>
        <v>4</v>
      </c>
      <c r="J57" s="66" t="str">
        <f t="shared" si="3"/>
        <v/>
      </c>
      <c r="K57" s="67"/>
      <c r="L57" s="66" t="str">
        <f t="shared" si="4"/>
        <v/>
      </c>
      <c r="M57" s="68" t="str">
        <f t="shared" si="5"/>
        <v/>
      </c>
      <c r="N57" s="64"/>
      <c r="O57" s="64"/>
      <c r="P57" s="64"/>
      <c r="Q57" s="64"/>
      <c r="R57" s="64"/>
      <c r="S57" s="64"/>
      <c r="T57" s="64"/>
      <c r="U57" s="64"/>
      <c r="V57" s="64"/>
      <c r="W57" s="64"/>
      <c r="X57" s="64"/>
      <c r="Y57" s="64"/>
      <c r="Z57" s="64"/>
      <c r="AA57" s="64"/>
    </row>
    <row r="58" ht="12.75" customHeight="1">
      <c r="A58" s="63">
        <v>376.0</v>
      </c>
      <c r="B58" s="64" t="s">
        <v>277</v>
      </c>
      <c r="C58" s="64" t="s">
        <v>536</v>
      </c>
      <c r="D58" s="64" t="s">
        <v>537</v>
      </c>
      <c r="E58" s="64" t="s">
        <v>538</v>
      </c>
      <c r="F58" s="64" t="s">
        <v>539</v>
      </c>
      <c r="G58" s="65" t="s">
        <v>72</v>
      </c>
      <c r="H58" s="63" t="str">
        <f t="shared" si="1"/>
        <v>Yes</v>
      </c>
      <c r="I58" s="63">
        <f t="shared" si="2"/>
        <v>9</v>
      </c>
      <c r="J58" s="66" t="str">
        <f t="shared" si="3"/>
        <v/>
      </c>
      <c r="K58" s="67"/>
      <c r="L58" s="66" t="str">
        <f t="shared" si="4"/>
        <v/>
      </c>
      <c r="M58" s="68" t="str">
        <f t="shared" si="5"/>
        <v/>
      </c>
      <c r="N58" s="64"/>
      <c r="O58" s="64"/>
      <c r="P58" s="64"/>
      <c r="Q58" s="64"/>
      <c r="R58" s="64"/>
      <c r="S58" s="64"/>
      <c r="T58" s="64"/>
      <c r="U58" s="64"/>
      <c r="V58" s="64"/>
      <c r="W58" s="64"/>
      <c r="X58" s="64"/>
      <c r="Y58" s="64"/>
      <c r="Z58" s="64"/>
      <c r="AA58" s="64"/>
    </row>
    <row r="59" ht="12.75" customHeight="1">
      <c r="A59" s="63">
        <v>377.0</v>
      </c>
      <c r="B59" s="64" t="s">
        <v>277</v>
      </c>
      <c r="C59" s="64" t="s">
        <v>540</v>
      </c>
      <c r="D59" s="64" t="s">
        <v>541</v>
      </c>
      <c r="E59" s="64" t="s">
        <v>542</v>
      </c>
      <c r="F59" s="64" t="s">
        <v>543</v>
      </c>
      <c r="G59" s="65" t="s">
        <v>41</v>
      </c>
      <c r="H59" s="63" t="str">
        <f t="shared" si="1"/>
        <v>Yes</v>
      </c>
      <c r="I59" s="63">
        <f t="shared" si="2"/>
        <v>4</v>
      </c>
      <c r="J59" s="66" t="str">
        <f t="shared" si="3"/>
        <v/>
      </c>
      <c r="K59" s="67"/>
      <c r="L59" s="66" t="str">
        <f t="shared" si="4"/>
        <v/>
      </c>
      <c r="M59" s="68" t="str">
        <f t="shared" si="5"/>
        <v/>
      </c>
      <c r="N59" s="64"/>
      <c r="O59" s="64"/>
      <c r="P59" s="64"/>
      <c r="Q59" s="64"/>
      <c r="R59" s="64"/>
      <c r="S59" s="64"/>
      <c r="T59" s="64"/>
      <c r="U59" s="64"/>
      <c r="V59" s="64"/>
      <c r="W59" s="64"/>
      <c r="X59" s="64"/>
      <c r="Y59" s="64"/>
      <c r="Z59" s="64"/>
      <c r="AA59" s="64"/>
    </row>
    <row r="60" ht="12.75" customHeight="1">
      <c r="A60" s="63">
        <v>378.0</v>
      </c>
      <c r="B60" s="64" t="s">
        <v>277</v>
      </c>
      <c r="C60" s="64" t="s">
        <v>544</v>
      </c>
      <c r="D60" s="64" t="s">
        <v>545</v>
      </c>
      <c r="E60" s="64" t="s">
        <v>546</v>
      </c>
      <c r="F60" s="64" t="s">
        <v>547</v>
      </c>
      <c r="G60" s="65"/>
      <c r="H60" s="63" t="str">
        <f t="shared" si="1"/>
        <v>No</v>
      </c>
      <c r="I60" s="63" t="str">
        <f t="shared" si="2"/>
        <v/>
      </c>
      <c r="J60" s="66" t="str">
        <f t="shared" si="3"/>
        <v/>
      </c>
      <c r="K60" s="67"/>
      <c r="L60" s="66" t="str">
        <f t="shared" si="4"/>
        <v/>
      </c>
      <c r="M60" s="68" t="str">
        <f t="shared" si="5"/>
        <v/>
      </c>
      <c r="N60" s="64"/>
      <c r="O60" s="64"/>
      <c r="P60" s="64"/>
      <c r="Q60" s="64"/>
      <c r="R60" s="64"/>
      <c r="S60" s="64"/>
      <c r="T60" s="64"/>
      <c r="U60" s="64"/>
      <c r="V60" s="64"/>
      <c r="W60" s="64"/>
      <c r="X60" s="64"/>
      <c r="Y60" s="64"/>
      <c r="Z60" s="64"/>
      <c r="AA60" s="64"/>
    </row>
    <row r="61" ht="12.75" customHeight="1">
      <c r="A61" s="63">
        <v>383.0</v>
      </c>
      <c r="B61" s="64" t="s">
        <v>277</v>
      </c>
      <c r="C61" s="64" t="s">
        <v>548</v>
      </c>
      <c r="D61" s="64" t="s">
        <v>549</v>
      </c>
      <c r="E61" s="64" t="s">
        <v>550</v>
      </c>
      <c r="F61" s="64" t="s">
        <v>551</v>
      </c>
      <c r="G61" s="65"/>
      <c r="H61" s="63" t="str">
        <f t="shared" si="1"/>
        <v>No</v>
      </c>
      <c r="I61" s="63" t="str">
        <f t="shared" si="2"/>
        <v/>
      </c>
      <c r="J61" s="66" t="str">
        <f t="shared" si="3"/>
        <v/>
      </c>
      <c r="K61" s="67"/>
      <c r="L61" s="66" t="str">
        <f t="shared" si="4"/>
        <v/>
      </c>
      <c r="M61" s="68" t="str">
        <f t="shared" si="5"/>
        <v/>
      </c>
      <c r="N61" s="64"/>
      <c r="O61" s="64"/>
      <c r="P61" s="64"/>
      <c r="Q61" s="64"/>
      <c r="R61" s="64"/>
      <c r="S61" s="64"/>
      <c r="T61" s="64"/>
      <c r="U61" s="64"/>
      <c r="V61" s="64"/>
      <c r="W61" s="64"/>
      <c r="X61" s="64"/>
      <c r="Y61" s="64"/>
      <c r="Z61" s="64"/>
      <c r="AA61" s="64"/>
    </row>
    <row r="62" ht="12.75" customHeight="1">
      <c r="A62" s="63">
        <v>24.0</v>
      </c>
      <c r="B62" s="64" t="s">
        <v>552</v>
      </c>
      <c r="C62" s="64" t="s">
        <v>553</v>
      </c>
      <c r="D62" s="64" t="s">
        <v>554</v>
      </c>
      <c r="E62" s="64" t="s">
        <v>555</v>
      </c>
      <c r="F62" s="64" t="s">
        <v>556</v>
      </c>
      <c r="G62" s="65"/>
      <c r="H62" s="63" t="str">
        <f t="shared" si="1"/>
        <v>No</v>
      </c>
      <c r="I62" s="63" t="str">
        <f t="shared" si="2"/>
        <v/>
      </c>
      <c r="J62" s="66" t="str">
        <f t="shared" si="3"/>
        <v/>
      </c>
      <c r="K62" s="67"/>
      <c r="L62" s="66" t="str">
        <f t="shared" si="4"/>
        <v/>
      </c>
      <c r="M62" s="68" t="str">
        <f t="shared" si="5"/>
        <v/>
      </c>
      <c r="N62" s="64"/>
      <c r="O62" s="64"/>
      <c r="P62" s="64"/>
      <c r="Q62" s="64"/>
      <c r="R62" s="64"/>
      <c r="S62" s="64"/>
      <c r="T62" s="64"/>
      <c r="U62" s="64"/>
      <c r="V62" s="64"/>
      <c r="W62" s="64"/>
      <c r="X62" s="64"/>
      <c r="Y62" s="64"/>
      <c r="Z62" s="64"/>
      <c r="AA62" s="64"/>
    </row>
    <row r="63" ht="12.75" customHeight="1">
      <c r="A63" s="63">
        <v>278.0</v>
      </c>
      <c r="B63" s="64" t="s">
        <v>552</v>
      </c>
      <c r="C63" s="64" t="s">
        <v>557</v>
      </c>
      <c r="D63" s="64" t="s">
        <v>558</v>
      </c>
      <c r="E63" s="64" t="s">
        <v>559</v>
      </c>
      <c r="F63" s="64" t="s">
        <v>560</v>
      </c>
      <c r="G63" s="65"/>
      <c r="H63" s="63" t="str">
        <f t="shared" si="1"/>
        <v>No</v>
      </c>
      <c r="I63" s="63" t="str">
        <f t="shared" si="2"/>
        <v/>
      </c>
      <c r="J63" s="66" t="str">
        <f t="shared" si="3"/>
        <v/>
      </c>
      <c r="K63" s="67"/>
      <c r="L63" s="66" t="str">
        <f t="shared" si="4"/>
        <v/>
      </c>
      <c r="M63" s="68" t="str">
        <f t="shared" si="5"/>
        <v/>
      </c>
      <c r="N63" s="64"/>
      <c r="O63" s="64"/>
      <c r="P63" s="64"/>
      <c r="Q63" s="64"/>
      <c r="R63" s="64"/>
      <c r="S63" s="64"/>
      <c r="T63" s="64"/>
      <c r="U63" s="64"/>
      <c r="V63" s="64"/>
      <c r="W63" s="64"/>
      <c r="X63" s="64"/>
      <c r="Y63" s="64"/>
      <c r="Z63" s="64"/>
      <c r="AA63" s="64"/>
    </row>
    <row r="64" ht="12.75" customHeight="1">
      <c r="A64" s="63">
        <v>283.0</v>
      </c>
      <c r="B64" s="64" t="s">
        <v>552</v>
      </c>
      <c r="C64" s="64" t="s">
        <v>561</v>
      </c>
      <c r="D64" s="64" t="s">
        <v>562</v>
      </c>
      <c r="E64" s="64" t="s">
        <v>563</v>
      </c>
      <c r="F64" s="64" t="s">
        <v>563</v>
      </c>
      <c r="G64" s="65" t="s">
        <v>184</v>
      </c>
      <c r="H64" s="63" t="str">
        <f t="shared" si="1"/>
        <v>Yes</v>
      </c>
      <c r="I64" s="63">
        <f t="shared" si="2"/>
        <v>5</v>
      </c>
      <c r="J64" s="66" t="str">
        <f t="shared" si="3"/>
        <v/>
      </c>
      <c r="K64" s="67"/>
      <c r="L64" s="66" t="str">
        <f t="shared" si="4"/>
        <v/>
      </c>
      <c r="M64" s="68" t="str">
        <f t="shared" si="5"/>
        <v/>
      </c>
      <c r="N64" s="64"/>
      <c r="O64" s="64"/>
      <c r="P64" s="64"/>
      <c r="Q64" s="64"/>
      <c r="R64" s="64"/>
      <c r="S64" s="64"/>
      <c r="T64" s="64"/>
      <c r="U64" s="64"/>
      <c r="V64" s="64"/>
      <c r="W64" s="64"/>
      <c r="X64" s="64"/>
      <c r="Y64" s="64"/>
      <c r="Z64" s="64"/>
      <c r="AA64" s="64"/>
    </row>
    <row r="65" ht="12.75" customHeight="1">
      <c r="A65" s="63">
        <v>303.0</v>
      </c>
      <c r="B65" s="64" t="s">
        <v>552</v>
      </c>
      <c r="C65" s="64" t="s">
        <v>564</v>
      </c>
      <c r="D65" s="64" t="s">
        <v>565</v>
      </c>
      <c r="E65" s="64" t="s">
        <v>566</v>
      </c>
      <c r="F65" s="64" t="s">
        <v>567</v>
      </c>
      <c r="G65" s="65"/>
      <c r="H65" s="63" t="str">
        <f t="shared" si="1"/>
        <v>No</v>
      </c>
      <c r="I65" s="63" t="str">
        <f t="shared" si="2"/>
        <v/>
      </c>
      <c r="J65" s="66" t="str">
        <f t="shared" si="3"/>
        <v/>
      </c>
      <c r="K65" s="67"/>
      <c r="L65" s="66" t="str">
        <f t="shared" si="4"/>
        <v/>
      </c>
      <c r="M65" s="68" t="str">
        <f t="shared" si="5"/>
        <v/>
      </c>
      <c r="N65" s="64"/>
      <c r="O65" s="64"/>
      <c r="P65" s="64"/>
      <c r="Q65" s="64"/>
      <c r="R65" s="64"/>
      <c r="S65" s="64"/>
      <c r="T65" s="64"/>
      <c r="U65" s="64"/>
      <c r="V65" s="64"/>
      <c r="W65" s="64"/>
      <c r="X65" s="64"/>
      <c r="Y65" s="64"/>
      <c r="Z65" s="64"/>
      <c r="AA65" s="64"/>
    </row>
    <row r="66" ht="12.75" customHeight="1">
      <c r="A66" s="63">
        <v>323.0</v>
      </c>
      <c r="B66" s="64" t="s">
        <v>552</v>
      </c>
      <c r="C66" s="64" t="s">
        <v>568</v>
      </c>
      <c r="D66" s="64" t="s">
        <v>569</v>
      </c>
      <c r="E66" s="64" t="s">
        <v>570</v>
      </c>
      <c r="F66" s="64" t="s">
        <v>571</v>
      </c>
      <c r="G66" s="65" t="s">
        <v>118</v>
      </c>
      <c r="H66" s="63" t="str">
        <f t="shared" si="1"/>
        <v>Yes</v>
      </c>
      <c r="I66" s="63">
        <f t="shared" si="2"/>
        <v>3</v>
      </c>
      <c r="J66" s="66" t="str">
        <f t="shared" si="3"/>
        <v/>
      </c>
      <c r="K66" s="67"/>
      <c r="L66" s="66" t="str">
        <f t="shared" si="4"/>
        <v/>
      </c>
      <c r="M66" s="68" t="str">
        <f t="shared" si="5"/>
        <v/>
      </c>
      <c r="N66" s="64"/>
      <c r="O66" s="64"/>
      <c r="P66" s="64"/>
      <c r="Q66" s="64"/>
      <c r="R66" s="64"/>
      <c r="S66" s="64"/>
      <c r="T66" s="64"/>
      <c r="U66" s="64"/>
      <c r="V66" s="64"/>
      <c r="W66" s="64"/>
      <c r="X66" s="64"/>
      <c r="Y66" s="64"/>
      <c r="Z66" s="64"/>
      <c r="AA66" s="64"/>
    </row>
    <row r="67" ht="12.75" customHeight="1">
      <c r="A67" s="63">
        <v>341.0</v>
      </c>
      <c r="B67" s="64" t="s">
        <v>552</v>
      </c>
      <c r="C67" s="64" t="s">
        <v>572</v>
      </c>
      <c r="D67" s="64" t="s">
        <v>573</v>
      </c>
      <c r="E67" s="64" t="s">
        <v>574</v>
      </c>
      <c r="F67" s="64" t="s">
        <v>575</v>
      </c>
      <c r="G67" s="65" t="s">
        <v>118</v>
      </c>
      <c r="H67" s="63" t="str">
        <f t="shared" si="1"/>
        <v>Yes</v>
      </c>
      <c r="I67" s="63">
        <f t="shared" si="2"/>
        <v>4</v>
      </c>
      <c r="J67" s="66" t="str">
        <f t="shared" si="3"/>
        <v/>
      </c>
      <c r="K67" s="67"/>
      <c r="L67" s="66" t="str">
        <f t="shared" si="4"/>
        <v/>
      </c>
      <c r="M67" s="68" t="str">
        <f t="shared" si="5"/>
        <v/>
      </c>
      <c r="N67" s="64"/>
      <c r="O67" s="64"/>
      <c r="P67" s="64"/>
      <c r="Q67" s="64"/>
      <c r="R67" s="64"/>
      <c r="S67" s="64"/>
      <c r="T67" s="64"/>
      <c r="U67" s="64"/>
      <c r="V67" s="64"/>
      <c r="W67" s="64"/>
      <c r="X67" s="64"/>
      <c r="Y67" s="64"/>
      <c r="Z67" s="64"/>
      <c r="AA67" s="64"/>
    </row>
    <row r="68" ht="12.75" customHeight="1">
      <c r="A68" s="63">
        <v>367.0</v>
      </c>
      <c r="B68" s="64" t="s">
        <v>552</v>
      </c>
      <c r="C68" s="64" t="s">
        <v>576</v>
      </c>
      <c r="D68" s="64" t="s">
        <v>577</v>
      </c>
      <c r="E68" s="64" t="s">
        <v>578</v>
      </c>
      <c r="F68" s="64" t="s">
        <v>579</v>
      </c>
      <c r="G68" s="65" t="s">
        <v>63</v>
      </c>
      <c r="H68" s="63" t="str">
        <f t="shared" si="1"/>
        <v>Yes</v>
      </c>
      <c r="I68" s="63">
        <f t="shared" si="2"/>
        <v>5</v>
      </c>
      <c r="J68" s="66" t="str">
        <f t="shared" si="3"/>
        <v/>
      </c>
      <c r="K68" s="67"/>
      <c r="L68" s="66" t="str">
        <f t="shared" si="4"/>
        <v/>
      </c>
      <c r="M68" s="68" t="str">
        <f t="shared" si="5"/>
        <v/>
      </c>
      <c r="N68" s="64"/>
      <c r="O68" s="64"/>
      <c r="P68" s="64"/>
      <c r="Q68" s="64"/>
      <c r="R68" s="64"/>
      <c r="S68" s="64"/>
      <c r="T68" s="64"/>
      <c r="U68" s="64"/>
      <c r="V68" s="64"/>
      <c r="W68" s="64"/>
      <c r="X68" s="64"/>
      <c r="Y68" s="64"/>
      <c r="Z68" s="64"/>
      <c r="AA68" s="64"/>
    </row>
    <row r="69" ht="12.75" customHeight="1">
      <c r="A69" s="63">
        <v>33.0</v>
      </c>
      <c r="B69" s="64" t="s">
        <v>580</v>
      </c>
      <c r="C69" s="64" t="s">
        <v>581</v>
      </c>
      <c r="D69" s="64" t="s">
        <v>582</v>
      </c>
      <c r="E69" s="64" t="s">
        <v>583</v>
      </c>
      <c r="F69" s="64" t="s">
        <v>584</v>
      </c>
      <c r="G69" s="65" t="s">
        <v>34</v>
      </c>
      <c r="H69" s="63" t="str">
        <f t="shared" si="1"/>
        <v>Yes</v>
      </c>
      <c r="I69" s="63">
        <f t="shared" si="2"/>
        <v>1</v>
      </c>
      <c r="J69" s="66" t="str">
        <f t="shared" si="3"/>
        <v/>
      </c>
      <c r="K69" s="67"/>
      <c r="L69" s="66" t="str">
        <f t="shared" si="4"/>
        <v/>
      </c>
      <c r="M69" s="68" t="str">
        <f t="shared" si="5"/>
        <v/>
      </c>
      <c r="N69" s="64"/>
      <c r="O69" s="64"/>
      <c r="P69" s="64"/>
      <c r="Q69" s="64"/>
      <c r="R69" s="64"/>
      <c r="S69" s="64"/>
      <c r="T69" s="64"/>
      <c r="U69" s="64"/>
      <c r="V69" s="64"/>
      <c r="W69" s="64"/>
      <c r="X69" s="64"/>
      <c r="Y69" s="64"/>
      <c r="Z69" s="64"/>
      <c r="AA69" s="64"/>
    </row>
    <row r="70" ht="12.75" customHeight="1">
      <c r="A70" s="63">
        <v>80.0</v>
      </c>
      <c r="B70" s="64" t="s">
        <v>580</v>
      </c>
      <c r="C70" s="64" t="s">
        <v>585</v>
      </c>
      <c r="D70" s="64" t="s">
        <v>586</v>
      </c>
      <c r="E70" s="64" t="s">
        <v>587</v>
      </c>
      <c r="F70" s="64" t="s">
        <v>588</v>
      </c>
      <c r="G70" s="65"/>
      <c r="H70" s="63" t="str">
        <f t="shared" si="1"/>
        <v>No</v>
      </c>
      <c r="I70" s="63" t="str">
        <f t="shared" si="2"/>
        <v/>
      </c>
      <c r="J70" s="66" t="str">
        <f t="shared" si="3"/>
        <v/>
      </c>
      <c r="K70" s="67"/>
      <c r="L70" s="66" t="str">
        <f t="shared" si="4"/>
        <v/>
      </c>
      <c r="M70" s="68" t="str">
        <f t="shared" si="5"/>
        <v/>
      </c>
      <c r="N70" s="64"/>
      <c r="O70" s="64"/>
      <c r="P70" s="64"/>
      <c r="Q70" s="64"/>
      <c r="R70" s="64"/>
      <c r="S70" s="64"/>
      <c r="T70" s="64"/>
      <c r="U70" s="64"/>
      <c r="V70" s="64"/>
      <c r="W70" s="64"/>
      <c r="X70" s="64"/>
      <c r="Y70" s="64"/>
      <c r="Z70" s="64"/>
      <c r="AA70" s="64"/>
    </row>
    <row r="71" ht="12.75" customHeight="1">
      <c r="A71" s="63">
        <v>97.0</v>
      </c>
      <c r="B71" s="64" t="s">
        <v>580</v>
      </c>
      <c r="C71" s="64" t="s">
        <v>589</v>
      </c>
      <c r="D71" s="64" t="s">
        <v>590</v>
      </c>
      <c r="E71" s="64" t="s">
        <v>591</v>
      </c>
      <c r="F71" s="64" t="s">
        <v>592</v>
      </c>
      <c r="G71" s="65"/>
      <c r="H71" s="63" t="str">
        <f t="shared" si="1"/>
        <v>No</v>
      </c>
      <c r="I71" s="63" t="str">
        <f t="shared" si="2"/>
        <v/>
      </c>
      <c r="J71" s="66" t="str">
        <f t="shared" si="3"/>
        <v/>
      </c>
      <c r="K71" s="67"/>
      <c r="L71" s="66" t="str">
        <f t="shared" si="4"/>
        <v/>
      </c>
      <c r="M71" s="68" t="str">
        <f t="shared" si="5"/>
        <v/>
      </c>
      <c r="N71" s="64"/>
      <c r="O71" s="64"/>
      <c r="P71" s="64"/>
      <c r="Q71" s="64"/>
      <c r="R71" s="64"/>
      <c r="S71" s="64"/>
      <c r="T71" s="64"/>
      <c r="U71" s="64"/>
      <c r="V71" s="64"/>
      <c r="W71" s="64"/>
      <c r="X71" s="64"/>
      <c r="Y71" s="64"/>
      <c r="Z71" s="64"/>
      <c r="AA71" s="64"/>
    </row>
    <row r="72" ht="12.75" customHeight="1">
      <c r="A72" s="63">
        <v>116.0</v>
      </c>
      <c r="B72" s="64" t="s">
        <v>580</v>
      </c>
      <c r="C72" s="64" t="s">
        <v>593</v>
      </c>
      <c r="D72" s="64" t="s">
        <v>594</v>
      </c>
      <c r="E72" s="64" t="s">
        <v>595</v>
      </c>
      <c r="F72" s="64" t="s">
        <v>596</v>
      </c>
      <c r="G72" s="65" t="s">
        <v>34</v>
      </c>
      <c r="H72" s="63" t="str">
        <f t="shared" si="1"/>
        <v>Yes</v>
      </c>
      <c r="I72" s="63">
        <f t="shared" si="2"/>
        <v>2</v>
      </c>
      <c r="J72" s="66" t="str">
        <f t="shared" si="3"/>
        <v/>
      </c>
      <c r="K72" s="67"/>
      <c r="L72" s="66" t="str">
        <f t="shared" si="4"/>
        <v/>
      </c>
      <c r="M72" s="68" t="str">
        <f t="shared" si="5"/>
        <v/>
      </c>
      <c r="N72" s="64"/>
      <c r="O72" s="64"/>
      <c r="P72" s="64"/>
      <c r="Q72" s="64"/>
      <c r="R72" s="64"/>
      <c r="S72" s="64"/>
      <c r="T72" s="64"/>
      <c r="U72" s="64"/>
      <c r="V72" s="64"/>
      <c r="W72" s="64"/>
      <c r="X72" s="64"/>
      <c r="Y72" s="64"/>
      <c r="Z72" s="64"/>
      <c r="AA72" s="64"/>
    </row>
    <row r="73" ht="12.75" customHeight="1">
      <c r="A73" s="63">
        <v>136.0</v>
      </c>
      <c r="B73" s="64" t="s">
        <v>580</v>
      </c>
      <c r="C73" s="64" t="s">
        <v>597</v>
      </c>
      <c r="D73" s="64" t="s">
        <v>598</v>
      </c>
      <c r="E73" s="64" t="s">
        <v>599</v>
      </c>
      <c r="F73" s="64" t="s">
        <v>600</v>
      </c>
      <c r="G73" s="65" t="s">
        <v>34</v>
      </c>
      <c r="H73" s="63" t="str">
        <f t="shared" si="1"/>
        <v>Yes</v>
      </c>
      <c r="I73" s="63">
        <f t="shared" si="2"/>
        <v>3</v>
      </c>
      <c r="J73" s="66" t="str">
        <f t="shared" si="3"/>
        <v/>
      </c>
      <c r="K73" s="67"/>
      <c r="L73" s="66" t="str">
        <f t="shared" si="4"/>
        <v/>
      </c>
      <c r="M73" s="68" t="str">
        <f t="shared" si="5"/>
        <v/>
      </c>
      <c r="N73" s="64"/>
      <c r="O73" s="64"/>
      <c r="P73" s="64"/>
      <c r="Q73" s="64"/>
      <c r="R73" s="64"/>
      <c r="S73" s="64"/>
      <c r="T73" s="64"/>
      <c r="U73" s="64"/>
      <c r="V73" s="64"/>
      <c r="W73" s="64"/>
      <c r="X73" s="64"/>
      <c r="Y73" s="64"/>
      <c r="Z73" s="64"/>
      <c r="AA73" s="64"/>
    </row>
    <row r="74" ht="12.75" customHeight="1">
      <c r="A74" s="63">
        <v>175.0</v>
      </c>
      <c r="B74" s="64" t="s">
        <v>580</v>
      </c>
      <c r="C74" s="64" t="s">
        <v>601</v>
      </c>
      <c r="D74" s="64" t="s">
        <v>602</v>
      </c>
      <c r="E74" s="64" t="s">
        <v>603</v>
      </c>
      <c r="F74" s="64" t="s">
        <v>604</v>
      </c>
      <c r="G74" s="65" t="s">
        <v>118</v>
      </c>
      <c r="H74" s="63" t="str">
        <f t="shared" si="1"/>
        <v>Yes</v>
      </c>
      <c r="I74" s="63">
        <f t="shared" si="2"/>
        <v>5</v>
      </c>
      <c r="J74" s="66" t="str">
        <f t="shared" si="3"/>
        <v/>
      </c>
      <c r="K74" s="67"/>
      <c r="L74" s="66" t="str">
        <f t="shared" si="4"/>
        <v/>
      </c>
      <c r="M74" s="68" t="str">
        <f t="shared" si="5"/>
        <v/>
      </c>
      <c r="N74" s="64"/>
      <c r="O74" s="64"/>
      <c r="P74" s="64"/>
      <c r="Q74" s="64"/>
      <c r="R74" s="64"/>
      <c r="S74" s="64"/>
      <c r="T74" s="64"/>
      <c r="U74" s="64"/>
      <c r="V74" s="64"/>
      <c r="W74" s="64"/>
      <c r="X74" s="64"/>
      <c r="Y74" s="64"/>
      <c r="Z74" s="64"/>
      <c r="AA74" s="64"/>
    </row>
    <row r="75" ht="12.75" customHeight="1">
      <c r="A75" s="63">
        <v>217.0</v>
      </c>
      <c r="B75" s="64" t="s">
        <v>580</v>
      </c>
      <c r="C75" s="64" t="s">
        <v>605</v>
      </c>
      <c r="D75" s="64" t="s">
        <v>606</v>
      </c>
      <c r="E75" s="64" t="s">
        <v>607</v>
      </c>
      <c r="F75" s="64" t="s">
        <v>608</v>
      </c>
      <c r="G75" s="65" t="s">
        <v>30</v>
      </c>
      <c r="H75" s="63" t="str">
        <f t="shared" si="1"/>
        <v>Yes</v>
      </c>
      <c r="I75" s="63">
        <f t="shared" si="2"/>
        <v>3</v>
      </c>
      <c r="J75" s="66" t="str">
        <f t="shared" si="3"/>
        <v/>
      </c>
      <c r="K75" s="67"/>
      <c r="L75" s="66" t="str">
        <f t="shared" si="4"/>
        <v/>
      </c>
      <c r="M75" s="68" t="str">
        <f t="shared" si="5"/>
        <v/>
      </c>
      <c r="N75" s="64"/>
      <c r="O75" s="64"/>
      <c r="P75" s="64"/>
      <c r="Q75" s="64"/>
      <c r="R75" s="64"/>
      <c r="S75" s="64"/>
      <c r="T75" s="64"/>
      <c r="U75" s="64"/>
      <c r="V75" s="64"/>
      <c r="W75" s="64"/>
      <c r="X75" s="64"/>
      <c r="Y75" s="64"/>
      <c r="Z75" s="64"/>
      <c r="AA75" s="64"/>
    </row>
    <row r="76" ht="12.75" customHeight="1">
      <c r="A76" s="63">
        <v>228.0</v>
      </c>
      <c r="B76" s="64" t="s">
        <v>580</v>
      </c>
      <c r="C76" s="64" t="s">
        <v>609</v>
      </c>
      <c r="D76" s="64" t="s">
        <v>610</v>
      </c>
      <c r="E76" s="64" t="s">
        <v>611</v>
      </c>
      <c r="F76" s="64" t="s">
        <v>612</v>
      </c>
      <c r="G76" s="65" t="s">
        <v>118</v>
      </c>
      <c r="H76" s="63" t="str">
        <f t="shared" si="1"/>
        <v>Yes</v>
      </c>
      <c r="I76" s="63">
        <f t="shared" si="2"/>
        <v>6</v>
      </c>
      <c r="J76" s="66" t="str">
        <f t="shared" si="3"/>
        <v/>
      </c>
      <c r="K76" s="67"/>
      <c r="L76" s="66" t="str">
        <f t="shared" si="4"/>
        <v/>
      </c>
      <c r="M76" s="68" t="str">
        <f t="shared" si="5"/>
        <v/>
      </c>
      <c r="N76" s="64"/>
      <c r="O76" s="64"/>
      <c r="P76" s="64"/>
      <c r="Q76" s="64"/>
      <c r="R76" s="64"/>
      <c r="S76" s="64"/>
      <c r="T76" s="64"/>
      <c r="U76" s="64"/>
      <c r="V76" s="64"/>
      <c r="W76" s="64"/>
      <c r="X76" s="64"/>
      <c r="Y76" s="64"/>
      <c r="Z76" s="64"/>
      <c r="AA76" s="64"/>
    </row>
    <row r="77" ht="12.75" customHeight="1">
      <c r="A77" s="63">
        <v>326.0</v>
      </c>
      <c r="B77" s="64" t="s">
        <v>580</v>
      </c>
      <c r="C77" s="64" t="s">
        <v>613</v>
      </c>
      <c r="D77" s="64" t="s">
        <v>614</v>
      </c>
      <c r="E77" s="64" t="s">
        <v>615</v>
      </c>
      <c r="F77" s="64" t="s">
        <v>616</v>
      </c>
      <c r="G77" s="65"/>
      <c r="H77" s="63" t="str">
        <f t="shared" si="1"/>
        <v>No</v>
      </c>
      <c r="I77" s="63" t="str">
        <f t="shared" si="2"/>
        <v/>
      </c>
      <c r="J77" s="66" t="str">
        <f t="shared" si="3"/>
        <v/>
      </c>
      <c r="K77" s="67"/>
      <c r="L77" s="66" t="str">
        <f t="shared" si="4"/>
        <v/>
      </c>
      <c r="M77" s="68" t="str">
        <f t="shared" si="5"/>
        <v/>
      </c>
      <c r="N77" s="64"/>
      <c r="O77" s="64"/>
      <c r="P77" s="64"/>
      <c r="Q77" s="64"/>
      <c r="R77" s="64"/>
      <c r="S77" s="64"/>
      <c r="T77" s="64"/>
      <c r="U77" s="64"/>
      <c r="V77" s="64"/>
      <c r="W77" s="64"/>
      <c r="X77" s="64"/>
      <c r="Y77" s="64"/>
      <c r="Z77" s="64"/>
      <c r="AA77" s="64"/>
    </row>
    <row r="78" ht="12.75" customHeight="1">
      <c r="A78" s="63">
        <v>85.0</v>
      </c>
      <c r="B78" s="64" t="s">
        <v>617</v>
      </c>
      <c r="C78" s="64" t="s">
        <v>618</v>
      </c>
      <c r="D78" s="64" t="s">
        <v>619</v>
      </c>
      <c r="E78" s="64" t="s">
        <v>620</v>
      </c>
      <c r="F78" s="64" t="s">
        <v>621</v>
      </c>
      <c r="G78" s="65" t="s">
        <v>113</v>
      </c>
      <c r="H78" s="63" t="str">
        <f t="shared" si="1"/>
        <v>Yes</v>
      </c>
      <c r="I78" s="63">
        <f t="shared" si="2"/>
        <v>2</v>
      </c>
      <c r="J78" s="66" t="str">
        <f t="shared" si="3"/>
        <v/>
      </c>
      <c r="K78" s="67"/>
      <c r="L78" s="66" t="str">
        <f t="shared" si="4"/>
        <v/>
      </c>
      <c r="M78" s="68" t="str">
        <f t="shared" si="5"/>
        <v/>
      </c>
      <c r="N78" s="64"/>
      <c r="O78" s="64"/>
      <c r="P78" s="64"/>
      <c r="Q78" s="64"/>
      <c r="R78" s="64"/>
      <c r="S78" s="64"/>
      <c r="T78" s="64"/>
      <c r="U78" s="64"/>
      <c r="V78" s="64"/>
      <c r="W78" s="64"/>
      <c r="X78" s="64"/>
      <c r="Y78" s="64"/>
      <c r="Z78" s="64"/>
      <c r="AA78" s="64"/>
    </row>
    <row r="79" ht="12.75" customHeight="1">
      <c r="A79" s="63">
        <v>148.0</v>
      </c>
      <c r="B79" s="64" t="s">
        <v>617</v>
      </c>
      <c r="C79" s="64" t="s">
        <v>622</v>
      </c>
      <c r="D79" s="64" t="s">
        <v>623</v>
      </c>
      <c r="E79" s="64" t="s">
        <v>624</v>
      </c>
      <c r="F79" s="64" t="s">
        <v>625</v>
      </c>
      <c r="G79" s="65" t="s">
        <v>113</v>
      </c>
      <c r="H79" s="63" t="str">
        <f t="shared" si="1"/>
        <v>Yes</v>
      </c>
      <c r="I79" s="63">
        <f t="shared" si="2"/>
        <v>3</v>
      </c>
      <c r="J79" s="66" t="str">
        <f t="shared" si="3"/>
        <v/>
      </c>
      <c r="K79" s="67"/>
      <c r="L79" s="66" t="str">
        <f t="shared" si="4"/>
        <v/>
      </c>
      <c r="M79" s="68" t="str">
        <f t="shared" si="5"/>
        <v/>
      </c>
      <c r="N79" s="64"/>
      <c r="O79" s="64"/>
      <c r="P79" s="64"/>
      <c r="Q79" s="64"/>
      <c r="R79" s="64"/>
      <c r="S79" s="64"/>
      <c r="T79" s="64"/>
      <c r="U79" s="64"/>
      <c r="V79" s="64"/>
      <c r="W79" s="64"/>
      <c r="X79" s="64"/>
      <c r="Y79" s="64"/>
      <c r="Z79" s="64"/>
      <c r="AA79" s="64"/>
    </row>
    <row r="80" ht="12.75" customHeight="1">
      <c r="A80" s="63">
        <v>160.0</v>
      </c>
      <c r="B80" s="64" t="s">
        <v>617</v>
      </c>
      <c r="C80" s="64" t="s">
        <v>626</v>
      </c>
      <c r="D80" s="64" t="s">
        <v>627</v>
      </c>
      <c r="E80" s="64" t="s">
        <v>628</v>
      </c>
      <c r="F80" s="64" t="s">
        <v>629</v>
      </c>
      <c r="G80" s="65" t="s">
        <v>49</v>
      </c>
      <c r="H80" s="63" t="str">
        <f t="shared" si="1"/>
        <v>Yes</v>
      </c>
      <c r="I80" s="63">
        <f t="shared" si="2"/>
        <v>5</v>
      </c>
      <c r="J80" s="66" t="str">
        <f t="shared" si="3"/>
        <v/>
      </c>
      <c r="K80" s="67"/>
      <c r="L80" s="66" t="str">
        <f t="shared" si="4"/>
        <v/>
      </c>
      <c r="M80" s="68" t="str">
        <f t="shared" si="5"/>
        <v/>
      </c>
      <c r="N80" s="64"/>
      <c r="O80" s="64"/>
      <c r="P80" s="64"/>
      <c r="Q80" s="64"/>
      <c r="R80" s="64"/>
      <c r="S80" s="64"/>
      <c r="T80" s="64"/>
      <c r="U80" s="64"/>
      <c r="V80" s="64"/>
      <c r="W80" s="64"/>
      <c r="X80" s="64"/>
      <c r="Y80" s="64"/>
      <c r="Z80" s="64"/>
      <c r="AA80" s="64"/>
    </row>
    <row r="81" ht="12.75" customHeight="1">
      <c r="A81" s="63">
        <v>210.0</v>
      </c>
      <c r="B81" s="64" t="s">
        <v>617</v>
      </c>
      <c r="C81" s="64" t="s">
        <v>630</v>
      </c>
      <c r="D81" s="64" t="s">
        <v>631</v>
      </c>
      <c r="E81" s="64" t="s">
        <v>632</v>
      </c>
      <c r="F81" s="64" t="s">
        <v>633</v>
      </c>
      <c r="G81" s="65" t="s">
        <v>49</v>
      </c>
      <c r="H81" s="63" t="str">
        <f t="shared" si="1"/>
        <v>Yes</v>
      </c>
      <c r="I81" s="63">
        <f t="shared" si="2"/>
        <v>6</v>
      </c>
      <c r="J81" s="66" t="str">
        <f t="shared" si="3"/>
        <v/>
      </c>
      <c r="K81" s="67"/>
      <c r="L81" s="66" t="str">
        <f t="shared" si="4"/>
        <v/>
      </c>
      <c r="M81" s="68" t="str">
        <f t="shared" si="5"/>
        <v/>
      </c>
      <c r="N81" s="64"/>
      <c r="O81" s="64"/>
      <c r="P81" s="64"/>
      <c r="Q81" s="64"/>
      <c r="R81" s="64"/>
      <c r="S81" s="64"/>
      <c r="T81" s="64"/>
      <c r="U81" s="64"/>
      <c r="V81" s="64"/>
      <c r="W81" s="64"/>
      <c r="X81" s="64"/>
      <c r="Y81" s="64"/>
      <c r="Z81" s="64"/>
      <c r="AA81" s="64"/>
    </row>
    <row r="82" ht="12.75" customHeight="1">
      <c r="A82" s="63">
        <v>255.0</v>
      </c>
      <c r="B82" s="64" t="s">
        <v>617</v>
      </c>
      <c r="C82" s="64" t="s">
        <v>634</v>
      </c>
      <c r="D82" s="64" t="s">
        <v>619</v>
      </c>
      <c r="E82" s="64" t="s">
        <v>620</v>
      </c>
      <c r="F82" s="64" t="s">
        <v>621</v>
      </c>
      <c r="G82" s="65"/>
      <c r="H82" s="63" t="str">
        <f t="shared" si="1"/>
        <v>No</v>
      </c>
      <c r="I82" s="63" t="str">
        <f t="shared" si="2"/>
        <v/>
      </c>
      <c r="J82" s="66" t="str">
        <f t="shared" si="3"/>
        <v/>
      </c>
      <c r="K82" s="67"/>
      <c r="L82" s="66" t="str">
        <f t="shared" si="4"/>
        <v/>
      </c>
      <c r="M82" s="68" t="str">
        <f t="shared" si="5"/>
        <v/>
      </c>
      <c r="N82" s="64"/>
      <c r="O82" s="64"/>
      <c r="P82" s="64"/>
      <c r="Q82" s="64"/>
      <c r="R82" s="64"/>
      <c r="S82" s="64"/>
      <c r="T82" s="64"/>
      <c r="U82" s="64"/>
      <c r="V82" s="64"/>
      <c r="W82" s="64"/>
      <c r="X82" s="64"/>
      <c r="Y82" s="64"/>
      <c r="Z82" s="64"/>
      <c r="AA82" s="64"/>
    </row>
    <row r="83" ht="12.75" customHeight="1">
      <c r="A83" s="63">
        <v>274.0</v>
      </c>
      <c r="B83" s="64" t="s">
        <v>617</v>
      </c>
      <c r="C83" s="64" t="s">
        <v>635</v>
      </c>
      <c r="D83" s="64" t="s">
        <v>636</v>
      </c>
      <c r="E83" s="64" t="s">
        <v>637</v>
      </c>
      <c r="F83" s="64" t="s">
        <v>638</v>
      </c>
      <c r="G83" s="65" t="s">
        <v>113</v>
      </c>
      <c r="H83" s="63" t="str">
        <f t="shared" si="1"/>
        <v>Yes</v>
      </c>
      <c r="I83" s="63">
        <f t="shared" si="2"/>
        <v>4</v>
      </c>
      <c r="J83" s="66" t="str">
        <f t="shared" si="3"/>
        <v/>
      </c>
      <c r="K83" s="67"/>
      <c r="L83" s="66" t="str">
        <f t="shared" si="4"/>
        <v/>
      </c>
      <c r="M83" s="68" t="str">
        <f t="shared" si="5"/>
        <v/>
      </c>
      <c r="N83" s="64"/>
      <c r="O83" s="64"/>
      <c r="P83" s="64"/>
      <c r="Q83" s="64"/>
      <c r="R83" s="64"/>
      <c r="S83" s="64"/>
      <c r="T83" s="64"/>
      <c r="U83" s="64"/>
      <c r="V83" s="64"/>
      <c r="W83" s="64"/>
      <c r="X83" s="64"/>
      <c r="Y83" s="64"/>
      <c r="Z83" s="64"/>
      <c r="AA83" s="64"/>
    </row>
    <row r="84" ht="12.75" customHeight="1">
      <c r="A84" s="63">
        <v>345.0</v>
      </c>
      <c r="B84" s="64" t="s">
        <v>617</v>
      </c>
      <c r="C84" s="64" t="s">
        <v>639</v>
      </c>
      <c r="D84" s="64" t="s">
        <v>640</v>
      </c>
      <c r="E84" s="64" t="s">
        <v>641</v>
      </c>
      <c r="F84" s="64" t="s">
        <v>642</v>
      </c>
      <c r="G84" s="65" t="s">
        <v>113</v>
      </c>
      <c r="H84" s="63" t="str">
        <f t="shared" si="1"/>
        <v>Yes</v>
      </c>
      <c r="I84" s="63">
        <f t="shared" si="2"/>
        <v>5</v>
      </c>
      <c r="J84" s="66" t="str">
        <f t="shared" si="3"/>
        <v/>
      </c>
      <c r="K84" s="67"/>
      <c r="L84" s="66" t="str">
        <f t="shared" si="4"/>
        <v/>
      </c>
      <c r="M84" s="68" t="str">
        <f t="shared" si="5"/>
        <v/>
      </c>
      <c r="N84" s="64"/>
      <c r="O84" s="64"/>
      <c r="P84" s="64"/>
      <c r="Q84" s="64"/>
      <c r="R84" s="64"/>
      <c r="S84" s="64"/>
      <c r="T84" s="64"/>
      <c r="U84" s="64"/>
      <c r="V84" s="64"/>
      <c r="W84" s="64"/>
      <c r="X84" s="64"/>
      <c r="Y84" s="64"/>
      <c r="Z84" s="64"/>
      <c r="AA84" s="64"/>
    </row>
    <row r="85" ht="12.75" customHeight="1">
      <c r="A85" s="63">
        <v>365.0</v>
      </c>
      <c r="B85" s="64" t="s">
        <v>617</v>
      </c>
      <c r="C85" s="64" t="s">
        <v>643</v>
      </c>
      <c r="D85" s="64" t="s">
        <v>644</v>
      </c>
      <c r="E85" s="64" t="s">
        <v>645</v>
      </c>
      <c r="F85" s="64" t="s">
        <v>646</v>
      </c>
      <c r="G85" s="65" t="s">
        <v>41</v>
      </c>
      <c r="H85" s="63" t="str">
        <f t="shared" si="1"/>
        <v>Yes</v>
      </c>
      <c r="I85" s="63">
        <f t="shared" si="2"/>
        <v>5</v>
      </c>
      <c r="J85" s="66" t="str">
        <f t="shared" si="3"/>
        <v/>
      </c>
      <c r="K85" s="67"/>
      <c r="L85" s="66" t="str">
        <f t="shared" si="4"/>
        <v/>
      </c>
      <c r="M85" s="68" t="str">
        <f t="shared" si="5"/>
        <v/>
      </c>
      <c r="N85" s="64"/>
      <c r="O85" s="64"/>
      <c r="P85" s="64"/>
      <c r="Q85" s="64"/>
      <c r="R85" s="64"/>
      <c r="S85" s="64"/>
      <c r="T85" s="64"/>
      <c r="U85" s="64"/>
      <c r="V85" s="64"/>
      <c r="W85" s="64"/>
      <c r="X85" s="64"/>
      <c r="Y85" s="64"/>
      <c r="Z85" s="64"/>
      <c r="AA85" s="64"/>
    </row>
    <row r="86" ht="12.75" customHeight="1">
      <c r="A86" s="63">
        <v>110.0</v>
      </c>
      <c r="B86" s="64" t="s">
        <v>647</v>
      </c>
      <c r="C86" s="64" t="s">
        <v>648</v>
      </c>
      <c r="D86" s="64" t="s">
        <v>649</v>
      </c>
      <c r="E86" s="64" t="s">
        <v>650</v>
      </c>
      <c r="F86" s="64" t="s">
        <v>651</v>
      </c>
      <c r="G86" s="65"/>
      <c r="H86" s="63" t="str">
        <f t="shared" si="1"/>
        <v>No</v>
      </c>
      <c r="I86" s="63" t="str">
        <f t="shared" si="2"/>
        <v/>
      </c>
      <c r="J86" s="66" t="str">
        <f t="shared" si="3"/>
        <v/>
      </c>
      <c r="K86" s="67"/>
      <c r="L86" s="66" t="str">
        <f t="shared" si="4"/>
        <v/>
      </c>
      <c r="M86" s="68" t="str">
        <f t="shared" si="5"/>
        <v/>
      </c>
      <c r="N86" s="64"/>
      <c r="O86" s="64"/>
      <c r="P86" s="64"/>
      <c r="Q86" s="64"/>
      <c r="R86" s="64"/>
      <c r="S86" s="64"/>
      <c r="T86" s="64"/>
      <c r="U86" s="64"/>
      <c r="V86" s="64"/>
      <c r="W86" s="64"/>
      <c r="X86" s="64"/>
      <c r="Y86" s="64"/>
      <c r="Z86" s="64"/>
      <c r="AA86" s="64"/>
    </row>
    <row r="87" ht="12.75" customHeight="1">
      <c r="A87" s="63">
        <v>208.0</v>
      </c>
      <c r="B87" s="64" t="s">
        <v>647</v>
      </c>
      <c r="C87" s="64" t="s">
        <v>652</v>
      </c>
      <c r="D87" s="64" t="s">
        <v>653</v>
      </c>
      <c r="E87" s="64" t="s">
        <v>654</v>
      </c>
      <c r="F87" s="64" t="s">
        <v>655</v>
      </c>
      <c r="G87" s="65" t="s">
        <v>57</v>
      </c>
      <c r="H87" s="63" t="str">
        <f t="shared" si="1"/>
        <v>Yes</v>
      </c>
      <c r="I87" s="63">
        <f t="shared" si="2"/>
        <v>5</v>
      </c>
      <c r="J87" s="66" t="str">
        <f t="shared" si="3"/>
        <v/>
      </c>
      <c r="K87" s="67"/>
      <c r="L87" s="66" t="str">
        <f t="shared" si="4"/>
        <v/>
      </c>
      <c r="M87" s="68" t="str">
        <f t="shared" si="5"/>
        <v/>
      </c>
      <c r="N87" s="64"/>
      <c r="O87" s="64"/>
      <c r="P87" s="64"/>
      <c r="Q87" s="64"/>
      <c r="R87" s="64"/>
      <c r="S87" s="64"/>
      <c r="T87" s="64"/>
      <c r="U87" s="64"/>
      <c r="V87" s="64"/>
      <c r="W87" s="64"/>
      <c r="X87" s="64"/>
      <c r="Y87" s="64"/>
      <c r="Z87" s="64"/>
      <c r="AA87" s="64"/>
    </row>
    <row r="88" ht="12.75" customHeight="1">
      <c r="A88" s="63">
        <v>279.0</v>
      </c>
      <c r="B88" s="64" t="s">
        <v>647</v>
      </c>
      <c r="C88" s="64" t="s">
        <v>656</v>
      </c>
      <c r="D88" s="64" t="s">
        <v>657</v>
      </c>
      <c r="E88" s="64" t="s">
        <v>658</v>
      </c>
      <c r="F88" s="64" t="s">
        <v>659</v>
      </c>
      <c r="G88" s="65" t="s">
        <v>155</v>
      </c>
      <c r="H88" s="63" t="str">
        <f t="shared" si="1"/>
        <v>Yes</v>
      </c>
      <c r="I88" s="63">
        <f t="shared" si="2"/>
        <v>7</v>
      </c>
      <c r="J88" s="66" t="str">
        <f t="shared" si="3"/>
        <v/>
      </c>
      <c r="K88" s="67"/>
      <c r="L88" s="66" t="str">
        <f t="shared" si="4"/>
        <v/>
      </c>
      <c r="M88" s="68" t="str">
        <f t="shared" si="5"/>
        <v/>
      </c>
      <c r="N88" s="64"/>
      <c r="O88" s="64"/>
      <c r="P88" s="64"/>
      <c r="Q88" s="64"/>
      <c r="R88" s="64"/>
      <c r="S88" s="64"/>
      <c r="T88" s="64"/>
      <c r="U88" s="64"/>
      <c r="V88" s="64"/>
      <c r="W88" s="64"/>
      <c r="X88" s="64"/>
      <c r="Y88" s="64"/>
      <c r="Z88" s="64"/>
      <c r="AA88" s="64"/>
    </row>
    <row r="89" ht="12.75" customHeight="1">
      <c r="A89" s="63">
        <v>280.0</v>
      </c>
      <c r="B89" s="64" t="s">
        <v>647</v>
      </c>
      <c r="C89" s="64" t="s">
        <v>660</v>
      </c>
      <c r="D89" s="64" t="s">
        <v>661</v>
      </c>
      <c r="E89" s="64" t="s">
        <v>659</v>
      </c>
      <c r="F89" s="64" t="s">
        <v>659</v>
      </c>
      <c r="G89" s="65" t="s">
        <v>155</v>
      </c>
      <c r="H89" s="63" t="str">
        <f t="shared" si="1"/>
        <v>Yes</v>
      </c>
      <c r="I89" s="63">
        <f t="shared" si="2"/>
        <v>8</v>
      </c>
      <c r="J89" s="66" t="str">
        <f t="shared" si="3"/>
        <v/>
      </c>
      <c r="K89" s="67"/>
      <c r="L89" s="66" t="str">
        <f t="shared" si="4"/>
        <v/>
      </c>
      <c r="M89" s="68" t="str">
        <f t="shared" si="5"/>
        <v/>
      </c>
      <c r="N89" s="64"/>
      <c r="O89" s="64"/>
      <c r="P89" s="64"/>
      <c r="Q89" s="64"/>
      <c r="R89" s="64"/>
      <c r="S89" s="64"/>
      <c r="T89" s="64"/>
      <c r="U89" s="64"/>
      <c r="V89" s="64"/>
      <c r="W89" s="64"/>
      <c r="X89" s="64"/>
      <c r="Y89" s="64"/>
      <c r="Z89" s="64"/>
      <c r="AA89" s="64"/>
    </row>
    <row r="90" ht="12.75" customHeight="1">
      <c r="A90" s="63">
        <v>307.0</v>
      </c>
      <c r="B90" s="64" t="s">
        <v>647</v>
      </c>
      <c r="C90" s="64" t="s">
        <v>662</v>
      </c>
      <c r="D90" s="64" t="s">
        <v>663</v>
      </c>
      <c r="E90" s="64" t="s">
        <v>664</v>
      </c>
      <c r="F90" s="64" t="s">
        <v>664</v>
      </c>
      <c r="G90" s="65"/>
      <c r="H90" s="63" t="str">
        <f t="shared" si="1"/>
        <v>No</v>
      </c>
      <c r="I90" s="63" t="str">
        <f t="shared" si="2"/>
        <v/>
      </c>
      <c r="J90" s="66" t="str">
        <f t="shared" si="3"/>
        <v/>
      </c>
      <c r="K90" s="67"/>
      <c r="L90" s="66" t="str">
        <f t="shared" si="4"/>
        <v/>
      </c>
      <c r="M90" s="68" t="str">
        <f t="shared" si="5"/>
        <v/>
      </c>
      <c r="N90" s="64"/>
      <c r="O90" s="64"/>
      <c r="P90" s="64"/>
      <c r="Q90" s="64"/>
      <c r="R90" s="64"/>
      <c r="S90" s="64"/>
      <c r="T90" s="64"/>
      <c r="U90" s="64"/>
      <c r="V90" s="64"/>
      <c r="W90" s="64"/>
      <c r="X90" s="64"/>
      <c r="Y90" s="64"/>
      <c r="Z90" s="64"/>
      <c r="AA90" s="64"/>
    </row>
    <row r="91" ht="12.75" customHeight="1">
      <c r="A91" s="63">
        <v>317.0</v>
      </c>
      <c r="B91" s="64" t="s">
        <v>647</v>
      </c>
      <c r="C91" s="64" t="s">
        <v>665</v>
      </c>
      <c r="D91" s="64" t="s">
        <v>666</v>
      </c>
      <c r="E91" s="64" t="s">
        <v>667</v>
      </c>
      <c r="F91" s="64" t="s">
        <v>667</v>
      </c>
      <c r="G91" s="65"/>
      <c r="H91" s="63" t="str">
        <f t="shared" si="1"/>
        <v>No</v>
      </c>
      <c r="I91" s="63" t="str">
        <f t="shared" si="2"/>
        <v/>
      </c>
      <c r="J91" s="66" t="str">
        <f t="shared" si="3"/>
        <v/>
      </c>
      <c r="K91" s="67"/>
      <c r="L91" s="66" t="str">
        <f t="shared" si="4"/>
        <v/>
      </c>
      <c r="M91" s="68" t="str">
        <f t="shared" si="5"/>
        <v/>
      </c>
      <c r="N91" s="64"/>
      <c r="O91" s="64"/>
      <c r="P91" s="64"/>
      <c r="Q91" s="64"/>
      <c r="R91" s="64"/>
      <c r="S91" s="64"/>
      <c r="T91" s="64"/>
      <c r="U91" s="64"/>
      <c r="V91" s="64"/>
      <c r="W91" s="64"/>
      <c r="X91" s="64"/>
      <c r="Y91" s="64"/>
      <c r="Z91" s="64"/>
      <c r="AA91" s="64"/>
    </row>
    <row r="92" ht="12.75" customHeight="1">
      <c r="A92" s="63">
        <v>139.0</v>
      </c>
      <c r="B92" s="64" t="s">
        <v>668</v>
      </c>
      <c r="C92" s="64" t="s">
        <v>669</v>
      </c>
      <c r="D92" s="64" t="s">
        <v>670</v>
      </c>
      <c r="E92" s="64" t="s">
        <v>671</v>
      </c>
      <c r="F92" s="64" t="s">
        <v>672</v>
      </c>
      <c r="G92" s="65" t="s">
        <v>113</v>
      </c>
      <c r="H92" s="63" t="str">
        <f t="shared" si="1"/>
        <v>Yes</v>
      </c>
      <c r="I92" s="63">
        <f t="shared" si="2"/>
        <v>6</v>
      </c>
      <c r="J92" s="66" t="str">
        <f t="shared" si="3"/>
        <v/>
      </c>
      <c r="K92" s="67"/>
      <c r="L92" s="66" t="str">
        <f t="shared" si="4"/>
        <v/>
      </c>
      <c r="M92" s="68" t="str">
        <f t="shared" si="5"/>
        <v/>
      </c>
      <c r="N92" s="64"/>
      <c r="O92" s="64"/>
      <c r="P92" s="64"/>
      <c r="Q92" s="64"/>
      <c r="R92" s="64"/>
      <c r="S92" s="64"/>
      <c r="T92" s="64"/>
      <c r="U92" s="64"/>
      <c r="V92" s="64"/>
      <c r="W92" s="64"/>
      <c r="X92" s="64"/>
      <c r="Y92" s="64"/>
      <c r="Z92" s="64"/>
      <c r="AA92" s="64"/>
    </row>
    <row r="93" ht="12.75" customHeight="1">
      <c r="A93" s="63">
        <v>282.0</v>
      </c>
      <c r="B93" s="64" t="s">
        <v>668</v>
      </c>
      <c r="C93" s="64" t="s">
        <v>673</v>
      </c>
      <c r="D93" s="64" t="s">
        <v>674</v>
      </c>
      <c r="E93" s="64" t="s">
        <v>675</v>
      </c>
      <c r="F93" s="64" t="s">
        <v>676</v>
      </c>
      <c r="G93" s="65" t="s">
        <v>63</v>
      </c>
      <c r="H93" s="63" t="str">
        <f t="shared" si="1"/>
        <v>Yes</v>
      </c>
      <c r="I93" s="63">
        <f t="shared" si="2"/>
        <v>6</v>
      </c>
      <c r="J93" s="66" t="str">
        <f t="shared" si="3"/>
        <v/>
      </c>
      <c r="K93" s="67"/>
      <c r="L93" s="66" t="str">
        <f t="shared" si="4"/>
        <v/>
      </c>
      <c r="M93" s="68" t="str">
        <f t="shared" si="5"/>
        <v/>
      </c>
      <c r="N93" s="64"/>
      <c r="O93" s="64"/>
      <c r="P93" s="64"/>
      <c r="Q93" s="64"/>
      <c r="R93" s="64"/>
      <c r="S93" s="64"/>
      <c r="T93" s="64"/>
      <c r="U93" s="64"/>
      <c r="V93" s="64"/>
      <c r="W93" s="64"/>
      <c r="X93" s="64"/>
      <c r="Y93" s="64"/>
      <c r="Z93" s="64"/>
      <c r="AA93" s="64"/>
    </row>
    <row r="94" ht="12.75" customHeight="1">
      <c r="A94" s="63">
        <v>187.0</v>
      </c>
      <c r="B94" s="64" t="s">
        <v>677</v>
      </c>
      <c r="C94" s="64" t="s">
        <v>678</v>
      </c>
      <c r="D94" s="64" t="s">
        <v>679</v>
      </c>
      <c r="E94" s="64" t="s">
        <v>680</v>
      </c>
      <c r="F94" s="64" t="s">
        <v>681</v>
      </c>
      <c r="G94" s="65" t="s">
        <v>49</v>
      </c>
      <c r="H94" s="63" t="str">
        <f t="shared" si="1"/>
        <v>Yes</v>
      </c>
      <c r="I94" s="63">
        <f t="shared" si="2"/>
        <v>7</v>
      </c>
      <c r="J94" s="66" t="str">
        <f t="shared" si="3"/>
        <v/>
      </c>
      <c r="K94" s="67"/>
      <c r="L94" s="66" t="str">
        <f t="shared" si="4"/>
        <v/>
      </c>
      <c r="M94" s="68" t="str">
        <f t="shared" si="5"/>
        <v/>
      </c>
      <c r="N94" s="64"/>
      <c r="O94" s="64"/>
      <c r="P94" s="64"/>
      <c r="Q94" s="64"/>
      <c r="R94" s="64"/>
      <c r="S94" s="64"/>
      <c r="T94" s="64"/>
      <c r="U94" s="64"/>
      <c r="V94" s="64"/>
      <c r="W94" s="64"/>
      <c r="X94" s="64"/>
      <c r="Y94" s="64"/>
      <c r="Z94" s="64"/>
      <c r="AA94" s="64"/>
    </row>
    <row r="95" ht="12.75" customHeight="1">
      <c r="A95" s="63">
        <v>223.0</v>
      </c>
      <c r="B95" s="64" t="s">
        <v>677</v>
      </c>
      <c r="C95" s="64" t="s">
        <v>682</v>
      </c>
      <c r="D95" s="64" t="s">
        <v>683</v>
      </c>
      <c r="E95" s="64" t="s">
        <v>684</v>
      </c>
      <c r="F95" s="64" t="s">
        <v>681</v>
      </c>
      <c r="G95" s="65"/>
      <c r="H95" s="63" t="str">
        <f t="shared" si="1"/>
        <v>No</v>
      </c>
      <c r="I95" s="63" t="str">
        <f t="shared" si="2"/>
        <v/>
      </c>
      <c r="J95" s="66" t="str">
        <f t="shared" si="3"/>
        <v/>
      </c>
      <c r="K95" s="67"/>
      <c r="L95" s="66" t="str">
        <f t="shared" si="4"/>
        <v/>
      </c>
      <c r="M95" s="68" t="str">
        <f t="shared" si="5"/>
        <v/>
      </c>
      <c r="N95" s="64"/>
      <c r="O95" s="64"/>
      <c r="P95" s="64"/>
      <c r="Q95" s="64"/>
      <c r="R95" s="64"/>
      <c r="S95" s="64"/>
      <c r="T95" s="64"/>
      <c r="U95" s="64"/>
      <c r="V95" s="64"/>
      <c r="W95" s="64"/>
      <c r="X95" s="64"/>
      <c r="Y95" s="64"/>
      <c r="Z95" s="64"/>
      <c r="AA95" s="64"/>
    </row>
    <row r="96" ht="12.75" customHeight="1">
      <c r="A96" s="63">
        <v>230.0</v>
      </c>
      <c r="B96" s="64" t="s">
        <v>677</v>
      </c>
      <c r="C96" s="64" t="s">
        <v>685</v>
      </c>
      <c r="D96" s="64" t="s">
        <v>686</v>
      </c>
      <c r="E96" s="64" t="s">
        <v>687</v>
      </c>
      <c r="F96" s="64" t="s">
        <v>681</v>
      </c>
      <c r="G96" s="65" t="s">
        <v>41</v>
      </c>
      <c r="H96" s="63" t="str">
        <f t="shared" si="1"/>
        <v>Yes</v>
      </c>
      <c r="I96" s="63">
        <f t="shared" si="2"/>
        <v>6</v>
      </c>
      <c r="J96" s="66" t="str">
        <f t="shared" si="3"/>
        <v/>
      </c>
      <c r="K96" s="67"/>
      <c r="L96" s="66" t="str">
        <f t="shared" si="4"/>
        <v/>
      </c>
      <c r="M96" s="68" t="str">
        <f t="shared" si="5"/>
        <v/>
      </c>
      <c r="N96" s="64"/>
      <c r="O96" s="64"/>
      <c r="P96" s="64"/>
      <c r="Q96" s="64"/>
      <c r="R96" s="64"/>
      <c r="S96" s="64"/>
      <c r="T96" s="64"/>
      <c r="U96" s="64"/>
      <c r="V96" s="64"/>
      <c r="W96" s="64"/>
      <c r="X96" s="64"/>
      <c r="Y96" s="64"/>
      <c r="Z96" s="64"/>
      <c r="AA96" s="64"/>
    </row>
    <row r="97" ht="12.75" customHeight="1">
      <c r="A97" s="63">
        <v>276.0</v>
      </c>
      <c r="B97" s="64" t="s">
        <v>677</v>
      </c>
      <c r="C97" s="64" t="s">
        <v>688</v>
      </c>
      <c r="D97" s="64" t="s">
        <v>689</v>
      </c>
      <c r="E97" s="64" t="s">
        <v>690</v>
      </c>
      <c r="F97" s="64" t="s">
        <v>691</v>
      </c>
      <c r="G97" s="65" t="s">
        <v>63</v>
      </c>
      <c r="H97" s="63" t="str">
        <f t="shared" si="1"/>
        <v>Yes</v>
      </c>
      <c r="I97" s="63">
        <f t="shared" si="2"/>
        <v>7</v>
      </c>
      <c r="J97" s="66" t="str">
        <f t="shared" si="3"/>
        <v/>
      </c>
      <c r="K97" s="67"/>
      <c r="L97" s="66" t="str">
        <f t="shared" si="4"/>
        <v/>
      </c>
      <c r="M97" s="68" t="str">
        <f t="shared" si="5"/>
        <v/>
      </c>
      <c r="N97" s="64"/>
      <c r="O97" s="64"/>
      <c r="P97" s="64"/>
      <c r="Q97" s="64"/>
      <c r="R97" s="64"/>
      <c r="S97" s="64"/>
      <c r="T97" s="64"/>
      <c r="U97" s="64"/>
      <c r="V97" s="64"/>
      <c r="W97" s="64"/>
      <c r="X97" s="64"/>
      <c r="Y97" s="64"/>
      <c r="Z97" s="64"/>
      <c r="AA97" s="64"/>
    </row>
    <row r="98" ht="12.75" customHeight="1">
      <c r="A98" s="63">
        <v>295.0</v>
      </c>
      <c r="B98" s="64" t="s">
        <v>677</v>
      </c>
      <c r="C98" s="64" t="s">
        <v>692</v>
      </c>
      <c r="D98" s="64" t="s">
        <v>693</v>
      </c>
      <c r="E98" s="64" t="s">
        <v>694</v>
      </c>
      <c r="F98" s="64" t="s">
        <v>230</v>
      </c>
      <c r="G98" s="65" t="s">
        <v>118</v>
      </c>
      <c r="H98" s="63" t="str">
        <f t="shared" si="1"/>
        <v>Yes</v>
      </c>
      <c r="I98" s="63">
        <f t="shared" si="2"/>
        <v>7</v>
      </c>
      <c r="J98" s="66" t="str">
        <f t="shared" si="3"/>
        <v/>
      </c>
      <c r="K98" s="67"/>
      <c r="L98" s="66" t="str">
        <f t="shared" si="4"/>
        <v/>
      </c>
      <c r="M98" s="68" t="str">
        <f t="shared" si="5"/>
        <v/>
      </c>
      <c r="N98" s="64"/>
      <c r="O98" s="64"/>
      <c r="P98" s="64"/>
      <c r="Q98" s="64"/>
      <c r="R98" s="64"/>
      <c r="S98" s="64"/>
      <c r="T98" s="64"/>
      <c r="U98" s="64"/>
      <c r="V98" s="64"/>
      <c r="W98" s="64"/>
      <c r="X98" s="64"/>
      <c r="Y98" s="64"/>
      <c r="Z98" s="64"/>
      <c r="AA98" s="64"/>
    </row>
    <row r="99" ht="12.75" customHeight="1">
      <c r="A99" s="63"/>
      <c r="B99" s="64"/>
      <c r="C99" s="64"/>
      <c r="D99" s="64"/>
      <c r="E99" s="64"/>
      <c r="F99" s="64"/>
      <c r="G99" s="63"/>
      <c r="H99" s="63" t="str">
        <f t="shared" si="1"/>
        <v>No</v>
      </c>
      <c r="I99" s="63" t="str">
        <f t="shared" si="2"/>
        <v/>
      </c>
      <c r="J99" s="66" t="str">
        <f t="shared" si="3"/>
        <v/>
      </c>
      <c r="K99" s="67"/>
      <c r="L99" s="66" t="str">
        <f t="shared" si="4"/>
        <v/>
      </c>
      <c r="M99" s="68" t="str">
        <f t="shared" si="5"/>
        <v/>
      </c>
      <c r="N99" s="64"/>
      <c r="O99" s="64"/>
      <c r="P99" s="64"/>
      <c r="Q99" s="64"/>
      <c r="R99" s="64"/>
      <c r="S99" s="64"/>
      <c r="T99" s="64"/>
      <c r="U99" s="64"/>
      <c r="V99" s="64"/>
      <c r="W99" s="64"/>
      <c r="X99" s="64"/>
      <c r="Y99" s="64"/>
      <c r="Z99" s="64"/>
      <c r="AA99" s="64"/>
    </row>
    <row r="100" ht="12.75" customHeight="1">
      <c r="A100" s="63"/>
      <c r="B100" s="64"/>
      <c r="C100" s="64"/>
      <c r="D100" s="64"/>
      <c r="E100" s="64"/>
      <c r="F100" s="64"/>
      <c r="G100" s="63"/>
      <c r="H100" s="63" t="str">
        <f t="shared" si="1"/>
        <v>No</v>
      </c>
      <c r="I100" s="63" t="str">
        <f t="shared" si="2"/>
        <v/>
      </c>
      <c r="J100" s="66" t="str">
        <f t="shared" si="3"/>
        <v/>
      </c>
      <c r="K100" s="67"/>
      <c r="L100" s="66" t="str">
        <f t="shared" si="4"/>
        <v/>
      </c>
      <c r="M100" s="68" t="str">
        <f t="shared" si="5"/>
        <v/>
      </c>
      <c r="N100" s="64"/>
      <c r="O100" s="64"/>
      <c r="P100" s="64"/>
      <c r="Q100" s="64"/>
      <c r="R100" s="64"/>
      <c r="S100" s="64"/>
      <c r="T100" s="64"/>
      <c r="U100" s="64"/>
      <c r="V100" s="64"/>
      <c r="W100" s="64"/>
      <c r="X100" s="64"/>
      <c r="Y100" s="64"/>
      <c r="Z100" s="64"/>
      <c r="AA100" s="64"/>
    </row>
    <row r="101" ht="12.75" customHeight="1">
      <c r="A101" s="63"/>
      <c r="B101" s="64"/>
      <c r="C101" s="64"/>
      <c r="D101" s="64"/>
      <c r="E101" s="64"/>
      <c r="F101" s="64"/>
      <c r="G101" s="63"/>
      <c r="H101" s="63" t="str">
        <f t="shared" si="1"/>
        <v>No</v>
      </c>
      <c r="I101" s="63" t="str">
        <f t="shared" si="2"/>
        <v/>
      </c>
      <c r="J101" s="66" t="str">
        <f t="shared" si="3"/>
        <v/>
      </c>
      <c r="K101" s="67"/>
      <c r="L101" s="66" t="str">
        <f t="shared" si="4"/>
        <v/>
      </c>
      <c r="M101" s="68" t="str">
        <f t="shared" si="5"/>
        <v/>
      </c>
      <c r="N101" s="64"/>
      <c r="O101" s="64"/>
      <c r="P101" s="64"/>
      <c r="Q101" s="64"/>
      <c r="R101" s="64"/>
      <c r="S101" s="64"/>
      <c r="T101" s="64"/>
      <c r="U101" s="64"/>
      <c r="V101" s="64"/>
      <c r="W101" s="64"/>
      <c r="X101" s="64"/>
      <c r="Y101" s="64"/>
      <c r="Z101" s="64"/>
      <c r="AA101" s="64"/>
    </row>
    <row r="102" ht="12.75" customHeight="1">
      <c r="A102" s="63"/>
      <c r="B102" s="64"/>
      <c r="C102" s="64"/>
      <c r="D102" s="64"/>
      <c r="E102" s="64"/>
      <c r="F102" s="64"/>
      <c r="G102" s="63"/>
      <c r="H102" s="63" t="str">
        <f t="shared" si="1"/>
        <v>No</v>
      </c>
      <c r="I102" s="63" t="str">
        <f t="shared" si="2"/>
        <v/>
      </c>
      <c r="J102" s="66" t="str">
        <f t="shared" si="3"/>
        <v/>
      </c>
      <c r="K102" s="67"/>
      <c r="L102" s="66" t="str">
        <f t="shared" si="4"/>
        <v/>
      </c>
      <c r="M102" s="68" t="str">
        <f t="shared" si="5"/>
        <v/>
      </c>
      <c r="N102" s="64"/>
      <c r="O102" s="64"/>
      <c r="P102" s="64"/>
      <c r="Q102" s="64"/>
      <c r="R102" s="64"/>
      <c r="S102" s="64"/>
      <c r="T102" s="64"/>
      <c r="U102" s="64"/>
      <c r="V102" s="64"/>
      <c r="W102" s="64"/>
      <c r="X102" s="64"/>
      <c r="Y102" s="64"/>
      <c r="Z102" s="64"/>
      <c r="AA102" s="64"/>
    </row>
    <row r="103" ht="12.75" customHeight="1">
      <c r="A103" s="63"/>
      <c r="B103" s="64"/>
      <c r="C103" s="64"/>
      <c r="D103" s="64"/>
      <c r="E103" s="64"/>
      <c r="F103" s="64"/>
      <c r="G103" s="63"/>
      <c r="H103" s="63" t="str">
        <f t="shared" si="1"/>
        <v>No</v>
      </c>
      <c r="I103" s="63" t="str">
        <f t="shared" si="2"/>
        <v/>
      </c>
      <c r="J103" s="66" t="str">
        <f t="shared" si="3"/>
        <v/>
      </c>
      <c r="K103" s="67"/>
      <c r="L103" s="66" t="str">
        <f t="shared" si="4"/>
        <v/>
      </c>
      <c r="M103" s="68" t="str">
        <f t="shared" si="5"/>
        <v/>
      </c>
      <c r="N103" s="64"/>
      <c r="O103" s="64"/>
      <c r="P103" s="64"/>
      <c r="Q103" s="64"/>
      <c r="R103" s="64"/>
      <c r="S103" s="64"/>
      <c r="T103" s="64"/>
      <c r="U103" s="64"/>
      <c r="V103" s="64"/>
      <c r="W103" s="64"/>
      <c r="X103" s="64"/>
      <c r="Y103" s="64"/>
      <c r="Z103" s="64"/>
      <c r="AA103" s="64"/>
    </row>
    <row r="104" ht="12.75" customHeight="1">
      <c r="A104" s="63"/>
      <c r="B104" s="64"/>
      <c r="C104" s="64"/>
      <c r="D104" s="64"/>
      <c r="E104" s="64"/>
      <c r="F104" s="64"/>
      <c r="G104" s="63"/>
      <c r="H104" s="63" t="str">
        <f t="shared" si="1"/>
        <v>No</v>
      </c>
      <c r="I104" s="63" t="str">
        <f t="shared" si="2"/>
        <v/>
      </c>
      <c r="J104" s="66" t="str">
        <f t="shared" si="3"/>
        <v/>
      </c>
      <c r="K104" s="67"/>
      <c r="L104" s="66" t="str">
        <f t="shared" si="4"/>
        <v/>
      </c>
      <c r="M104" s="68" t="str">
        <f t="shared" si="5"/>
        <v/>
      </c>
      <c r="N104" s="64"/>
      <c r="O104" s="64"/>
      <c r="P104" s="64"/>
      <c r="Q104" s="64"/>
      <c r="R104" s="64"/>
      <c r="S104" s="64"/>
      <c r="T104" s="64"/>
      <c r="U104" s="64"/>
      <c r="V104" s="64"/>
      <c r="W104" s="64"/>
      <c r="X104" s="64"/>
      <c r="Y104" s="64"/>
      <c r="Z104" s="64"/>
      <c r="AA104" s="64"/>
    </row>
    <row r="105" ht="12.75" customHeight="1">
      <c r="A105" s="63"/>
      <c r="B105" s="64"/>
      <c r="C105" s="64"/>
      <c r="D105" s="64"/>
      <c r="E105" s="64"/>
      <c r="F105" s="64"/>
      <c r="G105" s="63"/>
      <c r="H105" s="63" t="str">
        <f t="shared" si="1"/>
        <v>No</v>
      </c>
      <c r="I105" s="63" t="str">
        <f t="shared" si="2"/>
        <v/>
      </c>
      <c r="J105" s="66" t="str">
        <f t="shared" si="3"/>
        <v/>
      </c>
      <c r="K105" s="67"/>
      <c r="L105" s="66" t="str">
        <f t="shared" si="4"/>
        <v/>
      </c>
      <c r="M105" s="68" t="str">
        <f t="shared" si="5"/>
        <v/>
      </c>
      <c r="N105" s="64"/>
      <c r="O105" s="64"/>
      <c r="P105" s="64"/>
      <c r="Q105" s="64"/>
      <c r="R105" s="64"/>
      <c r="S105" s="64"/>
      <c r="T105" s="64"/>
      <c r="U105" s="64"/>
      <c r="V105" s="64"/>
      <c r="W105" s="64"/>
      <c r="X105" s="64"/>
      <c r="Y105" s="64"/>
      <c r="Z105" s="64"/>
      <c r="AA105" s="64"/>
    </row>
    <row r="106" ht="12.75" customHeight="1">
      <c r="A106" s="63"/>
      <c r="B106" s="64"/>
      <c r="C106" s="64"/>
      <c r="D106" s="64"/>
      <c r="E106" s="64"/>
      <c r="F106" s="64"/>
      <c r="G106" s="63"/>
      <c r="H106" s="63" t="str">
        <f t="shared" si="1"/>
        <v>No</v>
      </c>
      <c r="I106" s="63" t="str">
        <f t="shared" si="2"/>
        <v/>
      </c>
      <c r="J106" s="66" t="str">
        <f t="shared" si="3"/>
        <v/>
      </c>
      <c r="K106" s="67"/>
      <c r="L106" s="66" t="str">
        <f t="shared" si="4"/>
        <v/>
      </c>
      <c r="M106" s="68" t="str">
        <f t="shared" si="5"/>
        <v/>
      </c>
      <c r="N106" s="64"/>
      <c r="O106" s="64"/>
      <c r="P106" s="64"/>
      <c r="Q106" s="64"/>
      <c r="R106" s="64"/>
      <c r="S106" s="64"/>
      <c r="T106" s="64"/>
      <c r="U106" s="64"/>
      <c r="V106" s="64"/>
      <c r="W106" s="64"/>
      <c r="X106" s="64"/>
      <c r="Y106" s="64"/>
      <c r="Z106" s="64"/>
      <c r="AA106" s="64"/>
    </row>
    <row r="107" ht="12.75" customHeight="1">
      <c r="A107" s="63"/>
      <c r="B107" s="64"/>
      <c r="C107" s="64"/>
      <c r="D107" s="64"/>
      <c r="E107" s="64"/>
      <c r="F107" s="64"/>
      <c r="G107" s="63"/>
      <c r="H107" s="63" t="str">
        <f t="shared" si="1"/>
        <v>No</v>
      </c>
      <c r="I107" s="63" t="str">
        <f t="shared" si="2"/>
        <v/>
      </c>
      <c r="J107" s="66" t="str">
        <f t="shared" si="3"/>
        <v/>
      </c>
      <c r="K107" s="67"/>
      <c r="L107" s="66" t="str">
        <f t="shared" si="4"/>
        <v/>
      </c>
      <c r="M107" s="68" t="str">
        <f t="shared" si="5"/>
        <v/>
      </c>
      <c r="N107" s="64"/>
      <c r="O107" s="64"/>
      <c r="P107" s="64"/>
      <c r="Q107" s="64"/>
      <c r="R107" s="64"/>
      <c r="S107" s="64"/>
      <c r="T107" s="64"/>
      <c r="U107" s="64"/>
      <c r="V107" s="64"/>
      <c r="W107" s="64"/>
      <c r="X107" s="64"/>
      <c r="Y107" s="64"/>
      <c r="Z107" s="64"/>
      <c r="AA107" s="64"/>
    </row>
    <row r="108" ht="12.75" customHeight="1">
      <c r="A108" s="63"/>
      <c r="B108" s="64"/>
      <c r="C108" s="64"/>
      <c r="D108" s="64"/>
      <c r="E108" s="64"/>
      <c r="F108" s="64"/>
      <c r="G108" s="63"/>
      <c r="H108" s="63" t="str">
        <f t="shared" si="1"/>
        <v>No</v>
      </c>
      <c r="I108" s="63" t="str">
        <f t="shared" si="2"/>
        <v/>
      </c>
      <c r="J108" s="66" t="str">
        <f t="shared" si="3"/>
        <v/>
      </c>
      <c r="K108" s="67"/>
      <c r="L108" s="66" t="str">
        <f t="shared" si="4"/>
        <v/>
      </c>
      <c r="M108" s="68" t="str">
        <f t="shared" si="5"/>
        <v/>
      </c>
      <c r="N108" s="64"/>
      <c r="O108" s="64"/>
      <c r="P108" s="64"/>
      <c r="Q108" s="64"/>
      <c r="R108" s="64"/>
      <c r="S108" s="64"/>
      <c r="T108" s="64"/>
      <c r="U108" s="64"/>
      <c r="V108" s="64"/>
      <c r="W108" s="64"/>
      <c r="X108" s="64"/>
      <c r="Y108" s="64"/>
      <c r="Z108" s="64"/>
      <c r="AA108" s="64"/>
    </row>
    <row r="109" ht="12.75" customHeight="1">
      <c r="A109" s="63"/>
      <c r="B109" s="64"/>
      <c r="C109" s="64"/>
      <c r="D109" s="64"/>
      <c r="E109" s="64"/>
      <c r="F109" s="64"/>
      <c r="G109" s="63"/>
      <c r="H109" s="63" t="str">
        <f t="shared" si="1"/>
        <v>No</v>
      </c>
      <c r="I109" s="63" t="str">
        <f t="shared" si="2"/>
        <v/>
      </c>
      <c r="J109" s="66" t="str">
        <f t="shared" si="3"/>
        <v/>
      </c>
      <c r="K109" s="67"/>
      <c r="L109" s="66" t="str">
        <f t="shared" si="4"/>
        <v/>
      </c>
      <c r="M109" s="68" t="str">
        <f t="shared" si="5"/>
        <v/>
      </c>
      <c r="N109" s="64"/>
      <c r="O109" s="64"/>
      <c r="P109" s="64"/>
      <c r="Q109" s="64"/>
      <c r="R109" s="64"/>
      <c r="S109" s="64"/>
      <c r="T109" s="64"/>
      <c r="U109" s="64"/>
      <c r="V109" s="64"/>
      <c r="W109" s="64"/>
      <c r="X109" s="64"/>
      <c r="Y109" s="64"/>
      <c r="Z109" s="64"/>
      <c r="AA109" s="64"/>
    </row>
    <row r="110" ht="12.75" customHeight="1">
      <c r="A110" s="63"/>
      <c r="B110" s="64"/>
      <c r="C110" s="64"/>
      <c r="D110" s="64"/>
      <c r="E110" s="64"/>
      <c r="F110" s="64"/>
      <c r="G110" s="63"/>
      <c r="H110" s="63" t="str">
        <f t="shared" si="1"/>
        <v>No</v>
      </c>
      <c r="I110" s="63" t="str">
        <f t="shared" si="2"/>
        <v/>
      </c>
      <c r="J110" s="66" t="str">
        <f t="shared" si="3"/>
        <v/>
      </c>
      <c r="K110" s="67"/>
      <c r="L110" s="66" t="str">
        <f t="shared" si="4"/>
        <v/>
      </c>
      <c r="M110" s="68" t="str">
        <f t="shared" si="5"/>
        <v/>
      </c>
      <c r="N110" s="64"/>
      <c r="O110" s="64"/>
      <c r="P110" s="64"/>
      <c r="Q110" s="64"/>
      <c r="R110" s="64"/>
      <c r="S110" s="64"/>
      <c r="T110" s="64"/>
      <c r="U110" s="64"/>
      <c r="V110" s="64"/>
      <c r="W110" s="64"/>
      <c r="X110" s="64"/>
      <c r="Y110" s="64"/>
      <c r="Z110" s="64"/>
      <c r="AA110" s="64"/>
    </row>
    <row r="111" ht="12.75" customHeight="1">
      <c r="A111" s="63"/>
      <c r="B111" s="64"/>
      <c r="C111" s="64"/>
      <c r="D111" s="64"/>
      <c r="E111" s="64"/>
      <c r="F111" s="64"/>
      <c r="G111" s="63"/>
      <c r="H111" s="63" t="str">
        <f t="shared" si="1"/>
        <v>No</v>
      </c>
      <c r="I111" s="63" t="str">
        <f t="shared" si="2"/>
        <v/>
      </c>
      <c r="J111" s="66" t="str">
        <f t="shared" si="3"/>
        <v/>
      </c>
      <c r="K111" s="67"/>
      <c r="L111" s="66" t="str">
        <f t="shared" si="4"/>
        <v/>
      </c>
      <c r="M111" s="68" t="str">
        <f t="shared" si="5"/>
        <v/>
      </c>
      <c r="N111" s="64"/>
      <c r="O111" s="64"/>
      <c r="P111" s="64"/>
      <c r="Q111" s="64"/>
      <c r="R111" s="64"/>
      <c r="S111" s="64"/>
      <c r="T111" s="64"/>
      <c r="U111" s="64"/>
      <c r="V111" s="64"/>
      <c r="W111" s="64"/>
      <c r="X111" s="64"/>
      <c r="Y111" s="64"/>
      <c r="Z111" s="64"/>
      <c r="AA111" s="64"/>
    </row>
    <row r="112" ht="12.75" customHeight="1">
      <c r="A112" s="63"/>
      <c r="B112" s="64"/>
      <c r="C112" s="64"/>
      <c r="D112" s="64"/>
      <c r="E112" s="64"/>
      <c r="F112" s="64"/>
      <c r="G112" s="63"/>
      <c r="H112" s="63" t="str">
        <f t="shared" si="1"/>
        <v>No</v>
      </c>
      <c r="I112" s="63" t="str">
        <f t="shared" si="2"/>
        <v/>
      </c>
      <c r="J112" s="66" t="str">
        <f t="shared" si="3"/>
        <v/>
      </c>
      <c r="K112" s="67"/>
      <c r="L112" s="66" t="str">
        <f t="shared" si="4"/>
        <v/>
      </c>
      <c r="M112" s="68" t="str">
        <f t="shared" si="5"/>
        <v/>
      </c>
      <c r="N112" s="64"/>
      <c r="O112" s="64"/>
      <c r="P112" s="64"/>
      <c r="Q112" s="64"/>
      <c r="R112" s="64"/>
      <c r="S112" s="64"/>
      <c r="T112" s="64"/>
      <c r="U112" s="64"/>
      <c r="V112" s="64"/>
      <c r="W112" s="64"/>
      <c r="X112" s="64"/>
      <c r="Y112" s="64"/>
      <c r="Z112" s="64"/>
      <c r="AA112" s="64"/>
    </row>
    <row r="113" ht="12.75" customHeight="1">
      <c r="A113" s="63"/>
      <c r="B113" s="64"/>
      <c r="C113" s="64"/>
      <c r="D113" s="64"/>
      <c r="E113" s="64"/>
      <c r="F113" s="64"/>
      <c r="G113" s="63"/>
      <c r="H113" s="63" t="str">
        <f t="shared" si="1"/>
        <v>No</v>
      </c>
      <c r="I113" s="63" t="str">
        <f t="shared" si="2"/>
        <v/>
      </c>
      <c r="J113" s="66" t="str">
        <f t="shared" si="3"/>
        <v/>
      </c>
      <c r="K113" s="67"/>
      <c r="L113" s="66" t="str">
        <f t="shared" si="4"/>
        <v/>
      </c>
      <c r="M113" s="68" t="str">
        <f t="shared" si="5"/>
        <v/>
      </c>
      <c r="N113" s="64"/>
      <c r="O113" s="64"/>
      <c r="P113" s="64"/>
      <c r="Q113" s="64"/>
      <c r="R113" s="64"/>
      <c r="S113" s="64"/>
      <c r="T113" s="64"/>
      <c r="U113" s="64"/>
      <c r="V113" s="64"/>
      <c r="W113" s="64"/>
      <c r="X113" s="64"/>
      <c r="Y113" s="64"/>
      <c r="Z113" s="64"/>
      <c r="AA113" s="64"/>
    </row>
    <row r="114" ht="12.75" customHeight="1">
      <c r="A114" s="63"/>
      <c r="B114" s="64"/>
      <c r="C114" s="64"/>
      <c r="D114" s="64"/>
      <c r="E114" s="64"/>
      <c r="F114" s="64"/>
      <c r="G114" s="63"/>
      <c r="H114" s="63" t="str">
        <f t="shared" si="1"/>
        <v>No</v>
      </c>
      <c r="I114" s="63" t="str">
        <f t="shared" si="2"/>
        <v/>
      </c>
      <c r="J114" s="66" t="str">
        <f t="shared" si="3"/>
        <v/>
      </c>
      <c r="K114" s="67"/>
      <c r="L114" s="66" t="str">
        <f t="shared" si="4"/>
        <v/>
      </c>
      <c r="M114" s="68" t="str">
        <f t="shared" si="5"/>
        <v/>
      </c>
      <c r="N114" s="64"/>
      <c r="O114" s="64"/>
      <c r="P114" s="64"/>
      <c r="Q114" s="64"/>
      <c r="R114" s="64"/>
      <c r="S114" s="64"/>
      <c r="T114" s="64"/>
      <c r="U114" s="64"/>
      <c r="V114" s="64"/>
      <c r="W114" s="64"/>
      <c r="X114" s="64"/>
      <c r="Y114" s="64"/>
      <c r="Z114" s="64"/>
      <c r="AA114" s="64"/>
    </row>
    <row r="115" ht="12.75" customHeight="1">
      <c r="A115" s="63"/>
      <c r="B115" s="64"/>
      <c r="C115" s="64"/>
      <c r="D115" s="64"/>
      <c r="E115" s="64"/>
      <c r="F115" s="64"/>
      <c r="G115" s="63"/>
      <c r="H115" s="63" t="str">
        <f t="shared" si="1"/>
        <v>No</v>
      </c>
      <c r="I115" s="63" t="str">
        <f t="shared" si="2"/>
        <v/>
      </c>
      <c r="J115" s="66" t="str">
        <f t="shared" si="3"/>
        <v/>
      </c>
      <c r="K115" s="67"/>
      <c r="L115" s="66" t="str">
        <f t="shared" si="4"/>
        <v/>
      </c>
      <c r="M115" s="68" t="str">
        <f t="shared" si="5"/>
        <v/>
      </c>
      <c r="N115" s="64"/>
      <c r="O115" s="64"/>
      <c r="P115" s="64"/>
      <c r="Q115" s="64"/>
      <c r="R115" s="64"/>
      <c r="S115" s="64"/>
      <c r="T115" s="64"/>
      <c r="U115" s="64"/>
      <c r="V115" s="64"/>
      <c r="W115" s="64"/>
      <c r="X115" s="64"/>
      <c r="Y115" s="64"/>
      <c r="Z115" s="64"/>
      <c r="AA115" s="64"/>
    </row>
    <row r="116" ht="12.75" customHeight="1">
      <c r="A116" s="63"/>
      <c r="B116" s="64"/>
      <c r="C116" s="64"/>
      <c r="D116" s="64"/>
      <c r="E116" s="64"/>
      <c r="F116" s="64"/>
      <c r="G116" s="63"/>
      <c r="H116" s="63" t="str">
        <f t="shared" si="1"/>
        <v>No</v>
      </c>
      <c r="I116" s="63" t="str">
        <f t="shared" si="2"/>
        <v/>
      </c>
      <c r="J116" s="66" t="str">
        <f t="shared" si="3"/>
        <v/>
      </c>
      <c r="K116" s="67"/>
      <c r="L116" s="66" t="str">
        <f t="shared" si="4"/>
        <v/>
      </c>
      <c r="M116" s="68" t="str">
        <f t="shared" si="5"/>
        <v/>
      </c>
      <c r="N116" s="64"/>
      <c r="O116" s="64"/>
      <c r="P116" s="64"/>
      <c r="Q116" s="64"/>
      <c r="R116" s="64"/>
      <c r="S116" s="64"/>
      <c r="T116" s="64"/>
      <c r="U116" s="64"/>
      <c r="V116" s="64"/>
      <c r="W116" s="64"/>
      <c r="X116" s="64"/>
      <c r="Y116" s="64"/>
      <c r="Z116" s="64"/>
      <c r="AA116" s="64"/>
    </row>
    <row r="117" ht="12.75" customHeight="1">
      <c r="A117" s="63"/>
      <c r="B117" s="64"/>
      <c r="C117" s="64"/>
      <c r="D117" s="64"/>
      <c r="E117" s="64"/>
      <c r="F117" s="64"/>
      <c r="G117" s="63"/>
      <c r="H117" s="63" t="str">
        <f t="shared" si="1"/>
        <v>No</v>
      </c>
      <c r="I117" s="63" t="str">
        <f t="shared" si="2"/>
        <v/>
      </c>
      <c r="J117" s="66" t="str">
        <f t="shared" si="3"/>
        <v/>
      </c>
      <c r="K117" s="67"/>
      <c r="L117" s="66" t="str">
        <f t="shared" si="4"/>
        <v/>
      </c>
      <c r="M117" s="68" t="str">
        <f t="shared" si="5"/>
        <v/>
      </c>
      <c r="N117" s="64"/>
      <c r="O117" s="64"/>
      <c r="P117" s="64"/>
      <c r="Q117" s="64"/>
      <c r="R117" s="64"/>
      <c r="S117" s="64"/>
      <c r="T117" s="64"/>
      <c r="U117" s="64"/>
      <c r="V117" s="64"/>
      <c r="W117" s="64"/>
      <c r="X117" s="64"/>
      <c r="Y117" s="64"/>
      <c r="Z117" s="64"/>
      <c r="AA117" s="64"/>
    </row>
    <row r="118" ht="12.75" customHeight="1">
      <c r="A118" s="63"/>
      <c r="B118" s="64"/>
      <c r="C118" s="64"/>
      <c r="D118" s="64"/>
      <c r="E118" s="64"/>
      <c r="F118" s="64"/>
      <c r="G118" s="63"/>
      <c r="H118" s="63" t="str">
        <f t="shared" si="1"/>
        <v>No</v>
      </c>
      <c r="I118" s="63" t="str">
        <f t="shared" si="2"/>
        <v/>
      </c>
      <c r="J118" s="66" t="str">
        <f t="shared" si="3"/>
        <v/>
      </c>
      <c r="K118" s="67"/>
      <c r="L118" s="66" t="str">
        <f t="shared" si="4"/>
        <v/>
      </c>
      <c r="M118" s="68" t="str">
        <f t="shared" si="5"/>
        <v/>
      </c>
      <c r="N118" s="64"/>
      <c r="O118" s="64"/>
      <c r="P118" s="64"/>
      <c r="Q118" s="64"/>
      <c r="R118" s="64"/>
      <c r="S118" s="64"/>
      <c r="T118" s="64"/>
      <c r="U118" s="64"/>
      <c r="V118" s="64"/>
      <c r="W118" s="64"/>
      <c r="X118" s="64"/>
      <c r="Y118" s="64"/>
      <c r="Z118" s="64"/>
      <c r="AA118" s="64"/>
    </row>
    <row r="119" ht="12.75" customHeight="1">
      <c r="A119" s="63"/>
      <c r="B119" s="64"/>
      <c r="C119" s="64"/>
      <c r="D119" s="64"/>
      <c r="E119" s="64"/>
      <c r="F119" s="64"/>
      <c r="G119" s="63"/>
      <c r="H119" s="63" t="str">
        <f t="shared" si="1"/>
        <v>No</v>
      </c>
      <c r="I119" s="63" t="str">
        <f t="shared" si="2"/>
        <v/>
      </c>
      <c r="J119" s="66" t="str">
        <f t="shared" si="3"/>
        <v/>
      </c>
      <c r="K119" s="67"/>
      <c r="L119" s="66" t="str">
        <f t="shared" si="4"/>
        <v/>
      </c>
      <c r="M119" s="68" t="str">
        <f t="shared" si="5"/>
        <v/>
      </c>
      <c r="N119" s="64"/>
      <c r="O119" s="64"/>
      <c r="P119" s="64"/>
      <c r="Q119" s="64"/>
      <c r="R119" s="64"/>
      <c r="S119" s="64"/>
      <c r="T119" s="64"/>
      <c r="U119" s="64"/>
      <c r="V119" s="64"/>
      <c r="W119" s="64"/>
      <c r="X119" s="64"/>
      <c r="Y119" s="64"/>
      <c r="Z119" s="64"/>
      <c r="AA119" s="64"/>
    </row>
    <row r="120" ht="12.75" customHeight="1">
      <c r="A120" s="63"/>
      <c r="B120" s="64"/>
      <c r="C120" s="64"/>
      <c r="D120" s="64"/>
      <c r="E120" s="64"/>
      <c r="F120" s="64"/>
      <c r="G120" s="63"/>
      <c r="H120" s="63" t="str">
        <f t="shared" si="1"/>
        <v>No</v>
      </c>
      <c r="I120" s="63" t="str">
        <f t="shared" si="2"/>
        <v/>
      </c>
      <c r="J120" s="66" t="str">
        <f t="shared" si="3"/>
        <v/>
      </c>
      <c r="K120" s="67"/>
      <c r="L120" s="66" t="str">
        <f t="shared" si="4"/>
        <v/>
      </c>
      <c r="M120" s="68" t="str">
        <f t="shared" si="5"/>
        <v/>
      </c>
      <c r="N120" s="64"/>
      <c r="O120" s="64"/>
      <c r="P120" s="64"/>
      <c r="Q120" s="64"/>
      <c r="R120" s="64"/>
      <c r="S120" s="64"/>
      <c r="T120" s="64"/>
      <c r="U120" s="64"/>
      <c r="V120" s="64"/>
      <c r="W120" s="64"/>
      <c r="X120" s="64"/>
      <c r="Y120" s="64"/>
      <c r="Z120" s="64"/>
      <c r="AA120" s="64"/>
    </row>
    <row r="121" ht="12.75" customHeight="1">
      <c r="A121" s="63"/>
      <c r="B121" s="64"/>
      <c r="C121" s="64"/>
      <c r="D121" s="64"/>
      <c r="E121" s="64"/>
      <c r="F121" s="64"/>
      <c r="G121" s="63"/>
      <c r="H121" s="63" t="str">
        <f t="shared" si="1"/>
        <v>No</v>
      </c>
      <c r="I121" s="63" t="str">
        <f t="shared" si="2"/>
        <v/>
      </c>
      <c r="J121" s="66" t="str">
        <f t="shared" si="3"/>
        <v/>
      </c>
      <c r="K121" s="67"/>
      <c r="L121" s="66" t="str">
        <f t="shared" si="4"/>
        <v/>
      </c>
      <c r="M121" s="68" t="str">
        <f t="shared" si="5"/>
        <v/>
      </c>
      <c r="N121" s="64"/>
      <c r="O121" s="64"/>
      <c r="P121" s="64"/>
      <c r="Q121" s="64"/>
      <c r="R121" s="64"/>
      <c r="S121" s="64"/>
      <c r="T121" s="64"/>
      <c r="U121" s="64"/>
      <c r="V121" s="64"/>
      <c r="W121" s="64"/>
      <c r="X121" s="64"/>
      <c r="Y121" s="64"/>
      <c r="Z121" s="64"/>
      <c r="AA121" s="64"/>
    </row>
    <row r="122" ht="12.75" customHeight="1">
      <c r="A122" s="63"/>
      <c r="B122" s="64"/>
      <c r="C122" s="64"/>
      <c r="D122" s="64"/>
      <c r="E122" s="64"/>
      <c r="F122" s="64"/>
      <c r="G122" s="63"/>
      <c r="H122" s="63" t="str">
        <f t="shared" si="1"/>
        <v>No</v>
      </c>
      <c r="I122" s="63" t="str">
        <f t="shared" si="2"/>
        <v/>
      </c>
      <c r="J122" s="66" t="str">
        <f t="shared" si="3"/>
        <v/>
      </c>
      <c r="K122" s="67"/>
      <c r="L122" s="66" t="str">
        <f t="shared" si="4"/>
        <v/>
      </c>
      <c r="M122" s="68" t="str">
        <f t="shared" si="5"/>
        <v/>
      </c>
      <c r="N122" s="64"/>
      <c r="O122" s="64"/>
      <c r="P122" s="64"/>
      <c r="Q122" s="64"/>
      <c r="R122" s="64"/>
      <c r="S122" s="64"/>
      <c r="T122" s="64"/>
      <c r="U122" s="64"/>
      <c r="V122" s="64"/>
      <c r="W122" s="64"/>
      <c r="X122" s="64"/>
      <c r="Y122" s="64"/>
      <c r="Z122" s="64"/>
      <c r="AA122" s="64"/>
    </row>
    <row r="123" ht="12.75" customHeight="1">
      <c r="A123" s="63"/>
      <c r="B123" s="64"/>
      <c r="C123" s="64"/>
      <c r="D123" s="64"/>
      <c r="E123" s="64"/>
      <c r="F123" s="64"/>
      <c r="G123" s="63"/>
      <c r="H123" s="63" t="str">
        <f t="shared" si="1"/>
        <v>No</v>
      </c>
      <c r="I123" s="63" t="str">
        <f t="shared" si="2"/>
        <v/>
      </c>
      <c r="J123" s="66" t="str">
        <f t="shared" si="3"/>
        <v/>
      </c>
      <c r="K123" s="67"/>
      <c r="L123" s="66" t="str">
        <f t="shared" si="4"/>
        <v/>
      </c>
      <c r="M123" s="68" t="str">
        <f t="shared" si="5"/>
        <v/>
      </c>
      <c r="N123" s="64"/>
      <c r="O123" s="64"/>
      <c r="P123" s="64"/>
      <c r="Q123" s="64"/>
      <c r="R123" s="64"/>
      <c r="S123" s="64"/>
      <c r="T123" s="64"/>
      <c r="U123" s="64"/>
      <c r="V123" s="64"/>
      <c r="W123" s="64"/>
      <c r="X123" s="64"/>
      <c r="Y123" s="64"/>
      <c r="Z123" s="64"/>
      <c r="AA123" s="64"/>
    </row>
    <row r="124" ht="12.75" customHeight="1">
      <c r="A124" s="63"/>
      <c r="B124" s="64"/>
      <c r="C124" s="64"/>
      <c r="D124" s="64"/>
      <c r="E124" s="64"/>
      <c r="F124" s="64"/>
      <c r="G124" s="63"/>
      <c r="H124" s="63" t="str">
        <f t="shared" si="1"/>
        <v>No</v>
      </c>
      <c r="I124" s="63" t="str">
        <f t="shared" si="2"/>
        <v/>
      </c>
      <c r="J124" s="66" t="str">
        <f t="shared" si="3"/>
        <v/>
      </c>
      <c r="K124" s="67"/>
      <c r="L124" s="66" t="str">
        <f t="shared" si="4"/>
        <v/>
      </c>
      <c r="M124" s="68" t="str">
        <f t="shared" si="5"/>
        <v/>
      </c>
      <c r="N124" s="64"/>
      <c r="O124" s="64"/>
      <c r="P124" s="64"/>
      <c r="Q124" s="64"/>
      <c r="R124" s="64"/>
      <c r="S124" s="64"/>
      <c r="T124" s="64"/>
      <c r="U124" s="64"/>
      <c r="V124" s="64"/>
      <c r="W124" s="64"/>
      <c r="X124" s="64"/>
      <c r="Y124" s="64"/>
      <c r="Z124" s="64"/>
      <c r="AA124" s="64"/>
    </row>
    <row r="125" ht="12.75" customHeight="1">
      <c r="A125" s="63"/>
      <c r="B125" s="64"/>
      <c r="C125" s="64"/>
      <c r="D125" s="64"/>
      <c r="E125" s="64"/>
      <c r="F125" s="64"/>
      <c r="G125" s="63"/>
      <c r="H125" s="63" t="str">
        <f t="shared" si="1"/>
        <v>No</v>
      </c>
      <c r="I125" s="63" t="str">
        <f t="shared" si="2"/>
        <v/>
      </c>
      <c r="J125" s="66" t="str">
        <f t="shared" si="3"/>
        <v/>
      </c>
      <c r="K125" s="67"/>
      <c r="L125" s="66" t="str">
        <f t="shared" si="4"/>
        <v/>
      </c>
      <c r="M125" s="68" t="str">
        <f t="shared" si="5"/>
        <v/>
      </c>
      <c r="N125" s="64"/>
      <c r="O125" s="64"/>
      <c r="P125" s="64"/>
      <c r="Q125" s="64"/>
      <c r="R125" s="64"/>
      <c r="S125" s="64"/>
      <c r="T125" s="64"/>
      <c r="U125" s="64"/>
      <c r="V125" s="64"/>
      <c r="W125" s="64"/>
      <c r="X125" s="64"/>
      <c r="Y125" s="64"/>
      <c r="Z125" s="64"/>
      <c r="AA125" s="64"/>
    </row>
    <row r="126" ht="12.75" customHeight="1">
      <c r="A126" s="63"/>
      <c r="B126" s="64"/>
      <c r="C126" s="64"/>
      <c r="D126" s="64"/>
      <c r="E126" s="64"/>
      <c r="F126" s="64"/>
      <c r="G126" s="63"/>
      <c r="H126" s="63" t="str">
        <f t="shared" si="1"/>
        <v>No</v>
      </c>
      <c r="I126" s="63" t="str">
        <f t="shared" si="2"/>
        <v/>
      </c>
      <c r="J126" s="66" t="str">
        <f t="shared" si="3"/>
        <v/>
      </c>
      <c r="K126" s="67"/>
      <c r="L126" s="66" t="str">
        <f t="shared" si="4"/>
        <v/>
      </c>
      <c r="M126" s="68" t="str">
        <f t="shared" si="5"/>
        <v/>
      </c>
      <c r="N126" s="64"/>
      <c r="O126" s="64"/>
      <c r="P126" s="64"/>
      <c r="Q126" s="64"/>
      <c r="R126" s="64"/>
      <c r="S126" s="64"/>
      <c r="T126" s="64"/>
      <c r="U126" s="64"/>
      <c r="V126" s="64"/>
      <c r="W126" s="64"/>
      <c r="X126" s="64"/>
      <c r="Y126" s="64"/>
      <c r="Z126" s="64"/>
      <c r="AA126" s="64"/>
    </row>
    <row r="127" ht="12.75" customHeight="1">
      <c r="A127" s="63"/>
      <c r="B127" s="64"/>
      <c r="C127" s="64"/>
      <c r="D127" s="64"/>
      <c r="E127" s="64"/>
      <c r="F127" s="64"/>
      <c r="G127" s="63"/>
      <c r="H127" s="63" t="str">
        <f t="shared" si="1"/>
        <v>No</v>
      </c>
      <c r="I127" s="63" t="str">
        <f t="shared" si="2"/>
        <v/>
      </c>
      <c r="J127" s="66" t="str">
        <f t="shared" si="3"/>
        <v/>
      </c>
      <c r="K127" s="67"/>
      <c r="L127" s="66" t="str">
        <f t="shared" si="4"/>
        <v/>
      </c>
      <c r="M127" s="68" t="str">
        <f t="shared" si="5"/>
        <v/>
      </c>
      <c r="N127" s="64"/>
      <c r="O127" s="64"/>
      <c r="P127" s="64"/>
      <c r="Q127" s="64"/>
      <c r="R127" s="64"/>
      <c r="S127" s="64"/>
      <c r="T127" s="64"/>
      <c r="U127" s="64"/>
      <c r="V127" s="64"/>
      <c r="W127" s="64"/>
      <c r="X127" s="64"/>
      <c r="Y127" s="64"/>
      <c r="Z127" s="64"/>
      <c r="AA127" s="64"/>
    </row>
    <row r="128" ht="12.75" customHeight="1">
      <c r="A128" s="63"/>
      <c r="B128" s="64"/>
      <c r="C128" s="64"/>
      <c r="D128" s="64"/>
      <c r="E128" s="64"/>
      <c r="F128" s="64"/>
      <c r="G128" s="63"/>
      <c r="H128" s="63" t="str">
        <f t="shared" si="1"/>
        <v>No</v>
      </c>
      <c r="I128" s="63" t="str">
        <f t="shared" si="2"/>
        <v/>
      </c>
      <c r="J128" s="66" t="str">
        <f t="shared" si="3"/>
        <v/>
      </c>
      <c r="K128" s="67"/>
      <c r="L128" s="66" t="str">
        <f t="shared" si="4"/>
        <v/>
      </c>
      <c r="M128" s="68" t="str">
        <f t="shared" si="5"/>
        <v/>
      </c>
      <c r="N128" s="64"/>
      <c r="O128" s="64"/>
      <c r="P128" s="64"/>
      <c r="Q128" s="64"/>
      <c r="R128" s="64"/>
      <c r="S128" s="64"/>
      <c r="T128" s="64"/>
      <c r="U128" s="64"/>
      <c r="V128" s="64"/>
      <c r="W128" s="64"/>
      <c r="X128" s="64"/>
      <c r="Y128" s="64"/>
      <c r="Z128" s="64"/>
      <c r="AA128" s="64"/>
    </row>
    <row r="129" ht="12.75" customHeight="1">
      <c r="A129" s="63"/>
      <c r="B129" s="64"/>
      <c r="C129" s="64"/>
      <c r="D129" s="64"/>
      <c r="E129" s="64"/>
      <c r="F129" s="64"/>
      <c r="G129" s="63"/>
      <c r="H129" s="63" t="str">
        <f t="shared" si="1"/>
        <v>No</v>
      </c>
      <c r="I129" s="63" t="str">
        <f t="shared" si="2"/>
        <v/>
      </c>
      <c r="J129" s="66" t="str">
        <f t="shared" si="3"/>
        <v/>
      </c>
      <c r="K129" s="67"/>
      <c r="L129" s="66" t="str">
        <f t="shared" si="4"/>
        <v/>
      </c>
      <c r="M129" s="68" t="str">
        <f t="shared" si="5"/>
        <v/>
      </c>
      <c r="N129" s="64"/>
      <c r="O129" s="64"/>
      <c r="P129" s="64"/>
      <c r="Q129" s="64"/>
      <c r="R129" s="64"/>
      <c r="S129" s="64"/>
      <c r="T129" s="64"/>
      <c r="U129" s="64"/>
      <c r="V129" s="64"/>
      <c r="W129" s="64"/>
      <c r="X129" s="64"/>
      <c r="Y129" s="64"/>
      <c r="Z129" s="64"/>
      <c r="AA129" s="64"/>
    </row>
    <row r="130" ht="12.75" customHeight="1">
      <c r="A130" s="63"/>
      <c r="B130" s="64"/>
      <c r="C130" s="64"/>
      <c r="D130" s="64"/>
      <c r="E130" s="64"/>
      <c r="F130" s="64"/>
      <c r="G130" s="63"/>
      <c r="H130" s="63" t="str">
        <f t="shared" si="1"/>
        <v>No</v>
      </c>
      <c r="I130" s="63" t="str">
        <f t="shared" si="2"/>
        <v/>
      </c>
      <c r="J130" s="66" t="str">
        <f t="shared" si="3"/>
        <v/>
      </c>
      <c r="K130" s="67"/>
      <c r="L130" s="66" t="str">
        <f t="shared" si="4"/>
        <v/>
      </c>
      <c r="M130" s="68" t="str">
        <f t="shared" si="5"/>
        <v/>
      </c>
      <c r="N130" s="64"/>
      <c r="O130" s="64"/>
      <c r="P130" s="64"/>
      <c r="Q130" s="64"/>
      <c r="R130" s="64"/>
      <c r="S130" s="64"/>
      <c r="T130" s="64"/>
      <c r="U130" s="64"/>
      <c r="V130" s="64"/>
      <c r="W130" s="64"/>
      <c r="X130" s="64"/>
      <c r="Y130" s="64"/>
      <c r="Z130" s="64"/>
      <c r="AA130" s="64"/>
    </row>
    <row r="131" ht="12.75" customHeight="1">
      <c r="A131" s="63"/>
      <c r="B131" s="64"/>
      <c r="C131" s="64"/>
      <c r="D131" s="64"/>
      <c r="E131" s="64"/>
      <c r="F131" s="64"/>
      <c r="G131" s="63"/>
      <c r="H131" s="63" t="str">
        <f t="shared" si="1"/>
        <v>No</v>
      </c>
      <c r="I131" s="63" t="str">
        <f t="shared" si="2"/>
        <v/>
      </c>
      <c r="J131" s="66" t="str">
        <f t="shared" si="3"/>
        <v/>
      </c>
      <c r="K131" s="67"/>
      <c r="L131" s="66" t="str">
        <f t="shared" si="4"/>
        <v/>
      </c>
      <c r="M131" s="68" t="str">
        <f t="shared" si="5"/>
        <v/>
      </c>
      <c r="N131" s="64"/>
      <c r="O131" s="64"/>
      <c r="P131" s="64"/>
      <c r="Q131" s="64"/>
      <c r="R131" s="64"/>
      <c r="S131" s="64"/>
      <c r="T131" s="64"/>
      <c r="U131" s="64"/>
      <c r="V131" s="64"/>
      <c r="W131" s="64"/>
      <c r="X131" s="64"/>
      <c r="Y131" s="64"/>
      <c r="Z131" s="64"/>
      <c r="AA131" s="64"/>
    </row>
    <row r="132" ht="12.75" customHeight="1">
      <c r="A132" s="63"/>
      <c r="B132" s="64"/>
      <c r="C132" s="64"/>
      <c r="D132" s="64"/>
      <c r="E132" s="64"/>
      <c r="F132" s="64"/>
      <c r="G132" s="63"/>
      <c r="H132" s="63" t="str">
        <f t="shared" si="1"/>
        <v>No</v>
      </c>
      <c r="I132" s="63" t="str">
        <f t="shared" si="2"/>
        <v/>
      </c>
      <c r="J132" s="66" t="str">
        <f t="shared" si="3"/>
        <v/>
      </c>
      <c r="K132" s="67"/>
      <c r="L132" s="66" t="str">
        <f t="shared" si="4"/>
        <v/>
      </c>
      <c r="M132" s="68" t="str">
        <f t="shared" si="5"/>
        <v/>
      </c>
      <c r="N132" s="64"/>
      <c r="O132" s="64"/>
      <c r="P132" s="64"/>
      <c r="Q132" s="64"/>
      <c r="R132" s="64"/>
      <c r="S132" s="64"/>
      <c r="T132" s="64"/>
      <c r="U132" s="64"/>
      <c r="V132" s="64"/>
      <c r="W132" s="64"/>
      <c r="X132" s="64"/>
      <c r="Y132" s="64"/>
      <c r="Z132" s="64"/>
      <c r="AA132" s="64"/>
    </row>
    <row r="133" ht="12.75" customHeight="1">
      <c r="A133" s="63"/>
      <c r="B133" s="64"/>
      <c r="C133" s="64"/>
      <c r="D133" s="64"/>
      <c r="E133" s="64"/>
      <c r="F133" s="64"/>
      <c r="G133" s="63"/>
      <c r="H133" s="63" t="str">
        <f t="shared" si="1"/>
        <v>No</v>
      </c>
      <c r="I133" s="63" t="str">
        <f t="shared" si="2"/>
        <v/>
      </c>
      <c r="J133" s="66" t="str">
        <f t="shared" si="3"/>
        <v/>
      </c>
      <c r="K133" s="67"/>
      <c r="L133" s="66" t="str">
        <f t="shared" si="4"/>
        <v/>
      </c>
      <c r="M133" s="68" t="str">
        <f t="shared" si="5"/>
        <v/>
      </c>
      <c r="N133" s="64"/>
      <c r="O133" s="64"/>
      <c r="P133" s="64"/>
      <c r="Q133" s="64"/>
      <c r="R133" s="64"/>
      <c r="S133" s="64"/>
      <c r="T133" s="64"/>
      <c r="U133" s="64"/>
      <c r="V133" s="64"/>
      <c r="W133" s="64"/>
      <c r="X133" s="64"/>
      <c r="Y133" s="64"/>
      <c r="Z133" s="64"/>
      <c r="AA133" s="64"/>
    </row>
    <row r="134" ht="12.75" customHeight="1">
      <c r="A134" s="63"/>
      <c r="B134" s="64"/>
      <c r="C134" s="64"/>
      <c r="D134" s="64"/>
      <c r="E134" s="64"/>
      <c r="F134" s="64"/>
      <c r="G134" s="63"/>
      <c r="H134" s="63" t="str">
        <f t="shared" si="1"/>
        <v>No</v>
      </c>
      <c r="I134" s="63" t="str">
        <f t="shared" si="2"/>
        <v/>
      </c>
      <c r="J134" s="66" t="str">
        <f t="shared" si="3"/>
        <v/>
      </c>
      <c r="K134" s="67"/>
      <c r="L134" s="66" t="str">
        <f t="shared" si="4"/>
        <v/>
      </c>
      <c r="M134" s="68" t="str">
        <f t="shared" si="5"/>
        <v/>
      </c>
      <c r="N134" s="64"/>
      <c r="O134" s="64"/>
      <c r="P134" s="64"/>
      <c r="Q134" s="64"/>
      <c r="R134" s="64"/>
      <c r="S134" s="64"/>
      <c r="T134" s="64"/>
      <c r="U134" s="64"/>
      <c r="V134" s="64"/>
      <c r="W134" s="64"/>
      <c r="X134" s="64"/>
      <c r="Y134" s="64"/>
      <c r="Z134" s="64"/>
      <c r="AA134" s="64"/>
    </row>
    <row r="135" ht="12.75" customHeight="1">
      <c r="A135" s="63"/>
      <c r="B135" s="64"/>
      <c r="C135" s="64"/>
      <c r="D135" s="64"/>
      <c r="E135" s="64"/>
      <c r="F135" s="64"/>
      <c r="G135" s="63"/>
      <c r="H135" s="63" t="str">
        <f t="shared" si="1"/>
        <v>No</v>
      </c>
      <c r="I135" s="63" t="str">
        <f t="shared" si="2"/>
        <v/>
      </c>
      <c r="J135" s="66" t="str">
        <f t="shared" si="3"/>
        <v/>
      </c>
      <c r="K135" s="67"/>
      <c r="L135" s="66" t="str">
        <f t="shared" si="4"/>
        <v/>
      </c>
      <c r="M135" s="68" t="str">
        <f t="shared" si="5"/>
        <v/>
      </c>
      <c r="N135" s="64"/>
      <c r="O135" s="64"/>
      <c r="P135" s="64"/>
      <c r="Q135" s="64"/>
      <c r="R135" s="64"/>
      <c r="S135" s="64"/>
      <c r="T135" s="64"/>
      <c r="U135" s="64"/>
      <c r="V135" s="64"/>
      <c r="W135" s="64"/>
      <c r="X135" s="64"/>
      <c r="Y135" s="64"/>
      <c r="Z135" s="64"/>
      <c r="AA135" s="64"/>
    </row>
    <row r="136" ht="12.75" customHeight="1">
      <c r="A136" s="63"/>
      <c r="B136" s="64"/>
      <c r="C136" s="64"/>
      <c r="D136" s="64"/>
      <c r="E136" s="64"/>
      <c r="F136" s="64"/>
      <c r="G136" s="63"/>
      <c r="H136" s="63" t="str">
        <f t="shared" si="1"/>
        <v>No</v>
      </c>
      <c r="I136" s="63" t="str">
        <f t="shared" si="2"/>
        <v/>
      </c>
      <c r="J136" s="66" t="str">
        <f t="shared" si="3"/>
        <v/>
      </c>
      <c r="K136" s="67"/>
      <c r="L136" s="66" t="str">
        <f t="shared" si="4"/>
        <v/>
      </c>
      <c r="M136" s="68" t="str">
        <f t="shared" si="5"/>
        <v/>
      </c>
      <c r="N136" s="64"/>
      <c r="O136" s="64"/>
      <c r="P136" s="64"/>
      <c r="Q136" s="64"/>
      <c r="R136" s="64"/>
      <c r="S136" s="64"/>
      <c r="T136" s="64"/>
      <c r="U136" s="64"/>
      <c r="V136" s="64"/>
      <c r="W136" s="64"/>
      <c r="X136" s="64"/>
      <c r="Y136" s="64"/>
      <c r="Z136" s="64"/>
      <c r="AA136" s="64"/>
    </row>
    <row r="137" ht="12.75" customHeight="1">
      <c r="A137" s="63"/>
      <c r="B137" s="64"/>
      <c r="C137" s="64"/>
      <c r="D137" s="64"/>
      <c r="E137" s="64"/>
      <c r="F137" s="64"/>
      <c r="G137" s="63"/>
      <c r="H137" s="63" t="str">
        <f t="shared" si="1"/>
        <v>No</v>
      </c>
      <c r="I137" s="63" t="str">
        <f t="shared" si="2"/>
        <v/>
      </c>
      <c r="J137" s="66" t="str">
        <f t="shared" si="3"/>
        <v/>
      </c>
      <c r="K137" s="67"/>
      <c r="L137" s="66" t="str">
        <f t="shared" si="4"/>
        <v/>
      </c>
      <c r="M137" s="68" t="str">
        <f t="shared" si="5"/>
        <v/>
      </c>
      <c r="N137" s="64"/>
      <c r="O137" s="64"/>
      <c r="P137" s="64"/>
      <c r="Q137" s="64"/>
      <c r="R137" s="64"/>
      <c r="S137" s="64"/>
      <c r="T137" s="64"/>
      <c r="U137" s="64"/>
      <c r="V137" s="64"/>
      <c r="W137" s="64"/>
      <c r="X137" s="64"/>
      <c r="Y137" s="64"/>
      <c r="Z137" s="64"/>
      <c r="AA137" s="64"/>
    </row>
    <row r="138" ht="12.75" customHeight="1">
      <c r="A138" s="63"/>
      <c r="B138" s="64"/>
      <c r="C138" s="64"/>
      <c r="D138" s="64"/>
      <c r="E138" s="64"/>
      <c r="F138" s="64"/>
      <c r="G138" s="63"/>
      <c r="H138" s="63" t="str">
        <f t="shared" si="1"/>
        <v>No</v>
      </c>
      <c r="I138" s="63" t="str">
        <f t="shared" si="2"/>
        <v/>
      </c>
      <c r="J138" s="66" t="str">
        <f t="shared" si="3"/>
        <v/>
      </c>
      <c r="K138" s="67"/>
      <c r="L138" s="66" t="str">
        <f t="shared" si="4"/>
        <v/>
      </c>
      <c r="M138" s="68" t="str">
        <f t="shared" si="5"/>
        <v/>
      </c>
      <c r="N138" s="64"/>
      <c r="O138" s="64"/>
      <c r="P138" s="64"/>
      <c r="Q138" s="64"/>
      <c r="R138" s="64"/>
      <c r="S138" s="64"/>
      <c r="T138" s="64"/>
      <c r="U138" s="64"/>
      <c r="V138" s="64"/>
      <c r="W138" s="64"/>
      <c r="X138" s="64"/>
      <c r="Y138" s="64"/>
      <c r="Z138" s="64"/>
      <c r="AA138" s="64"/>
    </row>
    <row r="139" ht="12.75" customHeight="1">
      <c r="A139" s="63"/>
      <c r="B139" s="64"/>
      <c r="C139" s="64"/>
      <c r="D139" s="64"/>
      <c r="E139" s="64"/>
      <c r="F139" s="64"/>
      <c r="G139" s="63"/>
      <c r="H139" s="63" t="str">
        <f t="shared" si="1"/>
        <v>No</v>
      </c>
      <c r="I139" s="63" t="str">
        <f t="shared" si="2"/>
        <v/>
      </c>
      <c r="J139" s="66" t="str">
        <f t="shared" si="3"/>
        <v/>
      </c>
      <c r="K139" s="67"/>
      <c r="L139" s="66" t="str">
        <f t="shared" si="4"/>
        <v/>
      </c>
      <c r="M139" s="68" t="str">
        <f t="shared" si="5"/>
        <v/>
      </c>
      <c r="N139" s="64"/>
      <c r="O139" s="64"/>
      <c r="P139" s="64"/>
      <c r="Q139" s="64"/>
      <c r="R139" s="64"/>
      <c r="S139" s="64"/>
      <c r="T139" s="64"/>
      <c r="U139" s="64"/>
      <c r="V139" s="64"/>
      <c r="W139" s="64"/>
      <c r="X139" s="64"/>
      <c r="Y139" s="64"/>
      <c r="Z139" s="64"/>
      <c r="AA139" s="64"/>
    </row>
    <row r="140" ht="12.75" customHeight="1">
      <c r="A140" s="63"/>
      <c r="B140" s="64"/>
      <c r="C140" s="64"/>
      <c r="D140" s="64"/>
      <c r="E140" s="64"/>
      <c r="F140" s="64"/>
      <c r="G140" s="63"/>
      <c r="H140" s="63" t="str">
        <f t="shared" si="1"/>
        <v>No</v>
      </c>
      <c r="I140" s="63" t="str">
        <f t="shared" si="2"/>
        <v/>
      </c>
      <c r="J140" s="66" t="str">
        <f t="shared" si="3"/>
        <v/>
      </c>
      <c r="K140" s="67"/>
      <c r="L140" s="66" t="str">
        <f t="shared" si="4"/>
        <v/>
      </c>
      <c r="M140" s="68" t="str">
        <f t="shared" si="5"/>
        <v/>
      </c>
      <c r="N140" s="64"/>
      <c r="O140" s="64"/>
      <c r="P140" s="64"/>
      <c r="Q140" s="64"/>
      <c r="R140" s="64"/>
      <c r="S140" s="64"/>
      <c r="T140" s="64"/>
      <c r="U140" s="64"/>
      <c r="V140" s="64"/>
      <c r="W140" s="64"/>
      <c r="X140" s="64"/>
      <c r="Y140" s="64"/>
      <c r="Z140" s="64"/>
      <c r="AA140" s="64"/>
    </row>
    <row r="141" ht="12.75" customHeight="1">
      <c r="A141" s="63"/>
      <c r="B141" s="64"/>
      <c r="C141" s="64"/>
      <c r="D141" s="64"/>
      <c r="E141" s="64"/>
      <c r="F141" s="64"/>
      <c r="G141" s="63"/>
      <c r="H141" s="63" t="str">
        <f t="shared" si="1"/>
        <v>No</v>
      </c>
      <c r="I141" s="63" t="str">
        <f t="shared" si="2"/>
        <v/>
      </c>
      <c r="J141" s="66" t="str">
        <f t="shared" si="3"/>
        <v/>
      </c>
      <c r="K141" s="67"/>
      <c r="L141" s="66" t="str">
        <f t="shared" si="4"/>
        <v/>
      </c>
      <c r="M141" s="68" t="str">
        <f t="shared" si="5"/>
        <v/>
      </c>
      <c r="N141" s="64"/>
      <c r="O141" s="64"/>
      <c r="P141" s="64"/>
      <c r="Q141" s="64"/>
      <c r="R141" s="64"/>
      <c r="S141" s="64"/>
      <c r="T141" s="64"/>
      <c r="U141" s="64"/>
      <c r="V141" s="64"/>
      <c r="W141" s="64"/>
      <c r="X141" s="64"/>
      <c r="Y141" s="64"/>
      <c r="Z141" s="64"/>
      <c r="AA141" s="64"/>
    </row>
    <row r="142" ht="12.75" customHeight="1">
      <c r="A142" s="63"/>
      <c r="B142" s="64"/>
      <c r="C142" s="64"/>
      <c r="D142" s="64"/>
      <c r="E142" s="64"/>
      <c r="F142" s="64"/>
      <c r="G142" s="63"/>
      <c r="H142" s="63" t="str">
        <f t="shared" si="1"/>
        <v>No</v>
      </c>
      <c r="I142" s="63" t="str">
        <f t="shared" si="2"/>
        <v/>
      </c>
      <c r="J142" s="66" t="str">
        <f t="shared" si="3"/>
        <v/>
      </c>
      <c r="K142" s="67"/>
      <c r="L142" s="66" t="str">
        <f t="shared" si="4"/>
        <v/>
      </c>
      <c r="M142" s="68" t="str">
        <f t="shared" si="5"/>
        <v/>
      </c>
      <c r="N142" s="64"/>
      <c r="O142" s="64"/>
      <c r="P142" s="64"/>
      <c r="Q142" s="64"/>
      <c r="R142" s="64"/>
      <c r="S142" s="64"/>
      <c r="T142" s="64"/>
      <c r="U142" s="64"/>
      <c r="V142" s="64"/>
      <c r="W142" s="64"/>
      <c r="X142" s="64"/>
      <c r="Y142" s="64"/>
      <c r="Z142" s="64"/>
      <c r="AA142" s="64"/>
    </row>
    <row r="143" ht="12.75" customHeight="1">
      <c r="A143" s="63"/>
      <c r="B143" s="64"/>
      <c r="C143" s="64"/>
      <c r="D143" s="64"/>
      <c r="E143" s="64"/>
      <c r="F143" s="64"/>
      <c r="G143" s="63"/>
      <c r="H143" s="63" t="str">
        <f t="shared" si="1"/>
        <v>No</v>
      </c>
      <c r="I143" s="63" t="str">
        <f t="shared" si="2"/>
        <v/>
      </c>
      <c r="J143" s="66" t="str">
        <f t="shared" si="3"/>
        <v/>
      </c>
      <c r="K143" s="67"/>
      <c r="L143" s="66" t="str">
        <f t="shared" si="4"/>
        <v/>
      </c>
      <c r="M143" s="68" t="str">
        <f t="shared" si="5"/>
        <v/>
      </c>
      <c r="N143" s="64"/>
      <c r="O143" s="64"/>
      <c r="P143" s="64"/>
      <c r="Q143" s="64"/>
      <c r="R143" s="64"/>
      <c r="S143" s="64"/>
      <c r="T143" s="64"/>
      <c r="U143" s="64"/>
      <c r="V143" s="64"/>
      <c r="W143" s="64"/>
      <c r="X143" s="64"/>
      <c r="Y143" s="64"/>
      <c r="Z143" s="64"/>
      <c r="AA143" s="64"/>
    </row>
    <row r="144" ht="12.75" customHeight="1">
      <c r="A144" s="63"/>
      <c r="B144" s="64"/>
      <c r="C144" s="64"/>
      <c r="D144" s="64"/>
      <c r="E144" s="64"/>
      <c r="F144" s="64"/>
      <c r="G144" s="63"/>
      <c r="H144" s="63" t="str">
        <f t="shared" si="1"/>
        <v>No</v>
      </c>
      <c r="I144" s="63" t="str">
        <f t="shared" si="2"/>
        <v/>
      </c>
      <c r="J144" s="66" t="str">
        <f t="shared" si="3"/>
        <v/>
      </c>
      <c r="K144" s="67"/>
      <c r="L144" s="66" t="str">
        <f t="shared" si="4"/>
        <v/>
      </c>
      <c r="M144" s="68" t="str">
        <f t="shared" si="5"/>
        <v/>
      </c>
      <c r="N144" s="64"/>
      <c r="O144" s="64"/>
      <c r="P144" s="64"/>
      <c r="Q144" s="64"/>
      <c r="R144" s="64"/>
      <c r="S144" s="64"/>
      <c r="T144" s="64"/>
      <c r="U144" s="64"/>
      <c r="V144" s="64"/>
      <c r="W144" s="64"/>
      <c r="X144" s="64"/>
      <c r="Y144" s="64"/>
      <c r="Z144" s="64"/>
      <c r="AA144" s="64"/>
    </row>
    <row r="145" ht="12.75" customHeight="1">
      <c r="A145" s="63"/>
      <c r="B145" s="64"/>
      <c r="C145" s="64"/>
      <c r="D145" s="64"/>
      <c r="E145" s="64"/>
      <c r="F145" s="64"/>
      <c r="G145" s="63"/>
      <c r="H145" s="63" t="str">
        <f t="shared" si="1"/>
        <v>No</v>
      </c>
      <c r="I145" s="63" t="str">
        <f t="shared" si="2"/>
        <v/>
      </c>
      <c r="J145" s="66" t="str">
        <f t="shared" si="3"/>
        <v/>
      </c>
      <c r="K145" s="67"/>
      <c r="L145" s="66" t="str">
        <f t="shared" si="4"/>
        <v/>
      </c>
      <c r="M145" s="68" t="str">
        <f t="shared" si="5"/>
        <v/>
      </c>
      <c r="N145" s="64"/>
      <c r="O145" s="64"/>
      <c r="P145" s="64"/>
      <c r="Q145" s="64"/>
      <c r="R145" s="64"/>
      <c r="S145" s="64"/>
      <c r="T145" s="64"/>
      <c r="U145" s="64"/>
      <c r="V145" s="64"/>
      <c r="W145" s="64"/>
      <c r="X145" s="64"/>
      <c r="Y145" s="64"/>
      <c r="Z145" s="64"/>
      <c r="AA145" s="64"/>
    </row>
    <row r="146" ht="12.75" customHeight="1">
      <c r="A146" s="63"/>
      <c r="B146" s="64"/>
      <c r="C146" s="64"/>
      <c r="D146" s="64"/>
      <c r="E146" s="64"/>
      <c r="F146" s="64"/>
      <c r="G146" s="63"/>
      <c r="H146" s="63" t="str">
        <f t="shared" si="1"/>
        <v>No</v>
      </c>
      <c r="I146" s="63" t="str">
        <f t="shared" si="2"/>
        <v/>
      </c>
      <c r="J146" s="66" t="str">
        <f t="shared" si="3"/>
        <v/>
      </c>
      <c r="K146" s="67"/>
      <c r="L146" s="66" t="str">
        <f t="shared" si="4"/>
        <v/>
      </c>
      <c r="M146" s="68" t="str">
        <f t="shared" si="5"/>
        <v/>
      </c>
      <c r="N146" s="64"/>
      <c r="O146" s="64"/>
      <c r="P146" s="64"/>
      <c r="Q146" s="64"/>
      <c r="R146" s="64"/>
      <c r="S146" s="64"/>
      <c r="T146" s="64"/>
      <c r="U146" s="64"/>
      <c r="V146" s="64"/>
      <c r="W146" s="64"/>
      <c r="X146" s="64"/>
      <c r="Y146" s="64"/>
      <c r="Z146" s="64"/>
      <c r="AA146" s="64"/>
    </row>
    <row r="147" ht="12.75" customHeight="1">
      <c r="A147" s="63"/>
      <c r="B147" s="64"/>
      <c r="C147" s="64"/>
      <c r="D147" s="64"/>
      <c r="E147" s="64"/>
      <c r="F147" s="64"/>
      <c r="G147" s="63"/>
      <c r="H147" s="63" t="str">
        <f t="shared" si="1"/>
        <v>No</v>
      </c>
      <c r="I147" s="63" t="str">
        <f t="shared" si="2"/>
        <v/>
      </c>
      <c r="J147" s="66" t="str">
        <f t="shared" si="3"/>
        <v/>
      </c>
      <c r="K147" s="67"/>
      <c r="L147" s="66" t="str">
        <f t="shared" si="4"/>
        <v/>
      </c>
      <c r="M147" s="68" t="str">
        <f t="shared" si="5"/>
        <v/>
      </c>
      <c r="N147" s="64"/>
      <c r="O147" s="64"/>
      <c r="P147" s="64"/>
      <c r="Q147" s="64"/>
      <c r="R147" s="64"/>
      <c r="S147" s="64"/>
      <c r="T147" s="64"/>
      <c r="U147" s="64"/>
      <c r="V147" s="64"/>
      <c r="W147" s="64"/>
      <c r="X147" s="64"/>
      <c r="Y147" s="64"/>
      <c r="Z147" s="64"/>
      <c r="AA147" s="64"/>
    </row>
    <row r="148" ht="12.75" customHeight="1">
      <c r="A148" s="63"/>
      <c r="B148" s="64"/>
      <c r="C148" s="64"/>
      <c r="D148" s="64"/>
      <c r="E148" s="64"/>
      <c r="F148" s="64"/>
      <c r="G148" s="63"/>
      <c r="H148" s="63" t="str">
        <f t="shared" si="1"/>
        <v>No</v>
      </c>
      <c r="I148" s="63" t="str">
        <f t="shared" si="2"/>
        <v/>
      </c>
      <c r="J148" s="66" t="str">
        <f t="shared" si="3"/>
        <v/>
      </c>
      <c r="K148" s="67"/>
      <c r="L148" s="66" t="str">
        <f t="shared" si="4"/>
        <v/>
      </c>
      <c r="M148" s="68" t="str">
        <f t="shared" si="5"/>
        <v/>
      </c>
      <c r="N148" s="64"/>
      <c r="O148" s="64"/>
      <c r="P148" s="64"/>
      <c r="Q148" s="64"/>
      <c r="R148" s="64"/>
      <c r="S148" s="64"/>
      <c r="T148" s="64"/>
      <c r="U148" s="64"/>
      <c r="V148" s="64"/>
      <c r="W148" s="64"/>
      <c r="X148" s="64"/>
      <c r="Y148" s="64"/>
      <c r="Z148" s="64"/>
      <c r="AA148" s="64"/>
    </row>
    <row r="149" ht="12.75" customHeight="1">
      <c r="A149" s="63"/>
      <c r="B149" s="64"/>
      <c r="C149" s="64"/>
      <c r="D149" s="64"/>
      <c r="E149" s="64"/>
      <c r="F149" s="64"/>
      <c r="G149" s="63"/>
      <c r="H149" s="63" t="str">
        <f t="shared" si="1"/>
        <v>No</v>
      </c>
      <c r="I149" s="63" t="str">
        <f t="shared" si="2"/>
        <v/>
      </c>
      <c r="J149" s="66" t="str">
        <f t="shared" si="3"/>
        <v/>
      </c>
      <c r="K149" s="67"/>
      <c r="L149" s="66" t="str">
        <f t="shared" si="4"/>
        <v/>
      </c>
      <c r="M149" s="68" t="str">
        <f t="shared" si="5"/>
        <v/>
      </c>
      <c r="N149" s="64"/>
      <c r="O149" s="64"/>
      <c r="P149" s="64"/>
      <c r="Q149" s="64"/>
      <c r="R149" s="64"/>
      <c r="S149" s="64"/>
      <c r="T149" s="64"/>
      <c r="U149" s="64"/>
      <c r="V149" s="64"/>
      <c r="W149" s="64"/>
      <c r="X149" s="64"/>
      <c r="Y149" s="64"/>
      <c r="Z149" s="64"/>
      <c r="AA149" s="64"/>
    </row>
    <row r="150" ht="12.75" customHeight="1">
      <c r="A150" s="63"/>
      <c r="B150" s="64"/>
      <c r="C150" s="64"/>
      <c r="D150" s="64"/>
      <c r="E150" s="64"/>
      <c r="F150" s="64"/>
      <c r="G150" s="63"/>
      <c r="H150" s="63" t="str">
        <f t="shared" si="1"/>
        <v>No</v>
      </c>
      <c r="I150" s="63" t="str">
        <f t="shared" si="2"/>
        <v/>
      </c>
      <c r="J150" s="66" t="str">
        <f t="shared" si="3"/>
        <v/>
      </c>
      <c r="K150" s="67"/>
      <c r="L150" s="66" t="str">
        <f t="shared" si="4"/>
        <v/>
      </c>
      <c r="M150" s="68" t="str">
        <f t="shared" si="5"/>
        <v/>
      </c>
      <c r="N150" s="64"/>
      <c r="O150" s="64"/>
      <c r="P150" s="64"/>
      <c r="Q150" s="64"/>
      <c r="R150" s="64"/>
      <c r="S150" s="64"/>
      <c r="T150" s="64"/>
      <c r="U150" s="64"/>
      <c r="V150" s="64"/>
      <c r="W150" s="64"/>
      <c r="X150" s="64"/>
      <c r="Y150" s="64"/>
      <c r="Z150" s="64"/>
      <c r="AA150" s="64"/>
    </row>
    <row r="151" ht="12.75" customHeight="1">
      <c r="A151" s="63"/>
      <c r="B151" s="64"/>
      <c r="C151" s="64"/>
      <c r="D151" s="64"/>
      <c r="E151" s="64"/>
      <c r="F151" s="64"/>
      <c r="G151" s="63"/>
      <c r="H151" s="63" t="str">
        <f t="shared" si="1"/>
        <v>No</v>
      </c>
      <c r="I151" s="63" t="str">
        <f t="shared" si="2"/>
        <v/>
      </c>
      <c r="J151" s="66" t="str">
        <f t="shared" si="3"/>
        <v/>
      </c>
      <c r="K151" s="67"/>
      <c r="L151" s="66" t="str">
        <f t="shared" si="4"/>
        <v/>
      </c>
      <c r="M151" s="68" t="str">
        <f t="shared" si="5"/>
        <v/>
      </c>
      <c r="N151" s="64"/>
      <c r="O151" s="64"/>
      <c r="P151" s="64"/>
      <c r="Q151" s="64"/>
      <c r="R151" s="64"/>
      <c r="S151" s="64"/>
      <c r="T151" s="64"/>
      <c r="U151" s="64"/>
      <c r="V151" s="64"/>
      <c r="W151" s="64"/>
      <c r="X151" s="64"/>
      <c r="Y151" s="64"/>
      <c r="Z151" s="64"/>
      <c r="AA151" s="64"/>
    </row>
    <row r="152" ht="12.75" customHeight="1">
      <c r="A152" s="63"/>
      <c r="B152" s="64"/>
      <c r="C152" s="64"/>
      <c r="D152" s="64"/>
      <c r="E152" s="64"/>
      <c r="F152" s="64"/>
      <c r="G152" s="63"/>
      <c r="H152" s="63" t="str">
        <f t="shared" si="1"/>
        <v>No</v>
      </c>
      <c r="I152" s="63" t="str">
        <f t="shared" si="2"/>
        <v/>
      </c>
      <c r="J152" s="66" t="str">
        <f t="shared" si="3"/>
        <v/>
      </c>
      <c r="K152" s="67"/>
      <c r="L152" s="66" t="str">
        <f t="shared" si="4"/>
        <v/>
      </c>
      <c r="M152" s="68" t="str">
        <f t="shared" si="5"/>
        <v/>
      </c>
      <c r="N152" s="64"/>
      <c r="O152" s="64"/>
      <c r="P152" s="64"/>
      <c r="Q152" s="64"/>
      <c r="R152" s="64"/>
      <c r="S152" s="64"/>
      <c r="T152" s="64"/>
      <c r="U152" s="64"/>
      <c r="V152" s="64"/>
      <c r="W152" s="64"/>
      <c r="X152" s="64"/>
      <c r="Y152" s="64"/>
      <c r="Z152" s="64"/>
      <c r="AA152" s="64"/>
    </row>
    <row r="153" ht="12.75" customHeight="1">
      <c r="A153" s="63"/>
      <c r="B153" s="64"/>
      <c r="C153" s="64"/>
      <c r="D153" s="64"/>
      <c r="E153" s="64"/>
      <c r="F153" s="64"/>
      <c r="G153" s="63"/>
      <c r="H153" s="63" t="str">
        <f t="shared" si="1"/>
        <v>No</v>
      </c>
      <c r="I153" s="63" t="str">
        <f t="shared" si="2"/>
        <v/>
      </c>
      <c r="J153" s="66" t="str">
        <f t="shared" si="3"/>
        <v/>
      </c>
      <c r="K153" s="67"/>
      <c r="L153" s="66" t="str">
        <f t="shared" si="4"/>
        <v/>
      </c>
      <c r="M153" s="68" t="str">
        <f t="shared" si="5"/>
        <v/>
      </c>
      <c r="N153" s="64"/>
      <c r="O153" s="64"/>
      <c r="P153" s="64"/>
      <c r="Q153" s="64"/>
      <c r="R153" s="64"/>
      <c r="S153" s="64"/>
      <c r="T153" s="64"/>
      <c r="U153" s="64"/>
      <c r="V153" s="64"/>
      <c r="W153" s="64"/>
      <c r="X153" s="64"/>
      <c r="Y153" s="64"/>
      <c r="Z153" s="64"/>
      <c r="AA153" s="64"/>
    </row>
    <row r="154" ht="12.75" customHeight="1">
      <c r="A154" s="63"/>
      <c r="B154" s="64"/>
      <c r="C154" s="64"/>
      <c r="D154" s="64"/>
      <c r="E154" s="64"/>
      <c r="F154" s="64"/>
      <c r="G154" s="63"/>
      <c r="H154" s="63" t="str">
        <f t="shared" si="1"/>
        <v>No</v>
      </c>
      <c r="I154" s="63" t="str">
        <f t="shared" si="2"/>
        <v/>
      </c>
      <c r="J154" s="66" t="str">
        <f t="shared" si="3"/>
        <v/>
      </c>
      <c r="K154" s="67"/>
      <c r="L154" s="66" t="str">
        <f t="shared" si="4"/>
        <v/>
      </c>
      <c r="M154" s="68" t="str">
        <f t="shared" si="5"/>
        <v/>
      </c>
      <c r="N154" s="64"/>
      <c r="O154" s="64"/>
      <c r="P154" s="64"/>
      <c r="Q154" s="64"/>
      <c r="R154" s="64"/>
      <c r="S154" s="64"/>
      <c r="T154" s="64"/>
      <c r="U154" s="64"/>
      <c r="V154" s="64"/>
      <c r="W154" s="64"/>
      <c r="X154" s="64"/>
      <c r="Y154" s="64"/>
      <c r="Z154" s="64"/>
      <c r="AA154" s="64"/>
    </row>
    <row r="155" ht="12.75" customHeight="1">
      <c r="A155" s="63"/>
      <c r="B155" s="64"/>
      <c r="C155" s="64"/>
      <c r="D155" s="64"/>
      <c r="E155" s="64"/>
      <c r="F155" s="64"/>
      <c r="G155" s="63"/>
      <c r="H155" s="63" t="str">
        <f t="shared" si="1"/>
        <v>No</v>
      </c>
      <c r="I155" s="63" t="str">
        <f t="shared" si="2"/>
        <v/>
      </c>
      <c r="J155" s="66" t="str">
        <f t="shared" si="3"/>
        <v/>
      </c>
      <c r="K155" s="67"/>
      <c r="L155" s="66" t="str">
        <f t="shared" si="4"/>
        <v/>
      </c>
      <c r="M155" s="68" t="str">
        <f t="shared" si="5"/>
        <v/>
      </c>
      <c r="N155" s="64"/>
      <c r="O155" s="64"/>
      <c r="P155" s="64"/>
      <c r="Q155" s="64"/>
      <c r="R155" s="64"/>
      <c r="S155" s="64"/>
      <c r="T155" s="64"/>
      <c r="U155" s="64"/>
      <c r="V155" s="64"/>
      <c r="W155" s="64"/>
      <c r="X155" s="64"/>
      <c r="Y155" s="64"/>
      <c r="Z155" s="64"/>
      <c r="AA155" s="64"/>
    </row>
    <row r="156" ht="12.75" customHeight="1">
      <c r="A156" s="63"/>
      <c r="B156" s="64"/>
      <c r="C156" s="64"/>
      <c r="D156" s="64"/>
      <c r="E156" s="64"/>
      <c r="F156" s="64"/>
      <c r="G156" s="63"/>
      <c r="H156" s="63" t="str">
        <f t="shared" si="1"/>
        <v>No</v>
      </c>
      <c r="I156" s="63" t="str">
        <f t="shared" si="2"/>
        <v/>
      </c>
      <c r="J156" s="66" t="str">
        <f t="shared" si="3"/>
        <v/>
      </c>
      <c r="K156" s="67"/>
      <c r="L156" s="66" t="str">
        <f t="shared" si="4"/>
        <v/>
      </c>
      <c r="M156" s="68" t="str">
        <f t="shared" si="5"/>
        <v/>
      </c>
      <c r="N156" s="64"/>
      <c r="O156" s="64"/>
      <c r="P156" s="64"/>
      <c r="Q156" s="64"/>
      <c r="R156" s="64"/>
      <c r="S156" s="64"/>
      <c r="T156" s="64"/>
      <c r="U156" s="64"/>
      <c r="V156" s="64"/>
      <c r="W156" s="64"/>
      <c r="X156" s="64"/>
      <c r="Y156" s="64"/>
      <c r="Z156" s="64"/>
      <c r="AA156" s="64"/>
    </row>
    <row r="157" ht="12.75" customHeight="1">
      <c r="A157" s="63"/>
      <c r="B157" s="64"/>
      <c r="C157" s="64"/>
      <c r="D157" s="64"/>
      <c r="E157" s="64"/>
      <c r="F157" s="64"/>
      <c r="G157" s="63"/>
      <c r="H157" s="63" t="str">
        <f t="shared" si="1"/>
        <v>No</v>
      </c>
      <c r="I157" s="63" t="str">
        <f t="shared" si="2"/>
        <v/>
      </c>
      <c r="J157" s="66" t="str">
        <f t="shared" si="3"/>
        <v/>
      </c>
      <c r="K157" s="67"/>
      <c r="L157" s="66" t="str">
        <f t="shared" si="4"/>
        <v/>
      </c>
      <c r="M157" s="68" t="str">
        <f t="shared" si="5"/>
        <v/>
      </c>
      <c r="N157" s="64"/>
      <c r="O157" s="64"/>
      <c r="P157" s="64"/>
      <c r="Q157" s="64"/>
      <c r="R157" s="64"/>
      <c r="S157" s="64"/>
      <c r="T157" s="64"/>
      <c r="U157" s="64"/>
      <c r="V157" s="64"/>
      <c r="W157" s="64"/>
      <c r="X157" s="64"/>
      <c r="Y157" s="64"/>
      <c r="Z157" s="64"/>
      <c r="AA157" s="64"/>
    </row>
    <row r="158" ht="12.75" customHeight="1">
      <c r="A158" s="63"/>
      <c r="B158" s="64"/>
      <c r="C158" s="64"/>
      <c r="D158" s="64"/>
      <c r="E158" s="64"/>
      <c r="F158" s="64"/>
      <c r="G158" s="63"/>
      <c r="H158" s="63" t="str">
        <f t="shared" si="1"/>
        <v>No</v>
      </c>
      <c r="I158" s="63" t="str">
        <f t="shared" si="2"/>
        <v/>
      </c>
      <c r="J158" s="66" t="str">
        <f t="shared" si="3"/>
        <v/>
      </c>
      <c r="K158" s="67"/>
      <c r="L158" s="66" t="str">
        <f t="shared" si="4"/>
        <v/>
      </c>
      <c r="M158" s="68" t="str">
        <f t="shared" si="5"/>
        <v/>
      </c>
      <c r="N158" s="64"/>
      <c r="O158" s="64"/>
      <c r="P158" s="64"/>
      <c r="Q158" s="64"/>
      <c r="R158" s="64"/>
      <c r="S158" s="64"/>
      <c r="T158" s="64"/>
      <c r="U158" s="64"/>
      <c r="V158" s="64"/>
      <c r="W158" s="64"/>
      <c r="X158" s="64"/>
      <c r="Y158" s="64"/>
      <c r="Z158" s="64"/>
      <c r="AA158" s="64"/>
    </row>
    <row r="159" ht="12.75" customHeight="1">
      <c r="A159" s="63"/>
      <c r="B159" s="64"/>
      <c r="C159" s="64"/>
      <c r="D159" s="64"/>
      <c r="E159" s="64"/>
      <c r="F159" s="64"/>
      <c r="G159" s="63"/>
      <c r="H159" s="63" t="str">
        <f t="shared" si="1"/>
        <v>No</v>
      </c>
      <c r="I159" s="63" t="str">
        <f t="shared" si="2"/>
        <v/>
      </c>
      <c r="J159" s="66" t="str">
        <f t="shared" si="3"/>
        <v/>
      </c>
      <c r="K159" s="67"/>
      <c r="L159" s="66" t="str">
        <f t="shared" si="4"/>
        <v/>
      </c>
      <c r="M159" s="68" t="str">
        <f t="shared" si="5"/>
        <v/>
      </c>
      <c r="N159" s="64"/>
      <c r="O159" s="64"/>
      <c r="P159" s="64"/>
      <c r="Q159" s="64"/>
      <c r="R159" s="64"/>
      <c r="S159" s="64"/>
      <c r="T159" s="64"/>
      <c r="U159" s="64"/>
      <c r="V159" s="64"/>
      <c r="W159" s="64"/>
      <c r="X159" s="64"/>
      <c r="Y159" s="64"/>
      <c r="Z159" s="64"/>
      <c r="AA159" s="64"/>
    </row>
    <row r="160" ht="12.75" customHeight="1">
      <c r="A160" s="63"/>
      <c r="B160" s="64"/>
      <c r="C160" s="64"/>
      <c r="D160" s="64"/>
      <c r="E160" s="64"/>
      <c r="F160" s="64"/>
      <c r="G160" s="63"/>
      <c r="H160" s="63" t="str">
        <f t="shared" si="1"/>
        <v>No</v>
      </c>
      <c r="I160" s="63" t="str">
        <f t="shared" si="2"/>
        <v/>
      </c>
      <c r="J160" s="66" t="str">
        <f t="shared" si="3"/>
        <v/>
      </c>
      <c r="K160" s="67"/>
      <c r="L160" s="66" t="str">
        <f t="shared" si="4"/>
        <v/>
      </c>
      <c r="M160" s="68" t="str">
        <f t="shared" si="5"/>
        <v/>
      </c>
      <c r="N160" s="64"/>
      <c r="O160" s="64"/>
      <c r="P160" s="64"/>
      <c r="Q160" s="64"/>
      <c r="R160" s="64"/>
      <c r="S160" s="64"/>
      <c r="T160" s="64"/>
      <c r="U160" s="64"/>
      <c r="V160" s="64"/>
      <c r="W160" s="64"/>
      <c r="X160" s="64"/>
      <c r="Y160" s="64"/>
      <c r="Z160" s="64"/>
      <c r="AA160" s="64"/>
    </row>
    <row r="161" ht="12.75" customHeight="1">
      <c r="A161" s="63"/>
      <c r="B161" s="64"/>
      <c r="C161" s="64"/>
      <c r="D161" s="64"/>
      <c r="E161" s="64"/>
      <c r="F161" s="64"/>
      <c r="G161" s="63"/>
      <c r="H161" s="63" t="str">
        <f t="shared" si="1"/>
        <v>No</v>
      </c>
      <c r="I161" s="63" t="str">
        <f t="shared" si="2"/>
        <v/>
      </c>
      <c r="J161" s="66" t="str">
        <f t="shared" si="3"/>
        <v/>
      </c>
      <c r="K161" s="67"/>
      <c r="L161" s="66" t="str">
        <f t="shared" si="4"/>
        <v/>
      </c>
      <c r="M161" s="68" t="str">
        <f t="shared" si="5"/>
        <v/>
      </c>
      <c r="N161" s="64"/>
      <c r="O161" s="64"/>
      <c r="P161" s="64"/>
      <c r="Q161" s="64"/>
      <c r="R161" s="64"/>
      <c r="S161" s="64"/>
      <c r="T161" s="64"/>
      <c r="U161" s="64"/>
      <c r="V161" s="64"/>
      <c r="W161" s="64"/>
      <c r="X161" s="64"/>
      <c r="Y161" s="64"/>
      <c r="Z161" s="64"/>
      <c r="AA161" s="64"/>
    </row>
    <row r="162" ht="12.75" customHeight="1">
      <c r="A162" s="63"/>
      <c r="B162" s="64"/>
      <c r="C162" s="64"/>
      <c r="D162" s="64"/>
      <c r="E162" s="64"/>
      <c r="F162" s="64"/>
      <c r="G162" s="63"/>
      <c r="H162" s="63" t="str">
        <f t="shared" si="1"/>
        <v>No</v>
      </c>
      <c r="I162" s="63" t="str">
        <f t="shared" si="2"/>
        <v/>
      </c>
      <c r="J162" s="66" t="str">
        <f t="shared" si="3"/>
        <v/>
      </c>
      <c r="K162" s="67"/>
      <c r="L162" s="66" t="str">
        <f t="shared" si="4"/>
        <v/>
      </c>
      <c r="M162" s="68" t="str">
        <f t="shared" si="5"/>
        <v/>
      </c>
      <c r="N162" s="64"/>
      <c r="O162" s="64"/>
      <c r="P162" s="64"/>
      <c r="Q162" s="64"/>
      <c r="R162" s="64"/>
      <c r="S162" s="64"/>
      <c r="T162" s="64"/>
      <c r="U162" s="64"/>
      <c r="V162" s="64"/>
      <c r="W162" s="64"/>
      <c r="X162" s="64"/>
      <c r="Y162" s="64"/>
      <c r="Z162" s="64"/>
      <c r="AA162" s="64"/>
    </row>
    <row r="163" ht="12.75" customHeight="1">
      <c r="A163" s="63"/>
      <c r="B163" s="64"/>
      <c r="C163" s="64"/>
      <c r="D163" s="64"/>
      <c r="E163" s="64"/>
      <c r="F163" s="64"/>
      <c r="G163" s="63"/>
      <c r="H163" s="63" t="str">
        <f t="shared" si="1"/>
        <v>No</v>
      </c>
      <c r="I163" s="63" t="str">
        <f t="shared" si="2"/>
        <v/>
      </c>
      <c r="J163" s="66" t="str">
        <f t="shared" si="3"/>
        <v/>
      </c>
      <c r="K163" s="67"/>
      <c r="L163" s="66" t="str">
        <f t="shared" si="4"/>
        <v/>
      </c>
      <c r="M163" s="68" t="str">
        <f t="shared" si="5"/>
        <v/>
      </c>
      <c r="N163" s="64"/>
      <c r="O163" s="64"/>
      <c r="P163" s="64"/>
      <c r="Q163" s="64"/>
      <c r="R163" s="64"/>
      <c r="S163" s="64"/>
      <c r="T163" s="64"/>
      <c r="U163" s="64"/>
      <c r="V163" s="64"/>
      <c r="W163" s="64"/>
      <c r="X163" s="64"/>
      <c r="Y163" s="64"/>
      <c r="Z163" s="64"/>
      <c r="AA163" s="64"/>
    </row>
    <row r="164" ht="12.75" customHeight="1">
      <c r="A164" s="63"/>
      <c r="B164" s="64"/>
      <c r="C164" s="64"/>
      <c r="D164" s="64"/>
      <c r="E164" s="64"/>
      <c r="F164" s="64"/>
      <c r="G164" s="63"/>
      <c r="H164" s="63" t="str">
        <f t="shared" si="1"/>
        <v>No</v>
      </c>
      <c r="I164" s="63" t="str">
        <f t="shared" si="2"/>
        <v/>
      </c>
      <c r="J164" s="66" t="str">
        <f t="shared" si="3"/>
        <v/>
      </c>
      <c r="K164" s="67"/>
      <c r="L164" s="66" t="str">
        <f t="shared" si="4"/>
        <v/>
      </c>
      <c r="M164" s="68" t="str">
        <f t="shared" si="5"/>
        <v/>
      </c>
      <c r="N164" s="64"/>
      <c r="O164" s="64"/>
      <c r="P164" s="64"/>
      <c r="Q164" s="64"/>
      <c r="R164" s="64"/>
      <c r="S164" s="64"/>
      <c r="T164" s="64"/>
      <c r="U164" s="64"/>
      <c r="V164" s="64"/>
      <c r="W164" s="64"/>
      <c r="X164" s="64"/>
      <c r="Y164" s="64"/>
      <c r="Z164" s="64"/>
      <c r="AA164" s="64"/>
    </row>
    <row r="165" ht="12.75" customHeight="1">
      <c r="A165" s="63"/>
      <c r="B165" s="64"/>
      <c r="C165" s="64"/>
      <c r="D165" s="64"/>
      <c r="E165" s="64"/>
      <c r="F165" s="64"/>
      <c r="G165" s="63"/>
      <c r="H165" s="63" t="str">
        <f t="shared" si="1"/>
        <v>No</v>
      </c>
      <c r="I165" s="63" t="str">
        <f t="shared" si="2"/>
        <v/>
      </c>
      <c r="J165" s="66" t="str">
        <f t="shared" si="3"/>
        <v/>
      </c>
      <c r="K165" s="67"/>
      <c r="L165" s="66" t="str">
        <f t="shared" si="4"/>
        <v/>
      </c>
      <c r="M165" s="68" t="str">
        <f t="shared" si="5"/>
        <v/>
      </c>
      <c r="N165" s="64"/>
      <c r="O165" s="64"/>
      <c r="P165" s="64"/>
      <c r="Q165" s="64"/>
      <c r="R165" s="64"/>
      <c r="S165" s="64"/>
      <c r="T165" s="64"/>
      <c r="U165" s="64"/>
      <c r="V165" s="64"/>
      <c r="W165" s="64"/>
      <c r="X165" s="64"/>
      <c r="Y165" s="64"/>
      <c r="Z165" s="64"/>
      <c r="AA165" s="64"/>
    </row>
    <row r="166" ht="12.75" customHeight="1">
      <c r="A166" s="63"/>
      <c r="B166" s="64"/>
      <c r="C166" s="64"/>
      <c r="D166" s="64"/>
      <c r="E166" s="64"/>
      <c r="F166" s="64"/>
      <c r="G166" s="63"/>
      <c r="H166" s="63" t="str">
        <f t="shared" si="1"/>
        <v>No</v>
      </c>
      <c r="I166" s="63" t="str">
        <f t="shared" si="2"/>
        <v/>
      </c>
      <c r="J166" s="66" t="str">
        <f t="shared" si="3"/>
        <v/>
      </c>
      <c r="K166" s="67"/>
      <c r="L166" s="66" t="str">
        <f t="shared" si="4"/>
        <v/>
      </c>
      <c r="M166" s="68" t="str">
        <f t="shared" si="5"/>
        <v/>
      </c>
      <c r="N166" s="64"/>
      <c r="O166" s="64"/>
      <c r="P166" s="64"/>
      <c r="Q166" s="64"/>
      <c r="R166" s="64"/>
      <c r="S166" s="64"/>
      <c r="T166" s="64"/>
      <c r="U166" s="64"/>
      <c r="V166" s="64"/>
      <c r="W166" s="64"/>
      <c r="X166" s="64"/>
      <c r="Y166" s="64"/>
      <c r="Z166" s="64"/>
      <c r="AA166" s="64"/>
    </row>
    <row r="167" ht="12.75" customHeight="1">
      <c r="A167" s="63"/>
      <c r="B167" s="64"/>
      <c r="C167" s="64"/>
      <c r="D167" s="64"/>
      <c r="E167" s="64"/>
      <c r="F167" s="64"/>
      <c r="G167" s="63"/>
      <c r="H167" s="63" t="str">
        <f t="shared" si="1"/>
        <v>No</v>
      </c>
      <c r="I167" s="63" t="str">
        <f t="shared" si="2"/>
        <v/>
      </c>
      <c r="J167" s="66" t="str">
        <f t="shared" si="3"/>
        <v/>
      </c>
      <c r="K167" s="67"/>
      <c r="L167" s="66" t="str">
        <f t="shared" si="4"/>
        <v/>
      </c>
      <c r="M167" s="68" t="str">
        <f t="shared" si="5"/>
        <v/>
      </c>
      <c r="N167" s="64"/>
      <c r="O167" s="64"/>
      <c r="P167" s="64"/>
      <c r="Q167" s="64"/>
      <c r="R167" s="64"/>
      <c r="S167" s="64"/>
      <c r="T167" s="64"/>
      <c r="U167" s="64"/>
      <c r="V167" s="64"/>
      <c r="W167" s="64"/>
      <c r="X167" s="64"/>
      <c r="Y167" s="64"/>
      <c r="Z167" s="64"/>
      <c r="AA167" s="64"/>
    </row>
    <row r="168" ht="12.75" customHeight="1">
      <c r="A168" s="63"/>
      <c r="B168" s="64"/>
      <c r="C168" s="64"/>
      <c r="D168" s="64"/>
      <c r="E168" s="64"/>
      <c r="F168" s="64"/>
      <c r="G168" s="63"/>
      <c r="H168" s="63" t="str">
        <f t="shared" si="1"/>
        <v>No</v>
      </c>
      <c r="I168" s="63" t="str">
        <f t="shared" si="2"/>
        <v/>
      </c>
      <c r="J168" s="66" t="str">
        <f t="shared" si="3"/>
        <v/>
      </c>
      <c r="K168" s="67"/>
      <c r="L168" s="66" t="str">
        <f t="shared" si="4"/>
        <v/>
      </c>
      <c r="M168" s="68" t="str">
        <f t="shared" si="5"/>
        <v/>
      </c>
      <c r="N168" s="64"/>
      <c r="O168" s="64"/>
      <c r="P168" s="64"/>
      <c r="Q168" s="64"/>
      <c r="R168" s="64"/>
      <c r="S168" s="64"/>
      <c r="T168" s="64"/>
      <c r="U168" s="64"/>
      <c r="V168" s="64"/>
      <c r="W168" s="64"/>
      <c r="X168" s="64"/>
      <c r="Y168" s="64"/>
      <c r="Z168" s="64"/>
      <c r="AA168" s="64"/>
    </row>
    <row r="169" ht="12.75" customHeight="1">
      <c r="A169" s="63"/>
      <c r="B169" s="64"/>
      <c r="C169" s="64"/>
      <c r="D169" s="64"/>
      <c r="E169" s="64"/>
      <c r="F169" s="64"/>
      <c r="G169" s="63"/>
      <c r="H169" s="63" t="str">
        <f t="shared" si="1"/>
        <v>No</v>
      </c>
      <c r="I169" s="63" t="str">
        <f t="shared" si="2"/>
        <v/>
      </c>
      <c r="J169" s="66" t="str">
        <f t="shared" si="3"/>
        <v/>
      </c>
      <c r="K169" s="67"/>
      <c r="L169" s="66" t="str">
        <f t="shared" si="4"/>
        <v/>
      </c>
      <c r="M169" s="68" t="str">
        <f t="shared" si="5"/>
        <v/>
      </c>
      <c r="N169" s="64"/>
      <c r="O169" s="64"/>
      <c r="P169" s="64"/>
      <c r="Q169" s="64"/>
      <c r="R169" s="64"/>
      <c r="S169" s="64"/>
      <c r="T169" s="64"/>
      <c r="U169" s="64"/>
      <c r="V169" s="64"/>
      <c r="W169" s="64"/>
      <c r="X169" s="64"/>
      <c r="Y169" s="64"/>
      <c r="Z169" s="64"/>
      <c r="AA169" s="64"/>
    </row>
    <row r="170" ht="12.75" customHeight="1">
      <c r="A170" s="63"/>
      <c r="B170" s="64"/>
      <c r="C170" s="64"/>
      <c r="D170" s="64"/>
      <c r="E170" s="64"/>
      <c r="F170" s="64"/>
      <c r="G170" s="63"/>
      <c r="H170" s="63" t="str">
        <f t="shared" si="1"/>
        <v>No</v>
      </c>
      <c r="I170" s="63" t="str">
        <f t="shared" si="2"/>
        <v/>
      </c>
      <c r="J170" s="66" t="str">
        <f t="shared" si="3"/>
        <v/>
      </c>
      <c r="K170" s="67"/>
      <c r="L170" s="66" t="str">
        <f t="shared" si="4"/>
        <v/>
      </c>
      <c r="M170" s="68" t="str">
        <f t="shared" si="5"/>
        <v/>
      </c>
      <c r="N170" s="64"/>
      <c r="O170" s="64"/>
      <c r="P170" s="64"/>
      <c r="Q170" s="64"/>
      <c r="R170" s="64"/>
      <c r="S170" s="64"/>
      <c r="T170" s="64"/>
      <c r="U170" s="64"/>
      <c r="V170" s="64"/>
      <c r="W170" s="64"/>
      <c r="X170" s="64"/>
      <c r="Y170" s="64"/>
      <c r="Z170" s="64"/>
      <c r="AA170" s="64"/>
    </row>
    <row r="171" ht="12.75" customHeight="1">
      <c r="A171" s="63"/>
      <c r="B171" s="64"/>
      <c r="C171" s="64"/>
      <c r="D171" s="64"/>
      <c r="E171" s="64"/>
      <c r="F171" s="64"/>
      <c r="G171" s="63"/>
      <c r="H171" s="63" t="str">
        <f t="shared" si="1"/>
        <v>No</v>
      </c>
      <c r="I171" s="63" t="str">
        <f t="shared" si="2"/>
        <v/>
      </c>
      <c r="J171" s="66" t="str">
        <f t="shared" si="3"/>
        <v/>
      </c>
      <c r="K171" s="67"/>
      <c r="L171" s="66" t="str">
        <f t="shared" si="4"/>
        <v/>
      </c>
      <c r="M171" s="68" t="str">
        <f t="shared" si="5"/>
        <v/>
      </c>
      <c r="N171" s="64"/>
      <c r="O171" s="64"/>
      <c r="P171" s="64"/>
      <c r="Q171" s="64"/>
      <c r="R171" s="64"/>
      <c r="S171" s="64"/>
      <c r="T171" s="64"/>
      <c r="U171" s="64"/>
      <c r="V171" s="64"/>
      <c r="W171" s="64"/>
      <c r="X171" s="64"/>
      <c r="Y171" s="64"/>
      <c r="Z171" s="64"/>
      <c r="AA171" s="64"/>
    </row>
    <row r="172" ht="12.75" customHeight="1">
      <c r="A172" s="63"/>
      <c r="B172" s="64"/>
      <c r="C172" s="64"/>
      <c r="D172" s="64"/>
      <c r="E172" s="64"/>
      <c r="F172" s="64"/>
      <c r="G172" s="63"/>
      <c r="H172" s="63" t="str">
        <f t="shared" si="1"/>
        <v>No</v>
      </c>
      <c r="I172" s="63" t="str">
        <f t="shared" si="2"/>
        <v/>
      </c>
      <c r="J172" s="66" t="str">
        <f t="shared" si="3"/>
        <v/>
      </c>
      <c r="K172" s="67"/>
      <c r="L172" s="66" t="str">
        <f t="shared" si="4"/>
        <v/>
      </c>
      <c r="M172" s="68" t="str">
        <f t="shared" si="5"/>
        <v/>
      </c>
      <c r="N172" s="64"/>
      <c r="O172" s="64"/>
      <c r="P172" s="64"/>
      <c r="Q172" s="64"/>
      <c r="R172" s="64"/>
      <c r="S172" s="64"/>
      <c r="T172" s="64"/>
      <c r="U172" s="64"/>
      <c r="V172" s="64"/>
      <c r="W172" s="64"/>
      <c r="X172" s="64"/>
      <c r="Y172" s="64"/>
      <c r="Z172" s="64"/>
      <c r="AA172" s="64"/>
    </row>
    <row r="173" ht="12.75" customHeight="1">
      <c r="A173" s="63"/>
      <c r="B173" s="64"/>
      <c r="C173" s="64"/>
      <c r="D173" s="64"/>
      <c r="E173" s="64"/>
      <c r="F173" s="64"/>
      <c r="G173" s="63"/>
      <c r="H173" s="63" t="str">
        <f t="shared" si="1"/>
        <v>No</v>
      </c>
      <c r="I173" s="63" t="str">
        <f t="shared" si="2"/>
        <v/>
      </c>
      <c r="J173" s="66" t="str">
        <f t="shared" si="3"/>
        <v/>
      </c>
      <c r="K173" s="67"/>
      <c r="L173" s="66" t="str">
        <f t="shared" si="4"/>
        <v/>
      </c>
      <c r="M173" s="68" t="str">
        <f t="shared" si="5"/>
        <v/>
      </c>
      <c r="N173" s="64"/>
      <c r="O173" s="64"/>
      <c r="P173" s="64"/>
      <c r="Q173" s="64"/>
      <c r="R173" s="64"/>
      <c r="S173" s="64"/>
      <c r="T173" s="64"/>
      <c r="U173" s="64"/>
      <c r="V173" s="64"/>
      <c r="W173" s="64"/>
      <c r="X173" s="64"/>
      <c r="Y173" s="64"/>
      <c r="Z173" s="64"/>
      <c r="AA173" s="64"/>
    </row>
    <row r="174" ht="12.75" customHeight="1">
      <c r="A174" s="63"/>
      <c r="B174" s="64"/>
      <c r="C174" s="64"/>
      <c r="D174" s="64"/>
      <c r="E174" s="64"/>
      <c r="F174" s="64"/>
      <c r="G174" s="63"/>
      <c r="H174" s="63" t="str">
        <f t="shared" si="1"/>
        <v>No</v>
      </c>
      <c r="I174" s="63" t="str">
        <f t="shared" si="2"/>
        <v/>
      </c>
      <c r="J174" s="66" t="str">
        <f t="shared" si="3"/>
        <v/>
      </c>
      <c r="K174" s="67"/>
      <c r="L174" s="66" t="str">
        <f t="shared" si="4"/>
        <v/>
      </c>
      <c r="M174" s="68" t="str">
        <f t="shared" si="5"/>
        <v/>
      </c>
      <c r="N174" s="64"/>
      <c r="O174" s="64"/>
      <c r="P174" s="64"/>
      <c r="Q174" s="64"/>
      <c r="R174" s="64"/>
      <c r="S174" s="64"/>
      <c r="T174" s="64"/>
      <c r="U174" s="64"/>
      <c r="V174" s="64"/>
      <c r="W174" s="64"/>
      <c r="X174" s="64"/>
      <c r="Y174" s="64"/>
      <c r="Z174" s="64"/>
      <c r="AA174" s="64"/>
    </row>
    <row r="175" ht="12.75" customHeight="1">
      <c r="A175" s="63"/>
      <c r="B175" s="64"/>
      <c r="C175" s="64"/>
      <c r="D175" s="64"/>
      <c r="E175" s="64"/>
      <c r="F175" s="64"/>
      <c r="G175" s="63"/>
      <c r="H175" s="63" t="str">
        <f t="shared" si="1"/>
        <v>No</v>
      </c>
      <c r="I175" s="63" t="str">
        <f t="shared" si="2"/>
        <v/>
      </c>
      <c r="J175" s="66" t="str">
        <f t="shared" si="3"/>
        <v/>
      </c>
      <c r="K175" s="67"/>
      <c r="L175" s="66" t="str">
        <f t="shared" si="4"/>
        <v/>
      </c>
      <c r="M175" s="68" t="str">
        <f t="shared" si="5"/>
        <v/>
      </c>
      <c r="N175" s="64"/>
      <c r="O175" s="64"/>
      <c r="P175" s="64"/>
      <c r="Q175" s="64"/>
      <c r="R175" s="64"/>
      <c r="S175" s="64"/>
      <c r="T175" s="64"/>
      <c r="U175" s="64"/>
      <c r="V175" s="64"/>
      <c r="W175" s="64"/>
      <c r="X175" s="64"/>
      <c r="Y175" s="64"/>
      <c r="Z175" s="64"/>
      <c r="AA175" s="64"/>
    </row>
    <row r="176" ht="12.75" customHeight="1">
      <c r="A176" s="63"/>
      <c r="B176" s="64"/>
      <c r="C176" s="64"/>
      <c r="D176" s="64"/>
      <c r="E176" s="64"/>
      <c r="F176" s="64"/>
      <c r="G176" s="63"/>
      <c r="H176" s="63" t="str">
        <f t="shared" si="1"/>
        <v>No</v>
      </c>
      <c r="I176" s="63" t="str">
        <f t="shared" si="2"/>
        <v/>
      </c>
      <c r="J176" s="66" t="str">
        <f t="shared" si="3"/>
        <v/>
      </c>
      <c r="K176" s="67"/>
      <c r="L176" s="66" t="str">
        <f t="shared" si="4"/>
        <v/>
      </c>
      <c r="M176" s="68" t="str">
        <f t="shared" si="5"/>
        <v/>
      </c>
      <c r="N176" s="64"/>
      <c r="O176" s="64"/>
      <c r="P176" s="64"/>
      <c r="Q176" s="64"/>
      <c r="R176" s="64"/>
      <c r="S176" s="64"/>
      <c r="T176" s="64"/>
      <c r="U176" s="64"/>
      <c r="V176" s="64"/>
      <c r="W176" s="64"/>
      <c r="X176" s="64"/>
      <c r="Y176" s="64"/>
      <c r="Z176" s="64"/>
      <c r="AA176" s="64"/>
    </row>
    <row r="177" ht="12.75" customHeight="1">
      <c r="A177" s="63"/>
      <c r="B177" s="64"/>
      <c r="C177" s="64"/>
      <c r="D177" s="64"/>
      <c r="E177" s="64"/>
      <c r="F177" s="64"/>
      <c r="G177" s="63"/>
      <c r="H177" s="63" t="str">
        <f t="shared" si="1"/>
        <v>No</v>
      </c>
      <c r="I177" s="63" t="str">
        <f t="shared" si="2"/>
        <v/>
      </c>
      <c r="J177" s="66" t="str">
        <f t="shared" si="3"/>
        <v/>
      </c>
      <c r="K177" s="67"/>
      <c r="L177" s="66" t="str">
        <f t="shared" si="4"/>
        <v/>
      </c>
      <c r="M177" s="68" t="str">
        <f t="shared" si="5"/>
        <v/>
      </c>
      <c r="N177" s="64"/>
      <c r="O177" s="64"/>
      <c r="P177" s="64"/>
      <c r="Q177" s="64"/>
      <c r="R177" s="64"/>
      <c r="S177" s="64"/>
      <c r="T177" s="64"/>
      <c r="U177" s="64"/>
      <c r="V177" s="64"/>
      <c r="W177" s="64"/>
      <c r="X177" s="64"/>
      <c r="Y177" s="64"/>
      <c r="Z177" s="64"/>
      <c r="AA177" s="64"/>
    </row>
    <row r="178" ht="12.75" customHeight="1">
      <c r="A178" s="63"/>
      <c r="B178" s="64"/>
      <c r="C178" s="64"/>
      <c r="D178" s="64"/>
      <c r="E178" s="64"/>
      <c r="F178" s="64"/>
      <c r="G178" s="63"/>
      <c r="H178" s="63" t="str">
        <f t="shared" si="1"/>
        <v>No</v>
      </c>
      <c r="I178" s="63" t="str">
        <f t="shared" si="2"/>
        <v/>
      </c>
      <c r="J178" s="66" t="str">
        <f t="shared" si="3"/>
        <v/>
      </c>
      <c r="K178" s="67"/>
      <c r="L178" s="66" t="str">
        <f t="shared" si="4"/>
        <v/>
      </c>
      <c r="M178" s="68" t="str">
        <f t="shared" si="5"/>
        <v/>
      </c>
      <c r="N178" s="64"/>
      <c r="O178" s="64"/>
      <c r="P178" s="64"/>
      <c r="Q178" s="64"/>
      <c r="R178" s="64"/>
      <c r="S178" s="64"/>
      <c r="T178" s="64"/>
      <c r="U178" s="64"/>
      <c r="V178" s="64"/>
      <c r="W178" s="64"/>
      <c r="X178" s="64"/>
      <c r="Y178" s="64"/>
      <c r="Z178" s="64"/>
      <c r="AA178" s="64"/>
    </row>
    <row r="179" ht="12.75" customHeight="1">
      <c r="A179" s="63"/>
      <c r="B179" s="64"/>
      <c r="C179" s="64"/>
      <c r="D179" s="64"/>
      <c r="E179" s="64"/>
      <c r="F179" s="64"/>
      <c r="G179" s="63"/>
      <c r="H179" s="63" t="str">
        <f t="shared" si="1"/>
        <v>No</v>
      </c>
      <c r="I179" s="63" t="str">
        <f t="shared" si="2"/>
        <v/>
      </c>
      <c r="J179" s="66" t="str">
        <f t="shared" si="3"/>
        <v/>
      </c>
      <c r="K179" s="67"/>
      <c r="L179" s="66" t="str">
        <f t="shared" si="4"/>
        <v/>
      </c>
      <c r="M179" s="68" t="str">
        <f t="shared" si="5"/>
        <v/>
      </c>
      <c r="N179" s="64"/>
      <c r="O179" s="64"/>
      <c r="P179" s="64"/>
      <c r="Q179" s="64"/>
      <c r="R179" s="64"/>
      <c r="S179" s="64"/>
      <c r="T179" s="64"/>
      <c r="U179" s="64"/>
      <c r="V179" s="64"/>
      <c r="W179" s="64"/>
      <c r="X179" s="64"/>
      <c r="Y179" s="64"/>
      <c r="Z179" s="64"/>
      <c r="AA179" s="64"/>
    </row>
    <row r="180" ht="12.75" customHeight="1">
      <c r="A180" s="63"/>
      <c r="B180" s="64"/>
      <c r="C180" s="64"/>
      <c r="D180" s="64"/>
      <c r="E180" s="64"/>
      <c r="F180" s="64"/>
      <c r="G180" s="63"/>
      <c r="H180" s="63" t="str">
        <f t="shared" si="1"/>
        <v>No</v>
      </c>
      <c r="I180" s="63" t="str">
        <f t="shared" si="2"/>
        <v/>
      </c>
      <c r="J180" s="66" t="str">
        <f t="shared" si="3"/>
        <v/>
      </c>
      <c r="K180" s="67"/>
      <c r="L180" s="66" t="str">
        <f t="shared" si="4"/>
        <v/>
      </c>
      <c r="M180" s="68" t="str">
        <f t="shared" si="5"/>
        <v/>
      </c>
      <c r="N180" s="64"/>
      <c r="O180" s="64"/>
      <c r="P180" s="64"/>
      <c r="Q180" s="64"/>
      <c r="R180" s="64"/>
      <c r="S180" s="64"/>
      <c r="T180" s="64"/>
      <c r="U180" s="64"/>
      <c r="V180" s="64"/>
      <c r="W180" s="64"/>
      <c r="X180" s="64"/>
      <c r="Y180" s="64"/>
      <c r="Z180" s="64"/>
      <c r="AA180" s="64"/>
    </row>
    <row r="181" ht="12.75" customHeight="1">
      <c r="A181" s="63"/>
      <c r="B181" s="64"/>
      <c r="C181" s="64"/>
      <c r="D181" s="64"/>
      <c r="E181" s="64"/>
      <c r="F181" s="64"/>
      <c r="G181" s="63"/>
      <c r="H181" s="63" t="str">
        <f t="shared" si="1"/>
        <v>No</v>
      </c>
      <c r="I181" s="63" t="str">
        <f t="shared" si="2"/>
        <v/>
      </c>
      <c r="J181" s="66" t="str">
        <f t="shared" si="3"/>
        <v/>
      </c>
      <c r="K181" s="67"/>
      <c r="L181" s="66" t="str">
        <f t="shared" si="4"/>
        <v/>
      </c>
      <c r="M181" s="68" t="str">
        <f t="shared" si="5"/>
        <v/>
      </c>
      <c r="N181" s="64"/>
      <c r="O181" s="64"/>
      <c r="P181" s="64"/>
      <c r="Q181" s="64"/>
      <c r="R181" s="64"/>
      <c r="S181" s="64"/>
      <c r="T181" s="64"/>
      <c r="U181" s="64"/>
      <c r="V181" s="64"/>
      <c r="W181" s="64"/>
      <c r="X181" s="64"/>
      <c r="Y181" s="64"/>
      <c r="Z181" s="64"/>
      <c r="AA181" s="64"/>
    </row>
    <row r="182" ht="12.75" customHeight="1">
      <c r="A182" s="63"/>
      <c r="B182" s="64"/>
      <c r="C182" s="64"/>
      <c r="D182" s="64"/>
      <c r="E182" s="64"/>
      <c r="F182" s="64"/>
      <c r="G182" s="63"/>
      <c r="H182" s="63" t="str">
        <f t="shared" si="1"/>
        <v>No</v>
      </c>
      <c r="I182" s="63" t="str">
        <f t="shared" si="2"/>
        <v/>
      </c>
      <c r="J182" s="66" t="str">
        <f t="shared" si="3"/>
        <v/>
      </c>
      <c r="K182" s="67"/>
      <c r="L182" s="66" t="str">
        <f t="shared" si="4"/>
        <v/>
      </c>
      <c r="M182" s="68" t="str">
        <f t="shared" si="5"/>
        <v/>
      </c>
      <c r="N182" s="64"/>
      <c r="O182" s="64"/>
      <c r="P182" s="64"/>
      <c r="Q182" s="64"/>
      <c r="R182" s="64"/>
      <c r="S182" s="64"/>
      <c r="T182" s="64"/>
      <c r="U182" s="64"/>
      <c r="V182" s="64"/>
      <c r="W182" s="64"/>
      <c r="X182" s="64"/>
      <c r="Y182" s="64"/>
      <c r="Z182" s="64"/>
      <c r="AA182" s="64"/>
    </row>
    <row r="183" ht="12.75" customHeight="1">
      <c r="A183" s="63"/>
      <c r="B183" s="64"/>
      <c r="C183" s="64"/>
      <c r="D183" s="64"/>
      <c r="E183" s="64"/>
      <c r="F183" s="64"/>
      <c r="G183" s="63"/>
      <c r="H183" s="63" t="str">
        <f t="shared" si="1"/>
        <v>No</v>
      </c>
      <c r="I183" s="63" t="str">
        <f t="shared" si="2"/>
        <v/>
      </c>
      <c r="J183" s="66" t="str">
        <f t="shared" si="3"/>
        <v/>
      </c>
      <c r="K183" s="67"/>
      <c r="L183" s="66" t="str">
        <f t="shared" si="4"/>
        <v/>
      </c>
      <c r="M183" s="68" t="str">
        <f t="shared" si="5"/>
        <v/>
      </c>
      <c r="N183" s="64"/>
      <c r="O183" s="64"/>
      <c r="P183" s="64"/>
      <c r="Q183" s="64"/>
      <c r="R183" s="64"/>
      <c r="S183" s="64"/>
      <c r="T183" s="64"/>
      <c r="U183" s="64"/>
      <c r="V183" s="64"/>
      <c r="W183" s="64"/>
      <c r="X183" s="64"/>
      <c r="Y183" s="64"/>
      <c r="Z183" s="64"/>
      <c r="AA183" s="64"/>
    </row>
    <row r="184" ht="12.75" customHeight="1">
      <c r="A184" s="63"/>
      <c r="B184" s="64"/>
      <c r="C184" s="64"/>
      <c r="D184" s="64"/>
      <c r="E184" s="64"/>
      <c r="F184" s="64"/>
      <c r="G184" s="63"/>
      <c r="H184" s="63" t="str">
        <f t="shared" si="1"/>
        <v>No</v>
      </c>
      <c r="I184" s="63" t="str">
        <f t="shared" si="2"/>
        <v/>
      </c>
      <c r="J184" s="66" t="str">
        <f t="shared" si="3"/>
        <v/>
      </c>
      <c r="K184" s="67"/>
      <c r="L184" s="66" t="str">
        <f t="shared" si="4"/>
        <v/>
      </c>
      <c r="M184" s="68" t="str">
        <f t="shared" si="5"/>
        <v/>
      </c>
      <c r="N184" s="64"/>
      <c r="O184" s="64"/>
      <c r="P184" s="64"/>
      <c r="Q184" s="64"/>
      <c r="R184" s="64"/>
      <c r="S184" s="64"/>
      <c r="T184" s="64"/>
      <c r="U184" s="64"/>
      <c r="V184" s="64"/>
      <c r="W184" s="64"/>
      <c r="X184" s="64"/>
      <c r="Y184" s="64"/>
      <c r="Z184" s="64"/>
      <c r="AA184" s="64"/>
    </row>
    <row r="185" ht="12.75" customHeight="1">
      <c r="A185" s="63"/>
      <c r="B185" s="64"/>
      <c r="C185" s="64"/>
      <c r="D185" s="64"/>
      <c r="E185" s="64"/>
      <c r="F185" s="64"/>
      <c r="G185" s="63"/>
      <c r="H185" s="63" t="str">
        <f t="shared" si="1"/>
        <v>No</v>
      </c>
      <c r="I185" s="63" t="str">
        <f t="shared" si="2"/>
        <v/>
      </c>
      <c r="J185" s="66" t="str">
        <f t="shared" si="3"/>
        <v/>
      </c>
      <c r="K185" s="67"/>
      <c r="L185" s="66" t="str">
        <f t="shared" si="4"/>
        <v/>
      </c>
      <c r="M185" s="68" t="str">
        <f t="shared" si="5"/>
        <v/>
      </c>
      <c r="N185" s="64"/>
      <c r="O185" s="64"/>
      <c r="P185" s="64"/>
      <c r="Q185" s="64"/>
      <c r="R185" s="64"/>
      <c r="S185" s="64"/>
      <c r="T185" s="64"/>
      <c r="U185" s="64"/>
      <c r="V185" s="64"/>
      <c r="W185" s="64"/>
      <c r="X185" s="64"/>
      <c r="Y185" s="64"/>
      <c r="Z185" s="64"/>
      <c r="AA185" s="64"/>
    </row>
    <row r="186" ht="12.75" customHeight="1">
      <c r="A186" s="63"/>
      <c r="B186" s="64"/>
      <c r="C186" s="64"/>
      <c r="D186" s="64"/>
      <c r="E186" s="64"/>
      <c r="F186" s="64"/>
      <c r="G186" s="63"/>
      <c r="H186" s="63" t="str">
        <f t="shared" si="1"/>
        <v>No</v>
      </c>
      <c r="I186" s="63" t="str">
        <f t="shared" si="2"/>
        <v/>
      </c>
      <c r="J186" s="66" t="str">
        <f t="shared" si="3"/>
        <v/>
      </c>
      <c r="K186" s="67"/>
      <c r="L186" s="66" t="str">
        <f t="shared" si="4"/>
        <v/>
      </c>
      <c r="M186" s="68" t="str">
        <f t="shared" si="5"/>
        <v/>
      </c>
      <c r="N186" s="64"/>
      <c r="O186" s="64"/>
      <c r="P186" s="64"/>
      <c r="Q186" s="64"/>
      <c r="R186" s="64"/>
      <c r="S186" s="64"/>
      <c r="T186" s="64"/>
      <c r="U186" s="64"/>
      <c r="V186" s="64"/>
      <c r="W186" s="64"/>
      <c r="X186" s="64"/>
      <c r="Y186" s="64"/>
      <c r="Z186" s="64"/>
      <c r="AA186" s="64"/>
    </row>
    <row r="187" ht="12.75" customHeight="1">
      <c r="A187" s="63"/>
      <c r="B187" s="64"/>
      <c r="C187" s="64"/>
      <c r="D187" s="64"/>
      <c r="E187" s="64"/>
      <c r="F187" s="64"/>
      <c r="G187" s="63"/>
      <c r="H187" s="63" t="str">
        <f t="shared" si="1"/>
        <v>No</v>
      </c>
      <c r="I187" s="63" t="str">
        <f t="shared" si="2"/>
        <v/>
      </c>
      <c r="J187" s="66" t="str">
        <f t="shared" si="3"/>
        <v/>
      </c>
      <c r="K187" s="67"/>
      <c r="L187" s="66" t="str">
        <f t="shared" si="4"/>
        <v/>
      </c>
      <c r="M187" s="68" t="str">
        <f t="shared" si="5"/>
        <v/>
      </c>
      <c r="N187" s="64"/>
      <c r="O187" s="64"/>
      <c r="P187" s="64"/>
      <c r="Q187" s="64"/>
      <c r="R187" s="64"/>
      <c r="S187" s="64"/>
      <c r="T187" s="64"/>
      <c r="U187" s="64"/>
      <c r="V187" s="64"/>
      <c r="W187" s="64"/>
      <c r="X187" s="64"/>
      <c r="Y187" s="64"/>
      <c r="Z187" s="64"/>
      <c r="AA187" s="64"/>
    </row>
    <row r="188" ht="12.75" customHeight="1">
      <c r="A188" s="63"/>
      <c r="B188" s="64"/>
      <c r="C188" s="64"/>
      <c r="D188" s="64"/>
      <c r="E188" s="64"/>
      <c r="F188" s="64"/>
      <c r="G188" s="63"/>
      <c r="H188" s="63" t="str">
        <f t="shared" si="1"/>
        <v>No</v>
      </c>
      <c r="I188" s="63" t="str">
        <f t="shared" si="2"/>
        <v/>
      </c>
      <c r="J188" s="66" t="str">
        <f t="shared" si="3"/>
        <v/>
      </c>
      <c r="K188" s="67"/>
      <c r="L188" s="66" t="str">
        <f t="shared" si="4"/>
        <v/>
      </c>
      <c r="M188" s="68" t="str">
        <f t="shared" si="5"/>
        <v/>
      </c>
      <c r="N188" s="64"/>
      <c r="O188" s="64"/>
      <c r="P188" s="64"/>
      <c r="Q188" s="64"/>
      <c r="R188" s="64"/>
      <c r="S188" s="64"/>
      <c r="T188" s="64"/>
      <c r="U188" s="64"/>
      <c r="V188" s="64"/>
      <c r="W188" s="64"/>
      <c r="X188" s="64"/>
      <c r="Y188" s="64"/>
      <c r="Z188" s="64"/>
      <c r="AA188" s="64"/>
    </row>
    <row r="189" ht="12.75" customHeight="1">
      <c r="A189" s="63"/>
      <c r="B189" s="64"/>
      <c r="C189" s="64"/>
      <c r="D189" s="64"/>
      <c r="E189" s="64"/>
      <c r="F189" s="64"/>
      <c r="G189" s="63"/>
      <c r="H189" s="63" t="str">
        <f t="shared" si="1"/>
        <v>No</v>
      </c>
      <c r="I189" s="63" t="str">
        <f t="shared" si="2"/>
        <v/>
      </c>
      <c r="J189" s="66" t="str">
        <f t="shared" si="3"/>
        <v/>
      </c>
      <c r="K189" s="67"/>
      <c r="L189" s="66" t="str">
        <f t="shared" si="4"/>
        <v/>
      </c>
      <c r="M189" s="68" t="str">
        <f t="shared" si="5"/>
        <v/>
      </c>
      <c r="N189" s="64"/>
      <c r="O189" s="64"/>
      <c r="P189" s="64"/>
      <c r="Q189" s="64"/>
      <c r="R189" s="64"/>
      <c r="S189" s="64"/>
      <c r="T189" s="64"/>
      <c r="U189" s="64"/>
      <c r="V189" s="64"/>
      <c r="W189" s="64"/>
      <c r="X189" s="64"/>
      <c r="Y189" s="64"/>
      <c r="Z189" s="64"/>
      <c r="AA189" s="64"/>
    </row>
    <row r="190" ht="12.75" customHeight="1">
      <c r="A190" s="63"/>
      <c r="B190" s="64"/>
      <c r="C190" s="64"/>
      <c r="D190" s="64"/>
      <c r="E190" s="64"/>
      <c r="F190" s="64"/>
      <c r="G190" s="63"/>
      <c r="H190" s="63" t="str">
        <f t="shared" si="1"/>
        <v>No</v>
      </c>
      <c r="I190" s="63" t="str">
        <f t="shared" si="2"/>
        <v/>
      </c>
      <c r="J190" s="66" t="str">
        <f t="shared" si="3"/>
        <v/>
      </c>
      <c r="K190" s="67"/>
      <c r="L190" s="66" t="str">
        <f t="shared" si="4"/>
        <v/>
      </c>
      <c r="M190" s="68" t="str">
        <f t="shared" si="5"/>
        <v/>
      </c>
      <c r="N190" s="64"/>
      <c r="O190" s="64"/>
      <c r="P190" s="64"/>
      <c r="Q190" s="64"/>
      <c r="R190" s="64"/>
      <c r="S190" s="64"/>
      <c r="T190" s="64"/>
      <c r="U190" s="64"/>
      <c r="V190" s="64"/>
      <c r="W190" s="64"/>
      <c r="X190" s="64"/>
      <c r="Y190" s="64"/>
      <c r="Z190" s="64"/>
      <c r="AA190" s="64"/>
    </row>
    <row r="191" ht="12.75" customHeight="1">
      <c r="A191" s="63"/>
      <c r="B191" s="64"/>
      <c r="C191" s="64"/>
      <c r="D191" s="64"/>
      <c r="E191" s="64"/>
      <c r="F191" s="64"/>
      <c r="G191" s="63"/>
      <c r="H191" s="63" t="str">
        <f t="shared" si="1"/>
        <v>No</v>
      </c>
      <c r="I191" s="63" t="str">
        <f t="shared" si="2"/>
        <v/>
      </c>
      <c r="J191" s="66" t="str">
        <f t="shared" si="3"/>
        <v/>
      </c>
      <c r="K191" s="67"/>
      <c r="L191" s="66" t="str">
        <f t="shared" si="4"/>
        <v/>
      </c>
      <c r="M191" s="68" t="str">
        <f t="shared" si="5"/>
        <v/>
      </c>
      <c r="N191" s="64"/>
      <c r="O191" s="64"/>
      <c r="P191" s="64"/>
      <c r="Q191" s="64"/>
      <c r="R191" s="64"/>
      <c r="S191" s="64"/>
      <c r="T191" s="64"/>
      <c r="U191" s="64"/>
      <c r="V191" s="64"/>
      <c r="W191" s="64"/>
      <c r="X191" s="64"/>
      <c r="Y191" s="64"/>
      <c r="Z191" s="64"/>
      <c r="AA191" s="64"/>
    </row>
    <row r="192" ht="12.75" customHeight="1">
      <c r="A192" s="63"/>
      <c r="B192" s="64"/>
      <c r="C192" s="64"/>
      <c r="D192" s="64"/>
      <c r="E192" s="64"/>
      <c r="F192" s="64"/>
      <c r="G192" s="63"/>
      <c r="H192" s="63" t="str">
        <f t="shared" si="1"/>
        <v>No</v>
      </c>
      <c r="I192" s="63" t="str">
        <f t="shared" si="2"/>
        <v/>
      </c>
      <c r="J192" s="66" t="str">
        <f t="shared" si="3"/>
        <v/>
      </c>
      <c r="K192" s="67"/>
      <c r="L192" s="66" t="str">
        <f t="shared" si="4"/>
        <v/>
      </c>
      <c r="M192" s="68" t="str">
        <f t="shared" si="5"/>
        <v/>
      </c>
      <c r="N192" s="64"/>
      <c r="O192" s="64"/>
      <c r="P192" s="64"/>
      <c r="Q192" s="64"/>
      <c r="R192" s="64"/>
      <c r="S192" s="64"/>
      <c r="T192" s="64"/>
      <c r="U192" s="64"/>
      <c r="V192" s="64"/>
      <c r="W192" s="64"/>
      <c r="X192" s="64"/>
      <c r="Y192" s="64"/>
      <c r="Z192" s="64"/>
      <c r="AA192" s="64"/>
    </row>
    <row r="193" ht="12.75" customHeight="1">
      <c r="A193" s="63"/>
      <c r="B193" s="64"/>
      <c r="C193" s="64"/>
      <c r="D193" s="64"/>
      <c r="E193" s="64"/>
      <c r="F193" s="64"/>
      <c r="G193" s="63"/>
      <c r="H193" s="63" t="str">
        <f t="shared" si="1"/>
        <v>No</v>
      </c>
      <c r="I193" s="63" t="str">
        <f t="shared" si="2"/>
        <v/>
      </c>
      <c r="J193" s="66" t="str">
        <f t="shared" si="3"/>
        <v/>
      </c>
      <c r="K193" s="67"/>
      <c r="L193" s="66" t="str">
        <f t="shared" si="4"/>
        <v/>
      </c>
      <c r="M193" s="68" t="str">
        <f t="shared" si="5"/>
        <v/>
      </c>
      <c r="N193" s="64"/>
      <c r="O193" s="64"/>
      <c r="P193" s="64"/>
      <c r="Q193" s="64"/>
      <c r="R193" s="64"/>
      <c r="S193" s="64"/>
      <c r="T193" s="64"/>
      <c r="U193" s="64"/>
      <c r="V193" s="64"/>
      <c r="W193" s="64"/>
      <c r="X193" s="64"/>
      <c r="Y193" s="64"/>
      <c r="Z193" s="64"/>
      <c r="AA193" s="64"/>
    </row>
    <row r="194" ht="12.75" customHeight="1">
      <c r="A194" s="63"/>
      <c r="B194" s="64"/>
      <c r="C194" s="64"/>
      <c r="D194" s="64"/>
      <c r="E194" s="64"/>
      <c r="F194" s="64"/>
      <c r="G194" s="63"/>
      <c r="H194" s="63" t="str">
        <f t="shared" si="1"/>
        <v>No</v>
      </c>
      <c r="I194" s="63" t="str">
        <f t="shared" si="2"/>
        <v/>
      </c>
      <c r="J194" s="66" t="str">
        <f t="shared" si="3"/>
        <v/>
      </c>
      <c r="K194" s="67"/>
      <c r="L194" s="66" t="str">
        <f t="shared" si="4"/>
        <v/>
      </c>
      <c r="M194" s="68" t="str">
        <f t="shared" si="5"/>
        <v/>
      </c>
      <c r="N194" s="64"/>
      <c r="O194" s="64"/>
      <c r="P194" s="64"/>
      <c r="Q194" s="64"/>
      <c r="R194" s="64"/>
      <c r="S194" s="64"/>
      <c r="T194" s="64"/>
      <c r="U194" s="64"/>
      <c r="V194" s="64"/>
      <c r="W194" s="64"/>
      <c r="X194" s="64"/>
      <c r="Y194" s="64"/>
      <c r="Z194" s="64"/>
      <c r="AA194" s="64"/>
    </row>
    <row r="195" ht="12.75" customHeight="1">
      <c r="A195" s="63"/>
      <c r="B195" s="64"/>
      <c r="C195" s="64"/>
      <c r="D195" s="64"/>
      <c r="E195" s="64"/>
      <c r="F195" s="64"/>
      <c r="G195" s="63"/>
      <c r="H195" s="63" t="str">
        <f t="shared" si="1"/>
        <v>No</v>
      </c>
      <c r="I195" s="63" t="str">
        <f t="shared" si="2"/>
        <v/>
      </c>
      <c r="J195" s="66" t="str">
        <f t="shared" si="3"/>
        <v/>
      </c>
      <c r="K195" s="67"/>
      <c r="L195" s="66" t="str">
        <f t="shared" si="4"/>
        <v/>
      </c>
      <c r="M195" s="68" t="str">
        <f t="shared" si="5"/>
        <v/>
      </c>
      <c r="N195" s="64"/>
      <c r="O195" s="64"/>
      <c r="P195" s="64"/>
      <c r="Q195" s="64"/>
      <c r="R195" s="64"/>
      <c r="S195" s="64"/>
      <c r="T195" s="64"/>
      <c r="U195" s="64"/>
      <c r="V195" s="64"/>
      <c r="W195" s="64"/>
      <c r="X195" s="64"/>
      <c r="Y195" s="64"/>
      <c r="Z195" s="64"/>
      <c r="AA195" s="64"/>
    </row>
    <row r="196" ht="12.75" customHeight="1">
      <c r="A196" s="63"/>
      <c r="B196" s="64"/>
      <c r="C196" s="64"/>
      <c r="D196" s="64"/>
      <c r="E196" s="64"/>
      <c r="F196" s="64"/>
      <c r="G196" s="63"/>
      <c r="H196" s="63" t="str">
        <f t="shared" si="1"/>
        <v>No</v>
      </c>
      <c r="I196" s="63" t="str">
        <f t="shared" si="2"/>
        <v/>
      </c>
      <c r="J196" s="66" t="str">
        <f t="shared" si="3"/>
        <v/>
      </c>
      <c r="K196" s="67"/>
      <c r="L196" s="66" t="str">
        <f t="shared" si="4"/>
        <v/>
      </c>
      <c r="M196" s="68" t="str">
        <f t="shared" si="5"/>
        <v/>
      </c>
      <c r="N196" s="64"/>
      <c r="O196" s="64"/>
      <c r="P196" s="64"/>
      <c r="Q196" s="64"/>
      <c r="R196" s="64"/>
      <c r="S196" s="64"/>
      <c r="T196" s="64"/>
      <c r="U196" s="64"/>
      <c r="V196" s="64"/>
      <c r="W196" s="64"/>
      <c r="X196" s="64"/>
      <c r="Y196" s="64"/>
      <c r="Z196" s="64"/>
      <c r="AA196" s="64"/>
    </row>
    <row r="197" ht="12.75" customHeight="1">
      <c r="A197" s="63"/>
      <c r="B197" s="64"/>
      <c r="C197" s="64"/>
      <c r="D197" s="64"/>
      <c r="E197" s="64"/>
      <c r="F197" s="64"/>
      <c r="G197" s="63"/>
      <c r="H197" s="63" t="str">
        <f t="shared" si="1"/>
        <v>No</v>
      </c>
      <c r="I197" s="63" t="str">
        <f t="shared" si="2"/>
        <v/>
      </c>
      <c r="J197" s="66" t="str">
        <f t="shared" si="3"/>
        <v/>
      </c>
      <c r="K197" s="67"/>
      <c r="L197" s="66" t="str">
        <f t="shared" si="4"/>
        <v/>
      </c>
      <c r="M197" s="68" t="str">
        <f t="shared" si="5"/>
        <v/>
      </c>
      <c r="N197" s="64"/>
      <c r="O197" s="64"/>
      <c r="P197" s="64"/>
      <c r="Q197" s="64"/>
      <c r="R197" s="64"/>
      <c r="S197" s="64"/>
      <c r="T197" s="64"/>
      <c r="U197" s="64"/>
      <c r="V197" s="64"/>
      <c r="W197" s="64"/>
      <c r="X197" s="64"/>
      <c r="Y197" s="64"/>
      <c r="Z197" s="64"/>
      <c r="AA197" s="64"/>
    </row>
    <row r="198" ht="12.75" customHeight="1">
      <c r="A198" s="63"/>
      <c r="B198" s="64"/>
      <c r="C198" s="64"/>
      <c r="D198" s="64"/>
      <c r="E198" s="64"/>
      <c r="F198" s="64"/>
      <c r="G198" s="63"/>
      <c r="H198" s="63" t="str">
        <f t="shared" si="1"/>
        <v>No</v>
      </c>
      <c r="I198" s="63" t="str">
        <f t="shared" si="2"/>
        <v/>
      </c>
      <c r="J198" s="66" t="str">
        <f t="shared" si="3"/>
        <v/>
      </c>
      <c r="K198" s="67"/>
      <c r="L198" s="66" t="str">
        <f t="shared" si="4"/>
        <v/>
      </c>
      <c r="M198" s="68" t="str">
        <f t="shared" si="5"/>
        <v/>
      </c>
      <c r="N198" s="64"/>
      <c r="O198" s="64"/>
      <c r="P198" s="64"/>
      <c r="Q198" s="64"/>
      <c r="R198" s="64"/>
      <c r="S198" s="64"/>
      <c r="T198" s="64"/>
      <c r="U198" s="64"/>
      <c r="V198" s="64"/>
      <c r="W198" s="64"/>
      <c r="X198" s="64"/>
      <c r="Y198" s="64"/>
      <c r="Z198" s="64"/>
      <c r="AA198" s="64"/>
    </row>
    <row r="199" ht="12.75" customHeight="1">
      <c r="A199" s="63"/>
      <c r="B199" s="64"/>
      <c r="C199" s="64"/>
      <c r="D199" s="64"/>
      <c r="E199" s="64"/>
      <c r="F199" s="64"/>
      <c r="G199" s="63"/>
      <c r="H199" s="63" t="str">
        <f t="shared" si="1"/>
        <v>No</v>
      </c>
      <c r="I199" s="63" t="str">
        <f t="shared" si="2"/>
        <v/>
      </c>
      <c r="J199" s="66" t="str">
        <f t="shared" si="3"/>
        <v/>
      </c>
      <c r="K199" s="67"/>
      <c r="L199" s="66" t="str">
        <f t="shared" si="4"/>
        <v/>
      </c>
      <c r="M199" s="68" t="str">
        <f t="shared" si="5"/>
        <v/>
      </c>
      <c r="N199" s="64"/>
      <c r="O199" s="64"/>
      <c r="P199" s="64"/>
      <c r="Q199" s="64"/>
      <c r="R199" s="64"/>
      <c r="S199" s="64"/>
      <c r="T199" s="64"/>
      <c r="U199" s="64"/>
      <c r="V199" s="64"/>
      <c r="W199" s="64"/>
      <c r="X199" s="64"/>
      <c r="Y199" s="64"/>
      <c r="Z199" s="64"/>
      <c r="AA199" s="64"/>
    </row>
    <row r="200" ht="12.75" customHeight="1">
      <c r="A200" s="63"/>
      <c r="B200" s="64"/>
      <c r="C200" s="64"/>
      <c r="D200" s="64"/>
      <c r="E200" s="64"/>
      <c r="F200" s="64"/>
      <c r="G200" s="63"/>
      <c r="H200" s="63" t="str">
        <f t="shared" si="1"/>
        <v>No</v>
      </c>
      <c r="I200" s="63" t="str">
        <f t="shared" si="2"/>
        <v/>
      </c>
      <c r="J200" s="66" t="str">
        <f t="shared" si="3"/>
        <v/>
      </c>
      <c r="K200" s="67"/>
      <c r="L200" s="66" t="str">
        <f t="shared" si="4"/>
        <v/>
      </c>
      <c r="M200" s="68" t="str">
        <f t="shared" si="5"/>
        <v/>
      </c>
      <c r="N200" s="64"/>
      <c r="O200" s="64"/>
      <c r="P200" s="64"/>
      <c r="Q200" s="64"/>
      <c r="R200" s="64"/>
      <c r="S200" s="64"/>
      <c r="T200" s="64"/>
      <c r="U200" s="64"/>
      <c r="V200" s="64"/>
      <c r="W200" s="64"/>
      <c r="X200" s="64"/>
      <c r="Y200" s="64"/>
      <c r="Z200" s="64"/>
      <c r="AA200" s="64"/>
    </row>
    <row r="201" ht="12.75" customHeight="1">
      <c r="A201" s="63"/>
      <c r="B201" s="64"/>
      <c r="C201" s="64"/>
      <c r="D201" s="64"/>
      <c r="E201" s="64"/>
      <c r="F201" s="64"/>
      <c r="G201" s="63"/>
      <c r="H201" s="63" t="str">
        <f t="shared" si="1"/>
        <v>No</v>
      </c>
      <c r="I201" s="63" t="str">
        <f t="shared" si="2"/>
        <v/>
      </c>
      <c r="J201" s="66" t="str">
        <f t="shared" si="3"/>
        <v/>
      </c>
      <c r="K201" s="67"/>
      <c r="L201" s="66" t="str">
        <f t="shared" si="4"/>
        <v/>
      </c>
      <c r="M201" s="68" t="str">
        <f t="shared" si="5"/>
        <v/>
      </c>
      <c r="N201" s="64"/>
      <c r="O201" s="64"/>
      <c r="P201" s="64"/>
      <c r="Q201" s="64"/>
      <c r="R201" s="64"/>
      <c r="S201" s="64"/>
      <c r="T201" s="64"/>
      <c r="U201" s="64"/>
      <c r="V201" s="64"/>
      <c r="W201" s="64"/>
      <c r="X201" s="64"/>
      <c r="Y201" s="64"/>
      <c r="Z201" s="64"/>
      <c r="AA201" s="64"/>
    </row>
    <row r="202" ht="12.75" customHeight="1">
      <c r="A202" s="63"/>
      <c r="B202" s="64"/>
      <c r="C202" s="64"/>
      <c r="D202" s="64"/>
      <c r="E202" s="64"/>
      <c r="F202" s="64"/>
      <c r="G202" s="63"/>
      <c r="H202" s="64"/>
      <c r="I202" s="64"/>
      <c r="J202" s="64"/>
      <c r="K202" s="64"/>
      <c r="L202" s="64"/>
      <c r="M202" s="64"/>
      <c r="N202" s="64"/>
      <c r="O202" s="64"/>
      <c r="P202" s="64"/>
      <c r="Q202" s="64"/>
      <c r="R202" s="64"/>
      <c r="S202" s="64"/>
      <c r="T202" s="64"/>
      <c r="U202" s="64"/>
      <c r="V202" s="64"/>
      <c r="W202" s="64"/>
      <c r="X202" s="64"/>
      <c r="Y202" s="64"/>
      <c r="Z202" s="64"/>
      <c r="AA202" s="64"/>
    </row>
    <row r="203" ht="12.75" customHeight="1">
      <c r="A203" s="63"/>
      <c r="B203" s="64"/>
      <c r="C203" s="64"/>
      <c r="D203" s="64"/>
      <c r="E203" s="64"/>
      <c r="F203" s="64"/>
      <c r="G203" s="63"/>
      <c r="H203" s="64"/>
      <c r="I203" s="64"/>
      <c r="J203" s="64"/>
      <c r="K203" s="64"/>
      <c r="L203" s="64"/>
      <c r="M203" s="64"/>
      <c r="N203" s="64"/>
      <c r="O203" s="64"/>
      <c r="P203" s="64"/>
      <c r="Q203" s="64"/>
      <c r="R203" s="64"/>
      <c r="S203" s="64"/>
      <c r="T203" s="64"/>
      <c r="U203" s="64"/>
      <c r="V203" s="64"/>
      <c r="W203" s="64"/>
      <c r="X203" s="64"/>
      <c r="Y203" s="64"/>
      <c r="Z203" s="64"/>
      <c r="AA203" s="64"/>
    </row>
    <row r="204" ht="12.75" customHeight="1">
      <c r="A204" s="63"/>
      <c r="B204" s="64"/>
      <c r="C204" s="64"/>
      <c r="D204" s="64"/>
      <c r="E204" s="64"/>
      <c r="F204" s="64"/>
      <c r="G204" s="63"/>
      <c r="H204" s="64"/>
      <c r="I204" s="64"/>
      <c r="J204" s="64"/>
      <c r="K204" s="64"/>
      <c r="L204" s="64"/>
      <c r="M204" s="64"/>
      <c r="N204" s="64"/>
      <c r="O204" s="64"/>
      <c r="P204" s="64"/>
      <c r="Q204" s="64"/>
      <c r="R204" s="64"/>
      <c r="S204" s="64"/>
      <c r="T204" s="64"/>
      <c r="U204" s="64"/>
      <c r="V204" s="64"/>
      <c r="W204" s="64"/>
      <c r="X204" s="64"/>
      <c r="Y204" s="64"/>
      <c r="Z204" s="64"/>
      <c r="AA204" s="64"/>
    </row>
    <row r="205" ht="12.75" customHeight="1">
      <c r="A205" s="63"/>
      <c r="B205" s="64"/>
      <c r="C205" s="64"/>
      <c r="D205" s="64"/>
      <c r="E205" s="64"/>
      <c r="F205" s="64"/>
      <c r="G205" s="63"/>
      <c r="H205" s="64"/>
      <c r="I205" s="64"/>
      <c r="J205" s="64"/>
      <c r="K205" s="64"/>
      <c r="L205" s="64"/>
      <c r="M205" s="64"/>
      <c r="N205" s="64"/>
      <c r="O205" s="64"/>
      <c r="P205" s="64"/>
      <c r="Q205" s="64"/>
      <c r="R205" s="64"/>
      <c r="S205" s="64"/>
      <c r="T205" s="64"/>
      <c r="U205" s="64"/>
      <c r="V205" s="64"/>
      <c r="W205" s="64"/>
      <c r="X205" s="64"/>
      <c r="Y205" s="64"/>
      <c r="Z205" s="64"/>
      <c r="AA205" s="64"/>
    </row>
    <row r="206" ht="12.75" customHeight="1">
      <c r="A206" s="63"/>
      <c r="B206" s="64"/>
      <c r="C206" s="64"/>
      <c r="D206" s="64"/>
      <c r="E206" s="64"/>
      <c r="F206" s="64"/>
      <c r="G206" s="63"/>
      <c r="H206" s="64"/>
      <c r="I206" s="64"/>
      <c r="J206" s="64"/>
      <c r="K206" s="64"/>
      <c r="L206" s="64"/>
      <c r="M206" s="64"/>
      <c r="N206" s="64"/>
      <c r="O206" s="64"/>
      <c r="P206" s="64"/>
      <c r="Q206" s="64"/>
      <c r="R206" s="64"/>
      <c r="S206" s="64"/>
      <c r="T206" s="64"/>
      <c r="U206" s="64"/>
      <c r="V206" s="64"/>
      <c r="W206" s="64"/>
      <c r="X206" s="64"/>
      <c r="Y206" s="64"/>
      <c r="Z206" s="64"/>
      <c r="AA206" s="64"/>
    </row>
    <row r="207" ht="12.75" customHeight="1">
      <c r="A207" s="63"/>
      <c r="B207" s="64"/>
      <c r="C207" s="64"/>
      <c r="D207" s="64"/>
      <c r="E207" s="64"/>
      <c r="F207" s="64"/>
      <c r="G207" s="63"/>
      <c r="H207" s="64"/>
      <c r="I207" s="64"/>
      <c r="J207" s="64"/>
      <c r="K207" s="64"/>
      <c r="L207" s="64"/>
      <c r="M207" s="64"/>
      <c r="N207" s="64"/>
      <c r="O207" s="64"/>
      <c r="P207" s="64"/>
      <c r="Q207" s="64"/>
      <c r="R207" s="64"/>
      <c r="S207" s="64"/>
      <c r="T207" s="64"/>
      <c r="U207" s="64"/>
      <c r="V207" s="64"/>
      <c r="W207" s="64"/>
      <c r="X207" s="64"/>
      <c r="Y207" s="64"/>
      <c r="Z207" s="64"/>
      <c r="AA207" s="64"/>
    </row>
    <row r="208" ht="12.75" customHeight="1">
      <c r="A208" s="63"/>
      <c r="B208" s="64"/>
      <c r="C208" s="64"/>
      <c r="D208" s="64"/>
      <c r="E208" s="64"/>
      <c r="F208" s="64"/>
      <c r="G208" s="63"/>
      <c r="H208" s="64"/>
      <c r="I208" s="64"/>
      <c r="J208" s="64"/>
      <c r="K208" s="64"/>
      <c r="L208" s="64"/>
      <c r="M208" s="64"/>
      <c r="N208" s="64"/>
      <c r="O208" s="64"/>
      <c r="P208" s="64"/>
      <c r="Q208" s="64"/>
      <c r="R208" s="64"/>
      <c r="S208" s="64"/>
      <c r="T208" s="64"/>
      <c r="U208" s="64"/>
      <c r="V208" s="64"/>
      <c r="W208" s="64"/>
      <c r="X208" s="64"/>
      <c r="Y208" s="64"/>
      <c r="Z208" s="64"/>
      <c r="AA208" s="64"/>
    </row>
    <row r="209" ht="12.75" customHeight="1">
      <c r="A209" s="63"/>
      <c r="B209" s="64"/>
      <c r="C209" s="64"/>
      <c r="D209" s="64"/>
      <c r="E209" s="64"/>
      <c r="F209" s="64"/>
      <c r="G209" s="63"/>
      <c r="H209" s="64"/>
      <c r="I209" s="64"/>
      <c r="J209" s="64"/>
      <c r="K209" s="64"/>
      <c r="L209" s="64"/>
      <c r="M209" s="64"/>
      <c r="N209" s="64"/>
      <c r="O209" s="64"/>
      <c r="P209" s="64"/>
      <c r="Q209" s="64"/>
      <c r="R209" s="64"/>
      <c r="S209" s="64"/>
      <c r="T209" s="64"/>
      <c r="U209" s="64"/>
      <c r="V209" s="64"/>
      <c r="W209" s="64"/>
      <c r="X209" s="64"/>
      <c r="Y209" s="64"/>
      <c r="Z209" s="64"/>
      <c r="AA209" s="64"/>
    </row>
    <row r="210" ht="12.75" customHeight="1">
      <c r="A210" s="63"/>
      <c r="B210" s="64"/>
      <c r="C210" s="64"/>
      <c r="D210" s="64"/>
      <c r="E210" s="64"/>
      <c r="F210" s="64"/>
      <c r="G210" s="63"/>
      <c r="H210" s="64"/>
      <c r="I210" s="64"/>
      <c r="J210" s="64"/>
      <c r="K210" s="64"/>
      <c r="L210" s="64"/>
      <c r="M210" s="64"/>
      <c r="N210" s="64"/>
      <c r="O210" s="64"/>
      <c r="P210" s="64"/>
      <c r="Q210" s="64"/>
      <c r="R210" s="64"/>
      <c r="S210" s="64"/>
      <c r="T210" s="64"/>
      <c r="U210" s="64"/>
      <c r="V210" s="64"/>
      <c r="W210" s="64"/>
      <c r="X210" s="64"/>
      <c r="Y210" s="64"/>
      <c r="Z210" s="64"/>
      <c r="AA210" s="64"/>
    </row>
    <row r="211" ht="12.75" customHeight="1">
      <c r="A211" s="63"/>
      <c r="B211" s="64"/>
      <c r="C211" s="64"/>
      <c r="D211" s="64"/>
      <c r="E211" s="64"/>
      <c r="F211" s="64"/>
      <c r="G211" s="63"/>
      <c r="H211" s="64"/>
      <c r="I211" s="64"/>
      <c r="J211" s="64"/>
      <c r="K211" s="64"/>
      <c r="L211" s="64"/>
      <c r="M211" s="64"/>
      <c r="N211" s="64"/>
      <c r="O211" s="64"/>
      <c r="P211" s="64"/>
      <c r="Q211" s="64"/>
      <c r="R211" s="64"/>
      <c r="S211" s="64"/>
      <c r="T211" s="64"/>
      <c r="U211" s="64"/>
      <c r="V211" s="64"/>
      <c r="W211" s="64"/>
      <c r="X211" s="64"/>
      <c r="Y211" s="64"/>
      <c r="Z211" s="64"/>
      <c r="AA211" s="64"/>
    </row>
    <row r="212" ht="12.75" customHeight="1">
      <c r="A212" s="63"/>
      <c r="B212" s="64"/>
      <c r="C212" s="64"/>
      <c r="D212" s="64"/>
      <c r="E212" s="64"/>
      <c r="F212" s="64"/>
      <c r="G212" s="63"/>
      <c r="H212" s="64"/>
      <c r="I212" s="64"/>
      <c r="J212" s="64"/>
      <c r="K212" s="64"/>
      <c r="L212" s="64"/>
      <c r="M212" s="64"/>
      <c r="N212" s="64"/>
      <c r="O212" s="64"/>
      <c r="P212" s="64"/>
      <c r="Q212" s="64"/>
      <c r="R212" s="64"/>
      <c r="S212" s="64"/>
      <c r="T212" s="64"/>
      <c r="U212" s="64"/>
      <c r="V212" s="64"/>
      <c r="W212" s="64"/>
      <c r="X212" s="64"/>
      <c r="Y212" s="64"/>
      <c r="Z212" s="64"/>
      <c r="AA212" s="64"/>
    </row>
    <row r="213" ht="12.75" customHeight="1">
      <c r="A213" s="63"/>
      <c r="B213" s="64"/>
      <c r="C213" s="64"/>
      <c r="D213" s="64"/>
      <c r="E213" s="64"/>
      <c r="F213" s="64"/>
      <c r="G213" s="63"/>
      <c r="H213" s="64"/>
      <c r="I213" s="64"/>
      <c r="J213" s="64"/>
      <c r="K213" s="64"/>
      <c r="L213" s="64"/>
      <c r="M213" s="64"/>
      <c r="N213" s="64"/>
      <c r="O213" s="64"/>
      <c r="P213" s="64"/>
      <c r="Q213" s="64"/>
      <c r="R213" s="64"/>
      <c r="S213" s="64"/>
      <c r="T213" s="64"/>
      <c r="U213" s="64"/>
      <c r="V213" s="64"/>
      <c r="W213" s="64"/>
      <c r="X213" s="64"/>
      <c r="Y213" s="64"/>
      <c r="Z213" s="64"/>
      <c r="AA213" s="64"/>
    </row>
    <row r="214" ht="12.75" customHeight="1">
      <c r="A214" s="63"/>
      <c r="B214" s="64"/>
      <c r="C214" s="64"/>
      <c r="D214" s="64"/>
      <c r="E214" s="64"/>
      <c r="F214" s="64"/>
      <c r="G214" s="63"/>
      <c r="H214" s="64"/>
      <c r="I214" s="64"/>
      <c r="J214" s="64"/>
      <c r="K214" s="64"/>
      <c r="L214" s="64"/>
      <c r="M214" s="64"/>
      <c r="N214" s="64"/>
      <c r="O214" s="64"/>
      <c r="P214" s="64"/>
      <c r="Q214" s="64"/>
      <c r="R214" s="64"/>
      <c r="S214" s="64"/>
      <c r="T214" s="64"/>
      <c r="U214" s="64"/>
      <c r="V214" s="64"/>
      <c r="W214" s="64"/>
      <c r="X214" s="64"/>
      <c r="Y214" s="64"/>
      <c r="Z214" s="64"/>
      <c r="AA214" s="64"/>
    </row>
    <row r="215" ht="12.75" customHeight="1">
      <c r="A215" s="63"/>
      <c r="B215" s="64"/>
      <c r="C215" s="64"/>
      <c r="D215" s="64"/>
      <c r="E215" s="64"/>
      <c r="F215" s="64"/>
      <c r="G215" s="63"/>
      <c r="H215" s="64"/>
      <c r="I215" s="64"/>
      <c r="J215" s="64"/>
      <c r="K215" s="64"/>
      <c r="L215" s="64"/>
      <c r="M215" s="64"/>
      <c r="N215" s="64"/>
      <c r="O215" s="64"/>
      <c r="P215" s="64"/>
      <c r="Q215" s="64"/>
      <c r="R215" s="64"/>
      <c r="S215" s="64"/>
      <c r="T215" s="64"/>
      <c r="U215" s="64"/>
      <c r="V215" s="64"/>
      <c r="W215" s="64"/>
      <c r="X215" s="64"/>
      <c r="Y215" s="64"/>
      <c r="Z215" s="64"/>
      <c r="AA215" s="64"/>
    </row>
    <row r="216" ht="12.75" customHeight="1">
      <c r="A216" s="63"/>
      <c r="B216" s="64"/>
      <c r="C216" s="64"/>
      <c r="D216" s="64"/>
      <c r="E216" s="64"/>
      <c r="F216" s="64"/>
      <c r="G216" s="63"/>
      <c r="H216" s="64"/>
      <c r="I216" s="64"/>
      <c r="J216" s="64"/>
      <c r="K216" s="64"/>
      <c r="L216" s="64"/>
      <c r="M216" s="64"/>
      <c r="N216" s="64"/>
      <c r="O216" s="64"/>
      <c r="P216" s="64"/>
      <c r="Q216" s="64"/>
      <c r="R216" s="64"/>
      <c r="S216" s="64"/>
      <c r="T216" s="64"/>
      <c r="U216" s="64"/>
      <c r="V216" s="64"/>
      <c r="W216" s="64"/>
      <c r="X216" s="64"/>
      <c r="Y216" s="64"/>
      <c r="Z216" s="64"/>
      <c r="AA216" s="64"/>
    </row>
    <row r="217" ht="12.75" customHeight="1">
      <c r="A217" s="63"/>
      <c r="B217" s="64"/>
      <c r="C217" s="64"/>
      <c r="D217" s="64"/>
      <c r="E217" s="64"/>
      <c r="F217" s="64"/>
      <c r="G217" s="63"/>
      <c r="H217" s="64"/>
      <c r="I217" s="64"/>
      <c r="J217" s="64"/>
      <c r="K217" s="64"/>
      <c r="L217" s="64"/>
      <c r="M217" s="64"/>
      <c r="N217" s="64"/>
      <c r="O217" s="64"/>
      <c r="P217" s="64"/>
      <c r="Q217" s="64"/>
      <c r="R217" s="64"/>
      <c r="S217" s="64"/>
      <c r="T217" s="64"/>
      <c r="U217" s="64"/>
      <c r="V217" s="64"/>
      <c r="W217" s="64"/>
      <c r="X217" s="64"/>
      <c r="Y217" s="64"/>
      <c r="Z217" s="64"/>
      <c r="AA217" s="64"/>
    </row>
    <row r="218" ht="12.75" customHeight="1">
      <c r="A218" s="63"/>
      <c r="B218" s="64"/>
      <c r="C218" s="64"/>
      <c r="D218" s="64"/>
      <c r="E218" s="64"/>
      <c r="F218" s="64"/>
      <c r="G218" s="63"/>
      <c r="H218" s="64"/>
      <c r="I218" s="64"/>
      <c r="J218" s="64"/>
      <c r="K218" s="64"/>
      <c r="L218" s="64"/>
      <c r="M218" s="64"/>
      <c r="N218" s="64"/>
      <c r="O218" s="64"/>
      <c r="P218" s="64"/>
      <c r="Q218" s="64"/>
      <c r="R218" s="64"/>
      <c r="S218" s="64"/>
      <c r="T218" s="64"/>
      <c r="U218" s="64"/>
      <c r="V218" s="64"/>
      <c r="W218" s="64"/>
      <c r="X218" s="64"/>
      <c r="Y218" s="64"/>
      <c r="Z218" s="64"/>
      <c r="AA218" s="64"/>
    </row>
    <row r="219" ht="12.75" customHeight="1">
      <c r="A219" s="63"/>
      <c r="B219" s="64"/>
      <c r="C219" s="64"/>
      <c r="D219" s="64"/>
      <c r="E219" s="64"/>
      <c r="F219" s="64"/>
      <c r="G219" s="63"/>
      <c r="H219" s="64"/>
      <c r="I219" s="64"/>
      <c r="J219" s="64"/>
      <c r="K219" s="64"/>
      <c r="L219" s="64"/>
      <c r="M219" s="64"/>
      <c r="N219" s="64"/>
      <c r="O219" s="64"/>
      <c r="P219" s="64"/>
      <c r="Q219" s="64"/>
      <c r="R219" s="64"/>
      <c r="S219" s="64"/>
      <c r="T219" s="64"/>
      <c r="U219" s="64"/>
      <c r="V219" s="64"/>
      <c r="W219" s="64"/>
      <c r="X219" s="64"/>
      <c r="Y219" s="64"/>
      <c r="Z219" s="64"/>
      <c r="AA219" s="64"/>
    </row>
    <row r="220" ht="12.75" customHeight="1">
      <c r="A220" s="63"/>
      <c r="B220" s="64"/>
      <c r="C220" s="64"/>
      <c r="D220" s="64"/>
      <c r="E220" s="64"/>
      <c r="F220" s="64"/>
      <c r="G220" s="63"/>
      <c r="H220" s="64"/>
      <c r="I220" s="64"/>
      <c r="J220" s="64"/>
      <c r="K220" s="64"/>
      <c r="L220" s="64"/>
      <c r="M220" s="64"/>
      <c r="N220" s="64"/>
      <c r="O220" s="64"/>
      <c r="P220" s="64"/>
      <c r="Q220" s="64"/>
      <c r="R220" s="64"/>
      <c r="S220" s="64"/>
      <c r="T220" s="64"/>
      <c r="U220" s="64"/>
      <c r="V220" s="64"/>
      <c r="W220" s="64"/>
      <c r="X220" s="64"/>
      <c r="Y220" s="64"/>
      <c r="Z220" s="64"/>
      <c r="AA220" s="64"/>
    </row>
    <row r="221" ht="12.75" customHeight="1">
      <c r="A221" s="63"/>
      <c r="B221" s="64"/>
      <c r="C221" s="64"/>
      <c r="D221" s="64"/>
      <c r="E221" s="64"/>
      <c r="F221" s="64"/>
      <c r="G221" s="63"/>
      <c r="H221" s="64"/>
      <c r="I221" s="64"/>
      <c r="J221" s="64"/>
      <c r="K221" s="64"/>
      <c r="L221" s="64"/>
      <c r="M221" s="64"/>
      <c r="N221" s="64"/>
      <c r="O221" s="64"/>
      <c r="P221" s="64"/>
      <c r="Q221" s="64"/>
      <c r="R221" s="64"/>
      <c r="S221" s="64"/>
      <c r="T221" s="64"/>
      <c r="U221" s="64"/>
      <c r="V221" s="64"/>
      <c r="W221" s="64"/>
      <c r="X221" s="64"/>
      <c r="Y221" s="64"/>
      <c r="Z221" s="64"/>
      <c r="AA221" s="64"/>
    </row>
    <row r="222" ht="12.75" customHeight="1">
      <c r="A222" s="63"/>
      <c r="B222" s="64"/>
      <c r="C222" s="64"/>
      <c r="D222" s="64"/>
      <c r="E222" s="64"/>
      <c r="F222" s="64"/>
      <c r="G222" s="63"/>
      <c r="H222" s="64"/>
      <c r="I222" s="64"/>
      <c r="J222" s="64"/>
      <c r="K222" s="64"/>
      <c r="L222" s="64"/>
      <c r="M222" s="64"/>
      <c r="N222" s="64"/>
      <c r="O222" s="64"/>
      <c r="P222" s="64"/>
      <c r="Q222" s="64"/>
      <c r="R222" s="64"/>
      <c r="S222" s="64"/>
      <c r="T222" s="64"/>
      <c r="U222" s="64"/>
      <c r="V222" s="64"/>
      <c r="W222" s="64"/>
      <c r="X222" s="64"/>
      <c r="Y222" s="64"/>
      <c r="Z222" s="64"/>
      <c r="AA222" s="64"/>
    </row>
    <row r="223" ht="12.75" customHeight="1">
      <c r="A223" s="63"/>
      <c r="B223" s="64"/>
      <c r="C223" s="64"/>
      <c r="D223" s="64"/>
      <c r="E223" s="64"/>
      <c r="F223" s="64"/>
      <c r="G223" s="63"/>
      <c r="H223" s="64"/>
      <c r="I223" s="64"/>
      <c r="J223" s="64"/>
      <c r="K223" s="64"/>
      <c r="L223" s="64"/>
      <c r="M223" s="64"/>
      <c r="N223" s="64"/>
      <c r="O223" s="64"/>
      <c r="P223" s="64"/>
      <c r="Q223" s="64"/>
      <c r="R223" s="64"/>
      <c r="S223" s="64"/>
      <c r="T223" s="64"/>
      <c r="U223" s="64"/>
      <c r="V223" s="64"/>
      <c r="W223" s="64"/>
      <c r="X223" s="64"/>
      <c r="Y223" s="64"/>
      <c r="Z223" s="64"/>
      <c r="AA223" s="64"/>
    </row>
    <row r="224" ht="12.75" customHeight="1">
      <c r="A224" s="63"/>
      <c r="B224" s="64"/>
      <c r="C224" s="64"/>
      <c r="D224" s="64"/>
      <c r="E224" s="64"/>
      <c r="F224" s="64"/>
      <c r="G224" s="63"/>
      <c r="H224" s="64"/>
      <c r="I224" s="64"/>
      <c r="J224" s="64"/>
      <c r="K224" s="64"/>
      <c r="L224" s="64"/>
      <c r="M224" s="64"/>
      <c r="N224" s="64"/>
      <c r="O224" s="64"/>
      <c r="P224" s="64"/>
      <c r="Q224" s="64"/>
      <c r="R224" s="64"/>
      <c r="S224" s="64"/>
      <c r="T224" s="64"/>
      <c r="U224" s="64"/>
      <c r="V224" s="64"/>
      <c r="W224" s="64"/>
      <c r="X224" s="64"/>
      <c r="Y224" s="64"/>
      <c r="Z224" s="64"/>
      <c r="AA224" s="64"/>
    </row>
    <row r="225" ht="12.75" customHeight="1">
      <c r="A225" s="63"/>
      <c r="B225" s="64"/>
      <c r="C225" s="64"/>
      <c r="D225" s="64"/>
      <c r="E225" s="64"/>
      <c r="F225" s="64"/>
      <c r="G225" s="63"/>
      <c r="H225" s="64"/>
      <c r="I225" s="64"/>
      <c r="J225" s="64"/>
      <c r="K225" s="64"/>
      <c r="L225" s="64"/>
      <c r="M225" s="64"/>
      <c r="N225" s="64"/>
      <c r="O225" s="64"/>
      <c r="P225" s="64"/>
      <c r="Q225" s="64"/>
      <c r="R225" s="64"/>
      <c r="S225" s="64"/>
      <c r="T225" s="64"/>
      <c r="U225" s="64"/>
      <c r="V225" s="64"/>
      <c r="W225" s="64"/>
      <c r="X225" s="64"/>
      <c r="Y225" s="64"/>
      <c r="Z225" s="64"/>
      <c r="AA225" s="64"/>
    </row>
    <row r="226" ht="12.75" customHeight="1">
      <c r="A226" s="63"/>
      <c r="B226" s="64"/>
      <c r="C226" s="64"/>
      <c r="D226" s="64"/>
      <c r="E226" s="64"/>
      <c r="F226" s="64"/>
      <c r="G226" s="63"/>
      <c r="H226" s="64"/>
      <c r="I226" s="64"/>
      <c r="J226" s="64"/>
      <c r="K226" s="64"/>
      <c r="L226" s="64"/>
      <c r="M226" s="64"/>
      <c r="N226" s="64"/>
      <c r="O226" s="64"/>
      <c r="P226" s="64"/>
      <c r="Q226" s="64"/>
      <c r="R226" s="64"/>
      <c r="S226" s="64"/>
      <c r="T226" s="64"/>
      <c r="U226" s="64"/>
      <c r="V226" s="64"/>
      <c r="W226" s="64"/>
      <c r="X226" s="64"/>
      <c r="Y226" s="64"/>
      <c r="Z226" s="64"/>
      <c r="AA226" s="64"/>
    </row>
    <row r="227" ht="12.75" customHeight="1">
      <c r="A227" s="63"/>
      <c r="B227" s="64"/>
      <c r="C227" s="64"/>
      <c r="D227" s="64"/>
      <c r="E227" s="64"/>
      <c r="F227" s="64"/>
      <c r="G227" s="63"/>
      <c r="H227" s="64"/>
      <c r="I227" s="64"/>
      <c r="J227" s="64"/>
      <c r="K227" s="64"/>
      <c r="L227" s="64"/>
      <c r="M227" s="64"/>
      <c r="N227" s="64"/>
      <c r="O227" s="64"/>
      <c r="P227" s="64"/>
      <c r="Q227" s="64"/>
      <c r="R227" s="64"/>
      <c r="S227" s="64"/>
      <c r="T227" s="64"/>
      <c r="U227" s="64"/>
      <c r="V227" s="64"/>
      <c r="W227" s="64"/>
      <c r="X227" s="64"/>
      <c r="Y227" s="64"/>
      <c r="Z227" s="64"/>
      <c r="AA227" s="64"/>
    </row>
    <row r="228" ht="12.75" customHeight="1">
      <c r="A228" s="63"/>
      <c r="B228" s="64"/>
      <c r="C228" s="64"/>
      <c r="D228" s="64"/>
      <c r="E228" s="64"/>
      <c r="F228" s="64"/>
      <c r="G228" s="63"/>
      <c r="H228" s="64"/>
      <c r="I228" s="64"/>
      <c r="J228" s="64"/>
      <c r="K228" s="64"/>
      <c r="L228" s="64"/>
      <c r="M228" s="64"/>
      <c r="N228" s="64"/>
      <c r="O228" s="64"/>
      <c r="P228" s="64"/>
      <c r="Q228" s="64"/>
      <c r="R228" s="64"/>
      <c r="S228" s="64"/>
      <c r="T228" s="64"/>
      <c r="U228" s="64"/>
      <c r="V228" s="64"/>
      <c r="W228" s="64"/>
      <c r="X228" s="64"/>
      <c r="Y228" s="64"/>
      <c r="Z228" s="64"/>
      <c r="AA228" s="64"/>
    </row>
    <row r="229" ht="12.75" customHeight="1">
      <c r="A229" s="63"/>
      <c r="B229" s="64"/>
      <c r="C229" s="64"/>
      <c r="D229" s="64"/>
      <c r="E229" s="64"/>
      <c r="F229" s="64"/>
      <c r="G229" s="63"/>
      <c r="H229" s="64"/>
      <c r="I229" s="64"/>
      <c r="J229" s="64"/>
      <c r="K229" s="64"/>
      <c r="L229" s="64"/>
      <c r="M229" s="64"/>
      <c r="N229" s="64"/>
      <c r="O229" s="64"/>
      <c r="P229" s="64"/>
      <c r="Q229" s="64"/>
      <c r="R229" s="64"/>
      <c r="S229" s="64"/>
      <c r="T229" s="64"/>
      <c r="U229" s="64"/>
      <c r="V229" s="64"/>
      <c r="W229" s="64"/>
      <c r="X229" s="64"/>
      <c r="Y229" s="64"/>
      <c r="Z229" s="64"/>
      <c r="AA229" s="64"/>
    </row>
    <row r="230" ht="12.75" customHeight="1">
      <c r="A230" s="63"/>
      <c r="B230" s="64"/>
      <c r="C230" s="64"/>
      <c r="D230" s="64"/>
      <c r="E230" s="64"/>
      <c r="F230" s="64"/>
      <c r="G230" s="63"/>
      <c r="H230" s="64"/>
      <c r="I230" s="64"/>
      <c r="J230" s="64"/>
      <c r="K230" s="64"/>
      <c r="L230" s="64"/>
      <c r="M230" s="64"/>
      <c r="N230" s="64"/>
      <c r="O230" s="64"/>
      <c r="P230" s="64"/>
      <c r="Q230" s="64"/>
      <c r="R230" s="64"/>
      <c r="S230" s="64"/>
      <c r="T230" s="64"/>
      <c r="U230" s="64"/>
      <c r="V230" s="64"/>
      <c r="W230" s="64"/>
      <c r="X230" s="64"/>
      <c r="Y230" s="64"/>
      <c r="Z230" s="64"/>
      <c r="AA230" s="64"/>
    </row>
    <row r="231" ht="12.75" customHeight="1">
      <c r="A231" s="63"/>
      <c r="B231" s="64"/>
      <c r="C231" s="64"/>
      <c r="D231" s="64"/>
      <c r="E231" s="64"/>
      <c r="F231" s="64"/>
      <c r="G231" s="63"/>
      <c r="H231" s="64"/>
      <c r="I231" s="64"/>
      <c r="J231" s="64"/>
      <c r="K231" s="64"/>
      <c r="L231" s="64"/>
      <c r="M231" s="64"/>
      <c r="N231" s="64"/>
      <c r="O231" s="64"/>
      <c r="P231" s="64"/>
      <c r="Q231" s="64"/>
      <c r="R231" s="64"/>
      <c r="S231" s="64"/>
      <c r="T231" s="64"/>
      <c r="U231" s="64"/>
      <c r="V231" s="64"/>
      <c r="W231" s="64"/>
      <c r="X231" s="64"/>
      <c r="Y231" s="64"/>
      <c r="Z231" s="64"/>
      <c r="AA231" s="64"/>
    </row>
    <row r="232" ht="12.75" customHeight="1">
      <c r="A232" s="63"/>
      <c r="B232" s="64"/>
      <c r="C232" s="64"/>
      <c r="D232" s="64"/>
      <c r="E232" s="64"/>
      <c r="F232" s="64"/>
      <c r="G232" s="63"/>
      <c r="H232" s="64"/>
      <c r="I232" s="64"/>
      <c r="J232" s="64"/>
      <c r="K232" s="64"/>
      <c r="L232" s="64"/>
      <c r="M232" s="64"/>
      <c r="N232" s="64"/>
      <c r="O232" s="64"/>
      <c r="P232" s="64"/>
      <c r="Q232" s="64"/>
      <c r="R232" s="64"/>
      <c r="S232" s="64"/>
      <c r="T232" s="64"/>
      <c r="U232" s="64"/>
      <c r="V232" s="64"/>
      <c r="W232" s="64"/>
      <c r="X232" s="64"/>
      <c r="Y232" s="64"/>
      <c r="Z232" s="64"/>
      <c r="AA232" s="64"/>
    </row>
    <row r="233" ht="12.75" customHeight="1">
      <c r="A233" s="63"/>
      <c r="B233" s="64"/>
      <c r="C233" s="64"/>
      <c r="D233" s="64"/>
      <c r="E233" s="64"/>
      <c r="F233" s="64"/>
      <c r="G233" s="63"/>
      <c r="H233" s="64"/>
      <c r="I233" s="64"/>
      <c r="J233" s="64"/>
      <c r="K233" s="64"/>
      <c r="L233" s="64"/>
      <c r="M233" s="64"/>
      <c r="N233" s="64"/>
      <c r="O233" s="64"/>
      <c r="P233" s="64"/>
      <c r="Q233" s="64"/>
      <c r="R233" s="64"/>
      <c r="S233" s="64"/>
      <c r="T233" s="64"/>
      <c r="U233" s="64"/>
      <c r="V233" s="64"/>
      <c r="W233" s="64"/>
      <c r="X233" s="64"/>
      <c r="Y233" s="64"/>
      <c r="Z233" s="64"/>
      <c r="AA233" s="64"/>
    </row>
    <row r="234" ht="12.75" customHeight="1">
      <c r="A234" s="63"/>
      <c r="B234" s="64"/>
      <c r="C234" s="64"/>
      <c r="D234" s="64"/>
      <c r="E234" s="64"/>
      <c r="F234" s="64"/>
      <c r="G234" s="63"/>
      <c r="H234" s="64"/>
      <c r="I234" s="64"/>
      <c r="J234" s="64"/>
      <c r="K234" s="64"/>
      <c r="L234" s="64"/>
      <c r="M234" s="64"/>
      <c r="N234" s="64"/>
      <c r="O234" s="64"/>
      <c r="P234" s="64"/>
      <c r="Q234" s="64"/>
      <c r="R234" s="64"/>
      <c r="S234" s="64"/>
      <c r="T234" s="64"/>
      <c r="U234" s="64"/>
      <c r="V234" s="64"/>
      <c r="W234" s="64"/>
      <c r="X234" s="64"/>
      <c r="Y234" s="64"/>
      <c r="Z234" s="64"/>
      <c r="AA234" s="64"/>
    </row>
    <row r="235" ht="12.75" customHeight="1">
      <c r="A235" s="63"/>
      <c r="B235" s="64"/>
      <c r="C235" s="64"/>
      <c r="D235" s="64"/>
      <c r="E235" s="64"/>
      <c r="F235" s="64"/>
      <c r="G235" s="63"/>
      <c r="H235" s="64"/>
      <c r="I235" s="64"/>
      <c r="J235" s="64"/>
      <c r="K235" s="64"/>
      <c r="L235" s="64"/>
      <c r="M235" s="64"/>
      <c r="N235" s="64"/>
      <c r="O235" s="64"/>
      <c r="P235" s="64"/>
      <c r="Q235" s="64"/>
      <c r="R235" s="64"/>
      <c r="S235" s="64"/>
      <c r="T235" s="64"/>
      <c r="U235" s="64"/>
      <c r="V235" s="64"/>
      <c r="W235" s="64"/>
      <c r="X235" s="64"/>
      <c r="Y235" s="64"/>
      <c r="Z235" s="64"/>
      <c r="AA235" s="64"/>
    </row>
    <row r="236" ht="12.75" customHeight="1">
      <c r="A236" s="63"/>
      <c r="B236" s="64"/>
      <c r="C236" s="64"/>
      <c r="D236" s="64"/>
      <c r="E236" s="64"/>
      <c r="F236" s="64"/>
      <c r="G236" s="63"/>
      <c r="H236" s="64"/>
      <c r="I236" s="64"/>
      <c r="J236" s="64"/>
      <c r="K236" s="64"/>
      <c r="L236" s="64"/>
      <c r="M236" s="64"/>
      <c r="N236" s="64"/>
      <c r="O236" s="64"/>
      <c r="P236" s="64"/>
      <c r="Q236" s="64"/>
      <c r="R236" s="64"/>
      <c r="S236" s="64"/>
      <c r="T236" s="64"/>
      <c r="U236" s="64"/>
      <c r="V236" s="64"/>
      <c r="W236" s="64"/>
      <c r="X236" s="64"/>
      <c r="Y236" s="64"/>
      <c r="Z236" s="64"/>
      <c r="AA236" s="64"/>
    </row>
    <row r="237" ht="12.75" customHeight="1">
      <c r="A237" s="63"/>
      <c r="B237" s="64"/>
      <c r="C237" s="64"/>
      <c r="D237" s="64"/>
      <c r="E237" s="64"/>
      <c r="F237" s="64"/>
      <c r="G237" s="63"/>
      <c r="H237" s="64"/>
      <c r="I237" s="64"/>
      <c r="J237" s="64"/>
      <c r="K237" s="64"/>
      <c r="L237" s="64"/>
      <c r="M237" s="64"/>
      <c r="N237" s="64"/>
      <c r="O237" s="64"/>
      <c r="P237" s="64"/>
      <c r="Q237" s="64"/>
      <c r="R237" s="64"/>
      <c r="S237" s="64"/>
      <c r="T237" s="64"/>
      <c r="U237" s="64"/>
      <c r="V237" s="64"/>
      <c r="W237" s="64"/>
      <c r="X237" s="64"/>
      <c r="Y237" s="64"/>
      <c r="Z237" s="64"/>
      <c r="AA237" s="64"/>
    </row>
    <row r="238" ht="12.75" customHeight="1">
      <c r="A238" s="63"/>
      <c r="B238" s="64"/>
      <c r="C238" s="64"/>
      <c r="D238" s="64"/>
      <c r="E238" s="64"/>
      <c r="F238" s="64"/>
      <c r="G238" s="63"/>
      <c r="H238" s="64"/>
      <c r="I238" s="64"/>
      <c r="J238" s="64"/>
      <c r="K238" s="64"/>
      <c r="L238" s="64"/>
      <c r="M238" s="64"/>
      <c r="N238" s="64"/>
      <c r="O238" s="64"/>
      <c r="P238" s="64"/>
      <c r="Q238" s="64"/>
      <c r="R238" s="64"/>
      <c r="S238" s="64"/>
      <c r="T238" s="64"/>
      <c r="U238" s="64"/>
      <c r="V238" s="64"/>
      <c r="W238" s="64"/>
      <c r="X238" s="64"/>
      <c r="Y238" s="64"/>
      <c r="Z238" s="64"/>
      <c r="AA238" s="64"/>
    </row>
    <row r="239" ht="12.75" customHeight="1">
      <c r="A239" s="63"/>
      <c r="B239" s="64"/>
      <c r="C239" s="64"/>
      <c r="D239" s="64"/>
      <c r="E239" s="64"/>
      <c r="F239" s="64"/>
      <c r="G239" s="63"/>
      <c r="H239" s="64"/>
      <c r="I239" s="64"/>
      <c r="J239" s="64"/>
      <c r="K239" s="64"/>
      <c r="L239" s="64"/>
      <c r="M239" s="64"/>
      <c r="N239" s="64"/>
      <c r="O239" s="64"/>
      <c r="P239" s="64"/>
      <c r="Q239" s="64"/>
      <c r="R239" s="64"/>
      <c r="S239" s="64"/>
      <c r="T239" s="64"/>
      <c r="U239" s="64"/>
      <c r="V239" s="64"/>
      <c r="W239" s="64"/>
      <c r="X239" s="64"/>
      <c r="Y239" s="64"/>
      <c r="Z239" s="64"/>
      <c r="AA239" s="64"/>
    </row>
    <row r="240" ht="12.75" customHeight="1">
      <c r="A240" s="63"/>
      <c r="B240" s="64"/>
      <c r="C240" s="64"/>
      <c r="D240" s="64"/>
      <c r="E240" s="64"/>
      <c r="F240" s="64"/>
      <c r="G240" s="63"/>
      <c r="H240" s="64"/>
      <c r="I240" s="64"/>
      <c r="J240" s="64"/>
      <c r="K240" s="64"/>
      <c r="L240" s="64"/>
      <c r="M240" s="64"/>
      <c r="N240" s="64"/>
      <c r="O240" s="64"/>
      <c r="P240" s="64"/>
      <c r="Q240" s="64"/>
      <c r="R240" s="64"/>
      <c r="S240" s="64"/>
      <c r="T240" s="64"/>
      <c r="U240" s="64"/>
      <c r="V240" s="64"/>
      <c r="W240" s="64"/>
      <c r="X240" s="64"/>
      <c r="Y240" s="64"/>
      <c r="Z240" s="64"/>
      <c r="AA240" s="64"/>
    </row>
    <row r="241" ht="12.75" customHeight="1">
      <c r="A241" s="63"/>
      <c r="B241" s="64"/>
      <c r="C241" s="64"/>
      <c r="D241" s="64"/>
      <c r="E241" s="64"/>
      <c r="F241" s="64"/>
      <c r="G241" s="63"/>
      <c r="H241" s="64"/>
      <c r="I241" s="64"/>
      <c r="J241" s="64"/>
      <c r="K241" s="64"/>
      <c r="L241" s="64"/>
      <c r="M241" s="64"/>
      <c r="N241" s="64"/>
      <c r="O241" s="64"/>
      <c r="P241" s="64"/>
      <c r="Q241" s="64"/>
      <c r="R241" s="64"/>
      <c r="S241" s="64"/>
      <c r="T241" s="64"/>
      <c r="U241" s="64"/>
      <c r="V241" s="64"/>
      <c r="W241" s="64"/>
      <c r="X241" s="64"/>
      <c r="Y241" s="64"/>
      <c r="Z241" s="64"/>
      <c r="AA241" s="64"/>
    </row>
    <row r="242" ht="12.75" customHeight="1">
      <c r="A242" s="63"/>
      <c r="B242" s="64"/>
      <c r="C242" s="64"/>
      <c r="D242" s="64"/>
      <c r="E242" s="64"/>
      <c r="F242" s="64"/>
      <c r="G242" s="63"/>
      <c r="H242" s="64"/>
      <c r="I242" s="64"/>
      <c r="J242" s="64"/>
      <c r="K242" s="64"/>
      <c r="L242" s="64"/>
      <c r="M242" s="64"/>
      <c r="N242" s="64"/>
      <c r="O242" s="64"/>
      <c r="P242" s="64"/>
      <c r="Q242" s="64"/>
      <c r="R242" s="64"/>
      <c r="S242" s="64"/>
      <c r="T242" s="64"/>
      <c r="U242" s="64"/>
      <c r="V242" s="64"/>
      <c r="W242" s="64"/>
      <c r="X242" s="64"/>
      <c r="Y242" s="64"/>
      <c r="Z242" s="64"/>
      <c r="AA242" s="64"/>
    </row>
    <row r="243" ht="12.75" customHeight="1">
      <c r="A243" s="63"/>
      <c r="B243" s="64"/>
      <c r="C243" s="64"/>
      <c r="D243" s="64"/>
      <c r="E243" s="64"/>
      <c r="F243" s="64"/>
      <c r="G243" s="63"/>
      <c r="H243" s="64"/>
      <c r="I243" s="64"/>
      <c r="J243" s="64"/>
      <c r="K243" s="64"/>
      <c r="L243" s="64"/>
      <c r="M243" s="64"/>
      <c r="N243" s="64"/>
      <c r="O243" s="64"/>
      <c r="P243" s="64"/>
      <c r="Q243" s="64"/>
      <c r="R243" s="64"/>
      <c r="S243" s="64"/>
      <c r="T243" s="64"/>
      <c r="U243" s="64"/>
      <c r="V243" s="64"/>
      <c r="W243" s="64"/>
      <c r="X243" s="64"/>
      <c r="Y243" s="64"/>
      <c r="Z243" s="64"/>
      <c r="AA243" s="64"/>
    </row>
    <row r="244" ht="12.75" customHeight="1">
      <c r="A244" s="63"/>
      <c r="B244" s="64"/>
      <c r="C244" s="64"/>
      <c r="D244" s="64"/>
      <c r="E244" s="64"/>
      <c r="F244" s="64"/>
      <c r="G244" s="63"/>
      <c r="H244" s="64"/>
      <c r="I244" s="64"/>
      <c r="J244" s="64"/>
      <c r="K244" s="64"/>
      <c r="L244" s="64"/>
      <c r="M244" s="64"/>
      <c r="N244" s="64"/>
      <c r="O244" s="64"/>
      <c r="P244" s="64"/>
      <c r="Q244" s="64"/>
      <c r="R244" s="64"/>
      <c r="S244" s="64"/>
      <c r="T244" s="64"/>
      <c r="U244" s="64"/>
      <c r="V244" s="64"/>
      <c r="W244" s="64"/>
      <c r="X244" s="64"/>
      <c r="Y244" s="64"/>
      <c r="Z244" s="64"/>
      <c r="AA244" s="64"/>
    </row>
    <row r="245" ht="12.75" customHeight="1">
      <c r="A245" s="63"/>
      <c r="B245" s="64"/>
      <c r="C245" s="64"/>
      <c r="D245" s="64"/>
      <c r="E245" s="64"/>
      <c r="F245" s="64"/>
      <c r="G245" s="63"/>
      <c r="H245" s="64"/>
      <c r="I245" s="64"/>
      <c r="J245" s="64"/>
      <c r="K245" s="64"/>
      <c r="L245" s="64"/>
      <c r="M245" s="64"/>
      <c r="N245" s="64"/>
      <c r="O245" s="64"/>
      <c r="P245" s="64"/>
      <c r="Q245" s="64"/>
      <c r="R245" s="64"/>
      <c r="S245" s="64"/>
      <c r="T245" s="64"/>
      <c r="U245" s="64"/>
      <c r="V245" s="64"/>
      <c r="W245" s="64"/>
      <c r="X245" s="64"/>
      <c r="Y245" s="64"/>
      <c r="Z245" s="64"/>
      <c r="AA245" s="64"/>
    </row>
    <row r="246" ht="12.75" customHeight="1">
      <c r="A246" s="63"/>
      <c r="B246" s="64"/>
      <c r="C246" s="64"/>
      <c r="D246" s="64"/>
      <c r="E246" s="64"/>
      <c r="F246" s="64"/>
      <c r="G246" s="63"/>
      <c r="H246" s="64"/>
      <c r="I246" s="64"/>
      <c r="J246" s="64"/>
      <c r="K246" s="64"/>
      <c r="L246" s="64"/>
      <c r="M246" s="64"/>
      <c r="N246" s="64"/>
      <c r="O246" s="64"/>
      <c r="P246" s="64"/>
      <c r="Q246" s="64"/>
      <c r="R246" s="64"/>
      <c r="S246" s="64"/>
      <c r="T246" s="64"/>
      <c r="U246" s="64"/>
      <c r="V246" s="64"/>
      <c r="W246" s="64"/>
      <c r="X246" s="64"/>
      <c r="Y246" s="64"/>
      <c r="Z246" s="64"/>
      <c r="AA246" s="64"/>
    </row>
    <row r="247" ht="12.75" customHeight="1">
      <c r="A247" s="63"/>
      <c r="B247" s="64"/>
      <c r="C247" s="64"/>
      <c r="D247" s="64"/>
      <c r="E247" s="64"/>
      <c r="F247" s="64"/>
      <c r="G247" s="63"/>
      <c r="H247" s="64"/>
      <c r="I247" s="64"/>
      <c r="J247" s="64"/>
      <c r="K247" s="64"/>
      <c r="L247" s="64"/>
      <c r="M247" s="64"/>
      <c r="N247" s="64"/>
      <c r="O247" s="64"/>
      <c r="P247" s="64"/>
      <c r="Q247" s="64"/>
      <c r="R247" s="64"/>
      <c r="S247" s="64"/>
      <c r="T247" s="64"/>
      <c r="U247" s="64"/>
      <c r="V247" s="64"/>
      <c r="W247" s="64"/>
      <c r="X247" s="64"/>
      <c r="Y247" s="64"/>
      <c r="Z247" s="64"/>
      <c r="AA247" s="64"/>
    </row>
    <row r="248" ht="12.75" customHeight="1">
      <c r="A248" s="63"/>
      <c r="B248" s="64"/>
      <c r="C248" s="64"/>
      <c r="D248" s="64"/>
      <c r="E248" s="64"/>
      <c r="F248" s="64"/>
      <c r="G248" s="63"/>
      <c r="H248" s="64"/>
      <c r="I248" s="64"/>
      <c r="J248" s="64"/>
      <c r="K248" s="64"/>
      <c r="L248" s="64"/>
      <c r="M248" s="64"/>
      <c r="N248" s="64"/>
      <c r="O248" s="64"/>
      <c r="P248" s="64"/>
      <c r="Q248" s="64"/>
      <c r="R248" s="64"/>
      <c r="S248" s="64"/>
      <c r="T248" s="64"/>
      <c r="U248" s="64"/>
      <c r="V248" s="64"/>
      <c r="W248" s="64"/>
      <c r="X248" s="64"/>
      <c r="Y248" s="64"/>
      <c r="Z248" s="64"/>
      <c r="AA248" s="64"/>
    </row>
    <row r="249" ht="12.75" customHeight="1">
      <c r="A249" s="63"/>
      <c r="B249" s="64"/>
      <c r="C249" s="64"/>
      <c r="D249" s="64"/>
      <c r="E249" s="64"/>
      <c r="F249" s="64"/>
      <c r="G249" s="63"/>
      <c r="H249" s="64"/>
      <c r="I249" s="64"/>
      <c r="J249" s="64"/>
      <c r="K249" s="64"/>
      <c r="L249" s="64"/>
      <c r="M249" s="64"/>
      <c r="N249" s="64"/>
      <c r="O249" s="64"/>
      <c r="P249" s="64"/>
      <c r="Q249" s="64"/>
      <c r="R249" s="64"/>
      <c r="S249" s="64"/>
      <c r="T249" s="64"/>
      <c r="U249" s="64"/>
      <c r="V249" s="64"/>
      <c r="W249" s="64"/>
      <c r="X249" s="64"/>
      <c r="Y249" s="64"/>
      <c r="Z249" s="64"/>
      <c r="AA249" s="64"/>
    </row>
    <row r="250" ht="12.75" customHeight="1">
      <c r="A250" s="63"/>
      <c r="B250" s="64"/>
      <c r="C250" s="64"/>
      <c r="D250" s="64"/>
      <c r="E250" s="64"/>
      <c r="F250" s="64"/>
      <c r="G250" s="63"/>
      <c r="H250" s="64"/>
      <c r="I250" s="64"/>
      <c r="J250" s="64"/>
      <c r="K250" s="64"/>
      <c r="L250" s="64"/>
      <c r="M250" s="64"/>
      <c r="N250" s="64"/>
      <c r="O250" s="64"/>
      <c r="P250" s="64"/>
      <c r="Q250" s="64"/>
      <c r="R250" s="64"/>
      <c r="S250" s="64"/>
      <c r="T250" s="64"/>
      <c r="U250" s="64"/>
      <c r="V250" s="64"/>
      <c r="W250" s="64"/>
      <c r="X250" s="64"/>
      <c r="Y250" s="64"/>
      <c r="Z250" s="64"/>
      <c r="AA250" s="64"/>
    </row>
    <row r="251" ht="12.75" customHeight="1">
      <c r="A251" s="63"/>
      <c r="B251" s="64"/>
      <c r="C251" s="64"/>
      <c r="D251" s="64"/>
      <c r="E251" s="64"/>
      <c r="F251" s="64"/>
      <c r="G251" s="63"/>
      <c r="H251" s="64"/>
      <c r="I251" s="64"/>
      <c r="J251" s="64"/>
      <c r="K251" s="64"/>
      <c r="L251" s="64"/>
      <c r="M251" s="64"/>
      <c r="N251" s="64"/>
      <c r="O251" s="64"/>
      <c r="P251" s="64"/>
      <c r="Q251" s="64"/>
      <c r="R251" s="64"/>
      <c r="S251" s="64"/>
      <c r="T251" s="64"/>
      <c r="U251" s="64"/>
      <c r="V251" s="64"/>
      <c r="W251" s="64"/>
      <c r="X251" s="64"/>
      <c r="Y251" s="64"/>
      <c r="Z251" s="64"/>
      <c r="AA251" s="64"/>
    </row>
    <row r="252" ht="12.75" customHeight="1">
      <c r="A252" s="63"/>
      <c r="B252" s="64"/>
      <c r="C252" s="64"/>
      <c r="D252" s="64"/>
      <c r="E252" s="64"/>
      <c r="F252" s="64"/>
      <c r="G252" s="63"/>
      <c r="H252" s="64"/>
      <c r="I252" s="64"/>
      <c r="J252" s="64"/>
      <c r="K252" s="64"/>
      <c r="L252" s="64"/>
      <c r="M252" s="64"/>
      <c r="N252" s="64"/>
      <c r="O252" s="64"/>
      <c r="P252" s="64"/>
      <c r="Q252" s="64"/>
      <c r="R252" s="64"/>
      <c r="S252" s="64"/>
      <c r="T252" s="64"/>
      <c r="U252" s="64"/>
      <c r="V252" s="64"/>
      <c r="W252" s="64"/>
      <c r="X252" s="64"/>
      <c r="Y252" s="64"/>
      <c r="Z252" s="64"/>
      <c r="AA252" s="64"/>
    </row>
    <row r="253" ht="12.75" customHeight="1">
      <c r="A253" s="63"/>
      <c r="B253" s="64"/>
      <c r="C253" s="64"/>
      <c r="D253" s="64"/>
      <c r="E253" s="64"/>
      <c r="F253" s="64"/>
      <c r="G253" s="63"/>
      <c r="H253" s="64"/>
      <c r="I253" s="64"/>
      <c r="J253" s="64"/>
      <c r="K253" s="64"/>
      <c r="L253" s="64"/>
      <c r="M253" s="64"/>
      <c r="N253" s="64"/>
      <c r="O253" s="64"/>
      <c r="P253" s="64"/>
      <c r="Q253" s="64"/>
      <c r="R253" s="64"/>
      <c r="S253" s="64"/>
      <c r="T253" s="64"/>
      <c r="U253" s="64"/>
      <c r="V253" s="64"/>
      <c r="W253" s="64"/>
      <c r="X253" s="64"/>
      <c r="Y253" s="64"/>
      <c r="Z253" s="64"/>
      <c r="AA253" s="64"/>
    </row>
    <row r="254" ht="12.75" customHeight="1">
      <c r="A254" s="63"/>
      <c r="B254" s="64"/>
      <c r="C254" s="64"/>
      <c r="D254" s="64"/>
      <c r="E254" s="64"/>
      <c r="F254" s="64"/>
      <c r="G254" s="63"/>
      <c r="H254" s="64"/>
      <c r="I254" s="64"/>
      <c r="J254" s="64"/>
      <c r="K254" s="64"/>
      <c r="L254" s="64"/>
      <c r="M254" s="64"/>
      <c r="N254" s="64"/>
      <c r="O254" s="64"/>
      <c r="P254" s="64"/>
      <c r="Q254" s="64"/>
      <c r="R254" s="64"/>
      <c r="S254" s="64"/>
      <c r="T254" s="64"/>
      <c r="U254" s="64"/>
      <c r="V254" s="64"/>
      <c r="W254" s="64"/>
      <c r="X254" s="64"/>
      <c r="Y254" s="64"/>
      <c r="Z254" s="64"/>
      <c r="AA254" s="64"/>
    </row>
    <row r="255" ht="12.75" customHeight="1">
      <c r="A255" s="63"/>
      <c r="B255" s="64"/>
      <c r="C255" s="64"/>
      <c r="D255" s="64"/>
      <c r="E255" s="64"/>
      <c r="F255" s="64"/>
      <c r="G255" s="63"/>
      <c r="H255" s="64"/>
      <c r="I255" s="64"/>
      <c r="J255" s="64"/>
      <c r="K255" s="64"/>
      <c r="L255" s="64"/>
      <c r="M255" s="64"/>
      <c r="N255" s="64"/>
      <c r="O255" s="64"/>
      <c r="P255" s="64"/>
      <c r="Q255" s="64"/>
      <c r="R255" s="64"/>
      <c r="S255" s="64"/>
      <c r="T255" s="64"/>
      <c r="U255" s="64"/>
      <c r="V255" s="64"/>
      <c r="W255" s="64"/>
      <c r="X255" s="64"/>
      <c r="Y255" s="64"/>
      <c r="Z255" s="64"/>
      <c r="AA255" s="64"/>
    </row>
    <row r="256" ht="12.75" customHeight="1">
      <c r="A256" s="63"/>
      <c r="B256" s="64"/>
      <c r="C256" s="64"/>
      <c r="D256" s="64"/>
      <c r="E256" s="64"/>
      <c r="F256" s="64"/>
      <c r="G256" s="63"/>
      <c r="H256" s="64"/>
      <c r="I256" s="64"/>
      <c r="J256" s="64"/>
      <c r="K256" s="64"/>
      <c r="L256" s="64"/>
      <c r="M256" s="64"/>
      <c r="N256" s="64"/>
      <c r="O256" s="64"/>
      <c r="P256" s="64"/>
      <c r="Q256" s="64"/>
      <c r="R256" s="64"/>
      <c r="S256" s="64"/>
      <c r="T256" s="64"/>
      <c r="U256" s="64"/>
      <c r="V256" s="64"/>
      <c r="W256" s="64"/>
      <c r="X256" s="64"/>
      <c r="Y256" s="64"/>
      <c r="Z256" s="64"/>
      <c r="AA256" s="64"/>
    </row>
    <row r="257" ht="12.75" customHeight="1">
      <c r="A257" s="63"/>
      <c r="B257" s="64"/>
      <c r="C257" s="64"/>
      <c r="D257" s="64"/>
      <c r="E257" s="64"/>
      <c r="F257" s="64"/>
      <c r="G257" s="63"/>
      <c r="H257" s="64"/>
      <c r="I257" s="64"/>
      <c r="J257" s="64"/>
      <c r="K257" s="64"/>
      <c r="L257" s="64"/>
      <c r="M257" s="64"/>
      <c r="N257" s="64"/>
      <c r="O257" s="64"/>
      <c r="P257" s="64"/>
      <c r="Q257" s="64"/>
      <c r="R257" s="64"/>
      <c r="S257" s="64"/>
      <c r="T257" s="64"/>
      <c r="U257" s="64"/>
      <c r="V257" s="64"/>
      <c r="W257" s="64"/>
      <c r="X257" s="64"/>
      <c r="Y257" s="64"/>
      <c r="Z257" s="64"/>
      <c r="AA257" s="64"/>
    </row>
    <row r="258" ht="12.75" customHeight="1">
      <c r="A258" s="63"/>
      <c r="B258" s="64"/>
      <c r="C258" s="64"/>
      <c r="D258" s="64"/>
      <c r="E258" s="64"/>
      <c r="F258" s="64"/>
      <c r="G258" s="63"/>
      <c r="H258" s="64"/>
      <c r="I258" s="64"/>
      <c r="J258" s="64"/>
      <c r="K258" s="64"/>
      <c r="L258" s="64"/>
      <c r="M258" s="64"/>
      <c r="N258" s="64"/>
      <c r="O258" s="64"/>
      <c r="P258" s="64"/>
      <c r="Q258" s="64"/>
      <c r="R258" s="64"/>
      <c r="S258" s="64"/>
      <c r="T258" s="64"/>
      <c r="U258" s="64"/>
      <c r="V258" s="64"/>
      <c r="W258" s="64"/>
      <c r="X258" s="64"/>
      <c r="Y258" s="64"/>
      <c r="Z258" s="64"/>
      <c r="AA258" s="64"/>
    </row>
    <row r="259" ht="12.75" customHeight="1">
      <c r="A259" s="63"/>
      <c r="B259" s="64"/>
      <c r="C259" s="64"/>
      <c r="D259" s="64"/>
      <c r="E259" s="64"/>
      <c r="F259" s="64"/>
      <c r="G259" s="63"/>
      <c r="H259" s="64"/>
      <c r="I259" s="64"/>
      <c r="J259" s="64"/>
      <c r="K259" s="64"/>
      <c r="L259" s="64"/>
      <c r="M259" s="64"/>
      <c r="N259" s="64"/>
      <c r="O259" s="64"/>
      <c r="P259" s="64"/>
      <c r="Q259" s="64"/>
      <c r="R259" s="64"/>
      <c r="S259" s="64"/>
      <c r="T259" s="64"/>
      <c r="U259" s="64"/>
      <c r="V259" s="64"/>
      <c r="W259" s="64"/>
      <c r="X259" s="64"/>
      <c r="Y259" s="64"/>
      <c r="Z259" s="64"/>
      <c r="AA259" s="64"/>
    </row>
    <row r="260" ht="12.75" customHeight="1">
      <c r="A260" s="63"/>
      <c r="B260" s="64"/>
      <c r="C260" s="64"/>
      <c r="D260" s="64"/>
      <c r="E260" s="64"/>
      <c r="F260" s="64"/>
      <c r="G260" s="63"/>
      <c r="H260" s="64"/>
      <c r="I260" s="64"/>
      <c r="J260" s="64"/>
      <c r="K260" s="64"/>
      <c r="L260" s="64"/>
      <c r="M260" s="64"/>
      <c r="N260" s="64"/>
      <c r="O260" s="64"/>
      <c r="P260" s="64"/>
      <c r="Q260" s="64"/>
      <c r="R260" s="64"/>
      <c r="S260" s="64"/>
      <c r="T260" s="64"/>
      <c r="U260" s="64"/>
      <c r="V260" s="64"/>
      <c r="W260" s="64"/>
      <c r="X260" s="64"/>
      <c r="Y260" s="64"/>
      <c r="Z260" s="64"/>
      <c r="AA260" s="64"/>
    </row>
    <row r="261" ht="12.75" customHeight="1">
      <c r="A261" s="63"/>
      <c r="B261" s="64"/>
      <c r="C261" s="64"/>
      <c r="D261" s="64"/>
      <c r="E261" s="64"/>
      <c r="F261" s="64"/>
      <c r="G261" s="63"/>
      <c r="H261" s="64"/>
      <c r="I261" s="64"/>
      <c r="J261" s="64"/>
      <c r="K261" s="64"/>
      <c r="L261" s="64"/>
      <c r="M261" s="64"/>
      <c r="N261" s="64"/>
      <c r="O261" s="64"/>
      <c r="P261" s="64"/>
      <c r="Q261" s="64"/>
      <c r="R261" s="64"/>
      <c r="S261" s="64"/>
      <c r="T261" s="64"/>
      <c r="U261" s="64"/>
      <c r="V261" s="64"/>
      <c r="W261" s="64"/>
      <c r="X261" s="64"/>
      <c r="Y261" s="64"/>
      <c r="Z261" s="64"/>
      <c r="AA261" s="64"/>
    </row>
    <row r="262" ht="12.75" customHeight="1">
      <c r="A262" s="63"/>
      <c r="B262" s="64"/>
      <c r="C262" s="64"/>
      <c r="D262" s="64"/>
      <c r="E262" s="64"/>
      <c r="F262" s="64"/>
      <c r="G262" s="63"/>
      <c r="H262" s="64"/>
      <c r="I262" s="64"/>
      <c r="J262" s="64"/>
      <c r="K262" s="64"/>
      <c r="L262" s="64"/>
      <c r="M262" s="64"/>
      <c r="N262" s="64"/>
      <c r="O262" s="64"/>
      <c r="P262" s="64"/>
      <c r="Q262" s="64"/>
      <c r="R262" s="64"/>
      <c r="S262" s="64"/>
      <c r="T262" s="64"/>
      <c r="U262" s="64"/>
      <c r="V262" s="64"/>
      <c r="W262" s="64"/>
      <c r="X262" s="64"/>
      <c r="Y262" s="64"/>
      <c r="Z262" s="64"/>
      <c r="AA262" s="64"/>
    </row>
    <row r="263" ht="12.75" customHeight="1">
      <c r="A263" s="63"/>
      <c r="B263" s="64"/>
      <c r="C263" s="64"/>
      <c r="D263" s="64"/>
      <c r="E263" s="64"/>
      <c r="F263" s="64"/>
      <c r="G263" s="63"/>
      <c r="H263" s="64"/>
      <c r="I263" s="64"/>
      <c r="J263" s="64"/>
      <c r="K263" s="64"/>
      <c r="L263" s="64"/>
      <c r="M263" s="64"/>
      <c r="N263" s="64"/>
      <c r="O263" s="64"/>
      <c r="P263" s="64"/>
      <c r="Q263" s="64"/>
      <c r="R263" s="64"/>
      <c r="S263" s="64"/>
      <c r="T263" s="64"/>
      <c r="U263" s="64"/>
      <c r="V263" s="64"/>
      <c r="W263" s="64"/>
      <c r="X263" s="64"/>
      <c r="Y263" s="64"/>
      <c r="Z263" s="64"/>
      <c r="AA263" s="64"/>
    </row>
    <row r="264" ht="12.75" customHeight="1">
      <c r="A264" s="63"/>
      <c r="B264" s="64"/>
      <c r="C264" s="64"/>
      <c r="D264" s="64"/>
      <c r="E264" s="64"/>
      <c r="F264" s="64"/>
      <c r="G264" s="63"/>
      <c r="H264" s="64"/>
      <c r="I264" s="64"/>
      <c r="J264" s="64"/>
      <c r="K264" s="64"/>
      <c r="L264" s="64"/>
      <c r="M264" s="64"/>
      <c r="N264" s="64"/>
      <c r="O264" s="64"/>
      <c r="P264" s="64"/>
      <c r="Q264" s="64"/>
      <c r="R264" s="64"/>
      <c r="S264" s="64"/>
      <c r="T264" s="64"/>
      <c r="U264" s="64"/>
      <c r="V264" s="64"/>
      <c r="W264" s="64"/>
      <c r="X264" s="64"/>
      <c r="Y264" s="64"/>
      <c r="Z264" s="64"/>
      <c r="AA264" s="64"/>
    </row>
    <row r="265" ht="12.75" customHeight="1">
      <c r="A265" s="63"/>
      <c r="B265" s="64"/>
      <c r="C265" s="64"/>
      <c r="D265" s="64"/>
      <c r="E265" s="64"/>
      <c r="F265" s="64"/>
      <c r="G265" s="63"/>
      <c r="H265" s="64"/>
      <c r="I265" s="64"/>
      <c r="J265" s="64"/>
      <c r="K265" s="64"/>
      <c r="L265" s="64"/>
      <c r="M265" s="64"/>
      <c r="N265" s="64"/>
      <c r="O265" s="64"/>
      <c r="P265" s="64"/>
      <c r="Q265" s="64"/>
      <c r="R265" s="64"/>
      <c r="S265" s="64"/>
      <c r="T265" s="64"/>
      <c r="U265" s="64"/>
      <c r="V265" s="64"/>
      <c r="W265" s="64"/>
      <c r="X265" s="64"/>
      <c r="Y265" s="64"/>
      <c r="Z265" s="64"/>
      <c r="AA265" s="64"/>
    </row>
    <row r="266" ht="12.75" customHeight="1">
      <c r="A266" s="63"/>
      <c r="B266" s="64"/>
      <c r="C266" s="64"/>
      <c r="D266" s="64"/>
      <c r="E266" s="64"/>
      <c r="F266" s="64"/>
      <c r="G266" s="63"/>
      <c r="H266" s="64"/>
      <c r="I266" s="64"/>
      <c r="J266" s="64"/>
      <c r="K266" s="64"/>
      <c r="L266" s="64"/>
      <c r="M266" s="64"/>
      <c r="N266" s="64"/>
      <c r="O266" s="64"/>
      <c r="P266" s="64"/>
      <c r="Q266" s="64"/>
      <c r="R266" s="64"/>
      <c r="S266" s="64"/>
      <c r="T266" s="64"/>
      <c r="U266" s="64"/>
      <c r="V266" s="64"/>
      <c r="W266" s="64"/>
      <c r="X266" s="64"/>
      <c r="Y266" s="64"/>
      <c r="Z266" s="64"/>
      <c r="AA266" s="64"/>
    </row>
    <row r="267" ht="12.75" customHeight="1">
      <c r="A267" s="63"/>
      <c r="B267" s="64"/>
      <c r="C267" s="64"/>
      <c r="D267" s="64"/>
      <c r="E267" s="64"/>
      <c r="F267" s="64"/>
      <c r="G267" s="63"/>
      <c r="H267" s="64"/>
      <c r="I267" s="64"/>
      <c r="J267" s="64"/>
      <c r="K267" s="64"/>
      <c r="L267" s="64"/>
      <c r="M267" s="64"/>
      <c r="N267" s="64"/>
      <c r="O267" s="64"/>
      <c r="P267" s="64"/>
      <c r="Q267" s="64"/>
      <c r="R267" s="64"/>
      <c r="S267" s="64"/>
      <c r="T267" s="64"/>
      <c r="U267" s="64"/>
      <c r="V267" s="64"/>
      <c r="W267" s="64"/>
      <c r="X267" s="64"/>
      <c r="Y267" s="64"/>
      <c r="Z267" s="64"/>
      <c r="AA267" s="64"/>
    </row>
    <row r="268" ht="12.75" customHeight="1">
      <c r="A268" s="63"/>
      <c r="B268" s="64"/>
      <c r="C268" s="64"/>
      <c r="D268" s="64"/>
      <c r="E268" s="64"/>
      <c r="F268" s="64"/>
      <c r="G268" s="63"/>
      <c r="H268" s="64"/>
      <c r="I268" s="64"/>
      <c r="J268" s="64"/>
      <c r="K268" s="64"/>
      <c r="L268" s="64"/>
      <c r="M268" s="64"/>
      <c r="N268" s="64"/>
      <c r="O268" s="64"/>
      <c r="P268" s="64"/>
      <c r="Q268" s="64"/>
      <c r="R268" s="64"/>
      <c r="S268" s="64"/>
      <c r="T268" s="64"/>
      <c r="U268" s="64"/>
      <c r="V268" s="64"/>
      <c r="W268" s="64"/>
      <c r="X268" s="64"/>
      <c r="Y268" s="64"/>
      <c r="Z268" s="64"/>
      <c r="AA268" s="64"/>
    </row>
    <row r="269" ht="12.75" customHeight="1">
      <c r="A269" s="63"/>
      <c r="B269" s="64"/>
      <c r="C269" s="64"/>
      <c r="D269" s="64"/>
      <c r="E269" s="64"/>
      <c r="F269" s="64"/>
      <c r="G269" s="63"/>
      <c r="H269" s="64"/>
      <c r="I269" s="64"/>
      <c r="J269" s="64"/>
      <c r="K269" s="64"/>
      <c r="L269" s="64"/>
      <c r="M269" s="64"/>
      <c r="N269" s="64"/>
      <c r="O269" s="64"/>
      <c r="P269" s="64"/>
      <c r="Q269" s="64"/>
      <c r="R269" s="64"/>
      <c r="S269" s="64"/>
      <c r="T269" s="64"/>
      <c r="U269" s="64"/>
      <c r="V269" s="64"/>
      <c r="W269" s="64"/>
      <c r="X269" s="64"/>
      <c r="Y269" s="64"/>
      <c r="Z269" s="64"/>
      <c r="AA269" s="64"/>
    </row>
    <row r="270" ht="12.75" customHeight="1">
      <c r="A270" s="63"/>
      <c r="B270" s="64"/>
      <c r="C270" s="64"/>
      <c r="D270" s="64"/>
      <c r="E270" s="64"/>
      <c r="F270" s="64"/>
      <c r="G270" s="63"/>
      <c r="H270" s="64"/>
      <c r="I270" s="64"/>
      <c r="J270" s="64"/>
      <c r="K270" s="64"/>
      <c r="L270" s="64"/>
      <c r="M270" s="64"/>
      <c r="N270" s="64"/>
      <c r="O270" s="64"/>
      <c r="P270" s="64"/>
      <c r="Q270" s="64"/>
      <c r="R270" s="64"/>
      <c r="S270" s="64"/>
      <c r="T270" s="64"/>
      <c r="U270" s="64"/>
      <c r="V270" s="64"/>
      <c r="W270" s="64"/>
      <c r="X270" s="64"/>
      <c r="Y270" s="64"/>
      <c r="Z270" s="64"/>
      <c r="AA270" s="64"/>
    </row>
    <row r="271" ht="12.75" customHeight="1">
      <c r="A271" s="63"/>
      <c r="B271" s="64"/>
      <c r="C271" s="64"/>
      <c r="D271" s="64"/>
      <c r="E271" s="64"/>
      <c r="F271" s="64"/>
      <c r="G271" s="63"/>
      <c r="H271" s="64"/>
      <c r="I271" s="64"/>
      <c r="J271" s="64"/>
      <c r="K271" s="64"/>
      <c r="L271" s="64"/>
      <c r="M271" s="64"/>
      <c r="N271" s="64"/>
      <c r="O271" s="64"/>
      <c r="P271" s="64"/>
      <c r="Q271" s="64"/>
      <c r="R271" s="64"/>
      <c r="S271" s="64"/>
      <c r="T271" s="64"/>
      <c r="U271" s="64"/>
      <c r="V271" s="64"/>
      <c r="W271" s="64"/>
      <c r="X271" s="64"/>
      <c r="Y271" s="64"/>
      <c r="Z271" s="64"/>
      <c r="AA271" s="64"/>
    </row>
    <row r="272" ht="12.75" customHeight="1">
      <c r="A272" s="63"/>
      <c r="B272" s="64"/>
      <c r="C272" s="64"/>
      <c r="D272" s="64"/>
      <c r="E272" s="64"/>
      <c r="F272" s="64"/>
      <c r="G272" s="63"/>
      <c r="H272" s="64"/>
      <c r="I272" s="64"/>
      <c r="J272" s="64"/>
      <c r="K272" s="64"/>
      <c r="L272" s="64"/>
      <c r="M272" s="64"/>
      <c r="N272" s="64"/>
      <c r="O272" s="64"/>
      <c r="P272" s="64"/>
      <c r="Q272" s="64"/>
      <c r="R272" s="64"/>
      <c r="S272" s="64"/>
      <c r="T272" s="64"/>
      <c r="U272" s="64"/>
      <c r="V272" s="64"/>
      <c r="W272" s="64"/>
      <c r="X272" s="64"/>
      <c r="Y272" s="64"/>
      <c r="Z272" s="64"/>
      <c r="AA272" s="64"/>
    </row>
    <row r="273" ht="12.75" customHeight="1">
      <c r="A273" s="63"/>
      <c r="B273" s="64"/>
      <c r="C273" s="64"/>
      <c r="D273" s="64"/>
      <c r="E273" s="64"/>
      <c r="F273" s="64"/>
      <c r="G273" s="63"/>
      <c r="H273" s="64"/>
      <c r="I273" s="64"/>
      <c r="J273" s="64"/>
      <c r="K273" s="64"/>
      <c r="L273" s="64"/>
      <c r="M273" s="64"/>
      <c r="N273" s="64"/>
      <c r="O273" s="64"/>
      <c r="P273" s="64"/>
      <c r="Q273" s="64"/>
      <c r="R273" s="64"/>
      <c r="S273" s="64"/>
      <c r="T273" s="64"/>
      <c r="U273" s="64"/>
      <c r="V273" s="64"/>
      <c r="W273" s="64"/>
      <c r="X273" s="64"/>
      <c r="Y273" s="64"/>
      <c r="Z273" s="64"/>
      <c r="AA273" s="64"/>
    </row>
    <row r="274" ht="12.75" customHeight="1">
      <c r="A274" s="63"/>
      <c r="B274" s="64"/>
      <c r="C274" s="64"/>
      <c r="D274" s="64"/>
      <c r="E274" s="64"/>
      <c r="F274" s="64"/>
      <c r="G274" s="63"/>
      <c r="H274" s="64"/>
      <c r="I274" s="64"/>
      <c r="J274" s="64"/>
      <c r="K274" s="64"/>
      <c r="L274" s="64"/>
      <c r="M274" s="64"/>
      <c r="N274" s="64"/>
      <c r="O274" s="64"/>
      <c r="P274" s="64"/>
      <c r="Q274" s="64"/>
      <c r="R274" s="64"/>
      <c r="S274" s="64"/>
      <c r="T274" s="64"/>
      <c r="U274" s="64"/>
      <c r="V274" s="64"/>
      <c r="W274" s="64"/>
      <c r="X274" s="64"/>
      <c r="Y274" s="64"/>
      <c r="Z274" s="64"/>
      <c r="AA274" s="64"/>
    </row>
    <row r="275" ht="12.75" customHeight="1">
      <c r="A275" s="63"/>
      <c r="B275" s="64"/>
      <c r="C275" s="64"/>
      <c r="D275" s="64"/>
      <c r="E275" s="64"/>
      <c r="F275" s="64"/>
      <c r="G275" s="63"/>
      <c r="H275" s="64"/>
      <c r="I275" s="64"/>
      <c r="J275" s="64"/>
      <c r="K275" s="64"/>
      <c r="L275" s="64"/>
      <c r="M275" s="64"/>
      <c r="N275" s="64"/>
      <c r="O275" s="64"/>
      <c r="P275" s="64"/>
      <c r="Q275" s="64"/>
      <c r="R275" s="64"/>
      <c r="S275" s="64"/>
      <c r="T275" s="64"/>
      <c r="U275" s="64"/>
      <c r="V275" s="64"/>
      <c r="W275" s="64"/>
      <c r="X275" s="64"/>
      <c r="Y275" s="64"/>
      <c r="Z275" s="64"/>
      <c r="AA275" s="64"/>
    </row>
    <row r="276" ht="12.75" customHeight="1">
      <c r="A276" s="63"/>
      <c r="B276" s="64"/>
      <c r="C276" s="64"/>
      <c r="D276" s="64"/>
      <c r="E276" s="64"/>
      <c r="F276" s="64"/>
      <c r="G276" s="63"/>
      <c r="H276" s="64"/>
      <c r="I276" s="64"/>
      <c r="J276" s="64"/>
      <c r="K276" s="64"/>
      <c r="L276" s="64"/>
      <c r="M276" s="64"/>
      <c r="N276" s="64"/>
      <c r="O276" s="64"/>
      <c r="P276" s="64"/>
      <c r="Q276" s="64"/>
      <c r="R276" s="64"/>
      <c r="S276" s="64"/>
      <c r="T276" s="64"/>
      <c r="U276" s="64"/>
      <c r="V276" s="64"/>
      <c r="W276" s="64"/>
      <c r="X276" s="64"/>
      <c r="Y276" s="64"/>
      <c r="Z276" s="64"/>
      <c r="AA276" s="64"/>
    </row>
    <row r="277" ht="12.75" customHeight="1">
      <c r="A277" s="63"/>
      <c r="B277" s="64"/>
      <c r="C277" s="64"/>
      <c r="D277" s="64"/>
      <c r="E277" s="64"/>
      <c r="F277" s="64"/>
      <c r="G277" s="63"/>
      <c r="H277" s="64"/>
      <c r="I277" s="64"/>
      <c r="J277" s="64"/>
      <c r="K277" s="64"/>
      <c r="L277" s="64"/>
      <c r="M277" s="64"/>
      <c r="N277" s="64"/>
      <c r="O277" s="64"/>
      <c r="P277" s="64"/>
      <c r="Q277" s="64"/>
      <c r="R277" s="64"/>
      <c r="S277" s="64"/>
      <c r="T277" s="64"/>
      <c r="U277" s="64"/>
      <c r="V277" s="64"/>
      <c r="W277" s="64"/>
      <c r="X277" s="64"/>
      <c r="Y277" s="64"/>
      <c r="Z277" s="64"/>
      <c r="AA277" s="64"/>
    </row>
    <row r="278" ht="12.75" customHeight="1">
      <c r="A278" s="63"/>
      <c r="B278" s="64"/>
      <c r="C278" s="64"/>
      <c r="D278" s="64"/>
      <c r="E278" s="64"/>
      <c r="F278" s="64"/>
      <c r="G278" s="63"/>
      <c r="H278" s="64"/>
      <c r="I278" s="64"/>
      <c r="J278" s="64"/>
      <c r="K278" s="64"/>
      <c r="L278" s="64"/>
      <c r="M278" s="64"/>
      <c r="N278" s="64"/>
      <c r="O278" s="64"/>
      <c r="P278" s="64"/>
      <c r="Q278" s="64"/>
      <c r="R278" s="64"/>
      <c r="S278" s="64"/>
      <c r="T278" s="64"/>
      <c r="U278" s="64"/>
      <c r="V278" s="64"/>
      <c r="W278" s="64"/>
      <c r="X278" s="64"/>
      <c r="Y278" s="64"/>
      <c r="Z278" s="64"/>
      <c r="AA278" s="64"/>
    </row>
    <row r="279" ht="12.75" customHeight="1">
      <c r="A279" s="63"/>
      <c r="B279" s="64"/>
      <c r="C279" s="64"/>
      <c r="D279" s="64"/>
      <c r="E279" s="64"/>
      <c r="F279" s="64"/>
      <c r="G279" s="63"/>
      <c r="H279" s="64"/>
      <c r="I279" s="64"/>
      <c r="J279" s="64"/>
      <c r="K279" s="64"/>
      <c r="L279" s="64"/>
      <c r="M279" s="64"/>
      <c r="N279" s="64"/>
      <c r="O279" s="64"/>
      <c r="P279" s="64"/>
      <c r="Q279" s="64"/>
      <c r="R279" s="64"/>
      <c r="S279" s="64"/>
      <c r="T279" s="64"/>
      <c r="U279" s="64"/>
      <c r="V279" s="64"/>
      <c r="W279" s="64"/>
      <c r="X279" s="64"/>
      <c r="Y279" s="64"/>
      <c r="Z279" s="64"/>
      <c r="AA279" s="64"/>
    </row>
    <row r="280" ht="12.75" customHeight="1">
      <c r="A280" s="63"/>
      <c r="B280" s="64"/>
      <c r="C280" s="64"/>
      <c r="D280" s="64"/>
      <c r="E280" s="64"/>
      <c r="F280" s="64"/>
      <c r="G280" s="63"/>
      <c r="H280" s="64"/>
      <c r="I280" s="64"/>
      <c r="J280" s="64"/>
      <c r="K280" s="64"/>
      <c r="L280" s="64"/>
      <c r="M280" s="64"/>
      <c r="N280" s="64"/>
      <c r="O280" s="64"/>
      <c r="P280" s="64"/>
      <c r="Q280" s="64"/>
      <c r="R280" s="64"/>
      <c r="S280" s="64"/>
      <c r="T280" s="64"/>
      <c r="U280" s="64"/>
      <c r="V280" s="64"/>
      <c r="W280" s="64"/>
      <c r="X280" s="64"/>
      <c r="Y280" s="64"/>
      <c r="Z280" s="64"/>
      <c r="AA280" s="64"/>
    </row>
    <row r="281" ht="12.75" customHeight="1">
      <c r="A281" s="63"/>
      <c r="B281" s="64"/>
      <c r="C281" s="64"/>
      <c r="D281" s="64"/>
      <c r="E281" s="64"/>
      <c r="F281" s="64"/>
      <c r="G281" s="63"/>
      <c r="H281" s="64"/>
      <c r="I281" s="64"/>
      <c r="J281" s="64"/>
      <c r="K281" s="64"/>
      <c r="L281" s="64"/>
      <c r="M281" s="64"/>
      <c r="N281" s="64"/>
      <c r="O281" s="64"/>
      <c r="P281" s="64"/>
      <c r="Q281" s="64"/>
      <c r="R281" s="64"/>
      <c r="S281" s="64"/>
      <c r="T281" s="64"/>
      <c r="U281" s="64"/>
      <c r="V281" s="64"/>
      <c r="W281" s="64"/>
      <c r="X281" s="64"/>
      <c r="Y281" s="64"/>
      <c r="Z281" s="64"/>
      <c r="AA281" s="64"/>
    </row>
    <row r="282" ht="12.75" customHeight="1">
      <c r="A282" s="63"/>
      <c r="B282" s="64"/>
      <c r="C282" s="64"/>
      <c r="D282" s="64"/>
      <c r="E282" s="64"/>
      <c r="F282" s="64"/>
      <c r="G282" s="63"/>
      <c r="H282" s="64"/>
      <c r="I282" s="64"/>
      <c r="J282" s="64"/>
      <c r="K282" s="64"/>
      <c r="L282" s="64"/>
      <c r="M282" s="64"/>
      <c r="N282" s="64"/>
      <c r="O282" s="64"/>
      <c r="P282" s="64"/>
      <c r="Q282" s="64"/>
      <c r="R282" s="64"/>
      <c r="S282" s="64"/>
      <c r="T282" s="64"/>
      <c r="U282" s="64"/>
      <c r="V282" s="64"/>
      <c r="W282" s="64"/>
      <c r="X282" s="64"/>
      <c r="Y282" s="64"/>
      <c r="Z282" s="64"/>
      <c r="AA282" s="64"/>
    </row>
    <row r="283" ht="12.75" customHeight="1">
      <c r="A283" s="63"/>
      <c r="B283" s="64"/>
      <c r="C283" s="64"/>
      <c r="D283" s="64"/>
      <c r="E283" s="64"/>
      <c r="F283" s="64"/>
      <c r="G283" s="63"/>
      <c r="H283" s="64"/>
      <c r="I283" s="64"/>
      <c r="J283" s="64"/>
      <c r="K283" s="64"/>
      <c r="L283" s="64"/>
      <c r="M283" s="64"/>
      <c r="N283" s="64"/>
      <c r="O283" s="64"/>
      <c r="P283" s="64"/>
      <c r="Q283" s="64"/>
      <c r="R283" s="64"/>
      <c r="S283" s="64"/>
      <c r="T283" s="64"/>
      <c r="U283" s="64"/>
      <c r="V283" s="64"/>
      <c r="W283" s="64"/>
      <c r="X283" s="64"/>
      <c r="Y283" s="64"/>
      <c r="Z283" s="64"/>
      <c r="AA283" s="64"/>
    </row>
    <row r="284" ht="12.75" customHeight="1">
      <c r="A284" s="63"/>
      <c r="B284" s="64"/>
      <c r="C284" s="64"/>
      <c r="D284" s="64"/>
      <c r="E284" s="64"/>
      <c r="F284" s="64"/>
      <c r="G284" s="63"/>
      <c r="H284" s="64"/>
      <c r="I284" s="64"/>
      <c r="J284" s="64"/>
      <c r="K284" s="64"/>
      <c r="L284" s="64"/>
      <c r="M284" s="64"/>
      <c r="N284" s="64"/>
      <c r="O284" s="64"/>
      <c r="P284" s="64"/>
      <c r="Q284" s="64"/>
      <c r="R284" s="64"/>
      <c r="S284" s="64"/>
      <c r="T284" s="64"/>
      <c r="U284" s="64"/>
      <c r="V284" s="64"/>
      <c r="W284" s="64"/>
      <c r="X284" s="64"/>
      <c r="Y284" s="64"/>
      <c r="Z284" s="64"/>
      <c r="AA284" s="64"/>
    </row>
    <row r="285" ht="12.75" customHeight="1">
      <c r="A285" s="63"/>
      <c r="B285" s="64"/>
      <c r="C285" s="64"/>
      <c r="D285" s="64"/>
      <c r="E285" s="64"/>
      <c r="F285" s="64"/>
      <c r="G285" s="63"/>
      <c r="H285" s="64"/>
      <c r="I285" s="64"/>
      <c r="J285" s="64"/>
      <c r="K285" s="64"/>
      <c r="L285" s="64"/>
      <c r="M285" s="64"/>
      <c r="N285" s="64"/>
      <c r="O285" s="64"/>
      <c r="P285" s="64"/>
      <c r="Q285" s="64"/>
      <c r="R285" s="64"/>
      <c r="S285" s="64"/>
      <c r="T285" s="64"/>
      <c r="U285" s="64"/>
      <c r="V285" s="64"/>
      <c r="W285" s="64"/>
      <c r="X285" s="64"/>
      <c r="Y285" s="64"/>
      <c r="Z285" s="64"/>
      <c r="AA285" s="64"/>
    </row>
    <row r="286" ht="12.75" customHeight="1">
      <c r="A286" s="63"/>
      <c r="B286" s="64"/>
      <c r="C286" s="64"/>
      <c r="D286" s="64"/>
      <c r="E286" s="64"/>
      <c r="F286" s="64"/>
      <c r="G286" s="63"/>
      <c r="H286" s="64"/>
      <c r="I286" s="64"/>
      <c r="J286" s="64"/>
      <c r="K286" s="64"/>
      <c r="L286" s="64"/>
      <c r="M286" s="64"/>
      <c r="N286" s="64"/>
      <c r="O286" s="64"/>
      <c r="P286" s="64"/>
      <c r="Q286" s="64"/>
      <c r="R286" s="64"/>
      <c r="S286" s="64"/>
      <c r="T286" s="64"/>
      <c r="U286" s="64"/>
      <c r="V286" s="64"/>
      <c r="W286" s="64"/>
      <c r="X286" s="64"/>
      <c r="Y286" s="64"/>
      <c r="Z286" s="64"/>
      <c r="AA286" s="64"/>
    </row>
    <row r="287" ht="12.75" customHeight="1">
      <c r="A287" s="63"/>
      <c r="B287" s="64"/>
      <c r="C287" s="64"/>
      <c r="D287" s="64"/>
      <c r="E287" s="64"/>
      <c r="F287" s="64"/>
      <c r="G287" s="63"/>
      <c r="H287" s="64"/>
      <c r="I287" s="64"/>
      <c r="J287" s="64"/>
      <c r="K287" s="64"/>
      <c r="L287" s="64"/>
      <c r="M287" s="64"/>
      <c r="N287" s="64"/>
      <c r="O287" s="64"/>
      <c r="P287" s="64"/>
      <c r="Q287" s="64"/>
      <c r="R287" s="64"/>
      <c r="S287" s="64"/>
      <c r="T287" s="64"/>
      <c r="U287" s="64"/>
      <c r="V287" s="64"/>
      <c r="W287" s="64"/>
      <c r="X287" s="64"/>
      <c r="Y287" s="64"/>
      <c r="Z287" s="64"/>
      <c r="AA287" s="64"/>
    </row>
    <row r="288" ht="12.75" customHeight="1">
      <c r="A288" s="63"/>
      <c r="B288" s="64"/>
      <c r="C288" s="64"/>
      <c r="D288" s="64"/>
      <c r="E288" s="64"/>
      <c r="F288" s="64"/>
      <c r="G288" s="63"/>
      <c r="H288" s="64"/>
      <c r="I288" s="64"/>
      <c r="J288" s="64"/>
      <c r="K288" s="64"/>
      <c r="L288" s="64"/>
      <c r="M288" s="64"/>
      <c r="N288" s="64"/>
      <c r="O288" s="64"/>
      <c r="P288" s="64"/>
      <c r="Q288" s="64"/>
      <c r="R288" s="64"/>
      <c r="S288" s="64"/>
      <c r="T288" s="64"/>
      <c r="U288" s="64"/>
      <c r="V288" s="64"/>
      <c r="W288" s="64"/>
      <c r="X288" s="64"/>
      <c r="Y288" s="64"/>
      <c r="Z288" s="64"/>
      <c r="AA288" s="64"/>
    </row>
    <row r="289" ht="12.75" customHeight="1">
      <c r="A289" s="63"/>
      <c r="B289" s="64"/>
      <c r="C289" s="64"/>
      <c r="D289" s="64"/>
      <c r="E289" s="64"/>
      <c r="F289" s="64"/>
      <c r="G289" s="63"/>
      <c r="H289" s="64"/>
      <c r="I289" s="64"/>
      <c r="J289" s="64"/>
      <c r="K289" s="64"/>
      <c r="L289" s="64"/>
      <c r="M289" s="64"/>
      <c r="N289" s="64"/>
      <c r="O289" s="64"/>
      <c r="P289" s="64"/>
      <c r="Q289" s="64"/>
      <c r="R289" s="64"/>
      <c r="S289" s="64"/>
      <c r="T289" s="64"/>
      <c r="U289" s="64"/>
      <c r="V289" s="64"/>
      <c r="W289" s="64"/>
      <c r="X289" s="64"/>
      <c r="Y289" s="64"/>
      <c r="Z289" s="64"/>
      <c r="AA289" s="64"/>
    </row>
    <row r="290" ht="12.75" customHeight="1">
      <c r="A290" s="63"/>
      <c r="B290" s="64"/>
      <c r="C290" s="64"/>
      <c r="D290" s="64"/>
      <c r="E290" s="64"/>
      <c r="F290" s="64"/>
      <c r="G290" s="63"/>
      <c r="H290" s="64"/>
      <c r="I290" s="64"/>
      <c r="J290" s="64"/>
      <c r="K290" s="64"/>
      <c r="L290" s="64"/>
      <c r="M290" s="64"/>
      <c r="N290" s="64"/>
      <c r="O290" s="64"/>
      <c r="P290" s="64"/>
      <c r="Q290" s="64"/>
      <c r="R290" s="64"/>
      <c r="S290" s="64"/>
      <c r="T290" s="64"/>
      <c r="U290" s="64"/>
      <c r="V290" s="64"/>
      <c r="W290" s="64"/>
      <c r="X290" s="64"/>
      <c r="Y290" s="64"/>
      <c r="Z290" s="64"/>
      <c r="AA290" s="64"/>
    </row>
    <row r="291" ht="12.75" customHeight="1">
      <c r="A291" s="63"/>
      <c r="B291" s="64"/>
      <c r="C291" s="64"/>
      <c r="D291" s="64"/>
      <c r="E291" s="64"/>
      <c r="F291" s="64"/>
      <c r="G291" s="63"/>
      <c r="H291" s="64"/>
      <c r="I291" s="64"/>
      <c r="J291" s="64"/>
      <c r="K291" s="64"/>
      <c r="L291" s="64"/>
      <c r="M291" s="64"/>
      <c r="N291" s="64"/>
      <c r="O291" s="64"/>
      <c r="P291" s="64"/>
      <c r="Q291" s="64"/>
      <c r="R291" s="64"/>
      <c r="S291" s="64"/>
      <c r="T291" s="64"/>
      <c r="U291" s="64"/>
      <c r="V291" s="64"/>
      <c r="W291" s="64"/>
      <c r="X291" s="64"/>
      <c r="Y291" s="64"/>
      <c r="Z291" s="64"/>
      <c r="AA291" s="64"/>
    </row>
    <row r="292" ht="12.75" customHeight="1">
      <c r="A292" s="63"/>
      <c r="B292" s="64"/>
      <c r="C292" s="64"/>
      <c r="D292" s="64"/>
      <c r="E292" s="64"/>
      <c r="F292" s="64"/>
      <c r="G292" s="63"/>
      <c r="H292" s="64"/>
      <c r="I292" s="64"/>
      <c r="J292" s="64"/>
      <c r="K292" s="64"/>
      <c r="L292" s="64"/>
      <c r="M292" s="64"/>
      <c r="N292" s="64"/>
      <c r="O292" s="64"/>
      <c r="P292" s="64"/>
      <c r="Q292" s="64"/>
      <c r="R292" s="64"/>
      <c r="S292" s="64"/>
      <c r="T292" s="64"/>
      <c r="U292" s="64"/>
      <c r="V292" s="64"/>
      <c r="W292" s="64"/>
      <c r="X292" s="64"/>
      <c r="Y292" s="64"/>
      <c r="Z292" s="64"/>
      <c r="AA292" s="64"/>
    </row>
    <row r="293" ht="12.75" customHeight="1">
      <c r="A293" s="63"/>
      <c r="B293" s="64"/>
      <c r="C293" s="64"/>
      <c r="D293" s="64"/>
      <c r="E293" s="64"/>
      <c r="F293" s="64"/>
      <c r="G293" s="63"/>
      <c r="H293" s="64"/>
      <c r="I293" s="64"/>
      <c r="J293" s="64"/>
      <c r="K293" s="64"/>
      <c r="L293" s="64"/>
      <c r="M293" s="64"/>
      <c r="N293" s="64"/>
      <c r="O293" s="64"/>
      <c r="P293" s="64"/>
      <c r="Q293" s="64"/>
      <c r="R293" s="64"/>
      <c r="S293" s="64"/>
      <c r="T293" s="64"/>
      <c r="U293" s="64"/>
      <c r="V293" s="64"/>
      <c r="W293" s="64"/>
      <c r="X293" s="64"/>
      <c r="Y293" s="64"/>
      <c r="Z293" s="64"/>
      <c r="AA293" s="64"/>
    </row>
    <row r="294" ht="12.75" customHeight="1">
      <c r="A294" s="63"/>
      <c r="B294" s="64"/>
      <c r="C294" s="64"/>
      <c r="D294" s="64"/>
      <c r="E294" s="64"/>
      <c r="F294" s="64"/>
      <c r="G294" s="63"/>
      <c r="H294" s="64"/>
      <c r="I294" s="64"/>
      <c r="J294" s="64"/>
      <c r="K294" s="64"/>
      <c r="L294" s="64"/>
      <c r="M294" s="64"/>
      <c r="N294" s="64"/>
      <c r="O294" s="64"/>
      <c r="P294" s="64"/>
      <c r="Q294" s="64"/>
      <c r="R294" s="64"/>
      <c r="S294" s="64"/>
      <c r="T294" s="64"/>
      <c r="U294" s="64"/>
      <c r="V294" s="64"/>
      <c r="W294" s="64"/>
      <c r="X294" s="64"/>
      <c r="Y294" s="64"/>
      <c r="Z294" s="64"/>
      <c r="AA294" s="64"/>
    </row>
    <row r="295" ht="12.75" customHeight="1">
      <c r="A295" s="63"/>
      <c r="B295" s="64"/>
      <c r="C295" s="64"/>
      <c r="D295" s="64"/>
      <c r="E295" s="64"/>
      <c r="F295" s="64"/>
      <c r="G295" s="63"/>
      <c r="H295" s="64"/>
      <c r="I295" s="64"/>
      <c r="J295" s="64"/>
      <c r="K295" s="64"/>
      <c r="L295" s="64"/>
      <c r="M295" s="64"/>
      <c r="N295" s="64"/>
      <c r="O295" s="64"/>
      <c r="P295" s="64"/>
      <c r="Q295" s="64"/>
      <c r="R295" s="64"/>
      <c r="S295" s="64"/>
      <c r="T295" s="64"/>
      <c r="U295" s="64"/>
      <c r="V295" s="64"/>
      <c r="W295" s="64"/>
      <c r="X295" s="64"/>
      <c r="Y295" s="64"/>
      <c r="Z295" s="64"/>
      <c r="AA295" s="64"/>
    </row>
    <row r="296" ht="12.75" customHeight="1">
      <c r="A296" s="63"/>
      <c r="B296" s="64"/>
      <c r="C296" s="64"/>
      <c r="D296" s="64"/>
      <c r="E296" s="64"/>
      <c r="F296" s="64"/>
      <c r="G296" s="63"/>
      <c r="H296" s="64"/>
      <c r="I296" s="64"/>
      <c r="J296" s="64"/>
      <c r="K296" s="64"/>
      <c r="L296" s="64"/>
      <c r="M296" s="64"/>
      <c r="N296" s="64"/>
      <c r="O296" s="64"/>
      <c r="P296" s="64"/>
      <c r="Q296" s="64"/>
      <c r="R296" s="64"/>
      <c r="S296" s="64"/>
      <c r="T296" s="64"/>
      <c r="U296" s="64"/>
      <c r="V296" s="64"/>
      <c r="W296" s="64"/>
      <c r="X296" s="64"/>
      <c r="Y296" s="64"/>
      <c r="Z296" s="64"/>
      <c r="AA296" s="64"/>
    </row>
    <row r="297" ht="12.75" customHeight="1">
      <c r="A297" s="63"/>
      <c r="B297" s="64"/>
      <c r="C297" s="64"/>
      <c r="D297" s="64"/>
      <c r="E297" s="64"/>
      <c r="F297" s="64"/>
      <c r="G297" s="63"/>
      <c r="H297" s="64"/>
      <c r="I297" s="64"/>
      <c r="J297" s="64"/>
      <c r="K297" s="64"/>
      <c r="L297" s="64"/>
      <c r="M297" s="64"/>
      <c r="N297" s="64"/>
      <c r="O297" s="64"/>
      <c r="P297" s="64"/>
      <c r="Q297" s="64"/>
      <c r="R297" s="64"/>
      <c r="S297" s="64"/>
      <c r="T297" s="64"/>
      <c r="U297" s="64"/>
      <c r="V297" s="64"/>
      <c r="W297" s="64"/>
      <c r="X297" s="64"/>
      <c r="Y297" s="64"/>
      <c r="Z297" s="64"/>
      <c r="AA297" s="64"/>
    </row>
    <row r="298" ht="12.75" customHeight="1">
      <c r="A298" s="63"/>
      <c r="B298" s="64"/>
      <c r="C298" s="64"/>
      <c r="D298" s="64"/>
      <c r="E298" s="64"/>
      <c r="F298" s="64"/>
      <c r="G298" s="63"/>
      <c r="H298" s="64"/>
      <c r="I298" s="64"/>
      <c r="J298" s="64"/>
      <c r="K298" s="64"/>
      <c r="L298" s="64"/>
      <c r="M298" s="64"/>
      <c r="N298" s="64"/>
      <c r="O298" s="64"/>
      <c r="P298" s="64"/>
      <c r="Q298" s="64"/>
      <c r="R298" s="64"/>
      <c r="S298" s="64"/>
      <c r="T298" s="64"/>
      <c r="U298" s="64"/>
      <c r="V298" s="64"/>
      <c r="W298" s="64"/>
      <c r="X298" s="64"/>
      <c r="Y298" s="64"/>
      <c r="Z298" s="64"/>
      <c r="AA298" s="64"/>
    </row>
    <row r="299" ht="12.75" customHeight="1">
      <c r="A299" s="63"/>
      <c r="B299" s="64"/>
      <c r="C299" s="64"/>
      <c r="D299" s="64"/>
      <c r="E299" s="64"/>
      <c r="F299" s="64"/>
      <c r="G299" s="63"/>
      <c r="H299" s="64"/>
      <c r="I299" s="64"/>
      <c r="J299" s="64"/>
      <c r="K299" s="64"/>
      <c r="L299" s="64"/>
      <c r="M299" s="64"/>
      <c r="N299" s="64"/>
      <c r="O299" s="64"/>
      <c r="P299" s="64"/>
      <c r="Q299" s="64"/>
      <c r="R299" s="64"/>
      <c r="S299" s="64"/>
      <c r="T299" s="64"/>
      <c r="U299" s="64"/>
      <c r="V299" s="64"/>
      <c r="W299" s="64"/>
      <c r="X299" s="64"/>
      <c r="Y299" s="64"/>
      <c r="Z299" s="64"/>
      <c r="AA299" s="64"/>
    </row>
    <row r="300" ht="12.75" customHeight="1">
      <c r="A300" s="63"/>
      <c r="B300" s="64"/>
      <c r="C300" s="64"/>
      <c r="D300" s="64"/>
      <c r="E300" s="64"/>
      <c r="F300" s="64"/>
      <c r="G300" s="63"/>
      <c r="H300" s="64"/>
      <c r="I300" s="64"/>
      <c r="J300" s="64"/>
      <c r="K300" s="64"/>
      <c r="L300" s="64"/>
      <c r="M300" s="64"/>
      <c r="N300" s="64"/>
      <c r="O300" s="64"/>
      <c r="P300" s="64"/>
      <c r="Q300" s="64"/>
      <c r="R300" s="64"/>
      <c r="S300" s="64"/>
      <c r="T300" s="64"/>
      <c r="U300" s="64"/>
      <c r="V300" s="64"/>
      <c r="W300" s="64"/>
      <c r="X300" s="64"/>
      <c r="Y300" s="64"/>
      <c r="Z300" s="64"/>
      <c r="AA300" s="64"/>
    </row>
    <row r="301" ht="12.75" customHeight="1">
      <c r="A301" s="63"/>
      <c r="B301" s="64"/>
      <c r="C301" s="64"/>
      <c r="D301" s="64"/>
      <c r="E301" s="64"/>
      <c r="F301" s="64"/>
      <c r="G301" s="63"/>
      <c r="H301" s="64"/>
      <c r="I301" s="64"/>
      <c r="J301" s="64"/>
      <c r="K301" s="64"/>
      <c r="L301" s="64"/>
      <c r="M301" s="64"/>
      <c r="N301" s="64"/>
      <c r="O301" s="64"/>
      <c r="P301" s="64"/>
      <c r="Q301" s="64"/>
      <c r="R301" s="64"/>
      <c r="S301" s="64"/>
      <c r="T301" s="64"/>
      <c r="U301" s="64"/>
      <c r="V301" s="64"/>
      <c r="W301" s="64"/>
      <c r="X301" s="64"/>
      <c r="Y301" s="64"/>
      <c r="Z301" s="64"/>
      <c r="AA301" s="64"/>
    </row>
    <row r="302" ht="12.75" customHeight="1">
      <c r="A302" s="63"/>
      <c r="B302" s="64"/>
      <c r="C302" s="64"/>
      <c r="D302" s="64"/>
      <c r="E302" s="64"/>
      <c r="F302" s="64"/>
      <c r="G302" s="63"/>
      <c r="H302" s="64"/>
      <c r="I302" s="64"/>
      <c r="J302" s="64"/>
      <c r="K302" s="64"/>
      <c r="L302" s="64"/>
      <c r="M302" s="64"/>
      <c r="N302" s="64"/>
      <c r="O302" s="64"/>
      <c r="P302" s="64"/>
      <c r="Q302" s="64"/>
      <c r="R302" s="64"/>
      <c r="S302" s="64"/>
      <c r="T302" s="64"/>
      <c r="U302" s="64"/>
      <c r="V302" s="64"/>
      <c r="W302" s="64"/>
      <c r="X302" s="64"/>
      <c r="Y302" s="64"/>
      <c r="Z302" s="64"/>
      <c r="AA302" s="64"/>
    </row>
    <row r="303" ht="12.75" customHeight="1">
      <c r="A303" s="63"/>
      <c r="B303" s="64"/>
      <c r="C303" s="64"/>
      <c r="D303" s="64"/>
      <c r="E303" s="64"/>
      <c r="F303" s="64"/>
      <c r="G303" s="63"/>
      <c r="H303" s="64"/>
      <c r="I303" s="64"/>
      <c r="J303" s="64"/>
      <c r="K303" s="64"/>
      <c r="L303" s="64"/>
      <c r="M303" s="64"/>
      <c r="N303" s="64"/>
      <c r="O303" s="64"/>
      <c r="P303" s="64"/>
      <c r="Q303" s="64"/>
      <c r="R303" s="64"/>
      <c r="S303" s="64"/>
      <c r="T303" s="64"/>
      <c r="U303" s="64"/>
      <c r="V303" s="64"/>
      <c r="W303" s="64"/>
      <c r="X303" s="64"/>
      <c r="Y303" s="64"/>
      <c r="Z303" s="64"/>
      <c r="AA303" s="64"/>
    </row>
    <row r="304" ht="12.75" customHeight="1">
      <c r="A304" s="63"/>
      <c r="B304" s="64"/>
      <c r="C304" s="64"/>
      <c r="D304" s="64"/>
      <c r="E304" s="64"/>
      <c r="F304" s="64"/>
      <c r="G304" s="63"/>
      <c r="H304" s="64"/>
      <c r="I304" s="64"/>
      <c r="J304" s="64"/>
      <c r="K304" s="64"/>
      <c r="L304" s="64"/>
      <c r="M304" s="64"/>
      <c r="N304" s="64"/>
      <c r="O304" s="64"/>
      <c r="P304" s="64"/>
      <c r="Q304" s="64"/>
      <c r="R304" s="64"/>
      <c r="S304" s="64"/>
      <c r="T304" s="64"/>
      <c r="U304" s="64"/>
      <c r="V304" s="64"/>
      <c r="W304" s="64"/>
      <c r="X304" s="64"/>
      <c r="Y304" s="64"/>
      <c r="Z304" s="64"/>
      <c r="AA304" s="64"/>
    </row>
    <row r="305" ht="12.75" customHeight="1">
      <c r="A305" s="63"/>
      <c r="B305" s="64"/>
      <c r="C305" s="64"/>
      <c r="D305" s="64"/>
      <c r="E305" s="64"/>
      <c r="F305" s="64"/>
      <c r="G305" s="63"/>
      <c r="H305" s="64"/>
      <c r="I305" s="64"/>
      <c r="J305" s="64"/>
      <c r="K305" s="64"/>
      <c r="L305" s="64"/>
      <c r="M305" s="64"/>
      <c r="N305" s="64"/>
      <c r="O305" s="64"/>
      <c r="P305" s="64"/>
      <c r="Q305" s="64"/>
      <c r="R305" s="64"/>
      <c r="S305" s="64"/>
      <c r="T305" s="64"/>
      <c r="U305" s="64"/>
      <c r="V305" s="64"/>
      <c r="W305" s="64"/>
      <c r="X305" s="64"/>
      <c r="Y305" s="64"/>
      <c r="Z305" s="64"/>
      <c r="AA305" s="64"/>
    </row>
    <row r="306" ht="12.75" customHeight="1">
      <c r="A306" s="63"/>
      <c r="B306" s="64"/>
      <c r="C306" s="64"/>
      <c r="D306" s="64"/>
      <c r="E306" s="64"/>
      <c r="F306" s="64"/>
      <c r="G306" s="63"/>
      <c r="H306" s="64"/>
      <c r="I306" s="64"/>
      <c r="J306" s="64"/>
      <c r="K306" s="64"/>
      <c r="L306" s="64"/>
      <c r="M306" s="64"/>
      <c r="N306" s="64"/>
      <c r="O306" s="64"/>
      <c r="P306" s="64"/>
      <c r="Q306" s="64"/>
      <c r="R306" s="64"/>
      <c r="S306" s="64"/>
      <c r="T306" s="64"/>
      <c r="U306" s="64"/>
      <c r="V306" s="64"/>
      <c r="W306" s="64"/>
      <c r="X306" s="64"/>
      <c r="Y306" s="64"/>
      <c r="Z306" s="64"/>
      <c r="AA306" s="64"/>
    </row>
    <row r="307" ht="12.75" customHeight="1">
      <c r="A307" s="63"/>
      <c r="B307" s="64"/>
      <c r="C307" s="64"/>
      <c r="D307" s="64"/>
      <c r="E307" s="64"/>
      <c r="F307" s="64"/>
      <c r="G307" s="63"/>
      <c r="H307" s="64"/>
      <c r="I307" s="64"/>
      <c r="J307" s="64"/>
      <c r="K307" s="64"/>
      <c r="L307" s="64"/>
      <c r="M307" s="64"/>
      <c r="N307" s="64"/>
      <c r="O307" s="64"/>
      <c r="P307" s="64"/>
      <c r="Q307" s="64"/>
      <c r="R307" s="64"/>
      <c r="S307" s="64"/>
      <c r="T307" s="64"/>
      <c r="U307" s="64"/>
      <c r="V307" s="64"/>
      <c r="W307" s="64"/>
      <c r="X307" s="64"/>
      <c r="Y307" s="64"/>
      <c r="Z307" s="64"/>
      <c r="AA307" s="64"/>
    </row>
    <row r="308" ht="12.75" customHeight="1">
      <c r="A308" s="63"/>
      <c r="B308" s="64"/>
      <c r="C308" s="64"/>
      <c r="D308" s="64"/>
      <c r="E308" s="64"/>
      <c r="F308" s="64"/>
      <c r="G308" s="63"/>
      <c r="H308" s="64"/>
      <c r="I308" s="64"/>
      <c r="J308" s="64"/>
      <c r="K308" s="64"/>
      <c r="L308" s="64"/>
      <c r="M308" s="64"/>
      <c r="N308" s="64"/>
      <c r="O308" s="64"/>
      <c r="P308" s="64"/>
      <c r="Q308" s="64"/>
      <c r="R308" s="64"/>
      <c r="S308" s="64"/>
      <c r="T308" s="64"/>
      <c r="U308" s="64"/>
      <c r="V308" s="64"/>
      <c r="W308" s="64"/>
      <c r="X308" s="64"/>
      <c r="Y308" s="64"/>
      <c r="Z308" s="64"/>
      <c r="AA308" s="64"/>
    </row>
    <row r="309" ht="12.75" customHeight="1">
      <c r="A309" s="63"/>
      <c r="B309" s="64"/>
      <c r="C309" s="64"/>
      <c r="D309" s="64"/>
      <c r="E309" s="64"/>
      <c r="F309" s="64"/>
      <c r="G309" s="63"/>
      <c r="H309" s="64"/>
      <c r="I309" s="64"/>
      <c r="J309" s="64"/>
      <c r="K309" s="64"/>
      <c r="L309" s="64"/>
      <c r="M309" s="64"/>
      <c r="N309" s="64"/>
      <c r="O309" s="64"/>
      <c r="P309" s="64"/>
      <c r="Q309" s="64"/>
      <c r="R309" s="64"/>
      <c r="S309" s="64"/>
      <c r="T309" s="64"/>
      <c r="U309" s="64"/>
      <c r="V309" s="64"/>
      <c r="W309" s="64"/>
      <c r="X309" s="64"/>
      <c r="Y309" s="64"/>
      <c r="Z309" s="64"/>
      <c r="AA309" s="64"/>
    </row>
    <row r="310" ht="12.75" customHeight="1">
      <c r="A310" s="63"/>
      <c r="B310" s="64"/>
      <c r="C310" s="64"/>
      <c r="D310" s="64"/>
      <c r="E310" s="64"/>
      <c r="F310" s="64"/>
      <c r="G310" s="63"/>
      <c r="H310" s="64"/>
      <c r="I310" s="64"/>
      <c r="J310" s="64"/>
      <c r="K310" s="64"/>
      <c r="L310" s="64"/>
      <c r="M310" s="64"/>
      <c r="N310" s="64"/>
      <c r="O310" s="64"/>
      <c r="P310" s="64"/>
      <c r="Q310" s="64"/>
      <c r="R310" s="64"/>
      <c r="S310" s="64"/>
      <c r="T310" s="64"/>
      <c r="U310" s="64"/>
      <c r="V310" s="64"/>
      <c r="W310" s="64"/>
      <c r="X310" s="64"/>
      <c r="Y310" s="64"/>
      <c r="Z310" s="64"/>
      <c r="AA310" s="64"/>
    </row>
    <row r="311" ht="12.75" customHeight="1">
      <c r="A311" s="63"/>
      <c r="B311" s="64"/>
      <c r="C311" s="64"/>
      <c r="D311" s="64"/>
      <c r="E311" s="64"/>
      <c r="F311" s="64"/>
      <c r="G311" s="63"/>
      <c r="H311" s="64"/>
      <c r="I311" s="64"/>
      <c r="J311" s="64"/>
      <c r="K311" s="64"/>
      <c r="L311" s="64"/>
      <c r="M311" s="64"/>
      <c r="N311" s="64"/>
      <c r="O311" s="64"/>
      <c r="P311" s="64"/>
      <c r="Q311" s="64"/>
      <c r="R311" s="64"/>
      <c r="S311" s="64"/>
      <c r="T311" s="64"/>
      <c r="U311" s="64"/>
      <c r="V311" s="64"/>
      <c r="W311" s="64"/>
      <c r="X311" s="64"/>
      <c r="Y311" s="64"/>
      <c r="Z311" s="64"/>
      <c r="AA311" s="64"/>
    </row>
    <row r="312" ht="12.75" customHeight="1">
      <c r="A312" s="63"/>
      <c r="B312" s="64"/>
      <c r="C312" s="64"/>
      <c r="D312" s="64"/>
      <c r="E312" s="64"/>
      <c r="F312" s="64"/>
      <c r="G312" s="63"/>
      <c r="H312" s="64"/>
      <c r="I312" s="64"/>
      <c r="J312" s="64"/>
      <c r="K312" s="64"/>
      <c r="L312" s="64"/>
      <c r="M312" s="64"/>
      <c r="N312" s="64"/>
      <c r="O312" s="64"/>
      <c r="P312" s="64"/>
      <c r="Q312" s="64"/>
      <c r="R312" s="64"/>
      <c r="S312" s="64"/>
      <c r="T312" s="64"/>
      <c r="U312" s="64"/>
      <c r="V312" s="64"/>
      <c r="W312" s="64"/>
      <c r="X312" s="64"/>
      <c r="Y312" s="64"/>
      <c r="Z312" s="64"/>
      <c r="AA312" s="64"/>
    </row>
    <row r="313" ht="12.75" customHeight="1">
      <c r="A313" s="63"/>
      <c r="B313" s="64"/>
      <c r="C313" s="64"/>
      <c r="D313" s="64"/>
      <c r="E313" s="64"/>
      <c r="F313" s="64"/>
      <c r="G313" s="63"/>
      <c r="H313" s="64"/>
      <c r="I313" s="64"/>
      <c r="J313" s="64"/>
      <c r="K313" s="64"/>
      <c r="L313" s="64"/>
      <c r="M313" s="64"/>
      <c r="N313" s="64"/>
      <c r="O313" s="64"/>
      <c r="P313" s="64"/>
      <c r="Q313" s="64"/>
      <c r="R313" s="64"/>
      <c r="S313" s="64"/>
      <c r="T313" s="64"/>
      <c r="U313" s="64"/>
      <c r="V313" s="64"/>
      <c r="W313" s="64"/>
      <c r="X313" s="64"/>
      <c r="Y313" s="64"/>
      <c r="Z313" s="64"/>
      <c r="AA313" s="64"/>
    </row>
    <row r="314" ht="12.75" customHeight="1">
      <c r="A314" s="63"/>
      <c r="B314" s="64"/>
      <c r="C314" s="64"/>
      <c r="D314" s="64"/>
      <c r="E314" s="64"/>
      <c r="F314" s="64"/>
      <c r="G314" s="63"/>
      <c r="H314" s="64"/>
      <c r="I314" s="64"/>
      <c r="J314" s="64"/>
      <c r="K314" s="64"/>
      <c r="L314" s="64"/>
      <c r="M314" s="64"/>
      <c r="N314" s="64"/>
      <c r="O314" s="64"/>
      <c r="P314" s="64"/>
      <c r="Q314" s="64"/>
      <c r="R314" s="64"/>
      <c r="S314" s="64"/>
      <c r="T314" s="64"/>
      <c r="U314" s="64"/>
      <c r="V314" s="64"/>
      <c r="W314" s="64"/>
      <c r="X314" s="64"/>
      <c r="Y314" s="64"/>
      <c r="Z314" s="64"/>
      <c r="AA314" s="64"/>
    </row>
    <row r="315" ht="12.75" customHeight="1">
      <c r="A315" s="63"/>
      <c r="B315" s="64"/>
      <c r="C315" s="64"/>
      <c r="D315" s="64"/>
      <c r="E315" s="64"/>
      <c r="F315" s="64"/>
      <c r="G315" s="63"/>
      <c r="H315" s="64"/>
      <c r="I315" s="64"/>
      <c r="J315" s="64"/>
      <c r="K315" s="64"/>
      <c r="L315" s="64"/>
      <c r="M315" s="64"/>
      <c r="N315" s="64"/>
      <c r="O315" s="64"/>
      <c r="P315" s="64"/>
      <c r="Q315" s="64"/>
      <c r="R315" s="64"/>
      <c r="S315" s="64"/>
      <c r="T315" s="64"/>
      <c r="U315" s="64"/>
      <c r="V315" s="64"/>
      <c r="W315" s="64"/>
      <c r="X315" s="64"/>
      <c r="Y315" s="64"/>
      <c r="Z315" s="64"/>
      <c r="AA315" s="64"/>
    </row>
    <row r="316" ht="12.75" customHeight="1">
      <c r="A316" s="63"/>
      <c r="B316" s="64"/>
      <c r="C316" s="64"/>
      <c r="D316" s="64"/>
      <c r="E316" s="64"/>
      <c r="F316" s="64"/>
      <c r="G316" s="63"/>
      <c r="H316" s="64"/>
      <c r="I316" s="64"/>
      <c r="J316" s="64"/>
      <c r="K316" s="64"/>
      <c r="L316" s="64"/>
      <c r="M316" s="64"/>
      <c r="N316" s="64"/>
      <c r="O316" s="64"/>
      <c r="P316" s="64"/>
      <c r="Q316" s="64"/>
      <c r="R316" s="64"/>
      <c r="S316" s="64"/>
      <c r="T316" s="64"/>
      <c r="U316" s="64"/>
      <c r="V316" s="64"/>
      <c r="W316" s="64"/>
      <c r="X316" s="64"/>
      <c r="Y316" s="64"/>
      <c r="Z316" s="64"/>
      <c r="AA316" s="64"/>
    </row>
    <row r="317" ht="12.75" customHeight="1">
      <c r="A317" s="63"/>
      <c r="B317" s="64"/>
      <c r="C317" s="64"/>
      <c r="D317" s="64"/>
      <c r="E317" s="64"/>
      <c r="F317" s="64"/>
      <c r="G317" s="63"/>
      <c r="H317" s="64"/>
      <c r="I317" s="64"/>
      <c r="J317" s="64"/>
      <c r="K317" s="64"/>
      <c r="L317" s="64"/>
      <c r="M317" s="64"/>
      <c r="N317" s="64"/>
      <c r="O317" s="64"/>
      <c r="P317" s="64"/>
      <c r="Q317" s="64"/>
      <c r="R317" s="64"/>
      <c r="S317" s="64"/>
      <c r="T317" s="64"/>
      <c r="U317" s="64"/>
      <c r="V317" s="64"/>
      <c r="W317" s="64"/>
      <c r="X317" s="64"/>
      <c r="Y317" s="64"/>
      <c r="Z317" s="64"/>
      <c r="AA317" s="64"/>
    </row>
    <row r="318" ht="12.75" customHeight="1">
      <c r="A318" s="63"/>
      <c r="B318" s="64"/>
      <c r="C318" s="64"/>
      <c r="D318" s="64"/>
      <c r="E318" s="64"/>
      <c r="F318" s="64"/>
      <c r="G318" s="63"/>
      <c r="H318" s="64"/>
      <c r="I318" s="64"/>
      <c r="J318" s="64"/>
      <c r="K318" s="64"/>
      <c r="L318" s="64"/>
      <c r="M318" s="64"/>
      <c r="N318" s="64"/>
      <c r="O318" s="64"/>
      <c r="P318" s="64"/>
      <c r="Q318" s="64"/>
      <c r="R318" s="64"/>
      <c r="S318" s="64"/>
      <c r="T318" s="64"/>
      <c r="U318" s="64"/>
      <c r="V318" s="64"/>
      <c r="W318" s="64"/>
      <c r="X318" s="64"/>
      <c r="Y318" s="64"/>
      <c r="Z318" s="64"/>
      <c r="AA318" s="64"/>
    </row>
    <row r="319" ht="12.75" customHeight="1">
      <c r="A319" s="63"/>
      <c r="B319" s="64"/>
      <c r="C319" s="64"/>
      <c r="D319" s="64"/>
      <c r="E319" s="64"/>
      <c r="F319" s="64"/>
      <c r="G319" s="63"/>
      <c r="H319" s="64"/>
      <c r="I319" s="64"/>
      <c r="J319" s="64"/>
      <c r="K319" s="64"/>
      <c r="L319" s="64"/>
      <c r="M319" s="64"/>
      <c r="N319" s="64"/>
      <c r="O319" s="64"/>
      <c r="P319" s="64"/>
      <c r="Q319" s="64"/>
      <c r="R319" s="64"/>
      <c r="S319" s="64"/>
      <c r="T319" s="64"/>
      <c r="U319" s="64"/>
      <c r="V319" s="64"/>
      <c r="W319" s="64"/>
      <c r="X319" s="64"/>
      <c r="Y319" s="64"/>
      <c r="Z319" s="64"/>
      <c r="AA319" s="64"/>
    </row>
    <row r="320" ht="12.75" customHeight="1">
      <c r="A320" s="63"/>
      <c r="B320" s="64"/>
      <c r="C320" s="64"/>
      <c r="D320" s="64"/>
      <c r="E320" s="64"/>
      <c r="F320" s="64"/>
      <c r="G320" s="63"/>
      <c r="H320" s="64"/>
      <c r="I320" s="64"/>
      <c r="J320" s="64"/>
      <c r="K320" s="64"/>
      <c r="L320" s="64"/>
      <c r="M320" s="64"/>
      <c r="N320" s="64"/>
      <c r="O320" s="64"/>
      <c r="P320" s="64"/>
      <c r="Q320" s="64"/>
      <c r="R320" s="64"/>
      <c r="S320" s="64"/>
      <c r="T320" s="64"/>
      <c r="U320" s="64"/>
      <c r="V320" s="64"/>
      <c r="W320" s="64"/>
      <c r="X320" s="64"/>
      <c r="Y320" s="64"/>
      <c r="Z320" s="64"/>
      <c r="AA320" s="64"/>
    </row>
    <row r="321" ht="12.75" customHeight="1">
      <c r="A321" s="63"/>
      <c r="B321" s="64"/>
      <c r="C321" s="64"/>
      <c r="D321" s="64"/>
      <c r="E321" s="64"/>
      <c r="F321" s="64"/>
      <c r="G321" s="63"/>
      <c r="H321" s="64"/>
      <c r="I321" s="64"/>
      <c r="J321" s="64"/>
      <c r="K321" s="64"/>
      <c r="L321" s="64"/>
      <c r="M321" s="64"/>
      <c r="N321" s="64"/>
      <c r="O321" s="64"/>
      <c r="P321" s="64"/>
      <c r="Q321" s="64"/>
      <c r="R321" s="64"/>
      <c r="S321" s="64"/>
      <c r="T321" s="64"/>
      <c r="U321" s="64"/>
      <c r="V321" s="64"/>
      <c r="W321" s="64"/>
      <c r="X321" s="64"/>
      <c r="Y321" s="64"/>
      <c r="Z321" s="64"/>
      <c r="AA321" s="64"/>
    </row>
    <row r="322" ht="12.75" customHeight="1">
      <c r="A322" s="63"/>
      <c r="B322" s="64"/>
      <c r="C322" s="64"/>
      <c r="D322" s="64"/>
      <c r="E322" s="64"/>
      <c r="F322" s="64"/>
      <c r="G322" s="63"/>
      <c r="H322" s="64"/>
      <c r="I322" s="64"/>
      <c r="J322" s="64"/>
      <c r="K322" s="64"/>
      <c r="L322" s="64"/>
      <c r="M322" s="64"/>
      <c r="N322" s="64"/>
      <c r="O322" s="64"/>
      <c r="P322" s="64"/>
      <c r="Q322" s="64"/>
      <c r="R322" s="64"/>
      <c r="S322" s="64"/>
      <c r="T322" s="64"/>
      <c r="U322" s="64"/>
      <c r="V322" s="64"/>
      <c r="W322" s="64"/>
      <c r="X322" s="64"/>
      <c r="Y322" s="64"/>
      <c r="Z322" s="64"/>
      <c r="AA322" s="64"/>
    </row>
    <row r="323" ht="12.75" customHeight="1">
      <c r="A323" s="63"/>
      <c r="B323" s="64"/>
      <c r="C323" s="64"/>
      <c r="D323" s="64"/>
      <c r="E323" s="64"/>
      <c r="F323" s="64"/>
      <c r="G323" s="63"/>
      <c r="H323" s="64"/>
      <c r="I323" s="64"/>
      <c r="J323" s="64"/>
      <c r="K323" s="64"/>
      <c r="L323" s="64"/>
      <c r="M323" s="64"/>
      <c r="N323" s="64"/>
      <c r="O323" s="64"/>
      <c r="P323" s="64"/>
      <c r="Q323" s="64"/>
      <c r="R323" s="64"/>
      <c r="S323" s="64"/>
      <c r="T323" s="64"/>
      <c r="U323" s="64"/>
      <c r="V323" s="64"/>
      <c r="W323" s="64"/>
      <c r="X323" s="64"/>
      <c r="Y323" s="64"/>
      <c r="Z323" s="64"/>
      <c r="AA323" s="64"/>
    </row>
    <row r="324" ht="12.75" customHeight="1">
      <c r="A324" s="63"/>
      <c r="B324" s="64"/>
      <c r="C324" s="64"/>
      <c r="D324" s="64"/>
      <c r="E324" s="64"/>
      <c r="F324" s="64"/>
      <c r="G324" s="63"/>
      <c r="H324" s="64"/>
      <c r="I324" s="64"/>
      <c r="J324" s="64"/>
      <c r="K324" s="64"/>
      <c r="L324" s="64"/>
      <c r="M324" s="64"/>
      <c r="N324" s="64"/>
      <c r="O324" s="64"/>
      <c r="P324" s="64"/>
      <c r="Q324" s="64"/>
      <c r="R324" s="64"/>
      <c r="S324" s="64"/>
      <c r="T324" s="64"/>
      <c r="U324" s="64"/>
      <c r="V324" s="64"/>
      <c r="W324" s="64"/>
      <c r="X324" s="64"/>
      <c r="Y324" s="64"/>
      <c r="Z324" s="64"/>
      <c r="AA324" s="64"/>
    </row>
    <row r="325" ht="12.75" customHeight="1">
      <c r="A325" s="63"/>
      <c r="B325" s="64"/>
      <c r="C325" s="64"/>
      <c r="D325" s="64"/>
      <c r="E325" s="64"/>
      <c r="F325" s="64"/>
      <c r="G325" s="63"/>
      <c r="H325" s="64"/>
      <c r="I325" s="64"/>
      <c r="J325" s="64"/>
      <c r="K325" s="64"/>
      <c r="L325" s="64"/>
      <c r="M325" s="64"/>
      <c r="N325" s="64"/>
      <c r="O325" s="64"/>
      <c r="P325" s="64"/>
      <c r="Q325" s="64"/>
      <c r="R325" s="64"/>
      <c r="S325" s="64"/>
      <c r="T325" s="64"/>
      <c r="U325" s="64"/>
      <c r="V325" s="64"/>
      <c r="W325" s="64"/>
      <c r="X325" s="64"/>
      <c r="Y325" s="64"/>
      <c r="Z325" s="64"/>
      <c r="AA325" s="64"/>
    </row>
    <row r="326" ht="12.75" customHeight="1">
      <c r="A326" s="63"/>
      <c r="B326" s="64"/>
      <c r="C326" s="64"/>
      <c r="D326" s="64"/>
      <c r="E326" s="64"/>
      <c r="F326" s="64"/>
      <c r="G326" s="63"/>
      <c r="H326" s="64"/>
      <c r="I326" s="64"/>
      <c r="J326" s="64"/>
      <c r="K326" s="64"/>
      <c r="L326" s="64"/>
      <c r="M326" s="64"/>
      <c r="N326" s="64"/>
      <c r="O326" s="64"/>
      <c r="P326" s="64"/>
      <c r="Q326" s="64"/>
      <c r="R326" s="64"/>
      <c r="S326" s="64"/>
      <c r="T326" s="64"/>
      <c r="U326" s="64"/>
      <c r="V326" s="64"/>
      <c r="W326" s="64"/>
      <c r="X326" s="64"/>
      <c r="Y326" s="64"/>
      <c r="Z326" s="64"/>
      <c r="AA326" s="64"/>
    </row>
    <row r="327" ht="12.75" customHeight="1">
      <c r="A327" s="63"/>
      <c r="B327" s="64"/>
      <c r="C327" s="64"/>
      <c r="D327" s="64"/>
      <c r="E327" s="64"/>
      <c r="F327" s="64"/>
      <c r="G327" s="63"/>
      <c r="H327" s="64"/>
      <c r="I327" s="64"/>
      <c r="J327" s="64"/>
      <c r="K327" s="64"/>
      <c r="L327" s="64"/>
      <c r="M327" s="64"/>
      <c r="N327" s="64"/>
      <c r="O327" s="64"/>
      <c r="P327" s="64"/>
      <c r="Q327" s="64"/>
      <c r="R327" s="64"/>
      <c r="S327" s="64"/>
      <c r="T327" s="64"/>
      <c r="U327" s="64"/>
      <c r="V327" s="64"/>
      <c r="W327" s="64"/>
      <c r="X327" s="64"/>
      <c r="Y327" s="64"/>
      <c r="Z327" s="64"/>
      <c r="AA327" s="64"/>
    </row>
    <row r="328" ht="12.75" customHeight="1">
      <c r="A328" s="63"/>
      <c r="B328" s="64"/>
      <c r="C328" s="64"/>
      <c r="D328" s="64"/>
      <c r="E328" s="64"/>
      <c r="F328" s="64"/>
      <c r="G328" s="63"/>
      <c r="H328" s="64"/>
      <c r="I328" s="64"/>
      <c r="J328" s="64"/>
      <c r="K328" s="64"/>
      <c r="L328" s="64"/>
      <c r="M328" s="64"/>
      <c r="N328" s="64"/>
      <c r="O328" s="64"/>
      <c r="P328" s="64"/>
      <c r="Q328" s="64"/>
      <c r="R328" s="64"/>
      <c r="S328" s="64"/>
      <c r="T328" s="64"/>
      <c r="U328" s="64"/>
      <c r="V328" s="64"/>
      <c r="W328" s="64"/>
      <c r="X328" s="64"/>
      <c r="Y328" s="64"/>
      <c r="Z328" s="64"/>
      <c r="AA328" s="64"/>
    </row>
    <row r="329" ht="12.75" customHeight="1">
      <c r="A329" s="63"/>
      <c r="B329" s="64"/>
      <c r="C329" s="64"/>
      <c r="D329" s="64"/>
      <c r="E329" s="64"/>
      <c r="F329" s="64"/>
      <c r="G329" s="63"/>
      <c r="H329" s="64"/>
      <c r="I329" s="64"/>
      <c r="J329" s="64"/>
      <c r="K329" s="64"/>
      <c r="L329" s="64"/>
      <c r="M329" s="64"/>
      <c r="N329" s="64"/>
      <c r="O329" s="64"/>
      <c r="P329" s="64"/>
      <c r="Q329" s="64"/>
      <c r="R329" s="64"/>
      <c r="S329" s="64"/>
      <c r="T329" s="64"/>
      <c r="U329" s="64"/>
      <c r="V329" s="64"/>
      <c r="W329" s="64"/>
      <c r="X329" s="64"/>
      <c r="Y329" s="64"/>
      <c r="Z329" s="64"/>
      <c r="AA329" s="64"/>
    </row>
    <row r="330" ht="12.75" customHeight="1">
      <c r="A330" s="63"/>
      <c r="B330" s="64"/>
      <c r="C330" s="64"/>
      <c r="D330" s="64"/>
      <c r="E330" s="64"/>
      <c r="F330" s="64"/>
      <c r="G330" s="63"/>
      <c r="H330" s="64"/>
      <c r="I330" s="64"/>
      <c r="J330" s="64"/>
      <c r="K330" s="64"/>
      <c r="L330" s="64"/>
      <c r="M330" s="64"/>
      <c r="N330" s="64"/>
      <c r="O330" s="64"/>
      <c r="P330" s="64"/>
      <c r="Q330" s="64"/>
      <c r="R330" s="64"/>
      <c r="S330" s="64"/>
      <c r="T330" s="64"/>
      <c r="U330" s="64"/>
      <c r="V330" s="64"/>
      <c r="W330" s="64"/>
      <c r="X330" s="64"/>
      <c r="Y330" s="64"/>
      <c r="Z330" s="64"/>
      <c r="AA330" s="64"/>
    </row>
    <row r="331" ht="12.75" customHeight="1">
      <c r="A331" s="63"/>
      <c r="B331" s="64"/>
      <c r="C331" s="64"/>
      <c r="D331" s="64"/>
      <c r="E331" s="64"/>
      <c r="F331" s="64"/>
      <c r="G331" s="63"/>
      <c r="H331" s="64"/>
      <c r="I331" s="64"/>
      <c r="J331" s="64"/>
      <c r="K331" s="64"/>
      <c r="L331" s="64"/>
      <c r="M331" s="64"/>
      <c r="N331" s="64"/>
      <c r="O331" s="64"/>
      <c r="P331" s="64"/>
      <c r="Q331" s="64"/>
      <c r="R331" s="64"/>
      <c r="S331" s="64"/>
      <c r="T331" s="64"/>
      <c r="U331" s="64"/>
      <c r="V331" s="64"/>
      <c r="W331" s="64"/>
      <c r="X331" s="64"/>
      <c r="Y331" s="64"/>
      <c r="Z331" s="64"/>
      <c r="AA331" s="64"/>
    </row>
    <row r="332" ht="12.75" customHeight="1">
      <c r="A332" s="63"/>
      <c r="B332" s="64"/>
      <c r="C332" s="64"/>
      <c r="D332" s="64"/>
      <c r="E332" s="64"/>
      <c r="F332" s="64"/>
      <c r="G332" s="63"/>
      <c r="H332" s="64"/>
      <c r="I332" s="64"/>
      <c r="J332" s="64"/>
      <c r="K332" s="64"/>
      <c r="L332" s="64"/>
      <c r="M332" s="64"/>
      <c r="N332" s="64"/>
      <c r="O332" s="64"/>
      <c r="P332" s="64"/>
      <c r="Q332" s="64"/>
      <c r="R332" s="64"/>
      <c r="S332" s="64"/>
      <c r="T332" s="64"/>
      <c r="U332" s="64"/>
      <c r="V332" s="64"/>
      <c r="W332" s="64"/>
      <c r="X332" s="64"/>
      <c r="Y332" s="64"/>
      <c r="Z332" s="64"/>
      <c r="AA332" s="64"/>
    </row>
    <row r="333" ht="12.75" customHeight="1">
      <c r="A333" s="63"/>
      <c r="B333" s="64"/>
      <c r="C333" s="64"/>
      <c r="D333" s="64"/>
      <c r="E333" s="64"/>
      <c r="F333" s="64"/>
      <c r="G333" s="63"/>
      <c r="H333" s="64"/>
      <c r="I333" s="64"/>
      <c r="J333" s="64"/>
      <c r="K333" s="64"/>
      <c r="L333" s="64"/>
      <c r="M333" s="64"/>
      <c r="N333" s="64"/>
      <c r="O333" s="64"/>
      <c r="P333" s="64"/>
      <c r="Q333" s="64"/>
      <c r="R333" s="64"/>
      <c r="S333" s="64"/>
      <c r="T333" s="64"/>
      <c r="U333" s="64"/>
      <c r="V333" s="64"/>
      <c r="W333" s="64"/>
      <c r="X333" s="64"/>
      <c r="Y333" s="64"/>
      <c r="Z333" s="64"/>
      <c r="AA333" s="64"/>
    </row>
    <row r="334" ht="12.75" customHeight="1">
      <c r="A334" s="63"/>
      <c r="B334" s="64"/>
      <c r="C334" s="64"/>
      <c r="D334" s="64"/>
      <c r="E334" s="64"/>
      <c r="F334" s="64"/>
      <c r="G334" s="63"/>
      <c r="H334" s="64"/>
      <c r="I334" s="64"/>
      <c r="J334" s="64"/>
      <c r="K334" s="64"/>
      <c r="L334" s="64"/>
      <c r="M334" s="64"/>
      <c r="N334" s="64"/>
      <c r="O334" s="64"/>
      <c r="P334" s="64"/>
      <c r="Q334" s="64"/>
      <c r="R334" s="64"/>
      <c r="S334" s="64"/>
      <c r="T334" s="64"/>
      <c r="U334" s="64"/>
      <c r="V334" s="64"/>
      <c r="W334" s="64"/>
      <c r="X334" s="64"/>
      <c r="Y334" s="64"/>
      <c r="Z334" s="64"/>
      <c r="AA334" s="64"/>
    </row>
    <row r="335" ht="12.75" customHeight="1">
      <c r="A335" s="63"/>
      <c r="B335" s="64"/>
      <c r="C335" s="64"/>
      <c r="D335" s="64"/>
      <c r="E335" s="64"/>
      <c r="F335" s="64"/>
      <c r="G335" s="63"/>
      <c r="H335" s="64"/>
      <c r="I335" s="64"/>
      <c r="J335" s="64"/>
      <c r="K335" s="64"/>
      <c r="L335" s="64"/>
      <c r="M335" s="64"/>
      <c r="N335" s="64"/>
      <c r="O335" s="64"/>
      <c r="P335" s="64"/>
      <c r="Q335" s="64"/>
      <c r="R335" s="64"/>
      <c r="S335" s="64"/>
      <c r="T335" s="64"/>
      <c r="U335" s="64"/>
      <c r="V335" s="64"/>
      <c r="W335" s="64"/>
      <c r="X335" s="64"/>
      <c r="Y335" s="64"/>
      <c r="Z335" s="64"/>
      <c r="AA335" s="64"/>
    </row>
    <row r="336" ht="12.75" customHeight="1">
      <c r="A336" s="63"/>
      <c r="B336" s="64"/>
      <c r="C336" s="64"/>
      <c r="D336" s="64"/>
      <c r="E336" s="64"/>
      <c r="F336" s="64"/>
      <c r="G336" s="63"/>
      <c r="H336" s="64"/>
      <c r="I336" s="64"/>
      <c r="J336" s="64"/>
      <c r="K336" s="64"/>
      <c r="L336" s="64"/>
      <c r="M336" s="64"/>
      <c r="N336" s="64"/>
      <c r="O336" s="64"/>
      <c r="P336" s="64"/>
      <c r="Q336" s="64"/>
      <c r="R336" s="64"/>
      <c r="S336" s="64"/>
      <c r="T336" s="64"/>
      <c r="U336" s="64"/>
      <c r="V336" s="64"/>
      <c r="W336" s="64"/>
      <c r="X336" s="64"/>
      <c r="Y336" s="64"/>
      <c r="Z336" s="64"/>
      <c r="AA336" s="64"/>
    </row>
    <row r="337" ht="12.75" customHeight="1">
      <c r="A337" s="63"/>
      <c r="B337" s="64"/>
      <c r="C337" s="64"/>
      <c r="D337" s="64"/>
      <c r="E337" s="64"/>
      <c r="F337" s="64"/>
      <c r="G337" s="63"/>
      <c r="H337" s="64"/>
      <c r="I337" s="64"/>
      <c r="J337" s="64"/>
      <c r="K337" s="64"/>
      <c r="L337" s="64"/>
      <c r="M337" s="64"/>
      <c r="N337" s="64"/>
      <c r="O337" s="64"/>
      <c r="P337" s="64"/>
      <c r="Q337" s="64"/>
      <c r="R337" s="64"/>
      <c r="S337" s="64"/>
      <c r="T337" s="64"/>
      <c r="U337" s="64"/>
      <c r="V337" s="64"/>
      <c r="W337" s="64"/>
      <c r="X337" s="64"/>
      <c r="Y337" s="64"/>
      <c r="Z337" s="64"/>
      <c r="AA337" s="64"/>
    </row>
    <row r="338" ht="12.75" customHeight="1">
      <c r="A338" s="63"/>
      <c r="B338" s="64"/>
      <c r="C338" s="64"/>
      <c r="D338" s="64"/>
      <c r="E338" s="64"/>
      <c r="F338" s="64"/>
      <c r="G338" s="63"/>
      <c r="H338" s="64"/>
      <c r="I338" s="64"/>
      <c r="J338" s="64"/>
      <c r="K338" s="64"/>
      <c r="L338" s="64"/>
      <c r="M338" s="64"/>
      <c r="N338" s="64"/>
      <c r="O338" s="64"/>
      <c r="P338" s="64"/>
      <c r="Q338" s="64"/>
      <c r="R338" s="64"/>
      <c r="S338" s="64"/>
      <c r="T338" s="64"/>
      <c r="U338" s="64"/>
      <c r="V338" s="64"/>
      <c r="W338" s="64"/>
      <c r="X338" s="64"/>
      <c r="Y338" s="64"/>
      <c r="Z338" s="64"/>
      <c r="AA338" s="64"/>
    </row>
    <row r="339" ht="12.75" customHeight="1">
      <c r="A339" s="63"/>
      <c r="B339" s="64"/>
      <c r="C339" s="64"/>
      <c r="D339" s="64"/>
      <c r="E339" s="64"/>
      <c r="F339" s="64"/>
      <c r="G339" s="63"/>
      <c r="H339" s="64"/>
      <c r="I339" s="64"/>
      <c r="J339" s="64"/>
      <c r="K339" s="64"/>
      <c r="L339" s="64"/>
      <c r="M339" s="64"/>
      <c r="N339" s="64"/>
      <c r="O339" s="64"/>
      <c r="P339" s="64"/>
      <c r="Q339" s="64"/>
      <c r="R339" s="64"/>
      <c r="S339" s="64"/>
      <c r="T339" s="64"/>
      <c r="U339" s="64"/>
      <c r="V339" s="64"/>
      <c r="W339" s="64"/>
      <c r="X339" s="64"/>
      <c r="Y339" s="64"/>
      <c r="Z339" s="64"/>
      <c r="AA339" s="64"/>
    </row>
    <row r="340" ht="12.75" customHeight="1">
      <c r="A340" s="63"/>
      <c r="B340" s="64"/>
      <c r="C340" s="64"/>
      <c r="D340" s="64"/>
      <c r="E340" s="64"/>
      <c r="F340" s="64"/>
      <c r="G340" s="63"/>
      <c r="H340" s="64"/>
      <c r="I340" s="64"/>
      <c r="J340" s="64"/>
      <c r="K340" s="64"/>
      <c r="L340" s="64"/>
      <c r="M340" s="64"/>
      <c r="N340" s="64"/>
      <c r="O340" s="64"/>
      <c r="P340" s="64"/>
      <c r="Q340" s="64"/>
      <c r="R340" s="64"/>
      <c r="S340" s="64"/>
      <c r="T340" s="64"/>
      <c r="U340" s="64"/>
      <c r="V340" s="64"/>
      <c r="W340" s="64"/>
      <c r="X340" s="64"/>
      <c r="Y340" s="64"/>
      <c r="Z340" s="64"/>
      <c r="AA340" s="64"/>
    </row>
    <row r="341" ht="12.75" customHeight="1">
      <c r="A341" s="63"/>
      <c r="B341" s="64"/>
      <c r="C341" s="64"/>
      <c r="D341" s="64"/>
      <c r="E341" s="64"/>
      <c r="F341" s="64"/>
      <c r="G341" s="63"/>
      <c r="H341" s="64"/>
      <c r="I341" s="64"/>
      <c r="J341" s="64"/>
      <c r="K341" s="64"/>
      <c r="L341" s="64"/>
      <c r="M341" s="64"/>
      <c r="N341" s="64"/>
      <c r="O341" s="64"/>
      <c r="P341" s="64"/>
      <c r="Q341" s="64"/>
      <c r="R341" s="64"/>
      <c r="S341" s="64"/>
      <c r="T341" s="64"/>
      <c r="U341" s="64"/>
      <c r="V341" s="64"/>
      <c r="W341" s="64"/>
      <c r="X341" s="64"/>
      <c r="Y341" s="64"/>
      <c r="Z341" s="64"/>
      <c r="AA341" s="64"/>
    </row>
    <row r="342" ht="12.75" customHeight="1">
      <c r="A342" s="63"/>
      <c r="B342" s="64"/>
      <c r="C342" s="64"/>
      <c r="D342" s="64"/>
      <c r="E342" s="64"/>
      <c r="F342" s="64"/>
      <c r="G342" s="63"/>
      <c r="H342" s="64"/>
      <c r="I342" s="64"/>
      <c r="J342" s="64"/>
      <c r="K342" s="64"/>
      <c r="L342" s="64"/>
      <c r="M342" s="64"/>
      <c r="N342" s="64"/>
      <c r="O342" s="64"/>
      <c r="P342" s="64"/>
      <c r="Q342" s="64"/>
      <c r="R342" s="64"/>
      <c r="S342" s="64"/>
      <c r="T342" s="64"/>
      <c r="U342" s="64"/>
      <c r="V342" s="64"/>
      <c r="W342" s="64"/>
      <c r="X342" s="64"/>
      <c r="Y342" s="64"/>
      <c r="Z342" s="64"/>
      <c r="AA342" s="64"/>
    </row>
    <row r="343" ht="12.75" customHeight="1">
      <c r="A343" s="63"/>
      <c r="B343" s="64"/>
      <c r="C343" s="64"/>
      <c r="D343" s="64"/>
      <c r="E343" s="64"/>
      <c r="F343" s="64"/>
      <c r="G343" s="63"/>
      <c r="H343" s="64"/>
      <c r="I343" s="64"/>
      <c r="J343" s="64"/>
      <c r="K343" s="64"/>
      <c r="L343" s="64"/>
      <c r="M343" s="64"/>
      <c r="N343" s="64"/>
      <c r="O343" s="64"/>
      <c r="P343" s="64"/>
      <c r="Q343" s="64"/>
      <c r="R343" s="64"/>
      <c r="S343" s="64"/>
      <c r="T343" s="64"/>
      <c r="U343" s="64"/>
      <c r="V343" s="64"/>
      <c r="W343" s="64"/>
      <c r="X343" s="64"/>
      <c r="Y343" s="64"/>
      <c r="Z343" s="64"/>
      <c r="AA343" s="64"/>
    </row>
    <row r="344" ht="12.75" customHeight="1">
      <c r="A344" s="63"/>
      <c r="B344" s="64"/>
      <c r="C344" s="64"/>
      <c r="D344" s="64"/>
      <c r="E344" s="64"/>
      <c r="F344" s="64"/>
      <c r="G344" s="63"/>
      <c r="H344" s="64"/>
      <c r="I344" s="64"/>
      <c r="J344" s="64"/>
      <c r="K344" s="64"/>
      <c r="L344" s="64"/>
      <c r="M344" s="64"/>
      <c r="N344" s="64"/>
      <c r="O344" s="64"/>
      <c r="P344" s="64"/>
      <c r="Q344" s="64"/>
      <c r="R344" s="64"/>
      <c r="S344" s="64"/>
      <c r="T344" s="64"/>
      <c r="U344" s="64"/>
      <c r="V344" s="64"/>
      <c r="W344" s="64"/>
      <c r="X344" s="64"/>
      <c r="Y344" s="64"/>
      <c r="Z344" s="64"/>
      <c r="AA344" s="64"/>
    </row>
    <row r="345" ht="12.75" customHeight="1">
      <c r="A345" s="63"/>
      <c r="B345" s="64"/>
      <c r="C345" s="64"/>
      <c r="D345" s="64"/>
      <c r="E345" s="64"/>
      <c r="F345" s="64"/>
      <c r="G345" s="63"/>
      <c r="H345" s="64"/>
      <c r="I345" s="64"/>
      <c r="J345" s="64"/>
      <c r="K345" s="64"/>
      <c r="L345" s="64"/>
      <c r="M345" s="64"/>
      <c r="N345" s="64"/>
      <c r="O345" s="64"/>
      <c r="P345" s="64"/>
      <c r="Q345" s="64"/>
      <c r="R345" s="64"/>
      <c r="S345" s="64"/>
      <c r="T345" s="64"/>
      <c r="U345" s="64"/>
      <c r="V345" s="64"/>
      <c r="W345" s="64"/>
      <c r="X345" s="64"/>
      <c r="Y345" s="64"/>
      <c r="Z345" s="64"/>
      <c r="AA345" s="64"/>
    </row>
    <row r="346" ht="12.75" customHeight="1">
      <c r="A346" s="63"/>
      <c r="B346" s="64"/>
      <c r="C346" s="64"/>
      <c r="D346" s="64"/>
      <c r="E346" s="64"/>
      <c r="F346" s="64"/>
      <c r="G346" s="63"/>
      <c r="H346" s="64"/>
      <c r="I346" s="64"/>
      <c r="J346" s="64"/>
      <c r="K346" s="64"/>
      <c r="L346" s="64"/>
      <c r="M346" s="64"/>
      <c r="N346" s="64"/>
      <c r="O346" s="64"/>
      <c r="P346" s="64"/>
      <c r="Q346" s="64"/>
      <c r="R346" s="64"/>
      <c r="S346" s="64"/>
      <c r="T346" s="64"/>
      <c r="U346" s="64"/>
      <c r="V346" s="64"/>
      <c r="W346" s="64"/>
      <c r="X346" s="64"/>
      <c r="Y346" s="64"/>
      <c r="Z346" s="64"/>
      <c r="AA346" s="64"/>
    </row>
    <row r="347" ht="12.75" customHeight="1">
      <c r="A347" s="63"/>
      <c r="B347" s="64"/>
      <c r="C347" s="64"/>
      <c r="D347" s="64"/>
      <c r="E347" s="64"/>
      <c r="F347" s="64"/>
      <c r="G347" s="63"/>
      <c r="H347" s="64"/>
      <c r="I347" s="64"/>
      <c r="J347" s="64"/>
      <c r="K347" s="64"/>
      <c r="L347" s="64"/>
      <c r="M347" s="64"/>
      <c r="N347" s="64"/>
      <c r="O347" s="64"/>
      <c r="P347" s="64"/>
      <c r="Q347" s="64"/>
      <c r="R347" s="64"/>
      <c r="S347" s="64"/>
      <c r="T347" s="64"/>
      <c r="U347" s="64"/>
      <c r="V347" s="64"/>
      <c r="W347" s="64"/>
      <c r="X347" s="64"/>
      <c r="Y347" s="64"/>
      <c r="Z347" s="64"/>
      <c r="AA347" s="64"/>
    </row>
    <row r="348" ht="12.75" customHeight="1">
      <c r="A348" s="63"/>
      <c r="B348" s="64"/>
      <c r="C348" s="64"/>
      <c r="D348" s="64"/>
      <c r="E348" s="64"/>
      <c r="F348" s="64"/>
      <c r="G348" s="63"/>
      <c r="H348" s="64"/>
      <c r="I348" s="64"/>
      <c r="J348" s="64"/>
      <c r="K348" s="64"/>
      <c r="L348" s="64"/>
      <c r="M348" s="64"/>
      <c r="N348" s="64"/>
      <c r="O348" s="64"/>
      <c r="P348" s="64"/>
      <c r="Q348" s="64"/>
      <c r="R348" s="64"/>
      <c r="S348" s="64"/>
      <c r="T348" s="64"/>
      <c r="U348" s="64"/>
      <c r="V348" s="64"/>
      <c r="W348" s="64"/>
      <c r="X348" s="64"/>
      <c r="Y348" s="64"/>
      <c r="Z348" s="64"/>
      <c r="AA348" s="64"/>
    </row>
    <row r="349" ht="12.75" customHeight="1">
      <c r="A349" s="63"/>
      <c r="B349" s="64"/>
      <c r="C349" s="64"/>
      <c r="D349" s="64"/>
      <c r="E349" s="64"/>
      <c r="F349" s="64"/>
      <c r="G349" s="63"/>
      <c r="H349" s="64"/>
      <c r="I349" s="64"/>
      <c r="J349" s="64"/>
      <c r="K349" s="64"/>
      <c r="L349" s="64"/>
      <c r="M349" s="64"/>
      <c r="N349" s="64"/>
      <c r="O349" s="64"/>
      <c r="P349" s="64"/>
      <c r="Q349" s="64"/>
      <c r="R349" s="64"/>
      <c r="S349" s="64"/>
      <c r="T349" s="64"/>
      <c r="U349" s="64"/>
      <c r="V349" s="64"/>
      <c r="W349" s="64"/>
      <c r="X349" s="64"/>
      <c r="Y349" s="64"/>
      <c r="Z349" s="64"/>
      <c r="AA349" s="64"/>
    </row>
    <row r="350" ht="12.75" customHeight="1">
      <c r="A350" s="63"/>
      <c r="B350" s="64"/>
      <c r="C350" s="64"/>
      <c r="D350" s="64"/>
      <c r="E350" s="64"/>
      <c r="F350" s="64"/>
      <c r="G350" s="63"/>
      <c r="H350" s="64"/>
      <c r="I350" s="64"/>
      <c r="J350" s="64"/>
      <c r="K350" s="64"/>
      <c r="L350" s="64"/>
      <c r="M350" s="64"/>
      <c r="N350" s="64"/>
      <c r="O350" s="64"/>
      <c r="P350" s="64"/>
      <c r="Q350" s="64"/>
      <c r="R350" s="64"/>
      <c r="S350" s="64"/>
      <c r="T350" s="64"/>
      <c r="U350" s="64"/>
      <c r="V350" s="64"/>
      <c r="W350" s="64"/>
      <c r="X350" s="64"/>
      <c r="Y350" s="64"/>
      <c r="Z350" s="64"/>
      <c r="AA350" s="64"/>
    </row>
    <row r="351" ht="12.75" customHeight="1">
      <c r="A351" s="63"/>
      <c r="B351" s="64"/>
      <c r="C351" s="64"/>
      <c r="D351" s="64"/>
      <c r="E351" s="64"/>
      <c r="F351" s="64"/>
      <c r="G351" s="63"/>
      <c r="H351" s="64"/>
      <c r="I351" s="64"/>
      <c r="J351" s="64"/>
      <c r="K351" s="64"/>
      <c r="L351" s="64"/>
      <c r="M351" s="64"/>
      <c r="N351" s="64"/>
      <c r="O351" s="64"/>
      <c r="P351" s="64"/>
      <c r="Q351" s="64"/>
      <c r="R351" s="64"/>
      <c r="S351" s="64"/>
      <c r="T351" s="64"/>
      <c r="U351" s="64"/>
      <c r="V351" s="64"/>
      <c r="W351" s="64"/>
      <c r="X351" s="64"/>
      <c r="Y351" s="64"/>
      <c r="Z351" s="64"/>
      <c r="AA351" s="64"/>
    </row>
    <row r="352" ht="12.75" customHeight="1">
      <c r="A352" s="63"/>
      <c r="B352" s="64"/>
      <c r="C352" s="64"/>
      <c r="D352" s="64"/>
      <c r="E352" s="64"/>
      <c r="F352" s="64"/>
      <c r="G352" s="63"/>
      <c r="H352" s="64"/>
      <c r="I352" s="64"/>
      <c r="J352" s="64"/>
      <c r="K352" s="64"/>
      <c r="L352" s="64"/>
      <c r="M352" s="64"/>
      <c r="N352" s="64"/>
      <c r="O352" s="64"/>
      <c r="P352" s="64"/>
      <c r="Q352" s="64"/>
      <c r="R352" s="64"/>
      <c r="S352" s="64"/>
      <c r="T352" s="64"/>
      <c r="U352" s="64"/>
      <c r="V352" s="64"/>
      <c r="W352" s="64"/>
      <c r="X352" s="64"/>
      <c r="Y352" s="64"/>
      <c r="Z352" s="64"/>
      <c r="AA352" s="64"/>
    </row>
    <row r="353" ht="12.75" customHeight="1">
      <c r="A353" s="63"/>
      <c r="B353" s="64"/>
      <c r="C353" s="64"/>
      <c r="D353" s="64"/>
      <c r="E353" s="64"/>
      <c r="F353" s="64"/>
      <c r="G353" s="63"/>
      <c r="H353" s="64"/>
      <c r="I353" s="64"/>
      <c r="J353" s="64"/>
      <c r="K353" s="64"/>
      <c r="L353" s="64"/>
      <c r="M353" s="64"/>
      <c r="N353" s="64"/>
      <c r="O353" s="64"/>
      <c r="P353" s="64"/>
      <c r="Q353" s="64"/>
      <c r="R353" s="64"/>
      <c r="S353" s="64"/>
      <c r="T353" s="64"/>
      <c r="U353" s="64"/>
      <c r="V353" s="64"/>
      <c r="W353" s="64"/>
      <c r="X353" s="64"/>
      <c r="Y353" s="64"/>
      <c r="Z353" s="64"/>
      <c r="AA353" s="64"/>
    </row>
    <row r="354" ht="12.75" customHeight="1">
      <c r="A354" s="63"/>
      <c r="B354" s="64"/>
      <c r="C354" s="64"/>
      <c r="D354" s="64"/>
      <c r="E354" s="64"/>
      <c r="F354" s="64"/>
      <c r="G354" s="63"/>
      <c r="H354" s="64"/>
      <c r="I354" s="64"/>
      <c r="J354" s="64"/>
      <c r="K354" s="64"/>
      <c r="L354" s="64"/>
      <c r="M354" s="64"/>
      <c r="N354" s="64"/>
      <c r="O354" s="64"/>
      <c r="P354" s="64"/>
      <c r="Q354" s="64"/>
      <c r="R354" s="64"/>
      <c r="S354" s="64"/>
      <c r="T354" s="64"/>
      <c r="U354" s="64"/>
      <c r="V354" s="64"/>
      <c r="W354" s="64"/>
      <c r="X354" s="64"/>
      <c r="Y354" s="64"/>
      <c r="Z354" s="64"/>
      <c r="AA354" s="64"/>
    </row>
    <row r="355" ht="12.75" customHeight="1">
      <c r="A355" s="63"/>
      <c r="B355" s="64"/>
      <c r="C355" s="64"/>
      <c r="D355" s="64"/>
      <c r="E355" s="64"/>
      <c r="F355" s="64"/>
      <c r="G355" s="63"/>
      <c r="H355" s="64"/>
      <c r="I355" s="64"/>
      <c r="J355" s="64"/>
      <c r="K355" s="64"/>
      <c r="L355" s="64"/>
      <c r="M355" s="64"/>
      <c r="N355" s="64"/>
      <c r="O355" s="64"/>
      <c r="P355" s="64"/>
      <c r="Q355" s="64"/>
      <c r="R355" s="64"/>
      <c r="S355" s="64"/>
      <c r="T355" s="64"/>
      <c r="U355" s="64"/>
      <c r="V355" s="64"/>
      <c r="W355" s="64"/>
      <c r="X355" s="64"/>
      <c r="Y355" s="64"/>
      <c r="Z355" s="64"/>
      <c r="AA355" s="64"/>
    </row>
    <row r="356" ht="12.75" customHeight="1">
      <c r="A356" s="63"/>
      <c r="B356" s="64"/>
      <c r="C356" s="64"/>
      <c r="D356" s="64"/>
      <c r="E356" s="64"/>
      <c r="F356" s="64"/>
      <c r="G356" s="63"/>
      <c r="H356" s="64"/>
      <c r="I356" s="64"/>
      <c r="J356" s="64"/>
      <c r="K356" s="64"/>
      <c r="L356" s="64"/>
      <c r="M356" s="64"/>
      <c r="N356" s="64"/>
      <c r="O356" s="64"/>
      <c r="P356" s="64"/>
      <c r="Q356" s="64"/>
      <c r="R356" s="64"/>
      <c r="S356" s="64"/>
      <c r="T356" s="64"/>
      <c r="U356" s="64"/>
      <c r="V356" s="64"/>
      <c r="W356" s="64"/>
      <c r="X356" s="64"/>
      <c r="Y356" s="64"/>
      <c r="Z356" s="64"/>
      <c r="AA356" s="64"/>
    </row>
    <row r="357" ht="12.75" customHeight="1">
      <c r="A357" s="63"/>
      <c r="B357" s="64"/>
      <c r="C357" s="64"/>
      <c r="D357" s="64"/>
      <c r="E357" s="64"/>
      <c r="F357" s="64"/>
      <c r="G357" s="63"/>
      <c r="H357" s="64"/>
      <c r="I357" s="64"/>
      <c r="J357" s="64"/>
      <c r="K357" s="64"/>
      <c r="L357" s="64"/>
      <c r="M357" s="64"/>
      <c r="N357" s="64"/>
      <c r="O357" s="64"/>
      <c r="P357" s="64"/>
      <c r="Q357" s="64"/>
      <c r="R357" s="64"/>
      <c r="S357" s="64"/>
      <c r="T357" s="64"/>
      <c r="U357" s="64"/>
      <c r="V357" s="64"/>
      <c r="W357" s="64"/>
      <c r="X357" s="64"/>
      <c r="Y357" s="64"/>
      <c r="Z357" s="64"/>
      <c r="AA357" s="64"/>
    </row>
    <row r="358" ht="12.75" customHeight="1">
      <c r="A358" s="63"/>
      <c r="B358" s="64"/>
      <c r="C358" s="64"/>
      <c r="D358" s="64"/>
      <c r="E358" s="64"/>
      <c r="F358" s="64"/>
      <c r="G358" s="63"/>
      <c r="H358" s="64"/>
      <c r="I358" s="64"/>
      <c r="J358" s="64"/>
      <c r="K358" s="64"/>
      <c r="L358" s="64"/>
      <c r="M358" s="64"/>
      <c r="N358" s="64"/>
      <c r="O358" s="64"/>
      <c r="P358" s="64"/>
      <c r="Q358" s="64"/>
      <c r="R358" s="64"/>
      <c r="S358" s="64"/>
      <c r="T358" s="64"/>
      <c r="U358" s="64"/>
      <c r="V358" s="64"/>
      <c r="W358" s="64"/>
      <c r="X358" s="64"/>
      <c r="Y358" s="64"/>
      <c r="Z358" s="64"/>
      <c r="AA358" s="64"/>
    </row>
    <row r="359" ht="12.75" customHeight="1">
      <c r="A359" s="63"/>
      <c r="B359" s="64"/>
      <c r="C359" s="64"/>
      <c r="D359" s="64"/>
      <c r="E359" s="64"/>
      <c r="F359" s="64"/>
      <c r="G359" s="63"/>
      <c r="H359" s="64"/>
      <c r="I359" s="64"/>
      <c r="J359" s="64"/>
      <c r="K359" s="64"/>
      <c r="L359" s="64"/>
      <c r="M359" s="64"/>
      <c r="N359" s="64"/>
      <c r="O359" s="64"/>
      <c r="P359" s="64"/>
      <c r="Q359" s="64"/>
      <c r="R359" s="64"/>
      <c r="S359" s="64"/>
      <c r="T359" s="64"/>
      <c r="U359" s="64"/>
      <c r="V359" s="64"/>
      <c r="W359" s="64"/>
      <c r="X359" s="64"/>
      <c r="Y359" s="64"/>
      <c r="Z359" s="64"/>
      <c r="AA359" s="64"/>
    </row>
    <row r="360" ht="12.75" customHeight="1">
      <c r="A360" s="63"/>
      <c r="B360" s="64"/>
      <c r="C360" s="64"/>
      <c r="D360" s="64"/>
      <c r="E360" s="64"/>
      <c r="F360" s="64"/>
      <c r="G360" s="63"/>
      <c r="H360" s="64"/>
      <c r="I360" s="64"/>
      <c r="J360" s="64"/>
      <c r="K360" s="64"/>
      <c r="L360" s="64"/>
      <c r="M360" s="64"/>
      <c r="N360" s="64"/>
      <c r="O360" s="64"/>
      <c r="P360" s="64"/>
      <c r="Q360" s="64"/>
      <c r="R360" s="64"/>
      <c r="S360" s="64"/>
      <c r="T360" s="64"/>
      <c r="U360" s="64"/>
      <c r="V360" s="64"/>
      <c r="W360" s="64"/>
      <c r="X360" s="64"/>
      <c r="Y360" s="64"/>
      <c r="Z360" s="64"/>
      <c r="AA360" s="64"/>
    </row>
    <row r="361" ht="12.75" customHeight="1">
      <c r="A361" s="63"/>
      <c r="B361" s="64"/>
      <c r="C361" s="64"/>
      <c r="D361" s="64"/>
      <c r="E361" s="64"/>
      <c r="F361" s="64"/>
      <c r="G361" s="63"/>
      <c r="H361" s="64"/>
      <c r="I361" s="64"/>
      <c r="J361" s="64"/>
      <c r="K361" s="64"/>
      <c r="L361" s="64"/>
      <c r="M361" s="64"/>
      <c r="N361" s="64"/>
      <c r="O361" s="64"/>
      <c r="P361" s="64"/>
      <c r="Q361" s="64"/>
      <c r="R361" s="64"/>
      <c r="S361" s="64"/>
      <c r="T361" s="64"/>
      <c r="U361" s="64"/>
      <c r="V361" s="64"/>
      <c r="W361" s="64"/>
      <c r="X361" s="64"/>
      <c r="Y361" s="64"/>
      <c r="Z361" s="64"/>
      <c r="AA361" s="64"/>
    </row>
    <row r="362" ht="12.75" customHeight="1">
      <c r="A362" s="63"/>
      <c r="B362" s="64"/>
      <c r="C362" s="64"/>
      <c r="D362" s="64"/>
      <c r="E362" s="64"/>
      <c r="F362" s="64"/>
      <c r="G362" s="63"/>
      <c r="H362" s="64"/>
      <c r="I362" s="64"/>
      <c r="J362" s="64"/>
      <c r="K362" s="64"/>
      <c r="L362" s="64"/>
      <c r="M362" s="64"/>
      <c r="N362" s="64"/>
      <c r="O362" s="64"/>
      <c r="P362" s="64"/>
      <c r="Q362" s="64"/>
      <c r="R362" s="64"/>
      <c r="S362" s="64"/>
      <c r="T362" s="64"/>
      <c r="U362" s="64"/>
      <c r="V362" s="64"/>
      <c r="W362" s="64"/>
      <c r="X362" s="64"/>
      <c r="Y362" s="64"/>
      <c r="Z362" s="64"/>
      <c r="AA362" s="64"/>
    </row>
    <row r="363" ht="12.75" customHeight="1">
      <c r="A363" s="63"/>
      <c r="B363" s="64"/>
      <c r="C363" s="64"/>
      <c r="D363" s="64"/>
      <c r="E363" s="64"/>
      <c r="F363" s="64"/>
      <c r="G363" s="63"/>
      <c r="H363" s="64"/>
      <c r="I363" s="64"/>
      <c r="J363" s="64"/>
      <c r="K363" s="64"/>
      <c r="L363" s="64"/>
      <c r="M363" s="64"/>
      <c r="N363" s="64"/>
      <c r="O363" s="64"/>
      <c r="P363" s="64"/>
      <c r="Q363" s="64"/>
      <c r="R363" s="64"/>
      <c r="S363" s="64"/>
      <c r="T363" s="64"/>
      <c r="U363" s="64"/>
      <c r="V363" s="64"/>
      <c r="W363" s="64"/>
      <c r="X363" s="64"/>
      <c r="Y363" s="64"/>
      <c r="Z363" s="64"/>
      <c r="AA363" s="64"/>
    </row>
    <row r="364" ht="12.75" customHeight="1">
      <c r="A364" s="63"/>
      <c r="B364" s="64"/>
      <c r="C364" s="64"/>
      <c r="D364" s="64"/>
      <c r="E364" s="64"/>
      <c r="F364" s="64"/>
      <c r="G364" s="63"/>
      <c r="H364" s="64"/>
      <c r="I364" s="64"/>
      <c r="J364" s="64"/>
      <c r="K364" s="64"/>
      <c r="L364" s="64"/>
      <c r="M364" s="64"/>
      <c r="N364" s="64"/>
      <c r="O364" s="64"/>
      <c r="P364" s="64"/>
      <c r="Q364" s="64"/>
      <c r="R364" s="64"/>
      <c r="S364" s="64"/>
      <c r="T364" s="64"/>
      <c r="U364" s="64"/>
      <c r="V364" s="64"/>
      <c r="W364" s="64"/>
      <c r="X364" s="64"/>
      <c r="Y364" s="64"/>
      <c r="Z364" s="64"/>
      <c r="AA364" s="64"/>
    </row>
    <row r="365" ht="12.75" customHeight="1">
      <c r="A365" s="63"/>
      <c r="B365" s="64"/>
      <c r="C365" s="64"/>
      <c r="D365" s="64"/>
      <c r="E365" s="64"/>
      <c r="F365" s="64"/>
      <c r="G365" s="63"/>
      <c r="H365" s="64"/>
      <c r="I365" s="64"/>
      <c r="J365" s="64"/>
      <c r="K365" s="64"/>
      <c r="L365" s="64"/>
      <c r="M365" s="64"/>
      <c r="N365" s="64"/>
      <c r="O365" s="64"/>
      <c r="P365" s="64"/>
      <c r="Q365" s="64"/>
      <c r="R365" s="64"/>
      <c r="S365" s="64"/>
      <c r="T365" s="64"/>
      <c r="U365" s="64"/>
      <c r="V365" s="64"/>
      <c r="W365" s="64"/>
      <c r="X365" s="64"/>
      <c r="Y365" s="64"/>
      <c r="Z365" s="64"/>
      <c r="AA365" s="64"/>
    </row>
    <row r="366" ht="12.75" customHeight="1">
      <c r="A366" s="63"/>
      <c r="B366" s="64"/>
      <c r="C366" s="64"/>
      <c r="D366" s="64"/>
      <c r="E366" s="64"/>
      <c r="F366" s="64"/>
      <c r="G366" s="63"/>
      <c r="H366" s="64"/>
      <c r="I366" s="64"/>
      <c r="J366" s="64"/>
      <c r="K366" s="64"/>
      <c r="L366" s="64"/>
      <c r="M366" s="64"/>
      <c r="N366" s="64"/>
      <c r="O366" s="64"/>
      <c r="P366" s="64"/>
      <c r="Q366" s="64"/>
      <c r="R366" s="64"/>
      <c r="S366" s="64"/>
      <c r="T366" s="64"/>
      <c r="U366" s="64"/>
      <c r="V366" s="64"/>
      <c r="W366" s="64"/>
      <c r="X366" s="64"/>
      <c r="Y366" s="64"/>
      <c r="Z366" s="64"/>
      <c r="AA366" s="64"/>
    </row>
    <row r="367" ht="12.75" customHeight="1">
      <c r="A367" s="63"/>
      <c r="B367" s="64"/>
      <c r="C367" s="64"/>
      <c r="D367" s="64"/>
      <c r="E367" s="64"/>
      <c r="F367" s="64"/>
      <c r="G367" s="63"/>
      <c r="H367" s="64"/>
      <c r="I367" s="64"/>
      <c r="J367" s="64"/>
      <c r="K367" s="64"/>
      <c r="L367" s="64"/>
      <c r="M367" s="64"/>
      <c r="N367" s="64"/>
      <c r="O367" s="64"/>
      <c r="P367" s="64"/>
      <c r="Q367" s="64"/>
      <c r="R367" s="64"/>
      <c r="S367" s="64"/>
      <c r="T367" s="64"/>
      <c r="U367" s="64"/>
      <c r="V367" s="64"/>
      <c r="W367" s="64"/>
      <c r="X367" s="64"/>
      <c r="Y367" s="64"/>
      <c r="Z367" s="64"/>
      <c r="AA367" s="64"/>
    </row>
    <row r="368" ht="12.75" customHeight="1">
      <c r="A368" s="63"/>
      <c r="B368" s="64"/>
      <c r="C368" s="64"/>
      <c r="D368" s="64"/>
      <c r="E368" s="64"/>
      <c r="F368" s="64"/>
      <c r="G368" s="63"/>
      <c r="H368" s="64"/>
      <c r="I368" s="64"/>
      <c r="J368" s="64"/>
      <c r="K368" s="64"/>
      <c r="L368" s="64"/>
      <c r="M368" s="64"/>
      <c r="N368" s="64"/>
      <c r="O368" s="64"/>
      <c r="P368" s="64"/>
      <c r="Q368" s="64"/>
      <c r="R368" s="64"/>
      <c r="S368" s="64"/>
      <c r="T368" s="64"/>
      <c r="U368" s="64"/>
      <c r="V368" s="64"/>
      <c r="W368" s="64"/>
      <c r="X368" s="64"/>
      <c r="Y368" s="64"/>
      <c r="Z368" s="64"/>
      <c r="AA368" s="64"/>
    </row>
    <row r="369" ht="12.75" customHeight="1">
      <c r="A369" s="63"/>
      <c r="B369" s="64"/>
      <c r="C369" s="64"/>
      <c r="D369" s="64"/>
      <c r="E369" s="64"/>
      <c r="F369" s="64"/>
      <c r="G369" s="63"/>
      <c r="H369" s="64"/>
      <c r="I369" s="64"/>
      <c r="J369" s="64"/>
      <c r="K369" s="64"/>
      <c r="L369" s="64"/>
      <c r="M369" s="64"/>
      <c r="N369" s="64"/>
      <c r="O369" s="64"/>
      <c r="P369" s="64"/>
      <c r="Q369" s="64"/>
      <c r="R369" s="64"/>
      <c r="S369" s="64"/>
      <c r="T369" s="64"/>
      <c r="U369" s="64"/>
      <c r="V369" s="64"/>
      <c r="W369" s="64"/>
      <c r="X369" s="64"/>
      <c r="Y369" s="64"/>
      <c r="Z369" s="64"/>
      <c r="AA369" s="64"/>
    </row>
    <row r="370" ht="12.75" customHeight="1">
      <c r="A370" s="63"/>
      <c r="B370" s="64"/>
      <c r="C370" s="64"/>
      <c r="D370" s="64"/>
      <c r="E370" s="64"/>
      <c r="F370" s="64"/>
      <c r="G370" s="63"/>
      <c r="H370" s="64"/>
      <c r="I370" s="64"/>
      <c r="J370" s="64"/>
      <c r="K370" s="64"/>
      <c r="L370" s="64"/>
      <c r="M370" s="64"/>
      <c r="N370" s="64"/>
      <c r="O370" s="64"/>
      <c r="P370" s="64"/>
      <c r="Q370" s="64"/>
      <c r="R370" s="64"/>
      <c r="S370" s="64"/>
      <c r="T370" s="64"/>
      <c r="U370" s="64"/>
      <c r="V370" s="64"/>
      <c r="W370" s="64"/>
      <c r="X370" s="64"/>
      <c r="Y370" s="64"/>
      <c r="Z370" s="64"/>
      <c r="AA370" s="64"/>
    </row>
    <row r="371" ht="12.75" customHeight="1">
      <c r="A371" s="63"/>
      <c r="B371" s="64"/>
      <c r="C371" s="64"/>
      <c r="D371" s="64"/>
      <c r="E371" s="64"/>
      <c r="F371" s="64"/>
      <c r="G371" s="63"/>
      <c r="H371" s="64"/>
      <c r="I371" s="64"/>
      <c r="J371" s="64"/>
      <c r="K371" s="64"/>
      <c r="L371" s="64"/>
      <c r="M371" s="64"/>
      <c r="N371" s="64"/>
      <c r="O371" s="64"/>
      <c r="P371" s="64"/>
      <c r="Q371" s="64"/>
      <c r="R371" s="64"/>
      <c r="S371" s="64"/>
      <c r="T371" s="64"/>
      <c r="U371" s="64"/>
      <c r="V371" s="64"/>
      <c r="W371" s="64"/>
      <c r="X371" s="64"/>
      <c r="Y371" s="64"/>
      <c r="Z371" s="64"/>
      <c r="AA371" s="64"/>
    </row>
    <row r="372" ht="12.75" customHeight="1">
      <c r="A372" s="63"/>
      <c r="B372" s="64"/>
      <c r="C372" s="64"/>
      <c r="D372" s="64"/>
      <c r="E372" s="64"/>
      <c r="F372" s="64"/>
      <c r="G372" s="63"/>
      <c r="H372" s="64"/>
      <c r="I372" s="64"/>
      <c r="J372" s="64"/>
      <c r="K372" s="64"/>
      <c r="L372" s="64"/>
      <c r="M372" s="64"/>
      <c r="N372" s="64"/>
      <c r="O372" s="64"/>
      <c r="P372" s="64"/>
      <c r="Q372" s="64"/>
      <c r="R372" s="64"/>
      <c r="S372" s="64"/>
      <c r="T372" s="64"/>
      <c r="U372" s="64"/>
      <c r="V372" s="64"/>
      <c r="W372" s="64"/>
      <c r="X372" s="64"/>
      <c r="Y372" s="64"/>
      <c r="Z372" s="64"/>
      <c r="AA372" s="64"/>
    </row>
    <row r="373" ht="12.75" customHeight="1">
      <c r="A373" s="63"/>
      <c r="B373" s="64"/>
      <c r="C373" s="64"/>
      <c r="D373" s="64"/>
      <c r="E373" s="64"/>
      <c r="F373" s="64"/>
      <c r="G373" s="63"/>
      <c r="H373" s="64"/>
      <c r="I373" s="64"/>
      <c r="J373" s="64"/>
      <c r="K373" s="64"/>
      <c r="L373" s="64"/>
      <c r="M373" s="64"/>
      <c r="N373" s="64"/>
      <c r="O373" s="64"/>
      <c r="P373" s="64"/>
      <c r="Q373" s="64"/>
      <c r="R373" s="64"/>
      <c r="S373" s="64"/>
      <c r="T373" s="64"/>
      <c r="U373" s="64"/>
      <c r="V373" s="64"/>
      <c r="W373" s="64"/>
      <c r="X373" s="64"/>
      <c r="Y373" s="64"/>
      <c r="Z373" s="64"/>
      <c r="AA373" s="64"/>
    </row>
    <row r="374" ht="12.75" customHeight="1">
      <c r="A374" s="63"/>
      <c r="B374" s="64"/>
      <c r="C374" s="64"/>
      <c r="D374" s="64"/>
      <c r="E374" s="64"/>
      <c r="F374" s="64"/>
      <c r="G374" s="63"/>
      <c r="H374" s="64"/>
      <c r="I374" s="64"/>
      <c r="J374" s="64"/>
      <c r="K374" s="64"/>
      <c r="L374" s="64"/>
      <c r="M374" s="64"/>
      <c r="N374" s="64"/>
      <c r="O374" s="64"/>
      <c r="P374" s="64"/>
      <c r="Q374" s="64"/>
      <c r="R374" s="64"/>
      <c r="S374" s="64"/>
      <c r="T374" s="64"/>
      <c r="U374" s="64"/>
      <c r="V374" s="64"/>
      <c r="W374" s="64"/>
      <c r="X374" s="64"/>
      <c r="Y374" s="64"/>
      <c r="Z374" s="64"/>
      <c r="AA374" s="64"/>
    </row>
    <row r="375" ht="12.75" customHeight="1">
      <c r="A375" s="63"/>
      <c r="B375" s="64"/>
      <c r="C375" s="64"/>
      <c r="D375" s="64"/>
      <c r="E375" s="64"/>
      <c r="F375" s="64"/>
      <c r="G375" s="63"/>
      <c r="H375" s="64"/>
      <c r="I375" s="64"/>
      <c r="J375" s="64"/>
      <c r="K375" s="64"/>
      <c r="L375" s="64"/>
      <c r="M375" s="64"/>
      <c r="N375" s="64"/>
      <c r="O375" s="64"/>
      <c r="P375" s="64"/>
      <c r="Q375" s="64"/>
      <c r="R375" s="64"/>
      <c r="S375" s="64"/>
      <c r="T375" s="64"/>
      <c r="U375" s="64"/>
      <c r="V375" s="64"/>
      <c r="W375" s="64"/>
      <c r="X375" s="64"/>
      <c r="Y375" s="64"/>
      <c r="Z375" s="64"/>
      <c r="AA375" s="64"/>
    </row>
    <row r="376" ht="12.75" customHeight="1">
      <c r="A376" s="63"/>
      <c r="B376" s="64"/>
      <c r="C376" s="64"/>
      <c r="D376" s="64"/>
      <c r="E376" s="64"/>
      <c r="F376" s="64"/>
      <c r="G376" s="63"/>
      <c r="H376" s="64"/>
      <c r="I376" s="64"/>
      <c r="J376" s="64"/>
      <c r="K376" s="64"/>
      <c r="L376" s="64"/>
      <c r="M376" s="64"/>
      <c r="N376" s="64"/>
      <c r="O376" s="64"/>
      <c r="P376" s="64"/>
      <c r="Q376" s="64"/>
      <c r="R376" s="64"/>
      <c r="S376" s="64"/>
      <c r="T376" s="64"/>
      <c r="U376" s="64"/>
      <c r="V376" s="64"/>
      <c r="W376" s="64"/>
      <c r="X376" s="64"/>
      <c r="Y376" s="64"/>
      <c r="Z376" s="64"/>
      <c r="AA376" s="64"/>
    </row>
    <row r="377" ht="12.75" customHeight="1">
      <c r="A377" s="63"/>
      <c r="B377" s="64"/>
      <c r="C377" s="64"/>
      <c r="D377" s="64"/>
      <c r="E377" s="64"/>
      <c r="F377" s="64"/>
      <c r="G377" s="63"/>
      <c r="H377" s="64"/>
      <c r="I377" s="64"/>
      <c r="J377" s="64"/>
      <c r="K377" s="64"/>
      <c r="L377" s="64"/>
      <c r="M377" s="64"/>
      <c r="N377" s="64"/>
      <c r="O377" s="64"/>
      <c r="P377" s="64"/>
      <c r="Q377" s="64"/>
      <c r="R377" s="64"/>
      <c r="S377" s="64"/>
      <c r="T377" s="64"/>
      <c r="U377" s="64"/>
      <c r="V377" s="64"/>
      <c r="W377" s="64"/>
      <c r="X377" s="64"/>
      <c r="Y377" s="64"/>
      <c r="Z377" s="64"/>
      <c r="AA377" s="64"/>
    </row>
    <row r="378" ht="12.75" customHeight="1">
      <c r="A378" s="63"/>
      <c r="B378" s="64"/>
      <c r="C378" s="64"/>
      <c r="D378" s="64"/>
      <c r="E378" s="64"/>
      <c r="F378" s="64"/>
      <c r="G378" s="63"/>
      <c r="H378" s="64"/>
      <c r="I378" s="64"/>
      <c r="J378" s="64"/>
      <c r="K378" s="64"/>
      <c r="L378" s="64"/>
      <c r="M378" s="64"/>
      <c r="N378" s="64"/>
      <c r="O378" s="64"/>
      <c r="P378" s="64"/>
      <c r="Q378" s="64"/>
      <c r="R378" s="64"/>
      <c r="S378" s="64"/>
      <c r="T378" s="64"/>
      <c r="U378" s="64"/>
      <c r="V378" s="64"/>
      <c r="W378" s="64"/>
      <c r="X378" s="64"/>
      <c r="Y378" s="64"/>
      <c r="Z378" s="64"/>
      <c r="AA378" s="64"/>
    </row>
    <row r="379" ht="12.75" customHeight="1">
      <c r="A379" s="63"/>
      <c r="B379" s="64"/>
      <c r="C379" s="64"/>
      <c r="D379" s="64"/>
      <c r="E379" s="64"/>
      <c r="F379" s="64"/>
      <c r="G379" s="63"/>
      <c r="H379" s="64"/>
      <c r="I379" s="64"/>
      <c r="J379" s="64"/>
      <c r="K379" s="64"/>
      <c r="L379" s="64"/>
      <c r="M379" s="64"/>
      <c r="N379" s="64"/>
      <c r="O379" s="64"/>
      <c r="P379" s="64"/>
      <c r="Q379" s="64"/>
      <c r="R379" s="64"/>
      <c r="S379" s="64"/>
      <c r="T379" s="64"/>
      <c r="U379" s="64"/>
      <c r="V379" s="64"/>
      <c r="W379" s="64"/>
      <c r="X379" s="64"/>
      <c r="Y379" s="64"/>
      <c r="Z379" s="64"/>
      <c r="AA379" s="64"/>
    </row>
    <row r="380" ht="12.75" customHeight="1">
      <c r="A380" s="63"/>
      <c r="B380" s="64"/>
      <c r="C380" s="64"/>
      <c r="D380" s="64"/>
      <c r="E380" s="64"/>
      <c r="F380" s="64"/>
      <c r="G380" s="63"/>
      <c r="H380" s="64"/>
      <c r="I380" s="64"/>
      <c r="J380" s="64"/>
      <c r="K380" s="64"/>
      <c r="L380" s="64"/>
      <c r="M380" s="64"/>
      <c r="N380" s="64"/>
      <c r="O380" s="64"/>
      <c r="P380" s="64"/>
      <c r="Q380" s="64"/>
      <c r="R380" s="64"/>
      <c r="S380" s="64"/>
      <c r="T380" s="64"/>
      <c r="U380" s="64"/>
      <c r="V380" s="64"/>
      <c r="W380" s="64"/>
      <c r="X380" s="64"/>
      <c r="Y380" s="64"/>
      <c r="Z380" s="64"/>
      <c r="AA380" s="64"/>
    </row>
    <row r="381" ht="12.75" customHeight="1">
      <c r="A381" s="63"/>
      <c r="B381" s="64"/>
      <c r="C381" s="64"/>
      <c r="D381" s="64"/>
      <c r="E381" s="64"/>
      <c r="F381" s="64"/>
      <c r="G381" s="63"/>
      <c r="H381" s="64"/>
      <c r="I381" s="64"/>
      <c r="J381" s="64"/>
      <c r="K381" s="64"/>
      <c r="L381" s="64"/>
      <c r="M381" s="64"/>
      <c r="N381" s="64"/>
      <c r="O381" s="64"/>
      <c r="P381" s="64"/>
      <c r="Q381" s="64"/>
      <c r="R381" s="64"/>
      <c r="S381" s="64"/>
      <c r="T381" s="64"/>
      <c r="U381" s="64"/>
      <c r="V381" s="64"/>
      <c r="W381" s="64"/>
      <c r="X381" s="64"/>
      <c r="Y381" s="64"/>
      <c r="Z381" s="64"/>
      <c r="AA381" s="64"/>
    </row>
    <row r="382" ht="12.75" customHeight="1">
      <c r="A382" s="63"/>
      <c r="B382" s="64"/>
      <c r="C382" s="64"/>
      <c r="D382" s="64"/>
      <c r="E382" s="64"/>
      <c r="F382" s="64"/>
      <c r="G382" s="63"/>
      <c r="H382" s="64"/>
      <c r="I382" s="64"/>
      <c r="J382" s="64"/>
      <c r="K382" s="64"/>
      <c r="L382" s="64"/>
      <c r="M382" s="64"/>
      <c r="N382" s="64"/>
      <c r="O382" s="64"/>
      <c r="P382" s="64"/>
      <c r="Q382" s="64"/>
      <c r="R382" s="64"/>
      <c r="S382" s="64"/>
      <c r="T382" s="64"/>
      <c r="U382" s="64"/>
      <c r="V382" s="64"/>
      <c r="W382" s="64"/>
      <c r="X382" s="64"/>
      <c r="Y382" s="64"/>
      <c r="Z382" s="64"/>
      <c r="AA382" s="64"/>
    </row>
    <row r="383" ht="12.75" customHeight="1">
      <c r="A383" s="63"/>
      <c r="B383" s="64"/>
      <c r="C383" s="64"/>
      <c r="D383" s="64"/>
      <c r="E383" s="64"/>
      <c r="F383" s="64"/>
      <c r="G383" s="63"/>
      <c r="H383" s="64"/>
      <c r="I383" s="64"/>
      <c r="J383" s="64"/>
      <c r="K383" s="64"/>
      <c r="L383" s="64"/>
      <c r="M383" s="64"/>
      <c r="N383" s="64"/>
      <c r="O383" s="64"/>
      <c r="P383" s="64"/>
      <c r="Q383" s="64"/>
      <c r="R383" s="64"/>
      <c r="S383" s="64"/>
      <c r="T383" s="64"/>
      <c r="U383" s="64"/>
      <c r="V383" s="64"/>
      <c r="W383" s="64"/>
      <c r="X383" s="64"/>
      <c r="Y383" s="64"/>
      <c r="Z383" s="64"/>
      <c r="AA383" s="64"/>
    </row>
    <row r="384" ht="12.75" customHeight="1">
      <c r="A384" s="63"/>
      <c r="B384" s="64"/>
      <c r="C384" s="64"/>
      <c r="D384" s="64"/>
      <c r="E384" s="64"/>
      <c r="F384" s="64"/>
      <c r="G384" s="63"/>
      <c r="H384" s="64"/>
      <c r="I384" s="64"/>
      <c r="J384" s="64"/>
      <c r="K384" s="64"/>
      <c r="L384" s="64"/>
      <c r="M384" s="64"/>
      <c r="N384" s="64"/>
      <c r="O384" s="64"/>
      <c r="P384" s="64"/>
      <c r="Q384" s="64"/>
      <c r="R384" s="64"/>
      <c r="S384" s="64"/>
      <c r="T384" s="64"/>
      <c r="U384" s="64"/>
      <c r="V384" s="64"/>
      <c r="W384" s="64"/>
      <c r="X384" s="64"/>
      <c r="Y384" s="64"/>
      <c r="Z384" s="64"/>
      <c r="AA384" s="64"/>
    </row>
    <row r="385" ht="12.75" customHeight="1">
      <c r="A385" s="63"/>
      <c r="B385" s="64"/>
      <c r="C385" s="64"/>
      <c r="D385" s="64"/>
      <c r="E385" s="64"/>
      <c r="F385" s="64"/>
      <c r="G385" s="63"/>
      <c r="H385" s="64"/>
      <c r="I385" s="64"/>
      <c r="J385" s="64"/>
      <c r="K385" s="64"/>
      <c r="L385" s="64"/>
      <c r="M385" s="64"/>
      <c r="N385" s="64"/>
      <c r="O385" s="64"/>
      <c r="P385" s="64"/>
      <c r="Q385" s="64"/>
      <c r="R385" s="64"/>
      <c r="S385" s="64"/>
      <c r="T385" s="64"/>
      <c r="U385" s="64"/>
      <c r="V385" s="64"/>
      <c r="W385" s="64"/>
      <c r="X385" s="64"/>
      <c r="Y385" s="64"/>
      <c r="Z385" s="64"/>
      <c r="AA385" s="64"/>
    </row>
    <row r="386" ht="12.75" customHeight="1">
      <c r="A386" s="63"/>
      <c r="B386" s="64"/>
      <c r="C386" s="64"/>
      <c r="D386" s="64"/>
      <c r="E386" s="64"/>
      <c r="F386" s="64"/>
      <c r="G386" s="63"/>
      <c r="H386" s="64"/>
      <c r="I386" s="64"/>
      <c r="J386" s="64"/>
      <c r="K386" s="64"/>
      <c r="L386" s="64"/>
      <c r="M386" s="64"/>
      <c r="N386" s="64"/>
      <c r="O386" s="64"/>
      <c r="P386" s="64"/>
      <c r="Q386" s="64"/>
      <c r="R386" s="64"/>
      <c r="S386" s="64"/>
      <c r="T386" s="64"/>
      <c r="U386" s="64"/>
      <c r="V386" s="64"/>
      <c r="W386" s="64"/>
      <c r="X386" s="64"/>
      <c r="Y386" s="64"/>
      <c r="Z386" s="64"/>
      <c r="AA386" s="64"/>
    </row>
    <row r="387" ht="12.75" customHeight="1">
      <c r="A387" s="63"/>
      <c r="B387" s="64"/>
      <c r="C387" s="64"/>
      <c r="D387" s="64"/>
      <c r="E387" s="64"/>
      <c r="F387" s="64"/>
      <c r="G387" s="63"/>
      <c r="H387" s="64"/>
      <c r="I387" s="64"/>
      <c r="J387" s="64"/>
      <c r="K387" s="64"/>
      <c r="L387" s="64"/>
      <c r="M387" s="64"/>
      <c r="N387" s="64"/>
      <c r="O387" s="64"/>
      <c r="P387" s="64"/>
      <c r="Q387" s="64"/>
      <c r="R387" s="64"/>
      <c r="S387" s="64"/>
      <c r="T387" s="64"/>
      <c r="U387" s="64"/>
      <c r="V387" s="64"/>
      <c r="W387" s="64"/>
      <c r="X387" s="64"/>
      <c r="Y387" s="64"/>
      <c r="Z387" s="64"/>
      <c r="AA387" s="64"/>
    </row>
    <row r="388" ht="12.75" customHeight="1">
      <c r="A388" s="63"/>
      <c r="B388" s="64"/>
      <c r="C388" s="64"/>
      <c r="D388" s="64"/>
      <c r="E388" s="64"/>
      <c r="F388" s="64"/>
      <c r="G388" s="63"/>
      <c r="H388" s="64"/>
      <c r="I388" s="64"/>
      <c r="J388" s="64"/>
      <c r="K388" s="64"/>
      <c r="L388" s="64"/>
      <c r="M388" s="64"/>
      <c r="N388" s="64"/>
      <c r="O388" s="64"/>
      <c r="P388" s="64"/>
      <c r="Q388" s="64"/>
      <c r="R388" s="64"/>
      <c r="S388" s="64"/>
      <c r="T388" s="64"/>
      <c r="U388" s="64"/>
      <c r="V388" s="64"/>
      <c r="W388" s="64"/>
      <c r="X388" s="64"/>
      <c r="Y388" s="64"/>
      <c r="Z388" s="64"/>
      <c r="AA388" s="64"/>
    </row>
    <row r="389" ht="12.75" customHeight="1">
      <c r="A389" s="63"/>
      <c r="B389" s="64"/>
      <c r="C389" s="64"/>
      <c r="D389" s="64"/>
      <c r="E389" s="64"/>
      <c r="F389" s="64"/>
      <c r="G389" s="63"/>
      <c r="H389" s="64"/>
      <c r="I389" s="64"/>
      <c r="J389" s="64"/>
      <c r="K389" s="64"/>
      <c r="L389" s="64"/>
      <c r="M389" s="64"/>
      <c r="N389" s="64"/>
      <c r="O389" s="64"/>
      <c r="P389" s="64"/>
      <c r="Q389" s="64"/>
      <c r="R389" s="64"/>
      <c r="S389" s="64"/>
      <c r="T389" s="64"/>
      <c r="U389" s="64"/>
      <c r="V389" s="64"/>
      <c r="W389" s="64"/>
      <c r="X389" s="64"/>
      <c r="Y389" s="64"/>
      <c r="Z389" s="64"/>
      <c r="AA389" s="64"/>
    </row>
    <row r="390" ht="12.75" customHeight="1">
      <c r="A390" s="63"/>
      <c r="B390" s="64"/>
      <c r="C390" s="64"/>
      <c r="D390" s="64"/>
      <c r="E390" s="64"/>
      <c r="F390" s="64"/>
      <c r="G390" s="63"/>
      <c r="H390" s="64"/>
      <c r="I390" s="64"/>
      <c r="J390" s="64"/>
      <c r="K390" s="64"/>
      <c r="L390" s="64"/>
      <c r="M390" s="64"/>
      <c r="N390" s="64"/>
      <c r="O390" s="64"/>
      <c r="P390" s="64"/>
      <c r="Q390" s="64"/>
      <c r="R390" s="64"/>
      <c r="S390" s="64"/>
      <c r="T390" s="64"/>
      <c r="U390" s="64"/>
      <c r="V390" s="64"/>
      <c r="W390" s="64"/>
      <c r="X390" s="64"/>
      <c r="Y390" s="64"/>
      <c r="Z390" s="64"/>
      <c r="AA390" s="64"/>
    </row>
    <row r="391" ht="12.75" customHeight="1">
      <c r="A391" s="63"/>
      <c r="B391" s="64"/>
      <c r="C391" s="64"/>
      <c r="D391" s="64"/>
      <c r="E391" s="64"/>
      <c r="F391" s="64"/>
      <c r="G391" s="63"/>
      <c r="H391" s="64"/>
      <c r="I391" s="64"/>
      <c r="J391" s="64"/>
      <c r="K391" s="64"/>
      <c r="L391" s="64"/>
      <c r="M391" s="64"/>
      <c r="N391" s="64"/>
      <c r="O391" s="64"/>
      <c r="P391" s="64"/>
      <c r="Q391" s="64"/>
      <c r="R391" s="64"/>
      <c r="S391" s="64"/>
      <c r="T391" s="64"/>
      <c r="U391" s="64"/>
      <c r="V391" s="64"/>
      <c r="W391" s="64"/>
      <c r="X391" s="64"/>
      <c r="Y391" s="64"/>
      <c r="Z391" s="64"/>
      <c r="AA391" s="64"/>
    </row>
    <row r="392" ht="12.75" customHeight="1">
      <c r="A392" s="63"/>
      <c r="B392" s="64"/>
      <c r="C392" s="64"/>
      <c r="D392" s="64"/>
      <c r="E392" s="64"/>
      <c r="F392" s="64"/>
      <c r="G392" s="63"/>
      <c r="H392" s="64"/>
      <c r="I392" s="64"/>
      <c r="J392" s="64"/>
      <c r="K392" s="64"/>
      <c r="L392" s="64"/>
      <c r="M392" s="64"/>
      <c r="N392" s="64"/>
      <c r="O392" s="64"/>
      <c r="P392" s="64"/>
      <c r="Q392" s="64"/>
      <c r="R392" s="64"/>
      <c r="S392" s="64"/>
      <c r="T392" s="64"/>
      <c r="U392" s="64"/>
      <c r="V392" s="64"/>
      <c r="W392" s="64"/>
      <c r="X392" s="64"/>
      <c r="Y392" s="64"/>
      <c r="Z392" s="64"/>
      <c r="AA392" s="64"/>
    </row>
    <row r="393" ht="12.75" customHeight="1">
      <c r="A393" s="63"/>
      <c r="B393" s="64"/>
      <c r="C393" s="64"/>
      <c r="D393" s="64"/>
      <c r="E393" s="64"/>
      <c r="F393" s="64"/>
      <c r="G393" s="63"/>
      <c r="H393" s="64"/>
      <c r="I393" s="64"/>
      <c r="J393" s="64"/>
      <c r="K393" s="64"/>
      <c r="L393" s="64"/>
      <c r="M393" s="64"/>
      <c r="N393" s="64"/>
      <c r="O393" s="64"/>
      <c r="P393" s="64"/>
      <c r="Q393" s="64"/>
      <c r="R393" s="64"/>
      <c r="S393" s="64"/>
      <c r="T393" s="64"/>
      <c r="U393" s="64"/>
      <c r="V393" s="64"/>
      <c r="W393" s="64"/>
      <c r="X393" s="64"/>
      <c r="Y393" s="64"/>
      <c r="Z393" s="64"/>
      <c r="AA393" s="64"/>
    </row>
    <row r="394" ht="12.75" customHeight="1">
      <c r="A394" s="63"/>
      <c r="B394" s="64"/>
      <c r="C394" s="64"/>
      <c r="D394" s="64"/>
      <c r="E394" s="64"/>
      <c r="F394" s="64"/>
      <c r="G394" s="63"/>
      <c r="H394" s="64"/>
      <c r="I394" s="64"/>
      <c r="J394" s="64"/>
      <c r="K394" s="64"/>
      <c r="L394" s="64"/>
      <c r="M394" s="64"/>
      <c r="N394" s="64"/>
      <c r="O394" s="64"/>
      <c r="P394" s="64"/>
      <c r="Q394" s="64"/>
      <c r="R394" s="64"/>
      <c r="S394" s="64"/>
      <c r="T394" s="64"/>
      <c r="U394" s="64"/>
      <c r="V394" s="64"/>
      <c r="W394" s="64"/>
      <c r="X394" s="64"/>
      <c r="Y394" s="64"/>
      <c r="Z394" s="64"/>
      <c r="AA394" s="64"/>
    </row>
    <row r="395" ht="12.75" customHeight="1">
      <c r="A395" s="63"/>
      <c r="B395" s="64"/>
      <c r="C395" s="64"/>
      <c r="D395" s="64"/>
      <c r="E395" s="64"/>
      <c r="F395" s="64"/>
      <c r="G395" s="63"/>
      <c r="H395" s="64"/>
      <c r="I395" s="64"/>
      <c r="J395" s="64"/>
      <c r="K395" s="64"/>
      <c r="L395" s="64"/>
      <c r="M395" s="64"/>
      <c r="N395" s="64"/>
      <c r="O395" s="64"/>
      <c r="P395" s="64"/>
      <c r="Q395" s="64"/>
      <c r="R395" s="64"/>
      <c r="S395" s="64"/>
      <c r="T395" s="64"/>
      <c r="U395" s="64"/>
      <c r="V395" s="64"/>
      <c r="W395" s="64"/>
      <c r="X395" s="64"/>
      <c r="Y395" s="64"/>
      <c r="Z395" s="64"/>
      <c r="AA395" s="64"/>
    </row>
    <row r="396" ht="12.75" customHeight="1">
      <c r="A396" s="63"/>
      <c r="B396" s="64"/>
      <c r="C396" s="64"/>
      <c r="D396" s="64"/>
      <c r="E396" s="64"/>
      <c r="F396" s="64"/>
      <c r="G396" s="63"/>
      <c r="H396" s="64"/>
      <c r="I396" s="64"/>
      <c r="J396" s="64"/>
      <c r="K396" s="64"/>
      <c r="L396" s="64"/>
      <c r="M396" s="64"/>
      <c r="N396" s="64"/>
      <c r="O396" s="64"/>
      <c r="P396" s="64"/>
      <c r="Q396" s="64"/>
      <c r="R396" s="64"/>
      <c r="S396" s="64"/>
      <c r="T396" s="64"/>
      <c r="U396" s="64"/>
      <c r="V396" s="64"/>
      <c r="W396" s="64"/>
      <c r="X396" s="64"/>
      <c r="Y396" s="64"/>
      <c r="Z396" s="64"/>
      <c r="AA396" s="64"/>
    </row>
    <row r="397" ht="12.75" customHeight="1">
      <c r="A397" s="63"/>
      <c r="B397" s="64"/>
      <c r="C397" s="64"/>
      <c r="D397" s="64"/>
      <c r="E397" s="64"/>
      <c r="F397" s="64"/>
      <c r="G397" s="63"/>
      <c r="H397" s="64"/>
      <c r="I397" s="64"/>
      <c r="J397" s="64"/>
      <c r="K397" s="64"/>
      <c r="L397" s="64"/>
      <c r="M397" s="64"/>
      <c r="N397" s="64"/>
      <c r="O397" s="64"/>
      <c r="P397" s="64"/>
      <c r="Q397" s="64"/>
      <c r="R397" s="64"/>
      <c r="S397" s="64"/>
      <c r="T397" s="64"/>
      <c r="U397" s="64"/>
      <c r="V397" s="64"/>
      <c r="W397" s="64"/>
      <c r="X397" s="64"/>
      <c r="Y397" s="64"/>
      <c r="Z397" s="64"/>
      <c r="AA397" s="64"/>
    </row>
    <row r="398" ht="12.75" customHeight="1">
      <c r="A398" s="63"/>
      <c r="B398" s="64"/>
      <c r="C398" s="64"/>
      <c r="D398" s="64"/>
      <c r="E398" s="64"/>
      <c r="F398" s="64"/>
      <c r="G398" s="63"/>
      <c r="H398" s="64"/>
      <c r="I398" s="64"/>
      <c r="J398" s="64"/>
      <c r="K398" s="64"/>
      <c r="L398" s="64"/>
      <c r="M398" s="64"/>
      <c r="N398" s="64"/>
      <c r="O398" s="64"/>
      <c r="P398" s="64"/>
      <c r="Q398" s="64"/>
      <c r="R398" s="64"/>
      <c r="S398" s="64"/>
      <c r="T398" s="64"/>
      <c r="U398" s="64"/>
      <c r="V398" s="64"/>
      <c r="W398" s="64"/>
      <c r="X398" s="64"/>
      <c r="Y398" s="64"/>
      <c r="Z398" s="64"/>
      <c r="AA398" s="64"/>
    </row>
    <row r="399" ht="12.75" customHeight="1">
      <c r="A399" s="63"/>
      <c r="B399" s="64"/>
      <c r="C399" s="64"/>
      <c r="D399" s="64"/>
      <c r="E399" s="64"/>
      <c r="F399" s="64"/>
      <c r="G399" s="63"/>
      <c r="H399" s="64"/>
      <c r="I399" s="64"/>
      <c r="J399" s="64"/>
      <c r="K399" s="64"/>
      <c r="L399" s="64"/>
      <c r="M399" s="64"/>
      <c r="N399" s="64"/>
      <c r="O399" s="64"/>
      <c r="P399" s="64"/>
      <c r="Q399" s="64"/>
      <c r="R399" s="64"/>
      <c r="S399" s="64"/>
      <c r="T399" s="64"/>
      <c r="U399" s="64"/>
      <c r="V399" s="64"/>
      <c r="W399" s="64"/>
      <c r="X399" s="64"/>
      <c r="Y399" s="64"/>
      <c r="Z399" s="64"/>
      <c r="AA399" s="64"/>
    </row>
    <row r="400" ht="12.75" customHeight="1">
      <c r="A400" s="63"/>
      <c r="B400" s="64"/>
      <c r="C400" s="64"/>
      <c r="D400" s="64"/>
      <c r="E400" s="64"/>
      <c r="F400" s="64"/>
      <c r="G400" s="63"/>
      <c r="H400" s="64"/>
      <c r="I400" s="64"/>
      <c r="J400" s="64"/>
      <c r="K400" s="64"/>
      <c r="L400" s="64"/>
      <c r="M400" s="64"/>
      <c r="N400" s="64"/>
      <c r="O400" s="64"/>
      <c r="P400" s="64"/>
      <c r="Q400" s="64"/>
      <c r="R400" s="64"/>
      <c r="S400" s="64"/>
      <c r="T400" s="64"/>
      <c r="U400" s="64"/>
      <c r="V400" s="64"/>
      <c r="W400" s="64"/>
      <c r="X400" s="64"/>
      <c r="Y400" s="64"/>
      <c r="Z400" s="64"/>
      <c r="AA400" s="64"/>
    </row>
    <row r="401" ht="12.75" customHeight="1">
      <c r="A401" s="63"/>
      <c r="B401" s="64"/>
      <c r="C401" s="64"/>
      <c r="D401" s="64"/>
      <c r="E401" s="64"/>
      <c r="F401" s="64"/>
      <c r="G401" s="63"/>
      <c r="H401" s="64"/>
      <c r="I401" s="64"/>
      <c r="J401" s="64"/>
      <c r="K401" s="64"/>
      <c r="L401" s="64"/>
      <c r="M401" s="64"/>
      <c r="N401" s="64"/>
      <c r="O401" s="64"/>
      <c r="P401" s="64"/>
      <c r="Q401" s="64"/>
      <c r="R401" s="64"/>
      <c r="S401" s="64"/>
      <c r="T401" s="64"/>
      <c r="U401" s="64"/>
      <c r="V401" s="64"/>
      <c r="W401" s="64"/>
      <c r="X401" s="64"/>
      <c r="Y401" s="64"/>
      <c r="Z401" s="64"/>
      <c r="AA401" s="64"/>
    </row>
    <row r="402" ht="12.75" customHeight="1">
      <c r="G402" s="71"/>
    </row>
    <row r="403" ht="12.75" customHeight="1">
      <c r="G403" s="71"/>
    </row>
    <row r="404" ht="12.75" customHeight="1">
      <c r="G404" s="71"/>
    </row>
    <row r="405" ht="12.75" customHeight="1">
      <c r="G405" s="71"/>
    </row>
    <row r="406" ht="12.75" customHeight="1">
      <c r="G406" s="71"/>
    </row>
    <row r="407" ht="12.75" customHeight="1">
      <c r="G407" s="71"/>
    </row>
    <row r="408" ht="12.75" customHeight="1">
      <c r="G408" s="71"/>
    </row>
    <row r="409" ht="12.75" customHeight="1">
      <c r="G409" s="71"/>
    </row>
    <row r="410" ht="12.75" customHeight="1">
      <c r="G410" s="71"/>
    </row>
    <row r="411" ht="12.75" customHeight="1">
      <c r="G411" s="71"/>
    </row>
    <row r="412" ht="12.75" customHeight="1">
      <c r="G412" s="71"/>
    </row>
    <row r="413" ht="12.75" customHeight="1">
      <c r="G413" s="71"/>
    </row>
    <row r="414" ht="12.75" customHeight="1">
      <c r="G414" s="71"/>
    </row>
    <row r="415" ht="12.75" customHeight="1">
      <c r="G415" s="71"/>
    </row>
    <row r="416" ht="12.75" customHeight="1">
      <c r="G416" s="71"/>
    </row>
    <row r="417" ht="12.75" customHeight="1">
      <c r="G417" s="71"/>
    </row>
    <row r="418" ht="12.75" customHeight="1">
      <c r="G418" s="71"/>
    </row>
    <row r="419" ht="12.75" customHeight="1">
      <c r="G419" s="71"/>
    </row>
    <row r="420" ht="12.75" customHeight="1">
      <c r="G420" s="71"/>
    </row>
    <row r="421" ht="12.75" customHeight="1">
      <c r="G421" s="71"/>
    </row>
    <row r="422" ht="12.75" customHeight="1">
      <c r="G422" s="71"/>
    </row>
    <row r="423" ht="12.75" customHeight="1">
      <c r="G423" s="71"/>
    </row>
    <row r="424" ht="12.75" customHeight="1">
      <c r="G424" s="71"/>
    </row>
    <row r="425" ht="12.75" customHeight="1">
      <c r="G425" s="71"/>
    </row>
    <row r="426" ht="12.75" customHeight="1">
      <c r="G426" s="71"/>
    </row>
    <row r="427" ht="12.75" customHeight="1">
      <c r="G427" s="71"/>
    </row>
    <row r="428" ht="12.75" customHeight="1">
      <c r="G428" s="71"/>
    </row>
    <row r="429" ht="12.75" customHeight="1">
      <c r="G429" s="71"/>
    </row>
    <row r="430" ht="12.75" customHeight="1">
      <c r="G430" s="71"/>
    </row>
    <row r="431" ht="12.75" customHeight="1">
      <c r="G431" s="71"/>
    </row>
    <row r="432" ht="12.75" customHeight="1">
      <c r="G432" s="71"/>
    </row>
    <row r="433" ht="12.75" customHeight="1">
      <c r="G433" s="71"/>
    </row>
    <row r="434" ht="12.75" customHeight="1">
      <c r="G434" s="71"/>
    </row>
    <row r="435" ht="12.75" customHeight="1">
      <c r="G435" s="71"/>
    </row>
    <row r="436" ht="12.75" customHeight="1">
      <c r="G436" s="71"/>
    </row>
    <row r="437" ht="12.75" customHeight="1">
      <c r="G437" s="71"/>
    </row>
    <row r="438" ht="12.75" customHeight="1">
      <c r="G438" s="71"/>
    </row>
    <row r="439" ht="12.75" customHeight="1">
      <c r="G439" s="71"/>
    </row>
    <row r="440" ht="12.75" customHeight="1">
      <c r="G440" s="71"/>
    </row>
    <row r="441" ht="12.75" customHeight="1">
      <c r="G441" s="71"/>
    </row>
    <row r="442" ht="12.75" customHeight="1">
      <c r="G442" s="71"/>
    </row>
    <row r="443" ht="12.75" customHeight="1">
      <c r="G443" s="71"/>
    </row>
    <row r="444" ht="12.75" customHeight="1">
      <c r="G444" s="71"/>
    </row>
    <row r="445" ht="12.75" customHeight="1">
      <c r="G445" s="71"/>
    </row>
    <row r="446" ht="12.75" customHeight="1">
      <c r="G446" s="71"/>
    </row>
    <row r="447" ht="12.75" customHeight="1">
      <c r="G447" s="71"/>
    </row>
    <row r="448" ht="12.75" customHeight="1">
      <c r="G448" s="71"/>
    </row>
    <row r="449" ht="12.75" customHeight="1">
      <c r="G449" s="71"/>
    </row>
    <row r="450" ht="12.75" customHeight="1">
      <c r="G450" s="71"/>
    </row>
    <row r="451" ht="12.75" customHeight="1">
      <c r="G451" s="71"/>
    </row>
    <row r="452" ht="12.75" customHeight="1">
      <c r="G452" s="71"/>
    </row>
    <row r="453" ht="12.75" customHeight="1">
      <c r="G453" s="71"/>
    </row>
    <row r="454" ht="12.75" customHeight="1">
      <c r="G454" s="71"/>
    </row>
    <row r="455" ht="12.75" customHeight="1">
      <c r="G455" s="71"/>
    </row>
    <row r="456" ht="12.75" customHeight="1">
      <c r="G456" s="71"/>
    </row>
    <row r="457" ht="12.75" customHeight="1">
      <c r="G457" s="71"/>
    </row>
    <row r="458" ht="12.75" customHeight="1">
      <c r="G458" s="71"/>
    </row>
    <row r="459" ht="12.75" customHeight="1">
      <c r="G459" s="71"/>
    </row>
    <row r="460" ht="12.75" customHeight="1">
      <c r="G460" s="71"/>
    </row>
    <row r="461" ht="12.75" customHeight="1">
      <c r="G461" s="71"/>
    </row>
    <row r="462" ht="12.75" customHeight="1">
      <c r="G462" s="71"/>
    </row>
    <row r="463" ht="12.75" customHeight="1">
      <c r="G463" s="71"/>
    </row>
    <row r="464" ht="12.75" customHeight="1">
      <c r="G464" s="71"/>
    </row>
    <row r="465" ht="12.75" customHeight="1">
      <c r="G465" s="71"/>
    </row>
    <row r="466" ht="12.75" customHeight="1">
      <c r="G466" s="71"/>
    </row>
    <row r="467" ht="12.75" customHeight="1">
      <c r="G467" s="71"/>
    </row>
    <row r="468" ht="12.75" customHeight="1">
      <c r="G468" s="71"/>
    </row>
    <row r="469" ht="12.75" customHeight="1">
      <c r="G469" s="71"/>
    </row>
    <row r="470" ht="12.75" customHeight="1">
      <c r="G470" s="71"/>
    </row>
    <row r="471" ht="12.75" customHeight="1">
      <c r="G471" s="71"/>
    </row>
    <row r="472" ht="12.75" customHeight="1">
      <c r="G472" s="71"/>
    </row>
    <row r="473" ht="12.75" customHeight="1">
      <c r="G473" s="71"/>
    </row>
    <row r="474" ht="12.75" customHeight="1">
      <c r="G474" s="71"/>
    </row>
    <row r="475" ht="12.75" customHeight="1">
      <c r="G475" s="71"/>
    </row>
    <row r="476" ht="12.75" customHeight="1">
      <c r="G476" s="71"/>
    </row>
    <row r="477" ht="12.75" customHeight="1">
      <c r="G477" s="71"/>
    </row>
    <row r="478" ht="12.75" customHeight="1">
      <c r="G478" s="71"/>
    </row>
    <row r="479" ht="12.75" customHeight="1">
      <c r="G479" s="71"/>
    </row>
    <row r="480" ht="12.75" customHeight="1">
      <c r="G480" s="71"/>
    </row>
    <row r="481" ht="12.75" customHeight="1">
      <c r="G481" s="71"/>
    </row>
    <row r="482" ht="12.75" customHeight="1">
      <c r="G482" s="71"/>
    </row>
    <row r="483" ht="12.75" customHeight="1">
      <c r="G483" s="71"/>
    </row>
    <row r="484" ht="12.75" customHeight="1">
      <c r="G484" s="71"/>
    </row>
    <row r="485" ht="12.75" customHeight="1">
      <c r="G485" s="71"/>
    </row>
    <row r="486" ht="12.75" customHeight="1">
      <c r="G486" s="71"/>
    </row>
    <row r="487" ht="12.75" customHeight="1">
      <c r="G487" s="71"/>
    </row>
    <row r="488" ht="12.75" customHeight="1">
      <c r="G488" s="71"/>
    </row>
    <row r="489" ht="12.75" customHeight="1">
      <c r="G489" s="71"/>
    </row>
    <row r="490" ht="12.75" customHeight="1">
      <c r="G490" s="71"/>
    </row>
    <row r="491" ht="12.75" customHeight="1">
      <c r="G491" s="71"/>
    </row>
    <row r="492" ht="12.75" customHeight="1">
      <c r="G492" s="71"/>
    </row>
    <row r="493" ht="12.75" customHeight="1">
      <c r="G493" s="71"/>
    </row>
    <row r="494" ht="12.75" customHeight="1">
      <c r="G494" s="71"/>
    </row>
    <row r="495" ht="12.75" customHeight="1">
      <c r="G495" s="71"/>
    </row>
    <row r="496" ht="12.75" customHeight="1">
      <c r="G496" s="71"/>
    </row>
    <row r="497" ht="12.75" customHeight="1">
      <c r="G497" s="71"/>
    </row>
    <row r="498" ht="12.75" customHeight="1">
      <c r="G498" s="71"/>
    </row>
    <row r="499" ht="12.75" customHeight="1">
      <c r="G499" s="71"/>
    </row>
    <row r="500" ht="12.75" customHeight="1">
      <c r="G500" s="71"/>
    </row>
    <row r="501" ht="12.75" customHeight="1">
      <c r="G501" s="71"/>
    </row>
    <row r="502" ht="12.75" customHeight="1">
      <c r="G502" s="71"/>
    </row>
    <row r="503" ht="12.75" customHeight="1">
      <c r="G503" s="71"/>
    </row>
    <row r="504" ht="12.75" customHeight="1">
      <c r="G504" s="71"/>
    </row>
    <row r="505" ht="12.75" customHeight="1">
      <c r="G505" s="71"/>
    </row>
    <row r="506" ht="12.75" customHeight="1">
      <c r="G506" s="71"/>
    </row>
    <row r="507" ht="12.75" customHeight="1">
      <c r="G507" s="71"/>
    </row>
    <row r="508" ht="12.75" customHeight="1">
      <c r="G508" s="71"/>
    </row>
    <row r="509" ht="12.75" customHeight="1">
      <c r="G509" s="71"/>
    </row>
    <row r="510" ht="12.75" customHeight="1">
      <c r="G510" s="71"/>
    </row>
    <row r="511" ht="12.75" customHeight="1">
      <c r="G511" s="71"/>
    </row>
    <row r="512" ht="12.75" customHeight="1">
      <c r="G512" s="71"/>
    </row>
    <row r="513" ht="12.75" customHeight="1">
      <c r="G513" s="71"/>
    </row>
    <row r="514" ht="12.75" customHeight="1">
      <c r="G514" s="71"/>
    </row>
    <row r="515" ht="12.75" customHeight="1">
      <c r="G515" s="71"/>
    </row>
    <row r="516" ht="12.75" customHeight="1">
      <c r="G516" s="71"/>
    </row>
    <row r="517" ht="12.75" customHeight="1">
      <c r="G517" s="71"/>
    </row>
    <row r="518" ht="12.75" customHeight="1">
      <c r="G518" s="71"/>
    </row>
    <row r="519" ht="12.75" customHeight="1">
      <c r="G519" s="71"/>
    </row>
    <row r="520" ht="12.75" customHeight="1">
      <c r="G520" s="71"/>
    </row>
    <row r="521" ht="12.75" customHeight="1">
      <c r="G521" s="71"/>
    </row>
    <row r="522" ht="12.75" customHeight="1">
      <c r="G522" s="71"/>
    </row>
    <row r="523" ht="12.75" customHeight="1">
      <c r="G523" s="71"/>
    </row>
    <row r="524" ht="12.75" customHeight="1">
      <c r="G524" s="71"/>
    </row>
    <row r="525" ht="12.75" customHeight="1">
      <c r="G525" s="71"/>
    </row>
    <row r="526" ht="12.75" customHeight="1">
      <c r="G526" s="71"/>
    </row>
    <row r="527" ht="12.75" customHeight="1">
      <c r="G527" s="71"/>
    </row>
    <row r="528" ht="12.75" customHeight="1">
      <c r="G528" s="71"/>
    </row>
    <row r="529" ht="12.75" customHeight="1">
      <c r="G529" s="71"/>
    </row>
    <row r="530" ht="12.75" customHeight="1">
      <c r="G530" s="71"/>
    </row>
    <row r="531" ht="12.75" customHeight="1">
      <c r="G531" s="71"/>
    </row>
    <row r="532" ht="12.75" customHeight="1">
      <c r="G532" s="71"/>
    </row>
    <row r="533" ht="12.75" customHeight="1">
      <c r="G533" s="71"/>
    </row>
    <row r="534" ht="12.75" customHeight="1">
      <c r="G534" s="71"/>
    </row>
    <row r="535" ht="12.75" customHeight="1">
      <c r="G535" s="71"/>
    </row>
    <row r="536" ht="12.75" customHeight="1">
      <c r="G536" s="71"/>
    </row>
    <row r="537" ht="12.75" customHeight="1">
      <c r="G537" s="71"/>
    </row>
    <row r="538" ht="12.75" customHeight="1">
      <c r="G538" s="71"/>
    </row>
    <row r="539" ht="12.75" customHeight="1">
      <c r="G539" s="71"/>
    </row>
    <row r="540" ht="12.75" customHeight="1">
      <c r="G540" s="71"/>
    </row>
    <row r="541" ht="12.75" customHeight="1">
      <c r="G541" s="71"/>
    </row>
    <row r="542" ht="12.75" customHeight="1">
      <c r="G542" s="71"/>
    </row>
    <row r="543" ht="12.75" customHeight="1">
      <c r="G543" s="71"/>
    </row>
    <row r="544" ht="12.75" customHeight="1">
      <c r="G544" s="71"/>
    </row>
    <row r="545" ht="12.75" customHeight="1">
      <c r="G545" s="71"/>
    </row>
    <row r="546" ht="12.75" customHeight="1">
      <c r="G546" s="71"/>
    </row>
    <row r="547" ht="12.75" customHeight="1">
      <c r="G547" s="71"/>
    </row>
    <row r="548" ht="12.75" customHeight="1">
      <c r="G548" s="71"/>
    </row>
    <row r="549" ht="12.75" customHeight="1">
      <c r="G549" s="71"/>
    </row>
    <row r="550" ht="12.75" customHeight="1">
      <c r="G550" s="71"/>
    </row>
    <row r="551" ht="12.75" customHeight="1">
      <c r="G551" s="71"/>
    </row>
    <row r="552" ht="12.75" customHeight="1">
      <c r="G552" s="71"/>
    </row>
    <row r="553" ht="12.75" customHeight="1">
      <c r="G553" s="71"/>
    </row>
    <row r="554" ht="12.75" customHeight="1">
      <c r="G554" s="71"/>
    </row>
    <row r="555" ht="12.75" customHeight="1">
      <c r="G555" s="71"/>
    </row>
    <row r="556" ht="12.75" customHeight="1">
      <c r="G556" s="71"/>
    </row>
    <row r="557" ht="12.75" customHeight="1">
      <c r="G557" s="71"/>
    </row>
    <row r="558" ht="12.75" customHeight="1">
      <c r="G558" s="71"/>
    </row>
    <row r="559" ht="12.75" customHeight="1">
      <c r="G559" s="71"/>
    </row>
    <row r="560" ht="12.75" customHeight="1">
      <c r="G560" s="71"/>
    </row>
    <row r="561" ht="12.75" customHeight="1">
      <c r="G561" s="71"/>
    </row>
    <row r="562" ht="12.75" customHeight="1">
      <c r="G562" s="71"/>
    </row>
    <row r="563" ht="12.75" customHeight="1">
      <c r="G563" s="71"/>
    </row>
    <row r="564" ht="12.75" customHeight="1">
      <c r="G564" s="71"/>
    </row>
    <row r="565" ht="12.75" customHeight="1">
      <c r="G565" s="71"/>
    </row>
    <row r="566" ht="12.75" customHeight="1">
      <c r="G566" s="71"/>
    </row>
    <row r="567" ht="12.75" customHeight="1">
      <c r="G567" s="71"/>
    </row>
    <row r="568" ht="12.75" customHeight="1">
      <c r="G568" s="71"/>
    </row>
    <row r="569" ht="12.75" customHeight="1">
      <c r="G569" s="71"/>
    </row>
    <row r="570" ht="12.75" customHeight="1">
      <c r="G570" s="71"/>
    </row>
    <row r="571" ht="12.75" customHeight="1">
      <c r="G571" s="71"/>
    </row>
    <row r="572" ht="12.75" customHeight="1">
      <c r="G572" s="71"/>
    </row>
    <row r="573" ht="12.75" customHeight="1">
      <c r="G573" s="71"/>
    </row>
    <row r="574" ht="12.75" customHeight="1">
      <c r="G574" s="71"/>
    </row>
    <row r="575" ht="12.75" customHeight="1">
      <c r="G575" s="71"/>
    </row>
    <row r="576" ht="12.75" customHeight="1">
      <c r="G576" s="71"/>
    </row>
    <row r="577" ht="12.75" customHeight="1">
      <c r="G577" s="71"/>
    </row>
    <row r="578" ht="12.75" customHeight="1">
      <c r="G578" s="71"/>
    </row>
    <row r="579" ht="12.75" customHeight="1">
      <c r="G579" s="71"/>
    </row>
    <row r="580" ht="12.75" customHeight="1">
      <c r="G580" s="71"/>
    </row>
    <row r="581" ht="12.75" customHeight="1">
      <c r="G581" s="71"/>
    </row>
    <row r="582" ht="12.75" customHeight="1">
      <c r="G582" s="71"/>
    </row>
    <row r="583" ht="12.75" customHeight="1">
      <c r="G583" s="71"/>
    </row>
    <row r="584" ht="12.75" customHeight="1">
      <c r="G584" s="71"/>
    </row>
    <row r="585" ht="12.75" customHeight="1">
      <c r="G585" s="71"/>
    </row>
    <row r="586" ht="12.75" customHeight="1">
      <c r="G586" s="71"/>
    </row>
    <row r="587" ht="12.75" customHeight="1">
      <c r="G587" s="71"/>
    </row>
    <row r="588" ht="12.75" customHeight="1">
      <c r="G588" s="71"/>
    </row>
    <row r="589" ht="12.75" customHeight="1">
      <c r="G589" s="71"/>
    </row>
    <row r="590" ht="12.75" customHeight="1">
      <c r="G590" s="71"/>
    </row>
    <row r="591" ht="12.75" customHeight="1">
      <c r="G591" s="71"/>
    </row>
    <row r="592" ht="12.75" customHeight="1">
      <c r="G592" s="71"/>
    </row>
    <row r="593" ht="12.75" customHeight="1">
      <c r="G593" s="71"/>
    </row>
    <row r="594" ht="12.75" customHeight="1">
      <c r="G594" s="71"/>
    </row>
    <row r="595" ht="12.75" customHeight="1">
      <c r="G595" s="71"/>
    </row>
    <row r="596" ht="12.75" customHeight="1">
      <c r="G596" s="71"/>
    </row>
    <row r="597" ht="12.75" customHeight="1">
      <c r="G597" s="71"/>
    </row>
    <row r="598" ht="12.75" customHeight="1">
      <c r="G598" s="71"/>
    </row>
    <row r="599" ht="12.75" customHeight="1">
      <c r="G599" s="71"/>
    </row>
    <row r="600" ht="12.75" customHeight="1">
      <c r="G600" s="71"/>
    </row>
    <row r="601" ht="12.75" customHeight="1">
      <c r="G601" s="71"/>
    </row>
    <row r="602" ht="12.75" customHeight="1">
      <c r="G602" s="71"/>
    </row>
    <row r="603" ht="12.75" customHeight="1">
      <c r="G603" s="71"/>
    </row>
    <row r="604" ht="12.75" customHeight="1">
      <c r="G604" s="71"/>
    </row>
    <row r="605" ht="12.75" customHeight="1">
      <c r="G605" s="71"/>
    </row>
    <row r="606" ht="12.75" customHeight="1">
      <c r="G606" s="71"/>
    </row>
    <row r="607" ht="12.75" customHeight="1">
      <c r="G607" s="71"/>
    </row>
    <row r="608" ht="12.75" customHeight="1">
      <c r="G608" s="71"/>
    </row>
    <row r="609" ht="12.75" customHeight="1">
      <c r="G609" s="71"/>
    </row>
    <row r="610" ht="12.75" customHeight="1">
      <c r="G610" s="71"/>
    </row>
    <row r="611" ht="12.75" customHeight="1">
      <c r="G611" s="71"/>
    </row>
    <row r="612" ht="12.75" customHeight="1">
      <c r="G612" s="71"/>
    </row>
    <row r="613" ht="12.75" customHeight="1">
      <c r="G613" s="71"/>
    </row>
    <row r="614" ht="12.75" customHeight="1">
      <c r="G614" s="71"/>
    </row>
    <row r="615" ht="12.75" customHeight="1">
      <c r="G615" s="71"/>
    </row>
    <row r="616" ht="12.75" customHeight="1">
      <c r="G616" s="71"/>
    </row>
    <row r="617" ht="12.75" customHeight="1">
      <c r="G617" s="71"/>
    </row>
    <row r="618" ht="12.75" customHeight="1">
      <c r="G618" s="71"/>
    </row>
    <row r="619" ht="12.75" customHeight="1">
      <c r="G619" s="71"/>
    </row>
    <row r="620" ht="12.75" customHeight="1">
      <c r="G620" s="71"/>
    </row>
    <row r="621" ht="12.75" customHeight="1">
      <c r="G621" s="71"/>
    </row>
    <row r="622" ht="12.75" customHeight="1">
      <c r="G622" s="71"/>
    </row>
    <row r="623" ht="12.75" customHeight="1">
      <c r="G623" s="71"/>
    </row>
    <row r="624" ht="12.75" customHeight="1">
      <c r="G624" s="71"/>
    </row>
    <row r="625" ht="12.75" customHeight="1">
      <c r="G625" s="71"/>
    </row>
    <row r="626" ht="12.75" customHeight="1">
      <c r="G626" s="71"/>
    </row>
    <row r="627" ht="12.75" customHeight="1">
      <c r="G627" s="71"/>
    </row>
    <row r="628" ht="12.75" customHeight="1">
      <c r="G628" s="71"/>
    </row>
    <row r="629" ht="12.75" customHeight="1">
      <c r="G629" s="71"/>
    </row>
    <row r="630" ht="12.75" customHeight="1">
      <c r="G630" s="71"/>
    </row>
    <row r="631" ht="12.75" customHeight="1">
      <c r="G631" s="71"/>
    </row>
    <row r="632" ht="12.75" customHeight="1">
      <c r="G632" s="71"/>
    </row>
    <row r="633" ht="12.75" customHeight="1">
      <c r="G633" s="71"/>
    </row>
    <row r="634" ht="12.75" customHeight="1">
      <c r="G634" s="71"/>
    </row>
    <row r="635" ht="12.75" customHeight="1">
      <c r="G635" s="71"/>
    </row>
    <row r="636" ht="12.75" customHeight="1">
      <c r="G636" s="71"/>
    </row>
    <row r="637" ht="12.75" customHeight="1">
      <c r="G637" s="71"/>
    </row>
    <row r="638" ht="12.75" customHeight="1">
      <c r="G638" s="71"/>
    </row>
    <row r="639" ht="12.75" customHeight="1">
      <c r="G639" s="71"/>
    </row>
    <row r="640" ht="12.75" customHeight="1">
      <c r="G640" s="71"/>
    </row>
    <row r="641" ht="12.75" customHeight="1">
      <c r="G641" s="71"/>
    </row>
    <row r="642" ht="12.75" customHeight="1">
      <c r="G642" s="71"/>
    </row>
    <row r="643" ht="12.75" customHeight="1">
      <c r="G643" s="71"/>
    </row>
    <row r="644" ht="12.75" customHeight="1">
      <c r="G644" s="71"/>
    </row>
    <row r="645" ht="12.75" customHeight="1">
      <c r="G645" s="71"/>
    </row>
    <row r="646" ht="12.75" customHeight="1">
      <c r="G646" s="71"/>
    </row>
    <row r="647" ht="12.75" customHeight="1">
      <c r="G647" s="71"/>
    </row>
    <row r="648" ht="12.75" customHeight="1">
      <c r="G648" s="71"/>
    </row>
    <row r="649" ht="12.75" customHeight="1">
      <c r="G649" s="71"/>
    </row>
    <row r="650" ht="12.75" customHeight="1">
      <c r="G650" s="71"/>
    </row>
    <row r="651" ht="12.75" customHeight="1">
      <c r="G651" s="71"/>
    </row>
    <row r="652" ht="12.75" customHeight="1">
      <c r="G652" s="71"/>
    </row>
    <row r="653" ht="12.75" customHeight="1">
      <c r="G653" s="71"/>
    </row>
    <row r="654" ht="12.75" customHeight="1">
      <c r="G654" s="71"/>
    </row>
    <row r="655" ht="12.75" customHeight="1">
      <c r="G655" s="71"/>
    </row>
    <row r="656" ht="12.75" customHeight="1">
      <c r="G656" s="71"/>
    </row>
    <row r="657" ht="12.75" customHeight="1">
      <c r="G657" s="71"/>
    </row>
    <row r="658" ht="12.75" customHeight="1">
      <c r="G658" s="71"/>
    </row>
    <row r="659" ht="12.75" customHeight="1">
      <c r="G659" s="71"/>
    </row>
    <row r="660" ht="12.75" customHeight="1">
      <c r="G660" s="71"/>
    </row>
    <row r="661" ht="12.75" customHeight="1">
      <c r="G661" s="71"/>
    </row>
    <row r="662" ht="12.75" customHeight="1">
      <c r="G662" s="71"/>
    </row>
    <row r="663" ht="12.75" customHeight="1">
      <c r="G663" s="71"/>
    </row>
    <row r="664" ht="12.75" customHeight="1">
      <c r="G664" s="71"/>
    </row>
    <row r="665" ht="12.75" customHeight="1">
      <c r="G665" s="71"/>
    </row>
    <row r="666" ht="12.75" customHeight="1">
      <c r="G666" s="71"/>
    </row>
    <row r="667" ht="12.75" customHeight="1">
      <c r="G667" s="71"/>
    </row>
    <row r="668" ht="12.75" customHeight="1">
      <c r="G668" s="71"/>
    </row>
    <row r="669" ht="12.75" customHeight="1">
      <c r="G669" s="71"/>
    </row>
    <row r="670" ht="12.75" customHeight="1">
      <c r="G670" s="71"/>
    </row>
    <row r="671" ht="12.75" customHeight="1">
      <c r="G671" s="71"/>
    </row>
    <row r="672" ht="12.75" customHeight="1">
      <c r="G672" s="71"/>
    </row>
    <row r="673" ht="12.75" customHeight="1">
      <c r="G673" s="71"/>
    </row>
    <row r="674" ht="12.75" customHeight="1">
      <c r="G674" s="71"/>
    </row>
    <row r="675" ht="12.75" customHeight="1">
      <c r="G675" s="71"/>
    </row>
    <row r="676" ht="12.75" customHeight="1">
      <c r="G676" s="71"/>
    </row>
    <row r="677" ht="12.75" customHeight="1">
      <c r="G677" s="71"/>
    </row>
    <row r="678" ht="12.75" customHeight="1">
      <c r="G678" s="71"/>
    </row>
    <row r="679" ht="12.75" customHeight="1">
      <c r="G679" s="71"/>
    </row>
    <row r="680" ht="12.75" customHeight="1">
      <c r="G680" s="71"/>
    </row>
    <row r="681" ht="12.75" customHeight="1">
      <c r="G681" s="71"/>
    </row>
    <row r="682" ht="12.75" customHeight="1">
      <c r="G682" s="71"/>
    </row>
    <row r="683" ht="12.75" customHeight="1">
      <c r="G683" s="71"/>
    </row>
    <row r="684" ht="12.75" customHeight="1">
      <c r="G684" s="71"/>
    </row>
    <row r="685" ht="12.75" customHeight="1">
      <c r="G685" s="71"/>
    </row>
    <row r="686" ht="12.75" customHeight="1">
      <c r="G686" s="71"/>
    </row>
    <row r="687" ht="12.75" customHeight="1">
      <c r="G687" s="71"/>
    </row>
    <row r="688" ht="12.75" customHeight="1">
      <c r="G688" s="71"/>
    </row>
    <row r="689" ht="12.75" customHeight="1">
      <c r="G689" s="71"/>
    </row>
    <row r="690" ht="12.75" customHeight="1">
      <c r="G690" s="71"/>
    </row>
    <row r="691" ht="12.75" customHeight="1">
      <c r="G691" s="71"/>
    </row>
    <row r="692" ht="12.75" customHeight="1">
      <c r="G692" s="71"/>
    </row>
    <row r="693" ht="12.75" customHeight="1">
      <c r="G693" s="71"/>
    </row>
    <row r="694" ht="12.75" customHeight="1">
      <c r="G694" s="71"/>
    </row>
    <row r="695" ht="12.75" customHeight="1">
      <c r="G695" s="71"/>
    </row>
    <row r="696" ht="12.75" customHeight="1">
      <c r="G696" s="71"/>
    </row>
    <row r="697" ht="12.75" customHeight="1">
      <c r="G697" s="71"/>
    </row>
    <row r="698" ht="12.75" customHeight="1">
      <c r="G698" s="71"/>
    </row>
    <row r="699" ht="12.75" customHeight="1">
      <c r="G699" s="71"/>
    </row>
    <row r="700" ht="12.75" customHeight="1">
      <c r="G700" s="71"/>
    </row>
    <row r="701" ht="12.75" customHeight="1">
      <c r="G701" s="71"/>
    </row>
    <row r="702" ht="12.75" customHeight="1">
      <c r="G702" s="71"/>
    </row>
    <row r="703" ht="12.75" customHeight="1">
      <c r="G703" s="71"/>
    </row>
    <row r="704" ht="12.75" customHeight="1">
      <c r="G704" s="71"/>
    </row>
    <row r="705" ht="12.75" customHeight="1">
      <c r="G705" s="71"/>
    </row>
    <row r="706" ht="12.75" customHeight="1">
      <c r="G706" s="71"/>
    </row>
    <row r="707" ht="12.75" customHeight="1">
      <c r="G707" s="71"/>
    </row>
    <row r="708" ht="12.75" customHeight="1">
      <c r="G708" s="71"/>
    </row>
    <row r="709" ht="12.75" customHeight="1">
      <c r="G709" s="71"/>
    </row>
    <row r="710" ht="12.75" customHeight="1">
      <c r="G710" s="71"/>
    </row>
    <row r="711" ht="12.75" customHeight="1">
      <c r="G711" s="71"/>
    </row>
    <row r="712" ht="12.75" customHeight="1">
      <c r="G712" s="71"/>
    </row>
    <row r="713" ht="12.75" customHeight="1">
      <c r="G713" s="71"/>
    </row>
    <row r="714" ht="12.75" customHeight="1">
      <c r="G714" s="71"/>
    </row>
    <row r="715" ht="12.75" customHeight="1">
      <c r="G715" s="71"/>
    </row>
    <row r="716" ht="12.75" customHeight="1">
      <c r="G716" s="71"/>
    </row>
    <row r="717" ht="12.75" customHeight="1">
      <c r="G717" s="71"/>
    </row>
    <row r="718" ht="12.75" customHeight="1">
      <c r="G718" s="71"/>
    </row>
    <row r="719" ht="12.75" customHeight="1">
      <c r="G719" s="71"/>
    </row>
    <row r="720" ht="12.75" customHeight="1">
      <c r="G720" s="71"/>
    </row>
    <row r="721" ht="12.75" customHeight="1">
      <c r="G721" s="71"/>
    </row>
    <row r="722" ht="12.75" customHeight="1">
      <c r="G722" s="71"/>
    </row>
    <row r="723" ht="12.75" customHeight="1">
      <c r="G723" s="71"/>
    </row>
    <row r="724" ht="12.75" customHeight="1">
      <c r="G724" s="71"/>
    </row>
    <row r="725" ht="12.75" customHeight="1">
      <c r="G725" s="71"/>
    </row>
    <row r="726" ht="12.75" customHeight="1">
      <c r="G726" s="71"/>
    </row>
    <row r="727" ht="12.75" customHeight="1">
      <c r="G727" s="71"/>
    </row>
    <row r="728" ht="12.75" customHeight="1">
      <c r="G728" s="71"/>
    </row>
    <row r="729" ht="12.75" customHeight="1">
      <c r="G729" s="71"/>
    </row>
    <row r="730" ht="12.75" customHeight="1">
      <c r="G730" s="71"/>
    </row>
    <row r="731" ht="12.75" customHeight="1">
      <c r="G731" s="71"/>
    </row>
    <row r="732" ht="12.75" customHeight="1">
      <c r="G732" s="71"/>
    </row>
    <row r="733" ht="12.75" customHeight="1">
      <c r="G733" s="71"/>
    </row>
    <row r="734" ht="12.75" customHeight="1">
      <c r="G734" s="71"/>
    </row>
    <row r="735" ht="12.75" customHeight="1">
      <c r="G735" s="71"/>
    </row>
    <row r="736" ht="12.75" customHeight="1">
      <c r="G736" s="71"/>
    </row>
    <row r="737" ht="12.75" customHeight="1">
      <c r="G737" s="71"/>
    </row>
    <row r="738" ht="12.75" customHeight="1">
      <c r="G738" s="71"/>
    </row>
    <row r="739" ht="12.75" customHeight="1">
      <c r="G739" s="71"/>
    </row>
    <row r="740" ht="12.75" customHeight="1">
      <c r="G740" s="71"/>
    </row>
    <row r="741" ht="12.75" customHeight="1">
      <c r="G741" s="71"/>
    </row>
    <row r="742" ht="12.75" customHeight="1">
      <c r="G742" s="71"/>
    </row>
    <row r="743" ht="12.75" customHeight="1">
      <c r="G743" s="71"/>
    </row>
    <row r="744" ht="12.75" customHeight="1">
      <c r="G744" s="71"/>
    </row>
    <row r="745" ht="12.75" customHeight="1">
      <c r="G745" s="71"/>
    </row>
    <row r="746" ht="12.75" customHeight="1">
      <c r="G746" s="71"/>
    </row>
    <row r="747" ht="12.75" customHeight="1">
      <c r="G747" s="71"/>
    </row>
    <row r="748" ht="12.75" customHeight="1">
      <c r="G748" s="71"/>
    </row>
    <row r="749" ht="12.75" customHeight="1">
      <c r="G749" s="71"/>
    </row>
    <row r="750" ht="12.75" customHeight="1">
      <c r="G750" s="71"/>
    </row>
    <row r="751" ht="12.75" customHeight="1">
      <c r="G751" s="71"/>
    </row>
    <row r="752" ht="12.75" customHeight="1">
      <c r="G752" s="71"/>
    </row>
    <row r="753" ht="12.75" customHeight="1">
      <c r="G753" s="71"/>
    </row>
    <row r="754" ht="12.75" customHeight="1">
      <c r="G754" s="71"/>
    </row>
    <row r="755" ht="12.75" customHeight="1">
      <c r="G755" s="71"/>
    </row>
    <row r="756" ht="12.75" customHeight="1">
      <c r="G756" s="71"/>
    </row>
    <row r="757" ht="12.75" customHeight="1">
      <c r="G757" s="71"/>
    </row>
    <row r="758" ht="12.75" customHeight="1">
      <c r="G758" s="71"/>
    </row>
    <row r="759" ht="12.75" customHeight="1">
      <c r="G759" s="71"/>
    </row>
    <row r="760" ht="12.75" customHeight="1">
      <c r="G760" s="71"/>
    </row>
    <row r="761" ht="12.75" customHeight="1">
      <c r="G761" s="71"/>
    </row>
    <row r="762" ht="12.75" customHeight="1">
      <c r="G762" s="71"/>
    </row>
    <row r="763" ht="12.75" customHeight="1">
      <c r="G763" s="71"/>
    </row>
    <row r="764" ht="12.75" customHeight="1">
      <c r="G764" s="71"/>
    </row>
    <row r="765" ht="12.75" customHeight="1">
      <c r="G765" s="71"/>
    </row>
    <row r="766" ht="12.75" customHeight="1">
      <c r="G766" s="71"/>
    </row>
    <row r="767" ht="12.75" customHeight="1">
      <c r="G767" s="71"/>
    </row>
    <row r="768" ht="12.75" customHeight="1">
      <c r="G768" s="71"/>
    </row>
    <row r="769" ht="12.75" customHeight="1">
      <c r="G769" s="71"/>
    </row>
    <row r="770" ht="12.75" customHeight="1">
      <c r="G770" s="71"/>
    </row>
    <row r="771" ht="12.75" customHeight="1">
      <c r="G771" s="71"/>
    </row>
    <row r="772" ht="12.75" customHeight="1">
      <c r="G772" s="71"/>
    </row>
    <row r="773" ht="12.75" customHeight="1">
      <c r="G773" s="71"/>
    </row>
    <row r="774" ht="12.75" customHeight="1">
      <c r="G774" s="71"/>
    </row>
    <row r="775" ht="12.75" customHeight="1">
      <c r="G775" s="71"/>
    </row>
    <row r="776" ht="12.75" customHeight="1">
      <c r="G776" s="71"/>
    </row>
    <row r="777" ht="12.75" customHeight="1">
      <c r="G777" s="71"/>
    </row>
    <row r="778" ht="12.75" customHeight="1">
      <c r="G778" s="71"/>
    </row>
    <row r="779" ht="12.75" customHeight="1">
      <c r="G779" s="71"/>
    </row>
    <row r="780" ht="12.75" customHeight="1">
      <c r="G780" s="71"/>
    </row>
    <row r="781" ht="12.75" customHeight="1">
      <c r="G781" s="71"/>
    </row>
    <row r="782" ht="12.75" customHeight="1">
      <c r="G782" s="71"/>
    </row>
    <row r="783" ht="12.75" customHeight="1">
      <c r="G783" s="71"/>
    </row>
    <row r="784" ht="12.75" customHeight="1">
      <c r="G784" s="71"/>
    </row>
    <row r="785" ht="12.75" customHeight="1">
      <c r="G785" s="71"/>
    </row>
    <row r="786" ht="12.75" customHeight="1">
      <c r="G786" s="71"/>
    </row>
    <row r="787" ht="12.75" customHeight="1">
      <c r="G787" s="71"/>
    </row>
    <row r="788" ht="12.75" customHeight="1">
      <c r="G788" s="71"/>
    </row>
    <row r="789" ht="12.75" customHeight="1">
      <c r="G789" s="71"/>
    </row>
    <row r="790" ht="12.75" customHeight="1">
      <c r="G790" s="71"/>
    </row>
    <row r="791" ht="12.75" customHeight="1">
      <c r="G791" s="71"/>
    </row>
    <row r="792" ht="12.75" customHeight="1">
      <c r="G792" s="71"/>
    </row>
    <row r="793" ht="12.75" customHeight="1">
      <c r="G793" s="71"/>
    </row>
    <row r="794" ht="12.75" customHeight="1">
      <c r="G794" s="71"/>
    </row>
    <row r="795" ht="12.75" customHeight="1">
      <c r="G795" s="71"/>
    </row>
    <row r="796" ht="12.75" customHeight="1">
      <c r="G796" s="71"/>
    </row>
    <row r="797" ht="12.75" customHeight="1">
      <c r="G797" s="71"/>
    </row>
    <row r="798" ht="12.75" customHeight="1">
      <c r="G798" s="71"/>
    </row>
    <row r="799" ht="12.75" customHeight="1">
      <c r="G799" s="71"/>
    </row>
    <row r="800" ht="12.75" customHeight="1">
      <c r="G800" s="71"/>
    </row>
    <row r="801" ht="12.75" customHeight="1">
      <c r="G801" s="71"/>
    </row>
    <row r="802" ht="12.75" customHeight="1">
      <c r="G802" s="71"/>
    </row>
    <row r="803" ht="12.75" customHeight="1">
      <c r="G803" s="71"/>
    </row>
    <row r="804" ht="12.75" customHeight="1">
      <c r="G804" s="71"/>
    </row>
    <row r="805" ht="12.75" customHeight="1">
      <c r="G805" s="71"/>
    </row>
    <row r="806" ht="12.75" customHeight="1">
      <c r="G806" s="71"/>
    </row>
    <row r="807" ht="12.75" customHeight="1">
      <c r="G807" s="71"/>
    </row>
    <row r="808" ht="12.75" customHeight="1">
      <c r="G808" s="71"/>
    </row>
    <row r="809" ht="12.75" customHeight="1">
      <c r="G809" s="71"/>
    </row>
    <row r="810" ht="12.75" customHeight="1">
      <c r="G810" s="71"/>
    </row>
    <row r="811" ht="12.75" customHeight="1">
      <c r="G811" s="71"/>
    </row>
    <row r="812" ht="12.75" customHeight="1">
      <c r="G812" s="71"/>
    </row>
    <row r="813" ht="12.75" customHeight="1">
      <c r="G813" s="71"/>
    </row>
    <row r="814" ht="12.75" customHeight="1">
      <c r="G814" s="71"/>
    </row>
    <row r="815" ht="12.75" customHeight="1">
      <c r="G815" s="71"/>
    </row>
    <row r="816" ht="12.75" customHeight="1">
      <c r="G816" s="71"/>
    </row>
    <row r="817" ht="12.75" customHeight="1">
      <c r="G817" s="71"/>
    </row>
    <row r="818" ht="12.75" customHeight="1">
      <c r="G818" s="71"/>
    </row>
    <row r="819" ht="12.75" customHeight="1">
      <c r="G819" s="71"/>
    </row>
    <row r="820" ht="12.75" customHeight="1">
      <c r="G820" s="71"/>
    </row>
    <row r="821" ht="12.75" customHeight="1">
      <c r="G821" s="71"/>
    </row>
    <row r="822" ht="12.75" customHeight="1">
      <c r="G822" s="71"/>
    </row>
    <row r="823" ht="12.75" customHeight="1">
      <c r="G823" s="71"/>
    </row>
    <row r="824" ht="12.75" customHeight="1">
      <c r="G824" s="71"/>
    </row>
    <row r="825" ht="12.75" customHeight="1">
      <c r="G825" s="71"/>
    </row>
    <row r="826" ht="12.75" customHeight="1">
      <c r="G826" s="71"/>
    </row>
    <row r="827" ht="12.75" customHeight="1">
      <c r="G827" s="71"/>
    </row>
    <row r="828" ht="12.75" customHeight="1">
      <c r="G828" s="71"/>
    </row>
    <row r="829" ht="12.75" customHeight="1">
      <c r="G829" s="71"/>
    </row>
    <row r="830" ht="12.75" customHeight="1">
      <c r="G830" s="71"/>
    </row>
    <row r="831" ht="12.75" customHeight="1">
      <c r="G831" s="71"/>
    </row>
    <row r="832" ht="12.75" customHeight="1">
      <c r="G832" s="71"/>
    </row>
    <row r="833" ht="12.75" customHeight="1">
      <c r="G833" s="71"/>
    </row>
    <row r="834" ht="12.75" customHeight="1">
      <c r="G834" s="71"/>
    </row>
    <row r="835" ht="12.75" customHeight="1">
      <c r="G835" s="71"/>
    </row>
    <row r="836" ht="12.75" customHeight="1">
      <c r="G836" s="71"/>
    </row>
    <row r="837" ht="12.75" customHeight="1">
      <c r="G837" s="71"/>
    </row>
    <row r="838" ht="12.75" customHeight="1">
      <c r="G838" s="71"/>
    </row>
    <row r="839" ht="12.75" customHeight="1">
      <c r="G839" s="71"/>
    </row>
    <row r="840" ht="12.75" customHeight="1">
      <c r="G840" s="71"/>
    </row>
    <row r="841" ht="12.75" customHeight="1">
      <c r="G841" s="71"/>
    </row>
    <row r="842" ht="12.75" customHeight="1">
      <c r="G842" s="71"/>
    </row>
    <row r="843" ht="12.75" customHeight="1">
      <c r="G843" s="71"/>
    </row>
    <row r="844" ht="12.75" customHeight="1">
      <c r="G844" s="71"/>
    </row>
    <row r="845" ht="12.75" customHeight="1">
      <c r="G845" s="71"/>
    </row>
    <row r="846" ht="12.75" customHeight="1">
      <c r="G846" s="71"/>
    </row>
    <row r="847" ht="12.75" customHeight="1">
      <c r="G847" s="71"/>
    </row>
    <row r="848" ht="12.75" customHeight="1">
      <c r="G848" s="71"/>
    </row>
    <row r="849" ht="12.75" customHeight="1">
      <c r="G849" s="71"/>
    </row>
    <row r="850" ht="12.75" customHeight="1">
      <c r="G850" s="71"/>
    </row>
    <row r="851" ht="12.75" customHeight="1">
      <c r="G851" s="71"/>
    </row>
    <row r="852" ht="12.75" customHeight="1">
      <c r="G852" s="71"/>
    </row>
    <row r="853" ht="12.75" customHeight="1">
      <c r="G853" s="71"/>
    </row>
    <row r="854" ht="12.75" customHeight="1">
      <c r="G854" s="71"/>
    </row>
    <row r="855" ht="12.75" customHeight="1">
      <c r="G855" s="71"/>
    </row>
    <row r="856" ht="12.75" customHeight="1">
      <c r="G856" s="71"/>
    </row>
    <row r="857" ht="12.75" customHeight="1">
      <c r="G857" s="71"/>
    </row>
    <row r="858" ht="12.75" customHeight="1">
      <c r="G858" s="71"/>
    </row>
    <row r="859" ht="12.75" customHeight="1">
      <c r="G859" s="71"/>
    </row>
    <row r="860" ht="12.75" customHeight="1">
      <c r="G860" s="71"/>
    </row>
    <row r="861" ht="12.75" customHeight="1">
      <c r="G861" s="71"/>
    </row>
    <row r="862" ht="12.75" customHeight="1">
      <c r="G862" s="71"/>
    </row>
    <row r="863" ht="12.75" customHeight="1">
      <c r="G863" s="71"/>
    </row>
    <row r="864" ht="12.75" customHeight="1">
      <c r="G864" s="71"/>
    </row>
    <row r="865" ht="12.75" customHeight="1">
      <c r="G865" s="71"/>
    </row>
    <row r="866" ht="12.75" customHeight="1">
      <c r="G866" s="71"/>
    </row>
    <row r="867" ht="12.75" customHeight="1">
      <c r="G867" s="71"/>
    </row>
    <row r="868" ht="12.75" customHeight="1">
      <c r="G868" s="71"/>
    </row>
    <row r="869" ht="12.75" customHeight="1">
      <c r="G869" s="71"/>
    </row>
    <row r="870" ht="12.75" customHeight="1">
      <c r="G870" s="71"/>
    </row>
    <row r="871" ht="12.75" customHeight="1">
      <c r="G871" s="71"/>
    </row>
    <row r="872" ht="12.75" customHeight="1">
      <c r="G872" s="71"/>
    </row>
    <row r="873" ht="12.75" customHeight="1">
      <c r="G873" s="71"/>
    </row>
    <row r="874" ht="12.75" customHeight="1">
      <c r="G874" s="71"/>
    </row>
    <row r="875" ht="12.75" customHeight="1">
      <c r="G875" s="71"/>
    </row>
    <row r="876" ht="12.75" customHeight="1">
      <c r="G876" s="71"/>
    </row>
    <row r="877" ht="12.75" customHeight="1">
      <c r="G877" s="71"/>
    </row>
    <row r="878" ht="12.75" customHeight="1">
      <c r="G878" s="71"/>
    </row>
    <row r="879" ht="12.75" customHeight="1">
      <c r="G879" s="71"/>
    </row>
    <row r="880" ht="12.75" customHeight="1">
      <c r="G880" s="71"/>
    </row>
    <row r="881" ht="12.75" customHeight="1">
      <c r="G881" s="71"/>
    </row>
    <row r="882" ht="12.75" customHeight="1">
      <c r="G882" s="71"/>
    </row>
    <row r="883" ht="12.75" customHeight="1">
      <c r="G883" s="71"/>
    </row>
    <row r="884" ht="12.75" customHeight="1">
      <c r="G884" s="71"/>
    </row>
    <row r="885" ht="12.75" customHeight="1">
      <c r="G885" s="71"/>
    </row>
    <row r="886" ht="12.75" customHeight="1">
      <c r="G886" s="71"/>
    </row>
    <row r="887" ht="12.75" customHeight="1">
      <c r="G887" s="71"/>
    </row>
    <row r="888" ht="12.75" customHeight="1">
      <c r="G888" s="71"/>
    </row>
    <row r="889" ht="12.75" customHeight="1">
      <c r="G889" s="71"/>
    </row>
    <row r="890" ht="12.75" customHeight="1">
      <c r="G890" s="71"/>
    </row>
    <row r="891" ht="12.75" customHeight="1">
      <c r="G891" s="71"/>
    </row>
    <row r="892" ht="12.75" customHeight="1">
      <c r="G892" s="71"/>
    </row>
    <row r="893" ht="12.75" customHeight="1">
      <c r="G893" s="71"/>
    </row>
    <row r="894" ht="12.75" customHeight="1">
      <c r="G894" s="71"/>
    </row>
    <row r="895" ht="12.75" customHeight="1">
      <c r="G895" s="71"/>
    </row>
    <row r="896" ht="12.75" customHeight="1">
      <c r="G896" s="71"/>
    </row>
    <row r="897" ht="12.75" customHeight="1">
      <c r="G897" s="71"/>
    </row>
    <row r="898" ht="12.75" customHeight="1">
      <c r="G898" s="71"/>
    </row>
    <row r="899" ht="12.75" customHeight="1">
      <c r="G899" s="71"/>
    </row>
    <row r="900" ht="12.75" customHeight="1">
      <c r="G900" s="71"/>
    </row>
    <row r="901" ht="12.75" customHeight="1">
      <c r="G901" s="71"/>
    </row>
    <row r="902" ht="12.75" customHeight="1">
      <c r="G902" s="71"/>
    </row>
    <row r="903" ht="12.75" customHeight="1">
      <c r="G903" s="71"/>
    </row>
    <row r="904" ht="12.75" customHeight="1">
      <c r="G904" s="71"/>
    </row>
    <row r="905" ht="12.75" customHeight="1">
      <c r="G905" s="71"/>
    </row>
    <row r="906" ht="12.75" customHeight="1">
      <c r="G906" s="71"/>
    </row>
    <row r="907" ht="12.75" customHeight="1">
      <c r="G907" s="71"/>
    </row>
    <row r="908" ht="12.75" customHeight="1">
      <c r="G908" s="71"/>
    </row>
    <row r="909" ht="12.75" customHeight="1">
      <c r="G909" s="71"/>
    </row>
    <row r="910" ht="12.75" customHeight="1">
      <c r="G910" s="71"/>
    </row>
    <row r="911" ht="12.75" customHeight="1">
      <c r="G911" s="71"/>
    </row>
    <row r="912" ht="12.75" customHeight="1">
      <c r="G912" s="71"/>
    </row>
    <row r="913" ht="12.75" customHeight="1">
      <c r="G913" s="71"/>
    </row>
    <row r="914" ht="12.75" customHeight="1">
      <c r="G914" s="71"/>
    </row>
    <row r="915" ht="12.75" customHeight="1">
      <c r="G915" s="71"/>
    </row>
    <row r="916" ht="12.75" customHeight="1">
      <c r="G916" s="71"/>
    </row>
    <row r="917" ht="12.75" customHeight="1">
      <c r="G917" s="71"/>
    </row>
    <row r="918" ht="12.75" customHeight="1">
      <c r="G918" s="71"/>
    </row>
    <row r="919" ht="12.75" customHeight="1">
      <c r="G919" s="71"/>
    </row>
    <row r="920" ht="12.75" customHeight="1">
      <c r="G920" s="71"/>
    </row>
    <row r="921" ht="12.75" customHeight="1">
      <c r="G921" s="71"/>
    </row>
    <row r="922" ht="12.75" customHeight="1">
      <c r="G922" s="71"/>
    </row>
    <row r="923" ht="12.75" customHeight="1">
      <c r="G923" s="71"/>
    </row>
    <row r="924" ht="12.75" customHeight="1">
      <c r="G924" s="71"/>
    </row>
    <row r="925" ht="12.75" customHeight="1">
      <c r="G925" s="71"/>
    </row>
    <row r="926" ht="12.75" customHeight="1">
      <c r="G926" s="71"/>
    </row>
    <row r="927" ht="12.75" customHeight="1">
      <c r="G927" s="71"/>
    </row>
    <row r="928" ht="12.75" customHeight="1">
      <c r="G928" s="71"/>
    </row>
    <row r="929" ht="12.75" customHeight="1">
      <c r="G929" s="71"/>
    </row>
    <row r="930" ht="12.75" customHeight="1">
      <c r="G930" s="71"/>
    </row>
    <row r="931" ht="12.75" customHeight="1">
      <c r="G931" s="71"/>
    </row>
    <row r="932" ht="12.75" customHeight="1">
      <c r="G932" s="71"/>
    </row>
    <row r="933" ht="12.75" customHeight="1">
      <c r="G933" s="71"/>
    </row>
    <row r="934" ht="12.75" customHeight="1">
      <c r="G934" s="71"/>
    </row>
    <row r="935" ht="12.75" customHeight="1">
      <c r="G935" s="71"/>
    </row>
    <row r="936" ht="12.75" customHeight="1">
      <c r="G936" s="71"/>
    </row>
    <row r="937" ht="12.75" customHeight="1">
      <c r="G937" s="71"/>
    </row>
    <row r="938" ht="12.75" customHeight="1">
      <c r="G938" s="71"/>
    </row>
    <row r="939" ht="12.75" customHeight="1">
      <c r="G939" s="71"/>
    </row>
    <row r="940" ht="12.75" customHeight="1">
      <c r="G940" s="71"/>
    </row>
    <row r="941" ht="12.75" customHeight="1">
      <c r="G941" s="71"/>
    </row>
    <row r="942" ht="12.75" customHeight="1">
      <c r="G942" s="71"/>
    </row>
    <row r="943" ht="12.75" customHeight="1">
      <c r="G943" s="71"/>
    </row>
    <row r="944" ht="12.75" customHeight="1">
      <c r="G944" s="71"/>
    </row>
    <row r="945" ht="12.75" customHeight="1">
      <c r="G945" s="71"/>
    </row>
    <row r="946" ht="12.75" customHeight="1">
      <c r="G946" s="71"/>
    </row>
    <row r="947" ht="12.75" customHeight="1">
      <c r="G947" s="71"/>
    </row>
    <row r="948" ht="12.75" customHeight="1">
      <c r="G948" s="71"/>
    </row>
    <row r="949" ht="12.75" customHeight="1">
      <c r="G949" s="71"/>
    </row>
    <row r="950" ht="12.75" customHeight="1">
      <c r="G950" s="71"/>
    </row>
    <row r="951" ht="12.75" customHeight="1">
      <c r="G951" s="71"/>
    </row>
    <row r="952" ht="12.75" customHeight="1">
      <c r="G952" s="71"/>
    </row>
    <row r="953" ht="12.75" customHeight="1">
      <c r="G953" s="71"/>
    </row>
    <row r="954" ht="12.75" customHeight="1">
      <c r="G954" s="71"/>
    </row>
    <row r="955" ht="12.75" customHeight="1">
      <c r="G955" s="71"/>
    </row>
    <row r="956" ht="12.75" customHeight="1">
      <c r="G956" s="71"/>
    </row>
    <row r="957" ht="12.75" customHeight="1">
      <c r="G957" s="71"/>
    </row>
    <row r="958" ht="12.75" customHeight="1">
      <c r="G958" s="71"/>
    </row>
    <row r="959" ht="12.75" customHeight="1">
      <c r="G959" s="71"/>
    </row>
    <row r="960" ht="12.75" customHeight="1">
      <c r="G960" s="71"/>
    </row>
    <row r="961" ht="12.75" customHeight="1">
      <c r="G961" s="71"/>
    </row>
    <row r="962" ht="12.75" customHeight="1">
      <c r="G962" s="71"/>
    </row>
    <row r="963" ht="12.75" customHeight="1">
      <c r="G963" s="71"/>
    </row>
    <row r="964" ht="12.75" customHeight="1">
      <c r="G964" s="71"/>
    </row>
    <row r="965" ht="12.75" customHeight="1">
      <c r="G965" s="71"/>
    </row>
    <row r="966" ht="12.75" customHeight="1">
      <c r="G966" s="71"/>
    </row>
    <row r="967" ht="12.75" customHeight="1">
      <c r="G967" s="71"/>
    </row>
    <row r="968" ht="12.75" customHeight="1">
      <c r="G968" s="71"/>
    </row>
    <row r="969" ht="12.75" customHeight="1">
      <c r="G969" s="71"/>
    </row>
    <row r="970" ht="12.75" customHeight="1">
      <c r="G970" s="71"/>
    </row>
    <row r="971" ht="12.75" customHeight="1">
      <c r="G971" s="71"/>
    </row>
    <row r="972" ht="12.75" customHeight="1">
      <c r="G972" s="71"/>
    </row>
    <row r="973" ht="12.75" customHeight="1">
      <c r="G973" s="71"/>
    </row>
    <row r="974" ht="12.75" customHeight="1">
      <c r="G974" s="71"/>
    </row>
    <row r="975" ht="12.75" customHeight="1">
      <c r="G975" s="71"/>
    </row>
    <row r="976" ht="12.75" customHeight="1">
      <c r="G976" s="71"/>
    </row>
    <row r="977" ht="12.75" customHeight="1">
      <c r="G977" s="71"/>
    </row>
    <row r="978" ht="12.75" customHeight="1">
      <c r="G978" s="71"/>
    </row>
    <row r="979" ht="12.75" customHeight="1">
      <c r="G979" s="71"/>
    </row>
    <row r="980" ht="12.75" customHeight="1">
      <c r="G980" s="71"/>
    </row>
    <row r="981" ht="12.75" customHeight="1">
      <c r="G981" s="71"/>
    </row>
    <row r="982" ht="12.75" customHeight="1">
      <c r="G982" s="71"/>
    </row>
    <row r="983" ht="12.75" customHeight="1">
      <c r="G983" s="71"/>
    </row>
    <row r="984" ht="12.75" customHeight="1">
      <c r="G984" s="71"/>
    </row>
    <row r="985" ht="12.75" customHeight="1">
      <c r="G985" s="71"/>
    </row>
    <row r="986" ht="12.75" customHeight="1">
      <c r="G986" s="71"/>
    </row>
    <row r="987" ht="12.75" customHeight="1">
      <c r="G987" s="71"/>
    </row>
    <row r="988" ht="12.75" customHeight="1">
      <c r="G988" s="71"/>
    </row>
    <row r="989" ht="12.75" customHeight="1">
      <c r="G989" s="71"/>
    </row>
    <row r="990" ht="12.75" customHeight="1">
      <c r="G990" s="71"/>
    </row>
    <row r="991" ht="12.75" customHeight="1">
      <c r="G991" s="71"/>
    </row>
    <row r="992" ht="12.75" customHeight="1">
      <c r="G992" s="71"/>
    </row>
    <row r="993" ht="12.75" customHeight="1">
      <c r="G993" s="71"/>
    </row>
    <row r="994" ht="12.75" customHeight="1">
      <c r="G994" s="71"/>
    </row>
    <row r="995" ht="12.75" customHeight="1">
      <c r="G995" s="71"/>
    </row>
    <row r="996" ht="12.75" customHeight="1">
      <c r="G996" s="71"/>
    </row>
    <row r="997" ht="12.75" customHeight="1">
      <c r="G997" s="71"/>
    </row>
    <row r="998" ht="12.75" customHeight="1">
      <c r="G998" s="71"/>
    </row>
    <row r="999" ht="12.75" customHeight="1">
      <c r="G999" s="71"/>
    </row>
    <row r="1000" ht="12.75" customHeight="1">
      <c r="G1000" s="71"/>
    </row>
  </sheetData>
  <conditionalFormatting sqref="A2:M201">
    <cfRule type="expression" dxfId="0" priority="1">
      <formula>$A2&lt;&gt;""</formula>
    </cfRule>
  </conditionalFormatting>
  <conditionalFormatting sqref="A2:M201">
    <cfRule type="expression" dxfId="1" priority="2">
      <formula>$A2=""</formula>
    </cfRule>
  </conditionalFormatting>
  <dataValidations>
    <dataValidation type="list" allowBlank="1" sqref="G2:G4 G6">
      <formula1>'_Lists'!$B$2:$B$25</formula1>
    </dataValidation>
    <dataValidation type="list" allowBlank="1" sqref="G5 G7:G201">
      <formula1>'_Lists'!$A$2:$A$21</formula1>
    </dataValidation>
    <dataValidation type="decimal" allowBlank="1" showInputMessage="1" showErrorMessage="1" prompt="Reviewer score - Score out of 50" sqref="K2:K201">
      <formula1>0.0</formula1>
      <formula2>50.0</formula2>
    </dataValidation>
  </dataValidations>
  <printOptions/>
  <pageMargins bottom="0.75" footer="0.0" header="0.0" left="0.7" right="0.7" top="0.75"/>
  <pageSetup paperSize="9"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2A44"/>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2" width="30.75"/>
    <col customWidth="1" min="3" max="4" width="15.0"/>
    <col customWidth="1" min="5" max="5" width="22.0"/>
    <col customWidth="1" min="6" max="6" width="15.0"/>
    <col customWidth="1" min="7" max="7" width="20.75"/>
    <col customWidth="1" min="8" max="8" width="23.13"/>
    <col customWidth="1" min="9" max="26" width="9.13"/>
  </cols>
  <sheetData>
    <row r="1">
      <c r="A1" s="60" t="s">
        <v>695</v>
      </c>
      <c r="B1" s="60" t="s">
        <v>696</v>
      </c>
      <c r="C1" s="60" t="s">
        <v>697</v>
      </c>
      <c r="D1" s="60" t="s">
        <v>698</v>
      </c>
      <c r="E1" s="60" t="s">
        <v>699</v>
      </c>
      <c r="F1" s="60" t="s">
        <v>700</v>
      </c>
      <c r="G1" s="60" t="s">
        <v>701</v>
      </c>
      <c r="H1" s="60" t="s">
        <v>702</v>
      </c>
      <c r="I1" s="8"/>
      <c r="J1" s="8"/>
      <c r="K1" s="8"/>
      <c r="L1" s="8"/>
      <c r="M1" s="8"/>
      <c r="N1" s="8"/>
      <c r="O1" s="8"/>
      <c r="P1" s="8"/>
      <c r="Q1" s="8"/>
      <c r="R1" s="8"/>
      <c r="S1" s="8"/>
      <c r="T1" s="8"/>
      <c r="U1" s="8"/>
      <c r="V1" s="8"/>
      <c r="W1" s="8"/>
      <c r="X1" s="8"/>
      <c r="Y1" s="8"/>
      <c r="Z1" s="8"/>
    </row>
    <row r="2">
      <c r="A2" s="33" t="str">
        <f>'_Lists'!$B$2</f>
        <v>T1P1</v>
      </c>
      <c r="B2" s="72" t="str">
        <f t="shared" ref="B2:B24" si="1">IF(LEFT(A2,1)="T","Technical Parallel Session",IF(LEFT(A2,7)="Keynote","Keynote Session",IF(A2="IEEE Workshop","Workshop","")))</f>
        <v>Technical Parallel Session</v>
      </c>
      <c r="C2" s="72">
        <f>IF(B2="Technical Parallel Session",COUNTIF(Papers!$G$2:$G$201,A2),"-")</f>
        <v>3</v>
      </c>
      <c r="D2" s="72">
        <f t="shared" ref="D2:D4" si="2">IF(LEFT(A2,2)="T1",4,IF(OR(LEFT(A2,2)="T2",LEFT(A2,2)="T3",LEFT(A2,2)="T4"),8,"-"))</f>
        <v>4</v>
      </c>
      <c r="E2" s="33" t="str">
        <f t="shared" ref="E2:E24" si="3">IF(D2="-","-",IF(C2&gt;D2,"Over Capacity",IF(C2=D2,"Full","Open ("&amp;D2-C2&amp;" slots left)")))</f>
        <v>Open (1 slots left)</v>
      </c>
      <c r="F2" s="72">
        <f>COUNTIF(Chairs!$K$2:$K$359,A2)</f>
        <v>1</v>
      </c>
      <c r="G2" s="72">
        <f>COUNTIF('Senior Faculty'!$K$2:$K$401,A2)</f>
        <v>1</v>
      </c>
      <c r="H2" s="72">
        <f>COUNTIF('Junior Faculty'!$K$2:$K$401,A2)</f>
        <v>2</v>
      </c>
      <c r="I2" s="8"/>
      <c r="J2" s="8"/>
      <c r="K2" s="8"/>
      <c r="L2" s="8"/>
      <c r="M2" s="8"/>
      <c r="N2" s="8"/>
      <c r="O2" s="8"/>
      <c r="P2" s="8"/>
      <c r="Q2" s="8"/>
      <c r="R2" s="8"/>
      <c r="S2" s="8"/>
      <c r="T2" s="8"/>
      <c r="U2" s="8"/>
      <c r="V2" s="8"/>
      <c r="W2" s="8"/>
      <c r="X2" s="8"/>
      <c r="Y2" s="8"/>
      <c r="Z2" s="8"/>
    </row>
    <row r="3">
      <c r="A3" s="33" t="str">
        <f>'_Lists'!$B$3</f>
        <v>T1P2</v>
      </c>
      <c r="B3" s="72" t="str">
        <f t="shared" si="1"/>
        <v>Technical Parallel Session</v>
      </c>
      <c r="C3" s="72">
        <f>IF(B3="Technical Parallel Session",COUNTIF(Papers!$G$2:$G$201,A3),"-")</f>
        <v>3</v>
      </c>
      <c r="D3" s="72">
        <f t="shared" si="2"/>
        <v>4</v>
      </c>
      <c r="E3" s="33" t="str">
        <f t="shared" si="3"/>
        <v>Open (1 slots left)</v>
      </c>
      <c r="F3" s="72">
        <f>COUNTIF(Chairs!$K$2:$K$359,A3)</f>
        <v>1</v>
      </c>
      <c r="G3" s="72">
        <f>COUNTIF('Senior Faculty'!$K$2:$K$401,A3)</f>
        <v>1</v>
      </c>
      <c r="H3" s="72">
        <f>COUNTIF('Junior Faculty'!$K$2:$K$401,A3)</f>
        <v>2</v>
      </c>
      <c r="I3" s="8"/>
      <c r="J3" s="8"/>
      <c r="K3" s="8"/>
      <c r="L3" s="8"/>
      <c r="M3" s="8"/>
      <c r="N3" s="8"/>
      <c r="O3" s="8"/>
      <c r="P3" s="8"/>
      <c r="Q3" s="8"/>
      <c r="R3" s="8"/>
      <c r="S3" s="8"/>
      <c r="T3" s="8"/>
      <c r="U3" s="8"/>
      <c r="V3" s="8"/>
      <c r="W3" s="8"/>
      <c r="X3" s="8"/>
      <c r="Y3" s="8"/>
      <c r="Z3" s="8"/>
    </row>
    <row r="4">
      <c r="A4" s="33" t="str">
        <f>'_Lists'!$B$4</f>
        <v>T1P3</v>
      </c>
      <c r="B4" s="72" t="str">
        <f t="shared" si="1"/>
        <v>Technical Parallel Session</v>
      </c>
      <c r="C4" s="72">
        <f>IF(B4="Technical Parallel Session",COUNTIF(Papers!$G$2:$G$201,A4),"-")</f>
        <v>3</v>
      </c>
      <c r="D4" s="72">
        <f t="shared" si="2"/>
        <v>4</v>
      </c>
      <c r="E4" s="33" t="str">
        <f t="shared" si="3"/>
        <v>Open (1 slots left)</v>
      </c>
      <c r="F4" s="72">
        <f>COUNTIF(Chairs!$K$2:$K$359,A4)</f>
        <v>1</v>
      </c>
      <c r="G4" s="72">
        <f>COUNTIF('Senior Faculty'!$K$2:$K$401,A4)</f>
        <v>1</v>
      </c>
      <c r="H4" s="72">
        <f>COUNTIF('Junior Faculty'!$K$2:$K$401,A4)</f>
        <v>2</v>
      </c>
      <c r="I4" s="8"/>
      <c r="J4" s="8"/>
      <c r="K4" s="8"/>
      <c r="L4" s="8"/>
      <c r="M4" s="8"/>
      <c r="N4" s="8"/>
      <c r="O4" s="8"/>
      <c r="P4" s="8"/>
      <c r="Q4" s="8"/>
      <c r="R4" s="8"/>
      <c r="S4" s="8"/>
      <c r="T4" s="8"/>
      <c r="U4" s="8"/>
      <c r="V4" s="8"/>
      <c r="W4" s="8"/>
      <c r="X4" s="8"/>
      <c r="Y4" s="8"/>
      <c r="Z4" s="8"/>
    </row>
    <row r="5">
      <c r="A5" s="33" t="str">
        <f>'_Lists'!$B$5</f>
        <v>T2P1</v>
      </c>
      <c r="B5" s="72" t="str">
        <f t="shared" si="1"/>
        <v>Technical Parallel Session</v>
      </c>
      <c r="C5" s="72">
        <f>IF(B5="Technical Parallel Session",COUNTIF(Papers!$G$2:$G$201,A5),"-")</f>
        <v>6</v>
      </c>
      <c r="D5" s="73">
        <v>8.0</v>
      </c>
      <c r="E5" s="33" t="str">
        <f t="shared" si="3"/>
        <v>Open (2 slots left)</v>
      </c>
      <c r="F5" s="72">
        <f>COUNTIF(Chairs!$K$2:$K$359,A5)</f>
        <v>1</v>
      </c>
      <c r="G5" s="72">
        <f>COUNTIF('Senior Faculty'!$K$2:$K$401,A5)</f>
        <v>1</v>
      </c>
      <c r="H5" s="72">
        <f>COUNTIF('Junior Faculty'!$K$2:$K$401,A5)</f>
        <v>2</v>
      </c>
      <c r="I5" s="8"/>
      <c r="J5" s="8"/>
      <c r="K5" s="8"/>
      <c r="L5" s="8"/>
      <c r="M5" s="8"/>
      <c r="N5" s="8"/>
      <c r="O5" s="8"/>
      <c r="P5" s="8"/>
      <c r="Q5" s="8"/>
      <c r="R5" s="8"/>
      <c r="S5" s="8"/>
      <c r="T5" s="8"/>
      <c r="U5" s="8"/>
      <c r="V5" s="8"/>
      <c r="W5" s="8"/>
      <c r="X5" s="8"/>
      <c r="Y5" s="8"/>
      <c r="Z5" s="8"/>
    </row>
    <row r="6">
      <c r="A6" s="33" t="str">
        <f>'_Lists'!$B$6</f>
        <v>T2P2</v>
      </c>
      <c r="B6" s="72" t="str">
        <f t="shared" si="1"/>
        <v>Technical Parallel Session</v>
      </c>
      <c r="C6" s="72">
        <f>IF(B6="Technical Parallel Session",COUNTIF(Papers!$G$2:$G$201,A6),"-")</f>
        <v>7</v>
      </c>
      <c r="D6" s="73">
        <v>8.0</v>
      </c>
      <c r="E6" s="33" t="str">
        <f t="shared" si="3"/>
        <v>Open (1 slots left)</v>
      </c>
      <c r="F6" s="72">
        <f>COUNTIF(Chairs!$K$2:$K$359,A6)</f>
        <v>1</v>
      </c>
      <c r="G6" s="72">
        <f>COUNTIF('Senior Faculty'!$K$2:$K$401,A6)</f>
        <v>1</v>
      </c>
      <c r="H6" s="72">
        <f>COUNTIF('Junior Faculty'!$K$2:$K$401,A6)</f>
        <v>2</v>
      </c>
      <c r="I6" s="8"/>
      <c r="J6" s="8"/>
      <c r="K6" s="8"/>
      <c r="L6" s="8"/>
      <c r="M6" s="8"/>
      <c r="N6" s="8"/>
      <c r="O6" s="8"/>
      <c r="P6" s="8"/>
      <c r="Q6" s="8"/>
      <c r="R6" s="8"/>
      <c r="S6" s="8"/>
      <c r="T6" s="8"/>
      <c r="U6" s="8"/>
      <c r="V6" s="8"/>
      <c r="W6" s="8"/>
      <c r="X6" s="8"/>
      <c r="Y6" s="8"/>
      <c r="Z6" s="8"/>
    </row>
    <row r="7">
      <c r="A7" s="33" t="str">
        <f>'_Lists'!$B$7</f>
        <v>T2P3</v>
      </c>
      <c r="B7" s="72" t="str">
        <f t="shared" si="1"/>
        <v>Technical Parallel Session</v>
      </c>
      <c r="C7" s="72">
        <f>IF(B7="Technical Parallel Session",COUNTIF(Papers!$G$2:$G$201,A7),"-")</f>
        <v>5</v>
      </c>
      <c r="D7" s="73">
        <v>8.0</v>
      </c>
      <c r="E7" s="33" t="str">
        <f t="shared" si="3"/>
        <v>Open (3 slots left)</v>
      </c>
      <c r="F7" s="72">
        <f>COUNTIF(Chairs!$K$2:$K$359,A7)</f>
        <v>1</v>
      </c>
      <c r="G7" s="72">
        <f>COUNTIF('Senior Faculty'!$K$2:$K$401,A7)</f>
        <v>1</v>
      </c>
      <c r="H7" s="72">
        <f>COUNTIF('Junior Faculty'!$K$2:$K$401,A7)</f>
        <v>2</v>
      </c>
      <c r="I7" s="8"/>
      <c r="J7" s="8"/>
      <c r="K7" s="8"/>
      <c r="L7" s="8"/>
      <c r="M7" s="8"/>
      <c r="N7" s="8"/>
      <c r="O7" s="8"/>
      <c r="P7" s="8"/>
      <c r="Q7" s="8"/>
      <c r="R7" s="8"/>
      <c r="S7" s="8"/>
      <c r="T7" s="8"/>
      <c r="U7" s="8"/>
      <c r="V7" s="8"/>
      <c r="W7" s="8"/>
      <c r="X7" s="8"/>
      <c r="Y7" s="8"/>
      <c r="Z7" s="8"/>
    </row>
    <row r="8">
      <c r="A8" s="33" t="str">
        <f>'_Lists'!$B$8</f>
        <v>T2P4</v>
      </c>
      <c r="B8" s="72" t="str">
        <f t="shared" si="1"/>
        <v>Technical Parallel Session</v>
      </c>
      <c r="C8" s="72">
        <f>IF(B8="Technical Parallel Session",COUNTIF(Papers!$G$2:$G$201,A8),"-")</f>
        <v>7</v>
      </c>
      <c r="D8" s="73">
        <v>8.0</v>
      </c>
      <c r="E8" s="33" t="str">
        <f t="shared" si="3"/>
        <v>Open (1 slots left)</v>
      </c>
      <c r="F8" s="72">
        <f>COUNTIF(Chairs!$K$2:$K$359,A8)</f>
        <v>1</v>
      </c>
      <c r="G8" s="72">
        <f>COUNTIF('Senior Faculty'!$K$2:$K$401,A8)</f>
        <v>1</v>
      </c>
      <c r="H8" s="72">
        <f>COUNTIF('Junior Faculty'!$K$2:$K$401,A8)</f>
        <v>2</v>
      </c>
      <c r="I8" s="8"/>
      <c r="J8" s="8"/>
      <c r="K8" s="8"/>
      <c r="L8" s="8"/>
      <c r="M8" s="8"/>
      <c r="N8" s="8"/>
      <c r="O8" s="8"/>
      <c r="P8" s="8"/>
      <c r="Q8" s="8"/>
      <c r="R8" s="8"/>
      <c r="S8" s="8"/>
      <c r="T8" s="8"/>
      <c r="U8" s="8"/>
      <c r="V8" s="8"/>
      <c r="W8" s="8"/>
      <c r="X8" s="8"/>
      <c r="Y8" s="8"/>
      <c r="Z8" s="8"/>
    </row>
    <row r="9">
      <c r="A9" s="33" t="str">
        <f>'_Lists'!$B$9</f>
        <v>T2P5</v>
      </c>
      <c r="B9" s="72" t="str">
        <f t="shared" si="1"/>
        <v>Technical Parallel Session</v>
      </c>
      <c r="C9" s="72">
        <f>IF(B9="Technical Parallel Session",COUNTIF(Papers!$G$2:$G$201,A9),"-")</f>
        <v>0</v>
      </c>
      <c r="D9" s="73">
        <v>4.0</v>
      </c>
      <c r="E9" s="33" t="str">
        <f t="shared" si="3"/>
        <v>Open (4 slots left)</v>
      </c>
      <c r="F9" s="72">
        <f>COUNTIF(Chairs!$K$2:$K$359,A9)</f>
        <v>0</v>
      </c>
      <c r="G9" s="72">
        <f>COUNTIF('Senior Faculty'!$K$2:$K$401,A9)</f>
        <v>0</v>
      </c>
      <c r="H9" s="72">
        <f>COUNTIF('Junior Faculty'!$K$2:$K$401,A9)</f>
        <v>0</v>
      </c>
      <c r="I9" s="8"/>
      <c r="J9" s="8"/>
      <c r="K9" s="8"/>
      <c r="L9" s="8"/>
      <c r="M9" s="8"/>
      <c r="N9" s="8"/>
      <c r="O9" s="8"/>
      <c r="P9" s="8"/>
      <c r="Q9" s="8"/>
      <c r="R9" s="8"/>
      <c r="S9" s="8"/>
      <c r="T9" s="8"/>
      <c r="U9" s="8"/>
      <c r="V9" s="8"/>
      <c r="W9" s="8"/>
      <c r="X9" s="8"/>
      <c r="Y9" s="8"/>
      <c r="Z9" s="8"/>
    </row>
    <row r="10">
      <c r="A10" s="33" t="str">
        <f>'_Lists'!$B$10</f>
        <v>T3P1</v>
      </c>
      <c r="B10" s="72" t="str">
        <f t="shared" si="1"/>
        <v>Technical Parallel Session</v>
      </c>
      <c r="C10" s="72">
        <f>IF(B10="Technical Parallel Session",COUNTIF(Papers!$G$2:$G$201,A10),"-")</f>
        <v>0</v>
      </c>
      <c r="D10" s="73">
        <v>4.0</v>
      </c>
      <c r="E10" s="33" t="str">
        <f t="shared" si="3"/>
        <v>Open (4 slots left)</v>
      </c>
      <c r="F10" s="72">
        <f>COUNTIF(Chairs!$K$2:$K$359,A10)</f>
        <v>1</v>
      </c>
      <c r="G10" s="72">
        <f>COUNTIF('Senior Faculty'!$K$2:$K$401,A10)</f>
        <v>1</v>
      </c>
      <c r="H10" s="72">
        <f>COUNTIF('Junior Faculty'!$K$2:$K$401,A10)</f>
        <v>2</v>
      </c>
      <c r="I10" s="8"/>
      <c r="J10" s="8"/>
      <c r="K10" s="8"/>
      <c r="L10" s="8"/>
      <c r="M10" s="8"/>
      <c r="N10" s="8"/>
      <c r="O10" s="8"/>
      <c r="P10" s="8"/>
      <c r="Q10" s="8"/>
      <c r="R10" s="8"/>
      <c r="S10" s="8"/>
      <c r="T10" s="8"/>
      <c r="U10" s="8"/>
      <c r="V10" s="8"/>
      <c r="W10" s="8"/>
      <c r="X10" s="8"/>
      <c r="Y10" s="8"/>
      <c r="Z10" s="8"/>
    </row>
    <row r="11">
      <c r="A11" s="33" t="str">
        <f>'_Lists'!$B$11</f>
        <v>T3P2</v>
      </c>
      <c r="B11" s="72" t="str">
        <f t="shared" si="1"/>
        <v>Technical Parallel Session</v>
      </c>
      <c r="C11" s="72">
        <f>IF(B11="Technical Parallel Session",COUNTIF(Papers!$G$2:$G$201,A11),"-")</f>
        <v>0</v>
      </c>
      <c r="D11" s="73">
        <v>4.0</v>
      </c>
      <c r="E11" s="33" t="str">
        <f t="shared" si="3"/>
        <v>Open (4 slots left)</v>
      </c>
      <c r="F11" s="72">
        <f>COUNTIF(Chairs!$K$2:$K$359,A11)</f>
        <v>0</v>
      </c>
      <c r="G11" s="72">
        <f>COUNTIF('Senior Faculty'!$K$2:$K$401,A11)</f>
        <v>0</v>
      </c>
      <c r="H11" s="72">
        <f>COUNTIF('Junior Faculty'!$K$2:$K$401,A11)</f>
        <v>0</v>
      </c>
      <c r="I11" s="8"/>
      <c r="J11" s="8"/>
      <c r="K11" s="8"/>
      <c r="L11" s="8"/>
      <c r="M11" s="8"/>
      <c r="N11" s="8"/>
      <c r="O11" s="8"/>
      <c r="P11" s="8"/>
      <c r="Q11" s="8"/>
      <c r="R11" s="8"/>
      <c r="S11" s="8"/>
      <c r="T11" s="8"/>
      <c r="U11" s="8"/>
      <c r="V11" s="8"/>
      <c r="W11" s="8"/>
      <c r="X11" s="8"/>
      <c r="Y11" s="8"/>
      <c r="Z11" s="8"/>
    </row>
    <row r="12">
      <c r="A12" s="33" t="str">
        <f>'_Lists'!$B$12</f>
        <v>T3P3</v>
      </c>
      <c r="B12" s="72" t="str">
        <f t="shared" si="1"/>
        <v>Technical Parallel Session</v>
      </c>
      <c r="C12" s="72">
        <f>IF(B12="Technical Parallel Session",COUNTIF(Papers!$G$2:$G$201,A12),"-")</f>
        <v>0</v>
      </c>
      <c r="D12" s="73">
        <v>4.0</v>
      </c>
      <c r="E12" s="33" t="str">
        <f t="shared" si="3"/>
        <v>Open (4 slots left)</v>
      </c>
      <c r="F12" s="72">
        <f>COUNTIF(Chairs!$K$2:$K$359,A12)</f>
        <v>1</v>
      </c>
      <c r="G12" s="72">
        <f>COUNTIF('Senior Faculty'!$K$2:$K$401,A12)</f>
        <v>1</v>
      </c>
      <c r="H12" s="72">
        <f>COUNTIF('Junior Faculty'!$K$2:$K$401,A12)</f>
        <v>2</v>
      </c>
      <c r="I12" s="8"/>
      <c r="J12" s="8"/>
      <c r="K12" s="8"/>
      <c r="L12" s="8"/>
      <c r="M12" s="8"/>
      <c r="N12" s="8"/>
      <c r="O12" s="8"/>
      <c r="P12" s="8"/>
      <c r="Q12" s="8"/>
      <c r="R12" s="8"/>
      <c r="S12" s="8"/>
      <c r="T12" s="8"/>
      <c r="U12" s="8"/>
      <c r="V12" s="8"/>
      <c r="W12" s="8"/>
      <c r="X12" s="8"/>
      <c r="Y12" s="8"/>
      <c r="Z12" s="8"/>
    </row>
    <row r="13">
      <c r="A13" s="33" t="str">
        <f>'_Lists'!$B$13</f>
        <v>T3P4</v>
      </c>
      <c r="B13" s="72" t="str">
        <f t="shared" si="1"/>
        <v>Technical Parallel Session</v>
      </c>
      <c r="C13" s="72">
        <f>IF(B13="Technical Parallel Session",COUNTIF(Papers!$G$2:$G$201,A13),"-")</f>
        <v>0</v>
      </c>
      <c r="D13" s="73">
        <v>4.0</v>
      </c>
      <c r="E13" s="33" t="str">
        <f t="shared" si="3"/>
        <v>Open (4 slots left)</v>
      </c>
      <c r="F13" s="72">
        <f>COUNTIF(Chairs!$K$2:$K$359,A13)</f>
        <v>0</v>
      </c>
      <c r="G13" s="72">
        <f>COUNTIF('Senior Faculty'!$K$2:$K$401,A13)</f>
        <v>0</v>
      </c>
      <c r="H13" s="72">
        <f>COUNTIF('Junior Faculty'!$K$2:$K$401,A13)</f>
        <v>0</v>
      </c>
      <c r="I13" s="8"/>
      <c r="J13" s="8"/>
      <c r="K13" s="8"/>
      <c r="L13" s="8"/>
      <c r="M13" s="8"/>
      <c r="N13" s="8"/>
      <c r="O13" s="8"/>
      <c r="P13" s="8"/>
      <c r="Q13" s="8"/>
      <c r="R13" s="8"/>
      <c r="S13" s="8"/>
      <c r="T13" s="8"/>
      <c r="U13" s="8"/>
      <c r="V13" s="8"/>
      <c r="W13" s="8"/>
      <c r="X13" s="8"/>
      <c r="Y13" s="8"/>
      <c r="Z13" s="8"/>
    </row>
    <row r="14">
      <c r="A14" s="33" t="str">
        <f>'_Lists'!$B$14</f>
        <v>T3P5</v>
      </c>
      <c r="B14" s="72" t="str">
        <f t="shared" si="1"/>
        <v>Technical Parallel Session</v>
      </c>
      <c r="C14" s="72">
        <f>IF(B14="Technical Parallel Session",COUNTIF(Papers!$G$2:$G$201,A14),"-")</f>
        <v>0</v>
      </c>
      <c r="D14" s="73">
        <v>4.0</v>
      </c>
      <c r="E14" s="33" t="str">
        <f t="shared" si="3"/>
        <v>Open (4 slots left)</v>
      </c>
      <c r="F14" s="72">
        <f>COUNTIF(Chairs!$K$2:$K$359,A14)</f>
        <v>1</v>
      </c>
      <c r="G14" s="72">
        <f>COUNTIF('Senior Faculty'!$K$2:$K$401,A14)</f>
        <v>1</v>
      </c>
      <c r="H14" s="72">
        <f>COUNTIF('Junior Faculty'!$K$2:$K$401,A14)</f>
        <v>1</v>
      </c>
      <c r="I14" s="8"/>
      <c r="J14" s="8"/>
      <c r="K14" s="8"/>
      <c r="L14" s="8"/>
      <c r="M14" s="8"/>
      <c r="N14" s="8"/>
      <c r="O14" s="8"/>
      <c r="P14" s="8"/>
      <c r="Q14" s="8"/>
      <c r="R14" s="8"/>
      <c r="S14" s="8"/>
      <c r="T14" s="8"/>
      <c r="U14" s="8"/>
      <c r="V14" s="8"/>
      <c r="W14" s="8"/>
      <c r="X14" s="8"/>
      <c r="Y14" s="8"/>
      <c r="Z14" s="8"/>
    </row>
    <row r="15">
      <c r="A15" s="33" t="str">
        <f>'_Lists'!$B$15</f>
        <v>T4P1</v>
      </c>
      <c r="B15" s="72" t="str">
        <f t="shared" si="1"/>
        <v>Technical Parallel Session</v>
      </c>
      <c r="C15" s="72">
        <f>IF(B15="Technical Parallel Session",COUNTIF(Papers!$G$2:$G$201,A15),"-")</f>
        <v>9</v>
      </c>
      <c r="D15" s="73">
        <v>10.0</v>
      </c>
      <c r="E15" s="33" t="str">
        <f t="shared" si="3"/>
        <v>Open (1 slots left)</v>
      </c>
      <c r="F15" s="72">
        <f>COUNTIF(Chairs!$K$2:$K$359,A15)</f>
        <v>1</v>
      </c>
      <c r="G15" s="72">
        <f>COUNTIF('Senior Faculty'!$K$2:$K$401,A15)</f>
        <v>1</v>
      </c>
      <c r="H15" s="72">
        <f>COUNTIF('Junior Faculty'!$K$2:$K$401,A15)</f>
        <v>1</v>
      </c>
      <c r="I15" s="8"/>
      <c r="J15" s="8"/>
      <c r="K15" s="8"/>
      <c r="L15" s="8"/>
      <c r="M15" s="8"/>
      <c r="N15" s="8"/>
      <c r="O15" s="8"/>
      <c r="P15" s="8"/>
      <c r="Q15" s="8"/>
      <c r="R15" s="8"/>
      <c r="S15" s="8"/>
      <c r="T15" s="8"/>
      <c r="U15" s="8"/>
      <c r="V15" s="8"/>
      <c r="W15" s="8"/>
      <c r="X15" s="8"/>
      <c r="Y15" s="8"/>
      <c r="Z15" s="8"/>
    </row>
    <row r="16">
      <c r="A16" s="33" t="str">
        <f>'_Lists'!$B$16</f>
        <v>T4P2</v>
      </c>
      <c r="B16" s="72" t="str">
        <f t="shared" si="1"/>
        <v>Technical Parallel Session</v>
      </c>
      <c r="C16" s="72">
        <f>IF(B16="Technical Parallel Session",COUNTIF(Papers!$G$2:$G$201,A16),"-")</f>
        <v>7</v>
      </c>
      <c r="D16" s="73">
        <v>10.0</v>
      </c>
      <c r="E16" s="33" t="str">
        <f t="shared" si="3"/>
        <v>Open (3 slots left)</v>
      </c>
      <c r="F16" s="72">
        <f>COUNTIF(Chairs!$K$2:$K$359,A16)</f>
        <v>1</v>
      </c>
      <c r="G16" s="72">
        <f>COUNTIF('Senior Faculty'!$K$2:$K$401,A16)</f>
        <v>1</v>
      </c>
      <c r="H16" s="72">
        <f>COUNTIF('Junior Faculty'!$K$2:$K$401,A16)</f>
        <v>1</v>
      </c>
      <c r="I16" s="8"/>
      <c r="J16" s="8"/>
      <c r="K16" s="8"/>
      <c r="L16" s="8"/>
      <c r="M16" s="8"/>
      <c r="N16" s="8"/>
      <c r="O16" s="8"/>
      <c r="P16" s="8"/>
      <c r="Q16" s="8"/>
      <c r="R16" s="8"/>
      <c r="S16" s="8"/>
      <c r="T16" s="8"/>
      <c r="U16" s="8"/>
      <c r="V16" s="8"/>
      <c r="W16" s="8"/>
      <c r="X16" s="8"/>
      <c r="Y16" s="8"/>
      <c r="Z16" s="8"/>
    </row>
    <row r="17">
      <c r="A17" s="33" t="str">
        <f>'_Lists'!$B$17</f>
        <v>T4P3</v>
      </c>
      <c r="B17" s="72" t="str">
        <f t="shared" si="1"/>
        <v>Technical Parallel Session</v>
      </c>
      <c r="C17" s="72">
        <f>IF(B17="Technical Parallel Session",COUNTIF(Papers!$G$2:$G$201,A17),"-")</f>
        <v>6</v>
      </c>
      <c r="D17" s="73">
        <v>10.0</v>
      </c>
      <c r="E17" s="33" t="str">
        <f t="shared" si="3"/>
        <v>Open (4 slots left)</v>
      </c>
      <c r="F17" s="72">
        <f>COUNTIF(Chairs!$K$2:$K$359,A17)</f>
        <v>1</v>
      </c>
      <c r="G17" s="72">
        <f>COUNTIF('Senior Faculty'!$K$2:$K$401,A17)</f>
        <v>1</v>
      </c>
      <c r="H17" s="72">
        <f>COUNTIF('Junior Faculty'!$K$2:$K$401,A17)</f>
        <v>1</v>
      </c>
      <c r="I17" s="8"/>
      <c r="J17" s="8"/>
      <c r="K17" s="8"/>
      <c r="L17" s="8"/>
      <c r="M17" s="8"/>
      <c r="N17" s="8"/>
      <c r="O17" s="8"/>
      <c r="P17" s="8"/>
      <c r="Q17" s="8"/>
      <c r="R17" s="8"/>
      <c r="S17" s="8"/>
      <c r="T17" s="8"/>
      <c r="U17" s="8"/>
      <c r="V17" s="8"/>
      <c r="W17" s="8"/>
      <c r="X17" s="8"/>
      <c r="Y17" s="8"/>
      <c r="Z17" s="8"/>
    </row>
    <row r="18">
      <c r="A18" s="33" t="str">
        <f>'_Lists'!$B$18</f>
        <v>T4P4</v>
      </c>
      <c r="B18" s="72" t="str">
        <f t="shared" si="1"/>
        <v>Technical Parallel Session</v>
      </c>
      <c r="C18" s="72">
        <f>IF(B18="Technical Parallel Session",COUNTIF(Papers!$G$2:$G$201,A18),"-")</f>
        <v>8</v>
      </c>
      <c r="D18" s="73">
        <v>10.0</v>
      </c>
      <c r="E18" s="33" t="str">
        <f t="shared" si="3"/>
        <v>Open (2 slots left)</v>
      </c>
      <c r="F18" s="72">
        <f>COUNTIF(Chairs!$K$2:$K$359,A18)</f>
        <v>1</v>
      </c>
      <c r="G18" s="72">
        <f>COUNTIF('Senior Faculty'!$K$2:$K$401,A18)</f>
        <v>1</v>
      </c>
      <c r="H18" s="72">
        <f>COUNTIF('Junior Faculty'!$K$2:$K$401,A18)</f>
        <v>1</v>
      </c>
      <c r="I18" s="8"/>
      <c r="J18" s="8"/>
      <c r="K18" s="8"/>
      <c r="L18" s="8"/>
      <c r="M18" s="8"/>
      <c r="N18" s="8"/>
      <c r="O18" s="8"/>
      <c r="P18" s="8"/>
      <c r="Q18" s="8"/>
      <c r="R18" s="8"/>
      <c r="S18" s="8"/>
      <c r="T18" s="8"/>
      <c r="U18" s="8"/>
      <c r="V18" s="8"/>
      <c r="W18" s="8"/>
      <c r="X18" s="8"/>
      <c r="Y18" s="8"/>
      <c r="Z18" s="8"/>
    </row>
    <row r="19">
      <c r="A19" s="33" t="str">
        <f>'_Lists'!$B$19</f>
        <v>T4P5</v>
      </c>
      <c r="B19" s="72" t="str">
        <f t="shared" si="1"/>
        <v>Technical Parallel Session</v>
      </c>
      <c r="C19" s="72">
        <f>IF(B19="Technical Parallel Session",COUNTIF(Papers!$G$2:$G$201,A19),"-")</f>
        <v>5</v>
      </c>
      <c r="D19" s="73">
        <v>10.0</v>
      </c>
      <c r="E19" s="33" t="str">
        <f t="shared" si="3"/>
        <v>Open (5 slots left)</v>
      </c>
      <c r="F19" s="72">
        <f>COUNTIF(Chairs!$K$2:$K$359,A19)</f>
        <v>1</v>
      </c>
      <c r="G19" s="72">
        <f>COUNTIF('Senior Faculty'!$K$2:$K$401,A19)</f>
        <v>1</v>
      </c>
      <c r="H19" s="72">
        <f>COUNTIF('Junior Faculty'!$K$2:$K$401,A19)</f>
        <v>1</v>
      </c>
      <c r="I19" s="8"/>
      <c r="J19" s="8"/>
      <c r="K19" s="8"/>
      <c r="L19" s="8"/>
      <c r="M19" s="8"/>
      <c r="N19" s="8"/>
      <c r="O19" s="8"/>
      <c r="P19" s="8"/>
      <c r="Q19" s="8"/>
      <c r="R19" s="8"/>
      <c r="S19" s="8"/>
      <c r="T19" s="8"/>
      <c r="U19" s="8"/>
      <c r="V19" s="8"/>
      <c r="W19" s="8"/>
      <c r="X19" s="8"/>
      <c r="Y19" s="8"/>
      <c r="Z19" s="8"/>
    </row>
    <row r="20">
      <c r="A20" s="33" t="str">
        <f>'_Lists'!$B$20</f>
        <v>T4P6</v>
      </c>
      <c r="B20" s="72" t="str">
        <f t="shared" si="1"/>
        <v>Technical Parallel Session</v>
      </c>
      <c r="C20" s="72">
        <f>IF(B20="Technical Parallel Session",COUNTIF(Papers!$G$2:$G$201,A20),"-")</f>
        <v>6</v>
      </c>
      <c r="D20" s="73">
        <v>10.0</v>
      </c>
      <c r="E20" s="33" t="str">
        <f t="shared" si="3"/>
        <v>Open (4 slots left)</v>
      </c>
      <c r="F20" s="72">
        <f>COUNTIF(Chairs!$K$2:$K$359,A20)</f>
        <v>1</v>
      </c>
      <c r="G20" s="72">
        <f>COUNTIF('Senior Faculty'!$K$2:$K$401,A20)</f>
        <v>1</v>
      </c>
      <c r="H20" s="72">
        <f>COUNTIF('Junior Faculty'!$K$2:$K$401,A20)</f>
        <v>1</v>
      </c>
      <c r="I20" s="8"/>
      <c r="J20" s="8"/>
      <c r="K20" s="8"/>
      <c r="L20" s="8"/>
      <c r="M20" s="8"/>
      <c r="N20" s="8"/>
      <c r="O20" s="8"/>
      <c r="P20" s="8"/>
      <c r="Q20" s="8"/>
      <c r="R20" s="8"/>
      <c r="S20" s="8"/>
      <c r="T20" s="8"/>
      <c r="U20" s="8"/>
      <c r="V20" s="8"/>
      <c r="W20" s="8"/>
      <c r="X20" s="8"/>
      <c r="Y20" s="8"/>
      <c r="Z20" s="8"/>
    </row>
    <row r="21">
      <c r="A21" s="33" t="str">
        <f>'_Lists'!$B$21</f>
        <v>Keynote 1</v>
      </c>
      <c r="B21" s="72" t="str">
        <f t="shared" si="1"/>
        <v>Keynote Session</v>
      </c>
      <c r="C21" s="72" t="str">
        <f>IF(B21="Technical Parallel Session",COUNTIF(Papers!$G$2:$G$201,A21),"-")</f>
        <v>-</v>
      </c>
      <c r="D21" s="72" t="str">
        <f t="shared" ref="D21:D24" si="4">IF(LEFT(A21,2)="T1",4,IF(OR(LEFT(A21,2)="T2",LEFT(A21,2)="T3",LEFT(A21,2)="T4"),8,"-"))</f>
        <v>-</v>
      </c>
      <c r="E21" s="33" t="str">
        <f t="shared" si="3"/>
        <v>-</v>
      </c>
      <c r="F21" s="72">
        <f>COUNTIF(Chairs!$K$2:$K$359,A21)</f>
        <v>1</v>
      </c>
      <c r="G21" s="72">
        <f>COUNTIF('Senior Faculty'!$K$2:$K$401,A21)</f>
        <v>1</v>
      </c>
      <c r="H21" s="72">
        <f>COUNTIF('Junior Faculty'!$K$2:$K$401,A21)</f>
        <v>0</v>
      </c>
      <c r="I21" s="8"/>
      <c r="J21" s="8"/>
      <c r="K21" s="8"/>
      <c r="L21" s="8"/>
      <c r="M21" s="8"/>
      <c r="N21" s="8"/>
      <c r="O21" s="8"/>
      <c r="P21" s="8"/>
      <c r="Q21" s="8"/>
      <c r="R21" s="8"/>
      <c r="S21" s="8"/>
      <c r="T21" s="8"/>
      <c r="U21" s="8"/>
      <c r="V21" s="8"/>
      <c r="W21" s="8"/>
      <c r="X21" s="8"/>
      <c r="Y21" s="8"/>
      <c r="Z21" s="8"/>
    </row>
    <row r="22">
      <c r="A22" s="33" t="str">
        <f>'_Lists'!$B$22</f>
        <v>Keynote 2</v>
      </c>
      <c r="B22" s="72" t="str">
        <f t="shared" si="1"/>
        <v>Keynote Session</v>
      </c>
      <c r="C22" s="72" t="str">
        <f>IF(B22="Technical Parallel Session",COUNTIF(Papers!$G$2:$G$201,A22),"-")</f>
        <v>-</v>
      </c>
      <c r="D22" s="72" t="str">
        <f t="shared" si="4"/>
        <v>-</v>
      </c>
      <c r="E22" s="33" t="str">
        <f t="shared" si="3"/>
        <v>-</v>
      </c>
      <c r="F22" s="72">
        <f>COUNTIF(Chairs!$K$2:$K$359,A22)</f>
        <v>1</v>
      </c>
      <c r="G22" s="72">
        <f>COUNTIF('Senior Faculty'!$K$2:$K$401,A22)</f>
        <v>1</v>
      </c>
      <c r="H22" s="72">
        <f>COUNTIF('Junior Faculty'!$K$2:$K$401,A22)</f>
        <v>0</v>
      </c>
      <c r="I22" s="8"/>
      <c r="J22" s="8"/>
      <c r="K22" s="8"/>
      <c r="L22" s="8"/>
      <c r="M22" s="8"/>
      <c r="N22" s="8"/>
      <c r="O22" s="8"/>
      <c r="P22" s="8"/>
      <c r="Q22" s="8"/>
      <c r="R22" s="8"/>
      <c r="S22" s="8"/>
      <c r="T22" s="8"/>
      <c r="U22" s="8"/>
      <c r="V22" s="8"/>
      <c r="W22" s="8"/>
      <c r="X22" s="8"/>
      <c r="Y22" s="8"/>
      <c r="Z22" s="8"/>
    </row>
    <row r="23">
      <c r="A23" s="33" t="str">
        <f>'_Lists'!$B$23</f>
        <v>Keynote 3</v>
      </c>
      <c r="B23" s="72" t="str">
        <f t="shared" si="1"/>
        <v>Keynote Session</v>
      </c>
      <c r="C23" s="72" t="str">
        <f>IF(B23="Technical Parallel Session",COUNTIF(Papers!$G$2:$G$201,A23),"-")</f>
        <v>-</v>
      </c>
      <c r="D23" s="72" t="str">
        <f t="shared" si="4"/>
        <v>-</v>
      </c>
      <c r="E23" s="33" t="str">
        <f t="shared" si="3"/>
        <v>-</v>
      </c>
      <c r="F23" s="72">
        <f>COUNTIF(Chairs!$K$2:$K$359,A23)</f>
        <v>0</v>
      </c>
      <c r="G23" s="72">
        <f>COUNTIF('Senior Faculty'!$K$2:$K$401,A23)</f>
        <v>0</v>
      </c>
      <c r="H23" s="72">
        <f>COUNTIF('Junior Faculty'!$K$2:$K$401,A23)</f>
        <v>0</v>
      </c>
      <c r="I23" s="8"/>
      <c r="J23" s="8"/>
      <c r="K23" s="8"/>
      <c r="L23" s="8"/>
      <c r="M23" s="8"/>
      <c r="N23" s="8"/>
      <c r="O23" s="8"/>
      <c r="P23" s="8"/>
      <c r="Q23" s="8"/>
      <c r="R23" s="8"/>
      <c r="S23" s="8"/>
      <c r="T23" s="8"/>
      <c r="U23" s="8"/>
      <c r="V23" s="8"/>
      <c r="W23" s="8"/>
      <c r="X23" s="8"/>
      <c r="Y23" s="8"/>
      <c r="Z23" s="8"/>
    </row>
    <row r="24">
      <c r="A24" s="33" t="str">
        <f>'_Lists'!$B$24</f>
        <v>IEEE Workshop</v>
      </c>
      <c r="B24" s="72" t="str">
        <f t="shared" si="1"/>
        <v>Workshop</v>
      </c>
      <c r="C24" s="72" t="str">
        <f>IF(B24="Technical Parallel Session",COUNTIF(Papers!$G$2:$G$201,A24),"-")</f>
        <v>-</v>
      </c>
      <c r="D24" s="72" t="str">
        <f t="shared" si="4"/>
        <v>-</v>
      </c>
      <c r="E24" s="33" t="str">
        <f t="shared" si="3"/>
        <v>-</v>
      </c>
      <c r="F24" s="72">
        <f>COUNTIF(Chairs!$K$2:$K$359,A24)</f>
        <v>1</v>
      </c>
      <c r="G24" s="72">
        <f>COUNTIF('Senior Faculty'!$K$2:$K$401,A24)</f>
        <v>1</v>
      </c>
      <c r="H24" s="72">
        <f>COUNTIF('Junior Faculty'!$K$2:$K$401,A24)</f>
        <v>0</v>
      </c>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EA5E9"/>
    <pageSetUpPr/>
  </sheetPr>
  <sheetViews>
    <sheetView showGridLines="0" workbookViewId="0"/>
  </sheetViews>
  <sheetFormatPr customHeight="1" defaultColWidth="12.63" defaultRowHeight="15.0"/>
  <cols>
    <col customWidth="1" min="1" max="1" width="19.75"/>
    <col customWidth="1" min="2" max="2" width="52.25"/>
    <col customWidth="1" min="3" max="3" width="30.0"/>
    <col customWidth="1" min="4" max="4" width="15.0"/>
    <col customWidth="1" min="5" max="24" width="9.13"/>
  </cols>
  <sheetData>
    <row r="1">
      <c r="A1" s="76" t="s">
        <v>260</v>
      </c>
      <c r="B1" s="77" t="s">
        <v>97</v>
      </c>
      <c r="C1" s="78"/>
      <c r="D1" s="78"/>
      <c r="E1" s="64"/>
      <c r="F1" s="64"/>
      <c r="G1" s="64"/>
      <c r="H1" s="64"/>
      <c r="I1" s="64"/>
      <c r="J1" s="64"/>
      <c r="K1" s="64"/>
      <c r="L1" s="64"/>
      <c r="M1" s="64"/>
      <c r="N1" s="64"/>
      <c r="O1" s="64"/>
      <c r="P1" s="64"/>
      <c r="Q1" s="64"/>
      <c r="R1" s="64"/>
      <c r="S1" s="64"/>
      <c r="T1" s="64"/>
      <c r="U1" s="64"/>
      <c r="V1" s="64"/>
      <c r="W1" s="64"/>
      <c r="X1" s="64"/>
      <c r="Y1" s="64"/>
      <c r="Z1" s="64"/>
    </row>
    <row r="2">
      <c r="A2" s="79" t="s">
        <v>5</v>
      </c>
      <c r="B2" s="62" t="s">
        <v>703</v>
      </c>
      <c r="C2" s="64"/>
      <c r="D2" s="64"/>
      <c r="E2" s="64"/>
      <c r="F2" s="64"/>
      <c r="G2" s="64"/>
      <c r="H2" s="64"/>
      <c r="I2" s="64"/>
      <c r="J2" s="64"/>
      <c r="K2" s="64"/>
      <c r="L2" s="64"/>
      <c r="M2" s="64"/>
      <c r="N2" s="64"/>
      <c r="O2" s="64"/>
      <c r="P2" s="64"/>
      <c r="Q2" s="64"/>
      <c r="R2" s="64"/>
      <c r="S2" s="64"/>
      <c r="T2" s="64"/>
      <c r="U2" s="64"/>
      <c r="V2" s="64"/>
      <c r="W2" s="64"/>
      <c r="X2" s="64"/>
      <c r="Y2" s="64"/>
      <c r="Z2" s="64"/>
    </row>
    <row r="3">
      <c r="A3" s="80" t="s">
        <v>704</v>
      </c>
      <c r="B3" s="86" t="str">
        <f>IF(LEFT($B$1,2)="T1",Schedule!$A$4&amp;", "&amp;Schedule!$A$10,IF(LEFT($B$1,2)="T2",Schedule!$A$4&amp;", "&amp;Schedule!$A$12,IF(LEFT($B$1,2)="T3",Schedule!$A$4&amp;", "&amp;#REF!,IF(LEFT($B$1,2)="T4",Schedule!$A$16&amp;", "&amp;Schedule!$A$18,IF($B$1="Keynote 1",Schedule!$A$4&amp;", "&amp;Schedule!$A$8,IF($B$1="Keynote 2",Schedule!$A$4&amp;", "&amp;Schedule!$A$13,IF($B$1="Keynote 3",Schedule!$A$16&amp;", "&amp;Schedule!$A$19,IF($B$1="IEEE Workshop",Schedule!$A$16&amp;", "&amp;#REF!,""))))))))</f>
        <v>Day 1, 10:40-11:40</v>
      </c>
      <c r="C3" s="80"/>
      <c r="D3" s="87"/>
      <c r="E3" s="64"/>
      <c r="F3" s="64"/>
      <c r="G3" s="64"/>
      <c r="H3" s="64"/>
      <c r="I3" s="64"/>
      <c r="J3" s="64"/>
      <c r="K3" s="64"/>
      <c r="L3" s="64"/>
      <c r="M3" s="64"/>
      <c r="N3" s="64"/>
      <c r="O3" s="64"/>
      <c r="P3" s="64"/>
      <c r="Q3" s="64"/>
      <c r="R3" s="64"/>
      <c r="S3" s="64"/>
      <c r="T3" s="64"/>
      <c r="U3" s="64"/>
      <c r="V3" s="64"/>
      <c r="W3" s="64"/>
      <c r="X3" s="64"/>
      <c r="Y3" s="64"/>
      <c r="Z3" s="64"/>
    </row>
    <row r="4">
      <c r="A4" s="80" t="s">
        <v>11</v>
      </c>
      <c r="B4" s="80" t="str">
        <f t="array" ref="B4">IFERROR(INDEX(Sessions!$D$2:$D$173,MATCH($B$1,Sessions!$B$2:$B$173,0))&amp;"","")</f>
        <v/>
      </c>
      <c r="C4" s="80"/>
      <c r="D4" s="87"/>
      <c r="E4" s="64"/>
      <c r="F4" s="64"/>
      <c r="G4" s="64"/>
      <c r="H4" s="64"/>
      <c r="I4" s="64"/>
      <c r="J4" s="64"/>
      <c r="K4" s="64"/>
      <c r="L4" s="64"/>
      <c r="M4" s="64"/>
      <c r="N4" s="64"/>
      <c r="O4" s="64"/>
      <c r="P4" s="64"/>
      <c r="Q4" s="64"/>
      <c r="R4" s="64"/>
      <c r="S4" s="64"/>
      <c r="T4" s="64"/>
      <c r="U4" s="64"/>
      <c r="V4" s="64"/>
      <c r="W4" s="64"/>
      <c r="X4" s="64"/>
      <c r="Y4" s="64"/>
      <c r="Z4" s="64"/>
    </row>
    <row r="5">
      <c r="A5" s="80" t="s">
        <v>707</v>
      </c>
      <c r="B5" s="86" t="str">
        <f t="array" ref="B5">IFERROR(INDEX(Chairs!$J$2:$J$359,MATCH(1,INDEX((Chairs!$K$2:$K$359=$B$1)*(Chairs!$N$2:$N$359=1),0),0)),"")</f>
        <v>Dr. Aminur Rahman</v>
      </c>
      <c r="C5" s="86" t="str">
        <f t="array" ref="C5">IFERROR(INDEX(Chairs!$L$2:$L$359,MATCH(1,INDEX((Chairs!$K$2:$K$359=$B$1)*(Chairs!$N$2:$N$359=1),0),0))&amp;"","")</f>
        <v>aminur@bubt.edu.bd</v>
      </c>
      <c r="D5" s="87" t="str">
        <f t="array" ref="D5">IFERROR(INDEX(Chairs!$M$2:$M$359,MATCH(1,INDEX((Chairs!$K$2:$K$359=$B$1)*(Chairs!$N$2:$N$359=1),0),0))&amp;"","")</f>
        <v>01716539541</v>
      </c>
      <c r="E5" s="64"/>
      <c r="F5" s="64"/>
      <c r="G5" s="64"/>
      <c r="H5" s="64"/>
      <c r="I5" s="64"/>
      <c r="J5" s="64"/>
      <c r="K5" s="64"/>
      <c r="L5" s="64"/>
      <c r="M5" s="64"/>
      <c r="N5" s="64"/>
      <c r="O5" s="64"/>
      <c r="P5" s="64"/>
      <c r="Q5" s="64"/>
      <c r="R5" s="64"/>
      <c r="S5" s="64"/>
      <c r="T5" s="64"/>
      <c r="U5" s="64"/>
      <c r="V5" s="64"/>
      <c r="W5" s="64"/>
      <c r="X5" s="64"/>
      <c r="Y5" s="64"/>
      <c r="Z5" s="64"/>
    </row>
    <row r="6">
      <c r="A6" s="80" t="s">
        <v>709</v>
      </c>
      <c r="B6" s="86" t="str">
        <f t="array" ref="B6">IFERROR(INDEX('Senior Faculty'!$J$2:$J$401,MATCH(1,INDEX(('Senior Faculty'!$K$2:$K$401=$B$1)*('Senior Faculty'!$N$2:$N$401=1),0),0)),"")</f>
        <v>Dr. T. M Abul Kalam Azad</v>
      </c>
      <c r="C6" s="86" t="str">
        <f t="array" ref="C6">IFERROR(INDEX('Senior Faculty'!$L$2:$L$401,MATCH(1,INDEX(('Senior Faculty'!$K$2:$K$401=$B$1)*('Senior Faculty'!$N$2:$N$401=1),0),0))&amp;"","")</f>
        <v>abul.kalam@ulab.edu.bd</v>
      </c>
      <c r="D6" s="87" t="str">
        <f t="array" ref="D6">IFERROR(INDEX('Senior Faculty'!$M$2:$M$401,MATCH(1,INDEX(('Senior Faculty'!$K$2:$K$401=$B$1)*('Senior Faculty'!$N$2:$N$401=1),0),0))&amp;"","")</f>
        <v>01789379752</v>
      </c>
      <c r="E6" s="64"/>
      <c r="F6" s="64"/>
      <c r="G6" s="64"/>
      <c r="H6" s="64"/>
      <c r="I6" s="64"/>
      <c r="J6" s="64"/>
      <c r="K6" s="64"/>
      <c r="L6" s="64"/>
      <c r="M6" s="64"/>
      <c r="N6" s="64"/>
      <c r="O6" s="64"/>
      <c r="P6" s="64"/>
      <c r="Q6" s="64"/>
      <c r="R6" s="64"/>
      <c r="S6" s="64"/>
      <c r="T6" s="64"/>
      <c r="U6" s="64"/>
      <c r="V6" s="64"/>
      <c r="W6" s="64"/>
      <c r="X6" s="64"/>
      <c r="Y6" s="64"/>
      <c r="Z6" s="64"/>
    </row>
    <row r="7">
      <c r="A7" s="80" t="s">
        <v>713</v>
      </c>
      <c r="B7" s="86" t="str">
        <f t="array" ref="B7">IFERROR(INDEX('Junior Faculty'!$J$2:$J$401,MATCH(1,INDEX(('Junior Faculty'!$K$2:$K$401=$B$1)*('Junior Faculty'!$N$2:$N$401=1),0),0)),"")</f>
        <v/>
      </c>
      <c r="C7" s="86" t="str">
        <f t="array" ref="C7">IFERROR(INDEX('Junior Faculty'!$L$2:$L$401,MATCH(1,INDEX(('Junior Faculty'!$K$2:$K$401=$B$1)*('Junior Faculty'!$N$2:$N$401=1),0),0))&amp;"","")</f>
        <v/>
      </c>
      <c r="D7" s="87" t="str">
        <f t="array" ref="D7">IFERROR(INDEX('Junior Faculty'!$M$2:$M$401,MATCH(1,INDEX(('Junior Faculty'!$K$2:$K$401=$B$1)*('Junior Faculty'!$N$2:$N$401=1),0),0))&amp;"","")</f>
        <v/>
      </c>
      <c r="E7" s="64"/>
      <c r="F7" s="64"/>
      <c r="G7" s="64"/>
      <c r="H7" s="64"/>
      <c r="I7" s="64"/>
      <c r="J7" s="64"/>
      <c r="K7" s="64"/>
      <c r="L7" s="64"/>
      <c r="M7" s="64"/>
      <c r="N7" s="64"/>
      <c r="O7" s="64"/>
      <c r="P7" s="64"/>
      <c r="Q7" s="64"/>
      <c r="R7" s="64"/>
      <c r="S7" s="64"/>
      <c r="T7" s="64"/>
      <c r="U7" s="64"/>
      <c r="V7" s="64"/>
      <c r="W7" s="64"/>
      <c r="X7" s="64"/>
      <c r="Y7" s="64"/>
      <c r="Z7" s="64"/>
    </row>
    <row r="8">
      <c r="A8" s="91" t="s">
        <v>714</v>
      </c>
      <c r="B8" s="95" t="str">
        <f t="array" ref="B8">IFERROR(INDEX('Junior Faculty'!$J$2:$J$401,MATCH(1,INDEX(('Junior Faculty'!$K$2:$K$401=$B$1)*('Junior Faculty'!$N$2:$N$401=2),0),0)),"")</f>
        <v/>
      </c>
      <c r="C8" s="95" t="str">
        <f t="array" ref="C8">IFERROR(INDEX('Junior Faculty'!$L$2:$L$401,MATCH(1,INDEX(('Junior Faculty'!$K$2:$K$401=$B$1)*('Junior Faculty'!$N$2:$N$401=2),0),0))&amp;"","")</f>
        <v/>
      </c>
      <c r="D8" s="99" t="str">
        <f t="array" ref="D8">IFERROR(INDEX('Junior Faculty'!$M$2:$M$401,MATCH(1,INDEX(('Junior Faculty'!$K$2:$K$401=$B$1)*('Junior Faculty'!$N$2:$N$401=2),0),0))&amp;"","")</f>
        <v/>
      </c>
      <c r="E8" s="64"/>
      <c r="F8" s="64"/>
      <c r="G8" s="64"/>
      <c r="H8" s="64"/>
      <c r="I8" s="64"/>
      <c r="J8" s="64"/>
      <c r="K8" s="64"/>
      <c r="L8" s="64"/>
      <c r="M8" s="64"/>
      <c r="N8" s="64"/>
      <c r="O8" s="64"/>
      <c r="P8" s="64"/>
      <c r="Q8" s="64"/>
      <c r="R8" s="64"/>
      <c r="S8" s="64"/>
      <c r="T8" s="64"/>
      <c r="U8" s="64"/>
      <c r="V8" s="64"/>
      <c r="W8" s="64"/>
      <c r="X8" s="64"/>
      <c r="Y8" s="64"/>
      <c r="Z8" s="64"/>
    </row>
    <row r="9">
      <c r="A9" s="64"/>
      <c r="B9" s="64"/>
      <c r="C9" s="64"/>
      <c r="D9" s="100"/>
      <c r="E9" s="64"/>
      <c r="F9" s="64"/>
      <c r="G9" s="64"/>
      <c r="H9" s="64"/>
      <c r="I9" s="64"/>
      <c r="J9" s="64"/>
      <c r="K9" s="64"/>
      <c r="L9" s="64"/>
      <c r="M9" s="64"/>
      <c r="N9" s="64"/>
      <c r="O9" s="64"/>
      <c r="P9" s="64"/>
      <c r="Q9" s="64"/>
      <c r="R9" s="64"/>
      <c r="S9" s="64"/>
      <c r="T9" s="64"/>
      <c r="U9" s="64"/>
      <c r="V9" s="64"/>
      <c r="W9" s="64"/>
      <c r="X9" s="64"/>
      <c r="Y9" s="64"/>
      <c r="Z9" s="64"/>
    </row>
    <row r="10">
      <c r="A10" s="101" t="s">
        <v>715</v>
      </c>
      <c r="B10" s="86"/>
      <c r="C10" s="86"/>
      <c r="D10" s="102"/>
      <c r="E10" s="64"/>
      <c r="F10" s="64"/>
      <c r="G10" s="64"/>
      <c r="H10" s="64"/>
      <c r="I10" s="64"/>
      <c r="J10" s="64"/>
      <c r="K10" s="64"/>
      <c r="L10" s="64"/>
      <c r="M10" s="64"/>
      <c r="N10" s="64"/>
      <c r="O10" s="64"/>
      <c r="P10" s="64"/>
      <c r="Q10" s="64"/>
      <c r="R10" s="64"/>
      <c r="S10" s="64"/>
      <c r="T10" s="64"/>
      <c r="U10" s="64"/>
      <c r="V10" s="64"/>
      <c r="W10" s="64"/>
      <c r="X10" s="64"/>
      <c r="Y10" s="64"/>
      <c r="Z10" s="64"/>
    </row>
    <row r="11">
      <c r="A11" s="103" t="s">
        <v>716</v>
      </c>
      <c r="B11" s="97" t="s">
        <v>722</v>
      </c>
      <c r="H11" s="64"/>
      <c r="I11" s="64"/>
      <c r="J11" s="64"/>
      <c r="K11" s="64"/>
      <c r="L11" s="64"/>
      <c r="M11" s="64"/>
      <c r="N11" s="64"/>
      <c r="O11" s="64"/>
      <c r="P11" s="64"/>
      <c r="Q11" s="64"/>
      <c r="R11" s="64"/>
      <c r="S11" s="64"/>
      <c r="T11" s="64"/>
      <c r="U11" s="64"/>
      <c r="V11" s="64"/>
      <c r="W11" s="64"/>
      <c r="X11" s="64"/>
      <c r="Y11" s="64"/>
      <c r="Z11" s="64"/>
    </row>
    <row r="12">
      <c r="A12" s="103" t="s">
        <v>718</v>
      </c>
      <c r="B12" s="104" t="s">
        <v>723</v>
      </c>
      <c r="H12" s="64"/>
      <c r="I12" s="64"/>
      <c r="J12" s="64"/>
      <c r="K12" s="64"/>
      <c r="L12" s="64"/>
      <c r="M12" s="64"/>
      <c r="N12" s="64"/>
      <c r="O12" s="64"/>
      <c r="P12" s="64"/>
      <c r="Q12" s="64"/>
      <c r="R12" s="64"/>
      <c r="S12" s="64"/>
      <c r="T12" s="64"/>
      <c r="U12" s="64"/>
      <c r="V12" s="64"/>
      <c r="W12" s="64"/>
      <c r="X12" s="64"/>
      <c r="Y12" s="64"/>
      <c r="Z12" s="64"/>
    </row>
    <row r="13">
      <c r="A13" s="103" t="s">
        <v>720</v>
      </c>
      <c r="B13" s="104" t="s">
        <v>724</v>
      </c>
      <c r="H13" s="64"/>
      <c r="I13" s="64"/>
      <c r="J13" s="64"/>
      <c r="K13" s="64"/>
      <c r="L13" s="64"/>
      <c r="M13" s="64"/>
      <c r="N13" s="64"/>
      <c r="O13" s="64"/>
      <c r="P13" s="64"/>
      <c r="Q13" s="64"/>
      <c r="R13" s="64"/>
      <c r="S13" s="64"/>
      <c r="T13" s="64"/>
      <c r="U13" s="64"/>
      <c r="V13" s="64"/>
      <c r="W13" s="64"/>
      <c r="X13" s="64"/>
      <c r="Y13" s="64"/>
      <c r="Z13" s="64"/>
    </row>
    <row r="14">
      <c r="A14" s="64"/>
      <c r="B14" s="64"/>
      <c r="C14" s="64"/>
      <c r="D14" s="100"/>
      <c r="E14" s="64"/>
      <c r="F14" s="64"/>
      <c r="G14" s="64"/>
      <c r="H14" s="64"/>
      <c r="I14" s="64"/>
      <c r="J14" s="64"/>
      <c r="K14" s="64"/>
      <c r="L14" s="64"/>
      <c r="M14" s="64"/>
      <c r="N14" s="64"/>
      <c r="O14" s="64"/>
      <c r="P14" s="64"/>
      <c r="Q14" s="64"/>
      <c r="R14" s="64"/>
      <c r="S14" s="64"/>
      <c r="T14" s="64"/>
      <c r="U14" s="64"/>
      <c r="V14" s="64"/>
      <c r="W14" s="64"/>
      <c r="X14" s="64"/>
      <c r="Y14" s="64"/>
      <c r="Z14" s="64"/>
    </row>
    <row r="15">
      <c r="A15" s="64"/>
      <c r="B15" s="64"/>
      <c r="C15" s="64"/>
      <c r="D15" s="100"/>
      <c r="E15" s="64"/>
      <c r="F15" s="64"/>
      <c r="G15" s="64"/>
      <c r="H15" s="64"/>
      <c r="I15" s="64"/>
      <c r="J15" s="64"/>
      <c r="K15" s="64"/>
      <c r="L15" s="64"/>
      <c r="M15" s="64"/>
      <c r="N15" s="64"/>
      <c r="O15" s="64"/>
      <c r="P15" s="64"/>
      <c r="Q15" s="64"/>
      <c r="R15" s="64"/>
      <c r="S15" s="64"/>
      <c r="T15" s="64"/>
      <c r="U15" s="64"/>
      <c r="V15" s="64"/>
      <c r="W15" s="64"/>
      <c r="X15" s="64"/>
      <c r="Y15" s="64"/>
      <c r="Z15" s="64"/>
    </row>
    <row r="16">
      <c r="A16" s="64"/>
      <c r="B16" s="64"/>
      <c r="C16" s="64"/>
      <c r="D16" s="100"/>
      <c r="E16" s="64"/>
      <c r="F16" s="64"/>
      <c r="G16" s="64"/>
      <c r="H16" s="64"/>
      <c r="I16" s="64"/>
      <c r="J16" s="64"/>
      <c r="K16" s="64"/>
      <c r="L16" s="64"/>
      <c r="M16" s="64"/>
      <c r="N16" s="64"/>
      <c r="O16" s="64"/>
      <c r="P16" s="64"/>
      <c r="Q16" s="64"/>
      <c r="R16" s="64"/>
      <c r="S16" s="64"/>
      <c r="T16" s="64"/>
      <c r="U16" s="64"/>
      <c r="V16" s="64"/>
      <c r="W16" s="64"/>
      <c r="X16" s="64"/>
      <c r="Y16" s="64"/>
      <c r="Z16" s="64"/>
    </row>
    <row r="17">
      <c r="A17" s="64"/>
      <c r="B17" s="64"/>
      <c r="C17" s="64"/>
      <c r="D17" s="100"/>
      <c r="E17" s="64"/>
      <c r="F17" s="64"/>
      <c r="G17" s="64"/>
      <c r="H17" s="64"/>
      <c r="I17" s="64"/>
      <c r="J17" s="64"/>
      <c r="K17" s="64"/>
      <c r="L17" s="64"/>
      <c r="M17" s="64"/>
      <c r="N17" s="64"/>
      <c r="O17" s="64"/>
      <c r="P17" s="64"/>
      <c r="Q17" s="64"/>
      <c r="R17" s="64"/>
      <c r="S17" s="64"/>
      <c r="T17" s="64"/>
      <c r="U17" s="64"/>
      <c r="V17" s="64"/>
      <c r="W17" s="64"/>
      <c r="X17" s="64"/>
      <c r="Y17" s="64"/>
      <c r="Z17" s="64"/>
    </row>
    <row r="18">
      <c r="A18" s="64"/>
      <c r="B18" s="64"/>
      <c r="C18" s="64"/>
      <c r="D18" s="100"/>
      <c r="E18" s="64"/>
      <c r="F18" s="64"/>
      <c r="G18" s="64"/>
      <c r="H18" s="64"/>
      <c r="I18" s="64"/>
      <c r="J18" s="64"/>
      <c r="K18" s="64"/>
      <c r="L18" s="64"/>
      <c r="M18" s="64"/>
      <c r="N18" s="64"/>
      <c r="O18" s="64"/>
      <c r="P18" s="64"/>
      <c r="Q18" s="64"/>
      <c r="R18" s="64"/>
      <c r="S18" s="64"/>
      <c r="T18" s="64"/>
      <c r="U18" s="64"/>
      <c r="V18" s="64"/>
      <c r="W18" s="64"/>
      <c r="X18" s="64"/>
      <c r="Y18" s="64"/>
      <c r="Z18" s="64"/>
    </row>
    <row r="19">
      <c r="A19" s="64"/>
      <c r="B19" s="64"/>
      <c r="C19" s="64"/>
      <c r="D19" s="100"/>
      <c r="E19" s="64"/>
      <c r="F19" s="64"/>
      <c r="G19" s="64"/>
      <c r="H19" s="64"/>
      <c r="I19" s="64"/>
      <c r="J19" s="64"/>
      <c r="K19" s="64"/>
      <c r="L19" s="64"/>
      <c r="M19" s="64"/>
      <c r="N19" s="64"/>
      <c r="O19" s="64"/>
      <c r="P19" s="64"/>
      <c r="Q19" s="64"/>
      <c r="R19" s="64"/>
      <c r="S19" s="64"/>
      <c r="T19" s="64"/>
      <c r="U19" s="64"/>
      <c r="V19" s="64"/>
      <c r="W19" s="64"/>
      <c r="X19" s="64"/>
      <c r="Y19" s="64"/>
      <c r="Z19" s="64"/>
    </row>
    <row r="20">
      <c r="A20" s="64"/>
      <c r="B20" s="64"/>
      <c r="C20" s="64"/>
      <c r="D20" s="100"/>
      <c r="E20" s="64"/>
      <c r="F20" s="64"/>
      <c r="G20" s="64"/>
      <c r="H20" s="64"/>
      <c r="I20" s="64"/>
      <c r="J20" s="64"/>
      <c r="K20" s="64"/>
      <c r="L20" s="64"/>
      <c r="M20" s="64"/>
      <c r="N20" s="64"/>
      <c r="O20" s="64"/>
      <c r="P20" s="64"/>
      <c r="Q20" s="64"/>
      <c r="R20" s="64"/>
      <c r="S20" s="64"/>
      <c r="T20" s="64"/>
      <c r="U20" s="64"/>
      <c r="V20" s="64"/>
      <c r="W20" s="64"/>
      <c r="X20" s="64"/>
      <c r="Y20" s="64"/>
      <c r="Z20" s="64"/>
    </row>
    <row r="21">
      <c r="A21" s="64"/>
      <c r="B21" s="64"/>
      <c r="C21" s="64"/>
      <c r="D21" s="100"/>
      <c r="E21" s="64"/>
      <c r="F21" s="64"/>
      <c r="G21" s="64"/>
      <c r="H21" s="64"/>
      <c r="I21" s="64"/>
      <c r="J21" s="64"/>
      <c r="K21" s="64"/>
      <c r="L21" s="64"/>
      <c r="M21" s="64"/>
      <c r="N21" s="64"/>
      <c r="O21" s="64"/>
      <c r="P21" s="64"/>
      <c r="Q21" s="64"/>
      <c r="R21" s="64"/>
      <c r="S21" s="64"/>
      <c r="T21" s="64"/>
      <c r="U21" s="64"/>
      <c r="V21" s="64"/>
      <c r="W21" s="64"/>
      <c r="X21" s="64"/>
      <c r="Y21" s="64"/>
      <c r="Z21" s="64"/>
    </row>
    <row r="22">
      <c r="A22" s="64"/>
      <c r="B22" s="64"/>
      <c r="C22" s="64"/>
      <c r="D22" s="100"/>
      <c r="E22" s="64"/>
      <c r="F22" s="64"/>
      <c r="G22" s="64"/>
      <c r="H22" s="64"/>
      <c r="I22" s="64"/>
      <c r="J22" s="64"/>
      <c r="K22" s="64"/>
      <c r="L22" s="64"/>
      <c r="M22" s="64"/>
      <c r="N22" s="64"/>
      <c r="O22" s="64"/>
      <c r="P22" s="64"/>
      <c r="Q22" s="64"/>
      <c r="R22" s="64"/>
      <c r="S22" s="64"/>
      <c r="T22" s="64"/>
      <c r="U22" s="64"/>
      <c r="V22" s="64"/>
      <c r="W22" s="64"/>
      <c r="X22" s="64"/>
      <c r="Y22" s="64"/>
      <c r="Z22" s="64"/>
    </row>
    <row r="23">
      <c r="A23" s="64"/>
      <c r="B23" s="64"/>
      <c r="C23" s="64"/>
      <c r="D23" s="100"/>
      <c r="E23" s="64"/>
      <c r="F23" s="64"/>
      <c r="G23" s="64"/>
      <c r="H23" s="64"/>
      <c r="I23" s="64"/>
      <c r="J23" s="64"/>
      <c r="K23" s="64"/>
      <c r="L23" s="64"/>
      <c r="M23" s="64"/>
      <c r="N23" s="64"/>
      <c r="O23" s="64"/>
      <c r="P23" s="64"/>
      <c r="Q23" s="64"/>
      <c r="R23" s="64"/>
      <c r="S23" s="64"/>
      <c r="T23" s="64"/>
      <c r="U23" s="64"/>
      <c r="V23" s="64"/>
      <c r="W23" s="64"/>
      <c r="X23" s="64"/>
      <c r="Y23" s="64"/>
      <c r="Z23" s="64"/>
    </row>
    <row r="24">
      <c r="A24" s="64"/>
      <c r="B24" s="64"/>
      <c r="C24" s="64"/>
      <c r="D24" s="100"/>
      <c r="E24" s="64"/>
      <c r="F24" s="64"/>
      <c r="G24" s="64"/>
      <c r="H24" s="64"/>
      <c r="I24" s="64"/>
      <c r="J24" s="64"/>
      <c r="K24" s="64"/>
      <c r="L24" s="64"/>
      <c r="M24" s="64"/>
      <c r="N24" s="64"/>
      <c r="O24" s="64"/>
      <c r="P24" s="64"/>
      <c r="Q24" s="64"/>
      <c r="R24" s="64"/>
      <c r="S24" s="64"/>
      <c r="T24" s="64"/>
      <c r="U24" s="64"/>
      <c r="V24" s="64"/>
      <c r="W24" s="64"/>
      <c r="X24" s="64"/>
      <c r="Y24" s="64"/>
      <c r="Z24" s="64"/>
    </row>
    <row r="25">
      <c r="A25" s="64"/>
      <c r="B25" s="64"/>
      <c r="C25" s="64"/>
      <c r="D25" s="100"/>
      <c r="E25" s="64"/>
      <c r="F25" s="64"/>
      <c r="G25" s="64"/>
      <c r="H25" s="64"/>
      <c r="I25" s="64"/>
      <c r="J25" s="64"/>
      <c r="K25" s="64"/>
      <c r="L25" s="64"/>
      <c r="M25" s="64"/>
      <c r="N25" s="64"/>
      <c r="O25" s="64"/>
      <c r="P25" s="64"/>
      <c r="Q25" s="64"/>
      <c r="R25" s="64"/>
      <c r="S25" s="64"/>
      <c r="T25" s="64"/>
      <c r="U25" s="64"/>
      <c r="V25" s="64"/>
      <c r="W25" s="64"/>
      <c r="X25" s="64"/>
      <c r="Y25" s="64"/>
      <c r="Z25" s="64"/>
    </row>
    <row r="26">
      <c r="A26" s="64"/>
      <c r="B26" s="64"/>
      <c r="C26" s="64"/>
      <c r="D26" s="100"/>
      <c r="E26" s="64"/>
      <c r="F26" s="64"/>
      <c r="G26" s="64"/>
      <c r="H26" s="64"/>
      <c r="I26" s="64"/>
      <c r="J26" s="64"/>
      <c r="K26" s="64"/>
      <c r="L26" s="64"/>
      <c r="M26" s="64"/>
      <c r="N26" s="64"/>
      <c r="O26" s="64"/>
      <c r="P26" s="64"/>
      <c r="Q26" s="64"/>
      <c r="R26" s="64"/>
      <c r="S26" s="64"/>
      <c r="T26" s="64"/>
      <c r="U26" s="64"/>
      <c r="V26" s="64"/>
      <c r="W26" s="64"/>
      <c r="X26" s="64"/>
      <c r="Y26" s="64"/>
      <c r="Z26" s="64"/>
    </row>
    <row r="27">
      <c r="A27" s="64"/>
      <c r="B27" s="64"/>
      <c r="C27" s="64"/>
      <c r="D27" s="100"/>
      <c r="E27" s="64"/>
      <c r="F27" s="64"/>
      <c r="G27" s="64"/>
      <c r="H27" s="64"/>
      <c r="I27" s="64"/>
      <c r="J27" s="64"/>
      <c r="K27" s="64"/>
      <c r="L27" s="64"/>
      <c r="M27" s="64"/>
      <c r="N27" s="64"/>
      <c r="O27" s="64"/>
      <c r="P27" s="64"/>
      <c r="Q27" s="64"/>
      <c r="R27" s="64"/>
      <c r="S27" s="64"/>
      <c r="T27" s="64"/>
      <c r="U27" s="64"/>
      <c r="V27" s="64"/>
      <c r="W27" s="64"/>
      <c r="X27" s="64"/>
      <c r="Y27" s="64"/>
      <c r="Z27" s="64"/>
    </row>
    <row r="28">
      <c r="A28" s="64"/>
      <c r="B28" s="64"/>
      <c r="C28" s="64"/>
      <c r="D28" s="100"/>
      <c r="E28" s="64"/>
      <c r="F28" s="64"/>
      <c r="G28" s="64"/>
      <c r="H28" s="64"/>
      <c r="I28" s="64"/>
      <c r="J28" s="64"/>
      <c r="K28" s="64"/>
      <c r="L28" s="64"/>
      <c r="M28" s="64"/>
      <c r="N28" s="64"/>
      <c r="O28" s="64"/>
      <c r="P28" s="64"/>
      <c r="Q28" s="64"/>
      <c r="R28" s="64"/>
      <c r="S28" s="64"/>
      <c r="T28" s="64"/>
      <c r="U28" s="64"/>
      <c r="V28" s="64"/>
      <c r="W28" s="64"/>
      <c r="X28" s="64"/>
      <c r="Y28" s="64"/>
      <c r="Z28" s="64"/>
    </row>
    <row r="29">
      <c r="A29" s="64"/>
      <c r="B29" s="64"/>
      <c r="C29" s="64"/>
      <c r="D29" s="100"/>
      <c r="E29" s="64"/>
      <c r="F29" s="64"/>
      <c r="G29" s="64"/>
      <c r="H29" s="64"/>
      <c r="I29" s="64"/>
      <c r="J29" s="64"/>
      <c r="K29" s="64"/>
      <c r="L29" s="64"/>
      <c r="M29" s="64"/>
      <c r="N29" s="64"/>
      <c r="O29" s="64"/>
      <c r="P29" s="64"/>
      <c r="Q29" s="64"/>
      <c r="R29" s="64"/>
      <c r="S29" s="64"/>
      <c r="T29" s="64"/>
      <c r="U29" s="64"/>
      <c r="V29" s="64"/>
      <c r="W29" s="64"/>
      <c r="X29" s="64"/>
      <c r="Y29" s="64"/>
      <c r="Z29" s="64"/>
    </row>
    <row r="30">
      <c r="A30" s="64"/>
      <c r="B30" s="64"/>
      <c r="C30" s="64"/>
      <c r="D30" s="100"/>
      <c r="E30" s="64"/>
      <c r="F30" s="64"/>
      <c r="G30" s="64"/>
      <c r="H30" s="64"/>
      <c r="I30" s="64"/>
      <c r="J30" s="64"/>
      <c r="K30" s="64"/>
      <c r="L30" s="64"/>
      <c r="M30" s="64"/>
      <c r="N30" s="64"/>
      <c r="O30" s="64"/>
      <c r="P30" s="64"/>
      <c r="Q30" s="64"/>
      <c r="R30" s="64"/>
      <c r="S30" s="64"/>
      <c r="T30" s="64"/>
      <c r="U30" s="64"/>
      <c r="V30" s="64"/>
      <c r="W30" s="64"/>
      <c r="X30" s="64"/>
      <c r="Y30" s="64"/>
      <c r="Z30" s="64"/>
    </row>
    <row r="31">
      <c r="A31" s="64"/>
      <c r="B31" s="64"/>
      <c r="C31" s="64"/>
      <c r="D31" s="100"/>
      <c r="E31" s="64"/>
      <c r="F31" s="64"/>
      <c r="G31" s="64"/>
      <c r="H31" s="64"/>
      <c r="I31" s="64"/>
      <c r="J31" s="64"/>
      <c r="K31" s="64"/>
      <c r="L31" s="64"/>
      <c r="M31" s="64"/>
      <c r="N31" s="64"/>
      <c r="O31" s="64"/>
      <c r="P31" s="64"/>
      <c r="Q31" s="64"/>
      <c r="R31" s="64"/>
      <c r="S31" s="64"/>
      <c r="T31" s="64"/>
      <c r="U31" s="64"/>
      <c r="V31" s="64"/>
      <c r="W31" s="64"/>
      <c r="X31" s="64"/>
      <c r="Y31" s="64"/>
      <c r="Z31" s="64"/>
    </row>
    <row r="32">
      <c r="A32" s="64"/>
      <c r="B32" s="64"/>
      <c r="C32" s="64"/>
      <c r="D32" s="100"/>
      <c r="E32" s="64"/>
      <c r="F32" s="64"/>
      <c r="G32" s="64"/>
      <c r="H32" s="64"/>
      <c r="I32" s="64"/>
      <c r="J32" s="64"/>
      <c r="K32" s="64"/>
      <c r="L32" s="64"/>
      <c r="M32" s="64"/>
      <c r="N32" s="64"/>
      <c r="O32" s="64"/>
      <c r="P32" s="64"/>
      <c r="Q32" s="64"/>
      <c r="R32" s="64"/>
      <c r="S32" s="64"/>
      <c r="T32" s="64"/>
      <c r="U32" s="64"/>
      <c r="V32" s="64"/>
      <c r="W32" s="64"/>
      <c r="X32" s="64"/>
      <c r="Y32" s="64"/>
      <c r="Z32" s="64"/>
    </row>
    <row r="33">
      <c r="A33" s="64"/>
      <c r="B33" s="64"/>
      <c r="C33" s="64"/>
      <c r="D33" s="100"/>
      <c r="E33" s="64"/>
      <c r="F33" s="64"/>
      <c r="G33" s="64"/>
      <c r="H33" s="64"/>
      <c r="I33" s="64"/>
      <c r="J33" s="64"/>
      <c r="K33" s="64"/>
      <c r="L33" s="64"/>
      <c r="M33" s="64"/>
      <c r="N33" s="64"/>
      <c r="O33" s="64"/>
      <c r="P33" s="64"/>
      <c r="Q33" s="64"/>
      <c r="R33" s="64"/>
      <c r="S33" s="64"/>
      <c r="T33" s="64"/>
      <c r="U33" s="64"/>
      <c r="V33" s="64"/>
      <c r="W33" s="64"/>
      <c r="X33" s="64"/>
      <c r="Y33" s="64"/>
      <c r="Z33" s="64"/>
    </row>
    <row r="34">
      <c r="A34" s="64"/>
      <c r="B34" s="64"/>
      <c r="C34" s="64"/>
      <c r="D34" s="100"/>
      <c r="E34" s="64"/>
      <c r="F34" s="64"/>
      <c r="G34" s="64"/>
      <c r="H34" s="64"/>
      <c r="I34" s="64"/>
      <c r="J34" s="64"/>
      <c r="K34" s="64"/>
      <c r="L34" s="64"/>
      <c r="M34" s="64"/>
      <c r="N34" s="64"/>
      <c r="O34" s="64"/>
      <c r="P34" s="64"/>
      <c r="Q34" s="64"/>
      <c r="R34" s="64"/>
      <c r="S34" s="64"/>
      <c r="T34" s="64"/>
      <c r="U34" s="64"/>
      <c r="V34" s="64"/>
      <c r="W34" s="64"/>
      <c r="X34" s="64"/>
      <c r="Y34" s="64"/>
      <c r="Z34" s="64"/>
    </row>
    <row r="35">
      <c r="A35" s="64"/>
      <c r="B35" s="64"/>
      <c r="C35" s="64"/>
      <c r="D35" s="100"/>
      <c r="E35" s="64"/>
      <c r="F35" s="64"/>
      <c r="G35" s="64"/>
      <c r="H35" s="64"/>
      <c r="I35" s="64"/>
      <c r="J35" s="64"/>
      <c r="K35" s="64"/>
      <c r="L35" s="64"/>
      <c r="M35" s="64"/>
      <c r="N35" s="64"/>
      <c r="O35" s="64"/>
      <c r="P35" s="64"/>
      <c r="Q35" s="64"/>
      <c r="R35" s="64"/>
      <c r="S35" s="64"/>
      <c r="T35" s="64"/>
      <c r="U35" s="64"/>
      <c r="V35" s="64"/>
      <c r="W35" s="64"/>
      <c r="X35" s="64"/>
      <c r="Y35" s="64"/>
      <c r="Z35" s="64"/>
    </row>
    <row r="36">
      <c r="A36" s="64"/>
      <c r="B36" s="64"/>
      <c r="C36" s="64"/>
      <c r="D36" s="100"/>
      <c r="E36" s="64"/>
      <c r="F36" s="64"/>
      <c r="G36" s="64"/>
      <c r="H36" s="64"/>
      <c r="I36" s="64"/>
      <c r="J36" s="64"/>
      <c r="K36" s="64"/>
      <c r="L36" s="64"/>
      <c r="M36" s="64"/>
      <c r="N36" s="64"/>
      <c r="O36" s="64"/>
      <c r="P36" s="64"/>
      <c r="Q36" s="64"/>
      <c r="R36" s="64"/>
      <c r="S36" s="64"/>
      <c r="T36" s="64"/>
      <c r="U36" s="64"/>
      <c r="V36" s="64"/>
      <c r="W36" s="64"/>
      <c r="X36" s="64"/>
      <c r="Y36" s="64"/>
      <c r="Z36" s="64"/>
    </row>
    <row r="37">
      <c r="A37" s="64"/>
      <c r="B37" s="64"/>
      <c r="C37" s="64"/>
      <c r="D37" s="100"/>
      <c r="E37" s="64"/>
      <c r="F37" s="64"/>
      <c r="G37" s="64"/>
      <c r="H37" s="64"/>
      <c r="I37" s="64"/>
      <c r="J37" s="64"/>
      <c r="K37" s="64"/>
      <c r="L37" s="64"/>
      <c r="M37" s="64"/>
      <c r="N37" s="64"/>
      <c r="O37" s="64"/>
      <c r="P37" s="64"/>
      <c r="Q37" s="64"/>
      <c r="R37" s="64"/>
      <c r="S37" s="64"/>
      <c r="T37" s="64"/>
      <c r="U37" s="64"/>
      <c r="V37" s="64"/>
      <c r="W37" s="64"/>
      <c r="X37" s="64"/>
      <c r="Y37" s="64"/>
      <c r="Z37" s="64"/>
    </row>
    <row r="38">
      <c r="A38" s="64"/>
      <c r="B38" s="64"/>
      <c r="C38" s="64"/>
      <c r="D38" s="100"/>
      <c r="E38" s="64"/>
      <c r="F38" s="64"/>
      <c r="G38" s="64"/>
      <c r="H38" s="64"/>
      <c r="I38" s="64"/>
      <c r="J38" s="64"/>
      <c r="K38" s="64"/>
      <c r="L38" s="64"/>
      <c r="M38" s="64"/>
      <c r="N38" s="64"/>
      <c r="O38" s="64"/>
      <c r="P38" s="64"/>
      <c r="Q38" s="64"/>
      <c r="R38" s="64"/>
      <c r="S38" s="64"/>
      <c r="T38" s="64"/>
      <c r="U38" s="64"/>
      <c r="V38" s="64"/>
      <c r="W38" s="64"/>
      <c r="X38" s="64"/>
      <c r="Y38" s="64"/>
      <c r="Z38" s="64"/>
    </row>
    <row r="39">
      <c r="A39" s="64"/>
      <c r="B39" s="64"/>
      <c r="C39" s="64"/>
      <c r="D39" s="100"/>
      <c r="E39" s="64"/>
      <c r="F39" s="64"/>
      <c r="G39" s="64"/>
      <c r="H39" s="64"/>
      <c r="I39" s="64"/>
      <c r="J39" s="64"/>
      <c r="K39" s="64"/>
      <c r="L39" s="64"/>
      <c r="M39" s="64"/>
      <c r="N39" s="64"/>
      <c r="O39" s="64"/>
      <c r="P39" s="64"/>
      <c r="Q39" s="64"/>
      <c r="R39" s="64"/>
      <c r="S39" s="64"/>
      <c r="T39" s="64"/>
      <c r="U39" s="64"/>
      <c r="V39" s="64"/>
      <c r="W39" s="64"/>
      <c r="X39" s="64"/>
      <c r="Y39" s="64"/>
      <c r="Z39" s="64"/>
    </row>
    <row r="40">
      <c r="A40" s="64"/>
      <c r="B40" s="64"/>
      <c r="C40" s="64"/>
      <c r="D40" s="100"/>
      <c r="E40" s="64"/>
      <c r="F40" s="64"/>
      <c r="G40" s="64"/>
      <c r="H40" s="64"/>
      <c r="I40" s="64"/>
      <c r="J40" s="64"/>
      <c r="K40" s="64"/>
      <c r="L40" s="64"/>
      <c r="M40" s="64"/>
      <c r="N40" s="64"/>
      <c r="O40" s="64"/>
      <c r="P40" s="64"/>
      <c r="Q40" s="64"/>
      <c r="R40" s="64"/>
      <c r="S40" s="64"/>
      <c r="T40" s="64"/>
      <c r="U40" s="64"/>
      <c r="V40" s="64"/>
      <c r="W40" s="64"/>
      <c r="X40" s="64"/>
      <c r="Y40" s="64"/>
      <c r="Z40" s="64"/>
    </row>
    <row r="41">
      <c r="A41" s="64"/>
      <c r="B41" s="64"/>
      <c r="C41" s="64"/>
      <c r="D41" s="100"/>
      <c r="E41" s="64"/>
      <c r="F41" s="64"/>
      <c r="G41" s="64"/>
      <c r="H41" s="64"/>
      <c r="I41" s="64"/>
      <c r="J41" s="64"/>
      <c r="K41" s="64"/>
      <c r="L41" s="64"/>
      <c r="M41" s="64"/>
      <c r="N41" s="64"/>
      <c r="O41" s="64"/>
      <c r="P41" s="64"/>
      <c r="Q41" s="64"/>
      <c r="R41" s="64"/>
      <c r="S41" s="64"/>
      <c r="T41" s="64"/>
      <c r="U41" s="64"/>
      <c r="V41" s="64"/>
      <c r="W41" s="64"/>
      <c r="X41" s="64"/>
      <c r="Y41" s="64"/>
      <c r="Z41" s="64"/>
    </row>
    <row r="42">
      <c r="A42" s="64"/>
      <c r="B42" s="64"/>
      <c r="C42" s="64"/>
      <c r="D42" s="100"/>
      <c r="E42" s="64"/>
      <c r="F42" s="64"/>
      <c r="G42" s="64"/>
      <c r="H42" s="64"/>
      <c r="I42" s="64"/>
      <c r="J42" s="64"/>
      <c r="K42" s="64"/>
      <c r="L42" s="64"/>
      <c r="M42" s="64"/>
      <c r="N42" s="64"/>
      <c r="O42" s="64"/>
      <c r="P42" s="64"/>
      <c r="Q42" s="64"/>
      <c r="R42" s="64"/>
      <c r="S42" s="64"/>
      <c r="T42" s="64"/>
      <c r="U42" s="64"/>
      <c r="V42" s="64"/>
      <c r="W42" s="64"/>
      <c r="X42" s="64"/>
      <c r="Y42" s="64"/>
      <c r="Z42" s="64"/>
    </row>
    <row r="43">
      <c r="A43" s="64"/>
      <c r="B43" s="64"/>
      <c r="C43" s="64"/>
      <c r="D43" s="100"/>
      <c r="E43" s="64"/>
      <c r="F43" s="64"/>
      <c r="G43" s="64"/>
      <c r="H43" s="64"/>
      <c r="I43" s="64"/>
      <c r="J43" s="64"/>
      <c r="K43" s="64"/>
      <c r="L43" s="64"/>
      <c r="M43" s="64"/>
      <c r="N43" s="64"/>
      <c r="O43" s="64"/>
      <c r="P43" s="64"/>
      <c r="Q43" s="64"/>
      <c r="R43" s="64"/>
      <c r="S43" s="64"/>
      <c r="T43" s="64"/>
      <c r="U43" s="64"/>
      <c r="V43" s="64"/>
      <c r="W43" s="64"/>
      <c r="X43" s="64"/>
      <c r="Y43" s="64"/>
      <c r="Z43" s="64"/>
    </row>
    <row r="44">
      <c r="A44" s="64"/>
      <c r="B44" s="64"/>
      <c r="C44" s="64"/>
      <c r="D44" s="100"/>
      <c r="E44" s="64"/>
      <c r="F44" s="64"/>
      <c r="G44" s="64"/>
      <c r="H44" s="64"/>
      <c r="I44" s="64"/>
      <c r="J44" s="64"/>
      <c r="K44" s="64"/>
      <c r="L44" s="64"/>
      <c r="M44" s="64"/>
      <c r="N44" s="64"/>
      <c r="O44" s="64"/>
      <c r="P44" s="64"/>
      <c r="Q44" s="64"/>
      <c r="R44" s="64"/>
      <c r="S44" s="64"/>
      <c r="T44" s="64"/>
      <c r="U44" s="64"/>
      <c r="V44" s="64"/>
      <c r="W44" s="64"/>
      <c r="X44" s="64"/>
      <c r="Y44" s="64"/>
      <c r="Z44" s="64"/>
    </row>
    <row r="45">
      <c r="A45" s="64"/>
      <c r="B45" s="64"/>
      <c r="C45" s="64"/>
      <c r="D45" s="100"/>
      <c r="E45" s="64"/>
      <c r="F45" s="64"/>
      <c r="G45" s="64"/>
      <c r="H45" s="64"/>
      <c r="I45" s="64"/>
      <c r="J45" s="64"/>
      <c r="K45" s="64"/>
      <c r="L45" s="64"/>
      <c r="M45" s="64"/>
      <c r="N45" s="64"/>
      <c r="O45" s="64"/>
      <c r="P45" s="64"/>
      <c r="Q45" s="64"/>
      <c r="R45" s="64"/>
      <c r="S45" s="64"/>
      <c r="T45" s="64"/>
      <c r="U45" s="64"/>
      <c r="V45" s="64"/>
      <c r="W45" s="64"/>
      <c r="X45" s="64"/>
      <c r="Y45" s="64"/>
      <c r="Z45" s="64"/>
    </row>
    <row r="46">
      <c r="A46" s="64"/>
      <c r="B46" s="64"/>
      <c r="C46" s="64"/>
      <c r="D46" s="100"/>
      <c r="E46" s="64"/>
      <c r="F46" s="64"/>
      <c r="G46" s="64"/>
      <c r="H46" s="64"/>
      <c r="I46" s="64"/>
      <c r="J46" s="64"/>
      <c r="K46" s="64"/>
      <c r="L46" s="64"/>
      <c r="M46" s="64"/>
      <c r="N46" s="64"/>
      <c r="O46" s="64"/>
      <c r="P46" s="64"/>
      <c r="Q46" s="64"/>
      <c r="R46" s="64"/>
      <c r="S46" s="64"/>
      <c r="T46" s="64"/>
      <c r="U46" s="64"/>
      <c r="V46" s="64"/>
      <c r="W46" s="64"/>
      <c r="X46" s="64"/>
      <c r="Y46" s="64"/>
      <c r="Z46" s="64"/>
    </row>
    <row r="47">
      <c r="A47" s="64"/>
      <c r="B47" s="64"/>
      <c r="C47" s="64"/>
      <c r="D47" s="100"/>
      <c r="E47" s="64"/>
      <c r="F47" s="64"/>
      <c r="G47" s="64"/>
      <c r="H47" s="64"/>
      <c r="I47" s="64"/>
      <c r="J47" s="64"/>
      <c r="K47" s="64"/>
      <c r="L47" s="64"/>
      <c r="M47" s="64"/>
      <c r="N47" s="64"/>
      <c r="O47" s="64"/>
      <c r="P47" s="64"/>
      <c r="Q47" s="64"/>
      <c r="R47" s="64"/>
      <c r="S47" s="64"/>
      <c r="T47" s="64"/>
      <c r="U47" s="64"/>
      <c r="V47" s="64"/>
      <c r="W47" s="64"/>
      <c r="X47" s="64"/>
      <c r="Y47" s="64"/>
      <c r="Z47" s="64"/>
    </row>
    <row r="48">
      <c r="A48" s="64"/>
      <c r="B48" s="64"/>
      <c r="C48" s="64"/>
      <c r="D48" s="100"/>
      <c r="E48" s="64"/>
      <c r="F48" s="64"/>
      <c r="G48" s="64"/>
      <c r="H48" s="64"/>
      <c r="I48" s="64"/>
      <c r="J48" s="64"/>
      <c r="K48" s="64"/>
      <c r="L48" s="64"/>
      <c r="M48" s="64"/>
      <c r="N48" s="64"/>
      <c r="O48" s="64"/>
      <c r="P48" s="64"/>
      <c r="Q48" s="64"/>
      <c r="R48" s="64"/>
      <c r="S48" s="64"/>
      <c r="T48" s="64"/>
      <c r="U48" s="64"/>
      <c r="V48" s="64"/>
      <c r="W48" s="64"/>
      <c r="X48" s="64"/>
      <c r="Y48" s="64"/>
      <c r="Z48" s="64"/>
    </row>
    <row r="49">
      <c r="A49" s="64"/>
      <c r="B49" s="64"/>
      <c r="C49" s="64"/>
      <c r="D49" s="100"/>
      <c r="E49" s="64"/>
      <c r="F49" s="64"/>
      <c r="G49" s="64"/>
      <c r="H49" s="64"/>
      <c r="I49" s="64"/>
      <c r="J49" s="64"/>
      <c r="K49" s="64"/>
      <c r="L49" s="64"/>
      <c r="M49" s="64"/>
      <c r="N49" s="64"/>
      <c r="O49" s="64"/>
      <c r="P49" s="64"/>
      <c r="Q49" s="64"/>
      <c r="R49" s="64"/>
      <c r="S49" s="64"/>
      <c r="T49" s="64"/>
      <c r="U49" s="64"/>
      <c r="V49" s="64"/>
      <c r="W49" s="64"/>
      <c r="X49" s="64"/>
      <c r="Y49" s="64"/>
      <c r="Z49" s="64"/>
    </row>
    <row r="50">
      <c r="A50" s="64"/>
      <c r="B50" s="64"/>
      <c r="C50" s="64"/>
      <c r="D50" s="100"/>
      <c r="E50" s="64"/>
      <c r="F50" s="64"/>
      <c r="G50" s="64"/>
      <c r="H50" s="64"/>
      <c r="I50" s="64"/>
      <c r="J50" s="64"/>
      <c r="K50" s="64"/>
      <c r="L50" s="64"/>
      <c r="M50" s="64"/>
      <c r="N50" s="64"/>
      <c r="O50" s="64"/>
      <c r="P50" s="64"/>
      <c r="Q50" s="64"/>
      <c r="R50" s="64"/>
      <c r="S50" s="64"/>
      <c r="T50" s="64"/>
      <c r="U50" s="64"/>
      <c r="V50" s="64"/>
      <c r="W50" s="64"/>
      <c r="X50" s="64"/>
      <c r="Y50" s="64"/>
      <c r="Z50" s="64"/>
    </row>
    <row r="51">
      <c r="A51" s="64"/>
      <c r="B51" s="64"/>
      <c r="C51" s="64"/>
      <c r="D51" s="100"/>
      <c r="E51" s="64"/>
      <c r="F51" s="64"/>
      <c r="G51" s="64"/>
      <c r="H51" s="64"/>
      <c r="I51" s="64"/>
      <c r="J51" s="64"/>
      <c r="K51" s="64"/>
      <c r="L51" s="64"/>
      <c r="M51" s="64"/>
      <c r="N51" s="64"/>
      <c r="O51" s="64"/>
      <c r="P51" s="64"/>
      <c r="Q51" s="64"/>
      <c r="R51" s="64"/>
      <c r="S51" s="64"/>
      <c r="T51" s="64"/>
      <c r="U51" s="64"/>
      <c r="V51" s="64"/>
      <c r="W51" s="64"/>
      <c r="X51" s="64"/>
      <c r="Y51" s="64"/>
      <c r="Z51" s="64"/>
    </row>
    <row r="52">
      <c r="A52" s="64"/>
      <c r="B52" s="64"/>
      <c r="C52" s="64"/>
      <c r="D52" s="100"/>
      <c r="E52" s="64"/>
      <c r="F52" s="64"/>
      <c r="G52" s="64"/>
      <c r="H52" s="64"/>
      <c r="I52" s="64"/>
      <c r="J52" s="64"/>
      <c r="K52" s="64"/>
      <c r="L52" s="64"/>
      <c r="M52" s="64"/>
      <c r="N52" s="64"/>
      <c r="O52" s="64"/>
      <c r="P52" s="64"/>
      <c r="Q52" s="64"/>
      <c r="R52" s="64"/>
      <c r="S52" s="64"/>
      <c r="T52" s="64"/>
      <c r="U52" s="64"/>
      <c r="V52" s="64"/>
      <c r="W52" s="64"/>
      <c r="X52" s="64"/>
      <c r="Y52" s="64"/>
      <c r="Z52" s="64"/>
    </row>
    <row r="53">
      <c r="A53" s="64"/>
      <c r="B53" s="64"/>
      <c r="C53" s="64"/>
      <c r="D53" s="100"/>
      <c r="E53" s="64"/>
      <c r="F53" s="64"/>
      <c r="G53" s="64"/>
      <c r="H53" s="64"/>
      <c r="I53" s="64"/>
      <c r="J53" s="64"/>
      <c r="K53" s="64"/>
      <c r="L53" s="64"/>
      <c r="M53" s="64"/>
      <c r="N53" s="64"/>
      <c r="O53" s="64"/>
      <c r="P53" s="64"/>
      <c r="Q53" s="64"/>
      <c r="R53" s="64"/>
      <c r="S53" s="64"/>
      <c r="T53" s="64"/>
      <c r="U53" s="64"/>
      <c r="V53" s="64"/>
      <c r="W53" s="64"/>
      <c r="X53" s="64"/>
      <c r="Y53" s="64"/>
      <c r="Z53" s="64"/>
    </row>
    <row r="54">
      <c r="A54" s="64"/>
      <c r="B54" s="64"/>
      <c r="C54" s="64"/>
      <c r="D54" s="100"/>
      <c r="E54" s="64"/>
      <c r="F54" s="64"/>
      <c r="G54" s="64"/>
      <c r="H54" s="64"/>
      <c r="I54" s="64"/>
      <c r="J54" s="64"/>
      <c r="K54" s="64"/>
      <c r="L54" s="64"/>
      <c r="M54" s="64"/>
      <c r="N54" s="64"/>
      <c r="O54" s="64"/>
      <c r="P54" s="64"/>
      <c r="Q54" s="64"/>
      <c r="R54" s="64"/>
      <c r="S54" s="64"/>
      <c r="T54" s="64"/>
      <c r="U54" s="64"/>
      <c r="V54" s="64"/>
      <c r="W54" s="64"/>
      <c r="X54" s="64"/>
      <c r="Y54" s="64"/>
      <c r="Z54" s="64"/>
    </row>
    <row r="55">
      <c r="A55" s="64"/>
      <c r="B55" s="64"/>
      <c r="C55" s="64"/>
      <c r="D55" s="100"/>
      <c r="E55" s="64"/>
      <c r="F55" s="64"/>
      <c r="G55" s="64"/>
      <c r="H55" s="64"/>
      <c r="I55" s="64"/>
      <c r="J55" s="64"/>
      <c r="K55" s="64"/>
      <c r="L55" s="64"/>
      <c r="M55" s="64"/>
      <c r="N55" s="64"/>
      <c r="O55" s="64"/>
      <c r="P55" s="64"/>
      <c r="Q55" s="64"/>
      <c r="R55" s="64"/>
      <c r="S55" s="64"/>
      <c r="T55" s="64"/>
      <c r="U55" s="64"/>
      <c r="V55" s="64"/>
      <c r="W55" s="64"/>
      <c r="X55" s="64"/>
      <c r="Y55" s="64"/>
      <c r="Z55" s="64"/>
    </row>
    <row r="56">
      <c r="A56" s="64"/>
      <c r="B56" s="64"/>
      <c r="C56" s="64"/>
      <c r="D56" s="100"/>
      <c r="E56" s="64"/>
      <c r="F56" s="64"/>
      <c r="G56" s="64"/>
      <c r="H56" s="64"/>
      <c r="I56" s="64"/>
      <c r="J56" s="64"/>
      <c r="K56" s="64"/>
      <c r="L56" s="64"/>
      <c r="M56" s="64"/>
      <c r="N56" s="64"/>
      <c r="O56" s="64"/>
      <c r="P56" s="64"/>
      <c r="Q56" s="64"/>
      <c r="R56" s="64"/>
      <c r="S56" s="64"/>
      <c r="T56" s="64"/>
      <c r="U56" s="64"/>
      <c r="V56" s="64"/>
      <c r="W56" s="64"/>
      <c r="X56" s="64"/>
      <c r="Y56" s="64"/>
      <c r="Z56" s="64"/>
    </row>
    <row r="57">
      <c r="A57" s="64"/>
      <c r="B57" s="64"/>
      <c r="C57" s="64"/>
      <c r="D57" s="100"/>
      <c r="E57" s="64"/>
      <c r="F57" s="64"/>
      <c r="G57" s="64"/>
      <c r="H57" s="64"/>
      <c r="I57" s="64"/>
      <c r="J57" s="64"/>
      <c r="K57" s="64"/>
      <c r="L57" s="64"/>
      <c r="M57" s="64"/>
      <c r="N57" s="64"/>
      <c r="O57" s="64"/>
      <c r="P57" s="64"/>
      <c r="Q57" s="64"/>
      <c r="R57" s="64"/>
      <c r="S57" s="64"/>
      <c r="T57" s="64"/>
      <c r="U57" s="64"/>
      <c r="V57" s="64"/>
      <c r="W57" s="64"/>
      <c r="X57" s="64"/>
      <c r="Y57" s="64"/>
      <c r="Z57" s="64"/>
    </row>
    <row r="58">
      <c r="A58" s="64"/>
      <c r="B58" s="64"/>
      <c r="C58" s="64"/>
      <c r="D58" s="100"/>
      <c r="E58" s="64"/>
      <c r="F58" s="64"/>
      <c r="G58" s="64"/>
      <c r="H58" s="64"/>
      <c r="I58" s="64"/>
      <c r="J58" s="64"/>
      <c r="K58" s="64"/>
      <c r="L58" s="64"/>
      <c r="M58" s="64"/>
      <c r="N58" s="64"/>
      <c r="O58" s="64"/>
      <c r="P58" s="64"/>
      <c r="Q58" s="64"/>
      <c r="R58" s="64"/>
      <c r="S58" s="64"/>
      <c r="T58" s="64"/>
      <c r="U58" s="64"/>
      <c r="V58" s="64"/>
      <c r="W58" s="64"/>
      <c r="X58" s="64"/>
      <c r="Y58" s="64"/>
      <c r="Z58" s="64"/>
    </row>
    <row r="59">
      <c r="A59" s="64"/>
      <c r="B59" s="64"/>
      <c r="C59" s="64"/>
      <c r="D59" s="100"/>
      <c r="E59" s="64"/>
      <c r="F59" s="64"/>
      <c r="G59" s="64"/>
      <c r="H59" s="64"/>
      <c r="I59" s="64"/>
      <c r="J59" s="64"/>
      <c r="K59" s="64"/>
      <c r="L59" s="64"/>
      <c r="M59" s="64"/>
      <c r="N59" s="64"/>
      <c r="O59" s="64"/>
      <c r="P59" s="64"/>
      <c r="Q59" s="64"/>
      <c r="R59" s="64"/>
      <c r="S59" s="64"/>
      <c r="T59" s="64"/>
      <c r="U59" s="64"/>
      <c r="V59" s="64"/>
      <c r="W59" s="64"/>
      <c r="X59" s="64"/>
      <c r="Y59" s="64"/>
      <c r="Z59" s="64"/>
    </row>
    <row r="60">
      <c r="A60" s="64"/>
      <c r="B60" s="64"/>
      <c r="C60" s="64"/>
      <c r="D60" s="100"/>
      <c r="E60" s="64"/>
      <c r="F60" s="64"/>
      <c r="G60" s="64"/>
      <c r="H60" s="64"/>
      <c r="I60" s="64"/>
      <c r="J60" s="64"/>
      <c r="K60" s="64"/>
      <c r="L60" s="64"/>
      <c r="M60" s="64"/>
      <c r="N60" s="64"/>
      <c r="O60" s="64"/>
      <c r="P60" s="64"/>
      <c r="Q60" s="64"/>
      <c r="R60" s="64"/>
      <c r="S60" s="64"/>
      <c r="T60" s="64"/>
      <c r="U60" s="64"/>
      <c r="V60" s="64"/>
      <c r="W60" s="64"/>
      <c r="X60" s="64"/>
      <c r="Y60" s="64"/>
      <c r="Z60" s="64"/>
    </row>
    <row r="61">
      <c r="A61" s="64"/>
      <c r="B61" s="64"/>
      <c r="C61" s="64"/>
      <c r="D61" s="100"/>
      <c r="E61" s="64"/>
      <c r="F61" s="64"/>
      <c r="G61" s="64"/>
      <c r="H61" s="64"/>
      <c r="I61" s="64"/>
      <c r="J61" s="64"/>
      <c r="K61" s="64"/>
      <c r="L61" s="64"/>
      <c r="M61" s="64"/>
      <c r="N61" s="64"/>
      <c r="O61" s="64"/>
      <c r="P61" s="64"/>
      <c r="Q61" s="64"/>
      <c r="R61" s="64"/>
      <c r="S61" s="64"/>
      <c r="T61" s="64"/>
      <c r="U61" s="64"/>
      <c r="V61" s="64"/>
      <c r="W61" s="64"/>
      <c r="X61" s="64"/>
      <c r="Y61" s="64"/>
      <c r="Z61" s="64"/>
    </row>
    <row r="62">
      <c r="A62" s="64"/>
      <c r="B62" s="64"/>
      <c r="C62" s="64"/>
      <c r="D62" s="100"/>
      <c r="E62" s="64"/>
      <c r="F62" s="64"/>
      <c r="G62" s="64"/>
      <c r="H62" s="64"/>
      <c r="I62" s="64"/>
      <c r="J62" s="64"/>
      <c r="K62" s="64"/>
      <c r="L62" s="64"/>
      <c r="M62" s="64"/>
      <c r="N62" s="64"/>
      <c r="O62" s="64"/>
      <c r="P62" s="64"/>
      <c r="Q62" s="64"/>
      <c r="R62" s="64"/>
      <c r="S62" s="64"/>
      <c r="T62" s="64"/>
      <c r="U62" s="64"/>
      <c r="V62" s="64"/>
      <c r="W62" s="64"/>
      <c r="X62" s="64"/>
      <c r="Y62" s="64"/>
      <c r="Z62" s="64"/>
    </row>
    <row r="63">
      <c r="A63" s="64"/>
      <c r="B63" s="64"/>
      <c r="C63" s="64"/>
      <c r="D63" s="100"/>
      <c r="E63" s="64"/>
      <c r="F63" s="64"/>
      <c r="G63" s="64"/>
      <c r="H63" s="64"/>
      <c r="I63" s="64"/>
      <c r="J63" s="64"/>
      <c r="K63" s="64"/>
      <c r="L63" s="64"/>
      <c r="M63" s="64"/>
      <c r="N63" s="64"/>
      <c r="O63" s="64"/>
      <c r="P63" s="64"/>
      <c r="Q63" s="64"/>
      <c r="R63" s="64"/>
      <c r="S63" s="64"/>
      <c r="T63" s="64"/>
      <c r="U63" s="64"/>
      <c r="V63" s="64"/>
      <c r="W63" s="64"/>
      <c r="X63" s="64"/>
      <c r="Y63" s="64"/>
      <c r="Z63" s="64"/>
    </row>
    <row r="64">
      <c r="A64" s="64"/>
      <c r="B64" s="64"/>
      <c r="C64" s="64"/>
      <c r="D64" s="100"/>
      <c r="E64" s="64"/>
      <c r="F64" s="64"/>
      <c r="G64" s="64"/>
      <c r="H64" s="64"/>
      <c r="I64" s="64"/>
      <c r="J64" s="64"/>
      <c r="K64" s="64"/>
      <c r="L64" s="64"/>
      <c r="M64" s="64"/>
      <c r="N64" s="64"/>
      <c r="O64" s="64"/>
      <c r="P64" s="64"/>
      <c r="Q64" s="64"/>
      <c r="R64" s="64"/>
      <c r="S64" s="64"/>
      <c r="T64" s="64"/>
      <c r="U64" s="64"/>
      <c r="V64" s="64"/>
      <c r="W64" s="64"/>
      <c r="X64" s="64"/>
      <c r="Y64" s="64"/>
      <c r="Z64" s="64"/>
    </row>
    <row r="65">
      <c r="A65" s="64"/>
      <c r="B65" s="64"/>
      <c r="C65" s="64"/>
      <c r="D65" s="100"/>
      <c r="E65" s="64"/>
      <c r="F65" s="64"/>
      <c r="G65" s="64"/>
      <c r="H65" s="64"/>
      <c r="I65" s="64"/>
      <c r="J65" s="64"/>
      <c r="K65" s="64"/>
      <c r="L65" s="64"/>
      <c r="M65" s="64"/>
      <c r="N65" s="64"/>
      <c r="O65" s="64"/>
      <c r="P65" s="64"/>
      <c r="Q65" s="64"/>
      <c r="R65" s="64"/>
      <c r="S65" s="64"/>
      <c r="T65" s="64"/>
      <c r="U65" s="64"/>
      <c r="V65" s="64"/>
      <c r="W65" s="64"/>
      <c r="X65" s="64"/>
      <c r="Y65" s="64"/>
      <c r="Z65" s="64"/>
    </row>
    <row r="66">
      <c r="A66" s="64"/>
      <c r="B66" s="64"/>
      <c r="C66" s="64"/>
      <c r="D66" s="100"/>
      <c r="E66" s="64"/>
      <c r="F66" s="64"/>
      <c r="G66" s="64"/>
      <c r="H66" s="64"/>
      <c r="I66" s="64"/>
      <c r="J66" s="64"/>
      <c r="K66" s="64"/>
      <c r="L66" s="64"/>
      <c r="M66" s="64"/>
      <c r="N66" s="64"/>
      <c r="O66" s="64"/>
      <c r="P66" s="64"/>
      <c r="Q66" s="64"/>
      <c r="R66" s="64"/>
      <c r="S66" s="64"/>
      <c r="T66" s="64"/>
      <c r="U66" s="64"/>
      <c r="V66" s="64"/>
      <c r="W66" s="64"/>
      <c r="X66" s="64"/>
      <c r="Y66" s="64"/>
      <c r="Z66" s="64"/>
    </row>
    <row r="67">
      <c r="A67" s="64"/>
      <c r="B67" s="64"/>
      <c r="C67" s="64"/>
      <c r="D67" s="100"/>
      <c r="E67" s="64"/>
      <c r="F67" s="64"/>
      <c r="G67" s="64"/>
      <c r="H67" s="64"/>
      <c r="I67" s="64"/>
      <c r="J67" s="64"/>
      <c r="K67" s="64"/>
      <c r="L67" s="64"/>
      <c r="M67" s="64"/>
      <c r="N67" s="64"/>
      <c r="O67" s="64"/>
      <c r="P67" s="64"/>
      <c r="Q67" s="64"/>
      <c r="R67" s="64"/>
      <c r="S67" s="64"/>
      <c r="T67" s="64"/>
      <c r="U67" s="64"/>
      <c r="V67" s="64"/>
      <c r="W67" s="64"/>
      <c r="X67" s="64"/>
      <c r="Y67" s="64"/>
      <c r="Z67" s="64"/>
    </row>
    <row r="68">
      <c r="A68" s="64"/>
      <c r="B68" s="64"/>
      <c r="C68" s="64"/>
      <c r="D68" s="100"/>
      <c r="E68" s="64"/>
      <c r="F68" s="64"/>
      <c r="G68" s="64"/>
      <c r="H68" s="64"/>
      <c r="I68" s="64"/>
      <c r="J68" s="64"/>
      <c r="K68" s="64"/>
      <c r="L68" s="64"/>
      <c r="M68" s="64"/>
      <c r="N68" s="64"/>
      <c r="O68" s="64"/>
      <c r="P68" s="64"/>
      <c r="Q68" s="64"/>
      <c r="R68" s="64"/>
      <c r="S68" s="64"/>
      <c r="T68" s="64"/>
      <c r="U68" s="64"/>
      <c r="V68" s="64"/>
      <c r="W68" s="64"/>
      <c r="X68" s="64"/>
      <c r="Y68" s="64"/>
      <c r="Z68" s="64"/>
    </row>
    <row r="69">
      <c r="A69" s="64"/>
      <c r="B69" s="64"/>
      <c r="C69" s="64"/>
      <c r="D69" s="100"/>
      <c r="E69" s="64"/>
      <c r="F69" s="64"/>
      <c r="G69" s="64"/>
      <c r="H69" s="64"/>
      <c r="I69" s="64"/>
      <c r="J69" s="64"/>
      <c r="K69" s="64"/>
      <c r="L69" s="64"/>
      <c r="M69" s="64"/>
      <c r="N69" s="64"/>
      <c r="O69" s="64"/>
      <c r="P69" s="64"/>
      <c r="Q69" s="64"/>
      <c r="R69" s="64"/>
      <c r="S69" s="64"/>
      <c r="T69" s="64"/>
      <c r="U69" s="64"/>
      <c r="V69" s="64"/>
      <c r="W69" s="64"/>
      <c r="X69" s="64"/>
      <c r="Y69" s="64"/>
      <c r="Z69" s="64"/>
    </row>
    <row r="70">
      <c r="A70" s="64"/>
      <c r="B70" s="64"/>
      <c r="C70" s="64"/>
      <c r="D70" s="100"/>
      <c r="E70" s="64"/>
      <c r="F70" s="64"/>
      <c r="G70" s="64"/>
      <c r="H70" s="64"/>
      <c r="I70" s="64"/>
      <c r="J70" s="64"/>
      <c r="K70" s="64"/>
      <c r="L70" s="64"/>
      <c r="M70" s="64"/>
      <c r="N70" s="64"/>
      <c r="O70" s="64"/>
      <c r="P70" s="64"/>
      <c r="Q70" s="64"/>
      <c r="R70" s="64"/>
      <c r="S70" s="64"/>
      <c r="T70" s="64"/>
      <c r="U70" s="64"/>
      <c r="V70" s="64"/>
      <c r="W70" s="64"/>
      <c r="X70" s="64"/>
      <c r="Y70" s="64"/>
      <c r="Z70" s="64"/>
    </row>
    <row r="71">
      <c r="A71" s="64"/>
      <c r="B71" s="64"/>
      <c r="C71" s="64"/>
      <c r="D71" s="100"/>
      <c r="E71" s="64"/>
      <c r="F71" s="64"/>
      <c r="G71" s="64"/>
      <c r="H71" s="64"/>
      <c r="I71" s="64"/>
      <c r="J71" s="64"/>
      <c r="K71" s="64"/>
      <c r="L71" s="64"/>
      <c r="M71" s="64"/>
      <c r="N71" s="64"/>
      <c r="O71" s="64"/>
      <c r="P71" s="64"/>
      <c r="Q71" s="64"/>
      <c r="R71" s="64"/>
      <c r="S71" s="64"/>
      <c r="T71" s="64"/>
      <c r="U71" s="64"/>
      <c r="V71" s="64"/>
      <c r="W71" s="64"/>
      <c r="X71" s="64"/>
      <c r="Y71" s="64"/>
      <c r="Z71" s="64"/>
    </row>
    <row r="72">
      <c r="A72" s="64"/>
      <c r="B72" s="64"/>
      <c r="C72" s="64"/>
      <c r="D72" s="100"/>
      <c r="E72" s="64"/>
      <c r="F72" s="64"/>
      <c r="G72" s="64"/>
      <c r="H72" s="64"/>
      <c r="I72" s="64"/>
      <c r="J72" s="64"/>
      <c r="K72" s="64"/>
      <c r="L72" s="64"/>
      <c r="M72" s="64"/>
      <c r="N72" s="64"/>
      <c r="O72" s="64"/>
      <c r="P72" s="64"/>
      <c r="Q72" s="64"/>
      <c r="R72" s="64"/>
      <c r="S72" s="64"/>
      <c r="T72" s="64"/>
      <c r="U72" s="64"/>
      <c r="V72" s="64"/>
      <c r="W72" s="64"/>
      <c r="X72" s="64"/>
      <c r="Y72" s="64"/>
      <c r="Z72" s="64"/>
    </row>
    <row r="73">
      <c r="A73" s="64"/>
      <c r="B73" s="64"/>
      <c r="C73" s="64"/>
      <c r="D73" s="100"/>
      <c r="E73" s="64"/>
      <c r="F73" s="64"/>
      <c r="G73" s="64"/>
      <c r="H73" s="64"/>
      <c r="I73" s="64"/>
      <c r="J73" s="64"/>
      <c r="K73" s="64"/>
      <c r="L73" s="64"/>
      <c r="M73" s="64"/>
      <c r="N73" s="64"/>
      <c r="O73" s="64"/>
      <c r="P73" s="64"/>
      <c r="Q73" s="64"/>
      <c r="R73" s="64"/>
      <c r="S73" s="64"/>
      <c r="T73" s="64"/>
      <c r="U73" s="64"/>
      <c r="V73" s="64"/>
      <c r="W73" s="64"/>
      <c r="X73" s="64"/>
      <c r="Y73" s="64"/>
      <c r="Z73" s="64"/>
    </row>
    <row r="74">
      <c r="A74" s="64"/>
      <c r="B74" s="64"/>
      <c r="C74" s="64"/>
      <c r="D74" s="100"/>
      <c r="E74" s="64"/>
      <c r="F74" s="64"/>
      <c r="G74" s="64"/>
      <c r="H74" s="64"/>
      <c r="I74" s="64"/>
      <c r="J74" s="64"/>
      <c r="K74" s="64"/>
      <c r="L74" s="64"/>
      <c r="M74" s="64"/>
      <c r="N74" s="64"/>
      <c r="O74" s="64"/>
      <c r="P74" s="64"/>
      <c r="Q74" s="64"/>
      <c r="R74" s="64"/>
      <c r="S74" s="64"/>
      <c r="T74" s="64"/>
      <c r="U74" s="64"/>
      <c r="V74" s="64"/>
      <c r="W74" s="64"/>
      <c r="X74" s="64"/>
      <c r="Y74" s="64"/>
      <c r="Z74" s="64"/>
    </row>
    <row r="75">
      <c r="A75" s="64"/>
      <c r="B75" s="64"/>
      <c r="C75" s="64"/>
      <c r="D75" s="100"/>
      <c r="E75" s="64"/>
      <c r="F75" s="64"/>
      <c r="G75" s="64"/>
      <c r="H75" s="64"/>
      <c r="I75" s="64"/>
      <c r="J75" s="64"/>
      <c r="K75" s="64"/>
      <c r="L75" s="64"/>
      <c r="M75" s="64"/>
      <c r="N75" s="64"/>
      <c r="O75" s="64"/>
      <c r="P75" s="64"/>
      <c r="Q75" s="64"/>
      <c r="R75" s="64"/>
      <c r="S75" s="64"/>
      <c r="T75" s="64"/>
      <c r="U75" s="64"/>
      <c r="V75" s="64"/>
      <c r="W75" s="64"/>
      <c r="X75" s="64"/>
      <c r="Y75" s="64"/>
      <c r="Z75" s="64"/>
    </row>
    <row r="76">
      <c r="A76" s="64"/>
      <c r="B76" s="64"/>
      <c r="C76" s="64"/>
      <c r="D76" s="100"/>
      <c r="E76" s="64"/>
      <c r="F76" s="64"/>
      <c r="G76" s="64"/>
      <c r="H76" s="64"/>
      <c r="I76" s="64"/>
      <c r="J76" s="64"/>
      <c r="K76" s="64"/>
      <c r="L76" s="64"/>
      <c r="M76" s="64"/>
      <c r="N76" s="64"/>
      <c r="O76" s="64"/>
      <c r="P76" s="64"/>
      <c r="Q76" s="64"/>
      <c r="R76" s="64"/>
      <c r="S76" s="64"/>
      <c r="T76" s="64"/>
      <c r="U76" s="64"/>
      <c r="V76" s="64"/>
      <c r="W76" s="64"/>
      <c r="X76" s="64"/>
      <c r="Y76" s="64"/>
      <c r="Z76" s="64"/>
    </row>
    <row r="77">
      <c r="A77" s="64"/>
      <c r="B77" s="64"/>
      <c r="C77" s="64"/>
      <c r="D77" s="100"/>
      <c r="E77" s="64"/>
      <c r="F77" s="64"/>
      <c r="G77" s="64"/>
      <c r="H77" s="64"/>
      <c r="I77" s="64"/>
      <c r="J77" s="64"/>
      <c r="K77" s="64"/>
      <c r="L77" s="64"/>
      <c r="M77" s="64"/>
      <c r="N77" s="64"/>
      <c r="O77" s="64"/>
      <c r="P77" s="64"/>
      <c r="Q77" s="64"/>
      <c r="R77" s="64"/>
      <c r="S77" s="64"/>
      <c r="T77" s="64"/>
      <c r="U77" s="64"/>
      <c r="V77" s="64"/>
      <c r="W77" s="64"/>
      <c r="X77" s="64"/>
      <c r="Y77" s="64"/>
      <c r="Z77" s="64"/>
    </row>
    <row r="78">
      <c r="A78" s="64"/>
      <c r="B78" s="64"/>
      <c r="C78" s="64"/>
      <c r="D78" s="100"/>
      <c r="E78" s="64"/>
      <c r="F78" s="64"/>
      <c r="G78" s="64"/>
      <c r="H78" s="64"/>
      <c r="I78" s="64"/>
      <c r="J78" s="64"/>
      <c r="K78" s="64"/>
      <c r="L78" s="64"/>
      <c r="M78" s="64"/>
      <c r="N78" s="64"/>
      <c r="O78" s="64"/>
      <c r="P78" s="64"/>
      <c r="Q78" s="64"/>
      <c r="R78" s="64"/>
      <c r="S78" s="64"/>
      <c r="T78" s="64"/>
      <c r="U78" s="64"/>
      <c r="V78" s="64"/>
      <c r="W78" s="64"/>
      <c r="X78" s="64"/>
      <c r="Y78" s="64"/>
      <c r="Z78" s="64"/>
    </row>
    <row r="79">
      <c r="A79" s="64"/>
      <c r="B79" s="64"/>
      <c r="C79" s="64"/>
      <c r="D79" s="100"/>
      <c r="E79" s="64"/>
      <c r="F79" s="64"/>
      <c r="G79" s="64"/>
      <c r="H79" s="64"/>
      <c r="I79" s="64"/>
      <c r="J79" s="64"/>
      <c r="K79" s="64"/>
      <c r="L79" s="64"/>
      <c r="M79" s="64"/>
      <c r="N79" s="64"/>
      <c r="O79" s="64"/>
      <c r="P79" s="64"/>
      <c r="Q79" s="64"/>
      <c r="R79" s="64"/>
      <c r="S79" s="64"/>
      <c r="T79" s="64"/>
      <c r="U79" s="64"/>
      <c r="V79" s="64"/>
      <c r="W79" s="64"/>
      <c r="X79" s="64"/>
      <c r="Y79" s="64"/>
      <c r="Z79" s="64"/>
    </row>
    <row r="80">
      <c r="A80" s="64"/>
      <c r="B80" s="64"/>
      <c r="C80" s="64"/>
      <c r="D80" s="100"/>
      <c r="E80" s="64"/>
      <c r="F80" s="64"/>
      <c r="G80" s="64"/>
      <c r="H80" s="64"/>
      <c r="I80" s="64"/>
      <c r="J80" s="64"/>
      <c r="K80" s="64"/>
      <c r="L80" s="64"/>
      <c r="M80" s="64"/>
      <c r="N80" s="64"/>
      <c r="O80" s="64"/>
      <c r="P80" s="64"/>
      <c r="Q80" s="64"/>
      <c r="R80" s="64"/>
      <c r="S80" s="64"/>
      <c r="T80" s="64"/>
      <c r="U80" s="64"/>
      <c r="V80" s="64"/>
      <c r="W80" s="64"/>
      <c r="X80" s="64"/>
      <c r="Y80" s="64"/>
      <c r="Z80" s="64"/>
    </row>
    <row r="81">
      <c r="A81" s="64"/>
      <c r="B81" s="64"/>
      <c r="C81" s="64"/>
      <c r="D81" s="100"/>
      <c r="E81" s="64"/>
      <c r="F81" s="64"/>
      <c r="G81" s="64"/>
      <c r="H81" s="64"/>
      <c r="I81" s="64"/>
      <c r="J81" s="64"/>
      <c r="K81" s="64"/>
      <c r="L81" s="64"/>
      <c r="M81" s="64"/>
      <c r="N81" s="64"/>
      <c r="O81" s="64"/>
      <c r="P81" s="64"/>
      <c r="Q81" s="64"/>
      <c r="R81" s="64"/>
      <c r="S81" s="64"/>
      <c r="T81" s="64"/>
      <c r="U81" s="64"/>
      <c r="V81" s="64"/>
      <c r="W81" s="64"/>
      <c r="X81" s="64"/>
      <c r="Y81" s="64"/>
      <c r="Z81" s="64"/>
    </row>
    <row r="82">
      <c r="A82" s="64"/>
      <c r="B82" s="64"/>
      <c r="C82" s="64"/>
      <c r="D82" s="100"/>
      <c r="E82" s="64"/>
      <c r="F82" s="64"/>
      <c r="G82" s="64"/>
      <c r="H82" s="64"/>
      <c r="I82" s="64"/>
      <c r="J82" s="64"/>
      <c r="K82" s="64"/>
      <c r="L82" s="64"/>
      <c r="M82" s="64"/>
      <c r="N82" s="64"/>
      <c r="O82" s="64"/>
      <c r="P82" s="64"/>
      <c r="Q82" s="64"/>
      <c r="R82" s="64"/>
      <c r="S82" s="64"/>
      <c r="T82" s="64"/>
      <c r="U82" s="64"/>
      <c r="V82" s="64"/>
      <c r="W82" s="64"/>
      <c r="X82" s="64"/>
      <c r="Y82" s="64"/>
      <c r="Z82" s="64"/>
    </row>
    <row r="83">
      <c r="A83" s="64"/>
      <c r="B83" s="64"/>
      <c r="C83" s="64"/>
      <c r="D83" s="100"/>
      <c r="E83" s="64"/>
      <c r="F83" s="64"/>
      <c r="G83" s="64"/>
      <c r="H83" s="64"/>
      <c r="I83" s="64"/>
      <c r="J83" s="64"/>
      <c r="K83" s="64"/>
      <c r="L83" s="64"/>
      <c r="M83" s="64"/>
      <c r="N83" s="64"/>
      <c r="O83" s="64"/>
      <c r="P83" s="64"/>
      <c r="Q83" s="64"/>
      <c r="R83" s="64"/>
      <c r="S83" s="64"/>
      <c r="T83" s="64"/>
      <c r="U83" s="64"/>
      <c r="V83" s="64"/>
      <c r="W83" s="64"/>
      <c r="X83" s="64"/>
      <c r="Y83" s="64"/>
      <c r="Z83" s="64"/>
    </row>
    <row r="84">
      <c r="A84" s="64"/>
      <c r="B84" s="64"/>
      <c r="C84" s="64"/>
      <c r="D84" s="100"/>
      <c r="E84" s="64"/>
      <c r="F84" s="64"/>
      <c r="G84" s="64"/>
      <c r="H84" s="64"/>
      <c r="I84" s="64"/>
      <c r="J84" s="64"/>
      <c r="K84" s="64"/>
      <c r="L84" s="64"/>
      <c r="M84" s="64"/>
      <c r="N84" s="64"/>
      <c r="O84" s="64"/>
      <c r="P84" s="64"/>
      <c r="Q84" s="64"/>
      <c r="R84" s="64"/>
      <c r="S84" s="64"/>
      <c r="T84" s="64"/>
      <c r="U84" s="64"/>
      <c r="V84" s="64"/>
      <c r="W84" s="64"/>
      <c r="X84" s="64"/>
      <c r="Y84" s="64"/>
      <c r="Z84" s="64"/>
    </row>
    <row r="85">
      <c r="A85" s="64"/>
      <c r="B85" s="64"/>
      <c r="C85" s="64"/>
      <c r="D85" s="100"/>
      <c r="E85" s="64"/>
      <c r="F85" s="64"/>
      <c r="G85" s="64"/>
      <c r="H85" s="64"/>
      <c r="I85" s="64"/>
      <c r="J85" s="64"/>
      <c r="K85" s="64"/>
      <c r="L85" s="64"/>
      <c r="M85" s="64"/>
      <c r="N85" s="64"/>
      <c r="O85" s="64"/>
      <c r="P85" s="64"/>
      <c r="Q85" s="64"/>
      <c r="R85" s="64"/>
      <c r="S85" s="64"/>
      <c r="T85" s="64"/>
      <c r="U85" s="64"/>
      <c r="V85" s="64"/>
      <c r="W85" s="64"/>
      <c r="X85" s="64"/>
      <c r="Y85" s="64"/>
      <c r="Z85" s="64"/>
    </row>
    <row r="86">
      <c r="A86" s="64"/>
      <c r="B86" s="64"/>
      <c r="C86" s="64"/>
      <c r="D86" s="100"/>
      <c r="E86" s="64"/>
      <c r="F86" s="64"/>
      <c r="G86" s="64"/>
      <c r="H86" s="64"/>
      <c r="I86" s="64"/>
      <c r="J86" s="64"/>
      <c r="K86" s="64"/>
      <c r="L86" s="64"/>
      <c r="M86" s="64"/>
      <c r="N86" s="64"/>
      <c r="O86" s="64"/>
      <c r="P86" s="64"/>
      <c r="Q86" s="64"/>
      <c r="R86" s="64"/>
      <c r="S86" s="64"/>
      <c r="T86" s="64"/>
      <c r="U86" s="64"/>
      <c r="V86" s="64"/>
      <c r="W86" s="64"/>
      <c r="X86" s="64"/>
      <c r="Y86" s="64"/>
      <c r="Z86" s="64"/>
    </row>
    <row r="87">
      <c r="A87" s="64"/>
      <c r="B87" s="64"/>
      <c r="C87" s="64"/>
      <c r="D87" s="100"/>
      <c r="E87" s="64"/>
      <c r="F87" s="64"/>
      <c r="G87" s="64"/>
      <c r="H87" s="64"/>
      <c r="I87" s="64"/>
      <c r="J87" s="64"/>
      <c r="K87" s="64"/>
      <c r="L87" s="64"/>
      <c r="M87" s="64"/>
      <c r="N87" s="64"/>
      <c r="O87" s="64"/>
      <c r="P87" s="64"/>
      <c r="Q87" s="64"/>
      <c r="R87" s="64"/>
      <c r="S87" s="64"/>
      <c r="T87" s="64"/>
      <c r="U87" s="64"/>
      <c r="V87" s="64"/>
      <c r="W87" s="64"/>
      <c r="X87" s="64"/>
      <c r="Y87" s="64"/>
      <c r="Z87" s="64"/>
    </row>
    <row r="88">
      <c r="A88" s="64"/>
      <c r="B88" s="64"/>
      <c r="C88" s="64"/>
      <c r="D88" s="100"/>
      <c r="E88" s="64"/>
      <c r="F88" s="64"/>
      <c r="G88" s="64"/>
      <c r="H88" s="64"/>
      <c r="I88" s="64"/>
      <c r="J88" s="64"/>
      <c r="K88" s="64"/>
      <c r="L88" s="64"/>
      <c r="M88" s="64"/>
      <c r="N88" s="64"/>
      <c r="O88" s="64"/>
      <c r="P88" s="64"/>
      <c r="Q88" s="64"/>
      <c r="R88" s="64"/>
      <c r="S88" s="64"/>
      <c r="T88" s="64"/>
      <c r="U88" s="64"/>
      <c r="V88" s="64"/>
      <c r="W88" s="64"/>
      <c r="X88" s="64"/>
      <c r="Y88" s="64"/>
      <c r="Z88" s="64"/>
    </row>
    <row r="89">
      <c r="A89" s="64"/>
      <c r="B89" s="64"/>
      <c r="C89" s="64"/>
      <c r="D89" s="100"/>
      <c r="E89" s="64"/>
      <c r="F89" s="64"/>
      <c r="G89" s="64"/>
      <c r="H89" s="64"/>
      <c r="I89" s="64"/>
      <c r="J89" s="64"/>
      <c r="K89" s="64"/>
      <c r="L89" s="64"/>
      <c r="M89" s="64"/>
      <c r="N89" s="64"/>
      <c r="O89" s="64"/>
      <c r="P89" s="64"/>
      <c r="Q89" s="64"/>
      <c r="R89" s="64"/>
      <c r="S89" s="64"/>
      <c r="T89" s="64"/>
      <c r="U89" s="64"/>
      <c r="V89" s="64"/>
      <c r="W89" s="64"/>
      <c r="X89" s="64"/>
      <c r="Y89" s="64"/>
      <c r="Z89" s="64"/>
    </row>
    <row r="90">
      <c r="A90" s="64"/>
      <c r="B90" s="64"/>
      <c r="C90" s="64"/>
      <c r="D90" s="100"/>
      <c r="E90" s="64"/>
      <c r="F90" s="64"/>
      <c r="G90" s="64"/>
      <c r="H90" s="64"/>
      <c r="I90" s="64"/>
      <c r="J90" s="64"/>
      <c r="K90" s="64"/>
      <c r="L90" s="64"/>
      <c r="M90" s="64"/>
      <c r="N90" s="64"/>
      <c r="O90" s="64"/>
      <c r="P90" s="64"/>
      <c r="Q90" s="64"/>
      <c r="R90" s="64"/>
      <c r="S90" s="64"/>
      <c r="T90" s="64"/>
      <c r="U90" s="64"/>
      <c r="V90" s="64"/>
      <c r="W90" s="64"/>
      <c r="X90" s="64"/>
      <c r="Y90" s="64"/>
      <c r="Z90" s="64"/>
    </row>
    <row r="91">
      <c r="A91" s="64"/>
      <c r="B91" s="64"/>
      <c r="C91" s="64"/>
      <c r="D91" s="100"/>
      <c r="E91" s="64"/>
      <c r="F91" s="64"/>
      <c r="G91" s="64"/>
      <c r="H91" s="64"/>
      <c r="I91" s="64"/>
      <c r="J91" s="64"/>
      <c r="K91" s="64"/>
      <c r="L91" s="64"/>
      <c r="M91" s="64"/>
      <c r="N91" s="64"/>
      <c r="O91" s="64"/>
      <c r="P91" s="64"/>
      <c r="Q91" s="64"/>
      <c r="R91" s="64"/>
      <c r="S91" s="64"/>
      <c r="T91" s="64"/>
      <c r="U91" s="64"/>
      <c r="V91" s="64"/>
      <c r="W91" s="64"/>
      <c r="X91" s="64"/>
      <c r="Y91" s="64"/>
      <c r="Z91" s="64"/>
    </row>
    <row r="92">
      <c r="A92" s="64"/>
      <c r="B92" s="64"/>
      <c r="C92" s="64"/>
      <c r="D92" s="100"/>
      <c r="E92" s="64"/>
      <c r="F92" s="64"/>
      <c r="G92" s="64"/>
      <c r="H92" s="64"/>
      <c r="I92" s="64"/>
      <c r="J92" s="64"/>
      <c r="K92" s="64"/>
      <c r="L92" s="64"/>
      <c r="M92" s="64"/>
      <c r="N92" s="64"/>
      <c r="O92" s="64"/>
      <c r="P92" s="64"/>
      <c r="Q92" s="64"/>
      <c r="R92" s="64"/>
      <c r="S92" s="64"/>
      <c r="T92" s="64"/>
      <c r="U92" s="64"/>
      <c r="V92" s="64"/>
      <c r="W92" s="64"/>
      <c r="X92" s="64"/>
      <c r="Y92" s="64"/>
      <c r="Z92" s="64"/>
    </row>
    <row r="93">
      <c r="A93" s="64"/>
      <c r="B93" s="64"/>
      <c r="C93" s="64"/>
      <c r="D93" s="100"/>
      <c r="E93" s="64"/>
      <c r="F93" s="64"/>
      <c r="G93" s="64"/>
      <c r="H93" s="64"/>
      <c r="I93" s="64"/>
      <c r="J93" s="64"/>
      <c r="K93" s="64"/>
      <c r="L93" s="64"/>
      <c r="M93" s="64"/>
      <c r="N93" s="64"/>
      <c r="O93" s="64"/>
      <c r="P93" s="64"/>
      <c r="Q93" s="64"/>
      <c r="R93" s="64"/>
      <c r="S93" s="64"/>
      <c r="T93" s="64"/>
      <c r="U93" s="64"/>
      <c r="V93" s="64"/>
      <c r="W93" s="64"/>
      <c r="X93" s="64"/>
      <c r="Y93" s="64"/>
      <c r="Z93" s="64"/>
    </row>
    <row r="94">
      <c r="A94" s="64"/>
      <c r="B94" s="64"/>
      <c r="C94" s="64"/>
      <c r="D94" s="100"/>
      <c r="E94" s="64"/>
      <c r="F94" s="64"/>
      <c r="G94" s="64"/>
      <c r="H94" s="64"/>
      <c r="I94" s="64"/>
      <c r="J94" s="64"/>
      <c r="K94" s="64"/>
      <c r="L94" s="64"/>
      <c r="M94" s="64"/>
      <c r="N94" s="64"/>
      <c r="O94" s="64"/>
      <c r="P94" s="64"/>
      <c r="Q94" s="64"/>
      <c r="R94" s="64"/>
      <c r="S94" s="64"/>
      <c r="T94" s="64"/>
      <c r="U94" s="64"/>
      <c r="V94" s="64"/>
      <c r="W94" s="64"/>
      <c r="X94" s="64"/>
      <c r="Y94" s="64"/>
      <c r="Z94" s="64"/>
    </row>
    <row r="95">
      <c r="A95" s="64"/>
      <c r="B95" s="64"/>
      <c r="C95" s="64"/>
      <c r="D95" s="100"/>
      <c r="E95" s="64"/>
      <c r="F95" s="64"/>
      <c r="G95" s="64"/>
      <c r="H95" s="64"/>
      <c r="I95" s="64"/>
      <c r="J95" s="64"/>
      <c r="K95" s="64"/>
      <c r="L95" s="64"/>
      <c r="M95" s="64"/>
      <c r="N95" s="64"/>
      <c r="O95" s="64"/>
      <c r="P95" s="64"/>
      <c r="Q95" s="64"/>
      <c r="R95" s="64"/>
      <c r="S95" s="64"/>
      <c r="T95" s="64"/>
      <c r="U95" s="64"/>
      <c r="V95" s="64"/>
      <c r="W95" s="64"/>
      <c r="X95" s="64"/>
      <c r="Y95" s="64"/>
      <c r="Z95" s="64"/>
    </row>
    <row r="96">
      <c r="A96" s="64"/>
      <c r="B96" s="64"/>
      <c r="C96" s="64"/>
      <c r="D96" s="100"/>
      <c r="E96" s="64"/>
      <c r="F96" s="64"/>
      <c r="G96" s="64"/>
      <c r="H96" s="64"/>
      <c r="I96" s="64"/>
      <c r="J96" s="64"/>
      <c r="K96" s="64"/>
      <c r="L96" s="64"/>
      <c r="M96" s="64"/>
      <c r="N96" s="64"/>
      <c r="O96" s="64"/>
      <c r="P96" s="64"/>
      <c r="Q96" s="64"/>
      <c r="R96" s="64"/>
      <c r="S96" s="64"/>
      <c r="T96" s="64"/>
      <c r="U96" s="64"/>
      <c r="V96" s="64"/>
      <c r="W96" s="64"/>
      <c r="X96" s="64"/>
      <c r="Y96" s="64"/>
      <c r="Z96" s="64"/>
    </row>
    <row r="97">
      <c r="A97" s="64"/>
      <c r="B97" s="64"/>
      <c r="C97" s="64"/>
      <c r="D97" s="100"/>
      <c r="E97" s="64"/>
      <c r="F97" s="64"/>
      <c r="G97" s="64"/>
      <c r="H97" s="64"/>
      <c r="I97" s="64"/>
      <c r="J97" s="64"/>
      <c r="K97" s="64"/>
      <c r="L97" s="64"/>
      <c r="M97" s="64"/>
      <c r="N97" s="64"/>
      <c r="O97" s="64"/>
      <c r="P97" s="64"/>
      <c r="Q97" s="64"/>
      <c r="R97" s="64"/>
      <c r="S97" s="64"/>
      <c r="T97" s="64"/>
      <c r="U97" s="64"/>
      <c r="V97" s="64"/>
      <c r="W97" s="64"/>
      <c r="X97" s="64"/>
      <c r="Y97" s="64"/>
      <c r="Z97" s="64"/>
    </row>
    <row r="98">
      <c r="A98" s="64"/>
      <c r="B98" s="64"/>
      <c r="C98" s="64"/>
      <c r="D98" s="100"/>
      <c r="E98" s="64"/>
      <c r="F98" s="64"/>
      <c r="G98" s="64"/>
      <c r="H98" s="64"/>
      <c r="I98" s="64"/>
      <c r="J98" s="64"/>
      <c r="K98" s="64"/>
      <c r="L98" s="64"/>
      <c r="M98" s="64"/>
      <c r="N98" s="64"/>
      <c r="O98" s="64"/>
      <c r="P98" s="64"/>
      <c r="Q98" s="64"/>
      <c r="R98" s="64"/>
      <c r="S98" s="64"/>
      <c r="T98" s="64"/>
      <c r="U98" s="64"/>
      <c r="V98" s="64"/>
      <c r="W98" s="64"/>
      <c r="X98" s="64"/>
      <c r="Y98" s="64"/>
      <c r="Z98" s="64"/>
    </row>
    <row r="99">
      <c r="A99" s="64"/>
      <c r="B99" s="64"/>
      <c r="C99" s="64"/>
      <c r="D99" s="100"/>
      <c r="E99" s="64"/>
      <c r="F99" s="64"/>
      <c r="G99" s="64"/>
      <c r="H99" s="64"/>
      <c r="I99" s="64"/>
      <c r="J99" s="64"/>
      <c r="K99" s="64"/>
      <c r="L99" s="64"/>
      <c r="M99" s="64"/>
      <c r="N99" s="64"/>
      <c r="O99" s="64"/>
      <c r="P99" s="64"/>
      <c r="Q99" s="64"/>
      <c r="R99" s="64"/>
      <c r="S99" s="64"/>
      <c r="T99" s="64"/>
      <c r="U99" s="64"/>
      <c r="V99" s="64"/>
      <c r="W99" s="64"/>
      <c r="X99" s="64"/>
      <c r="Y99" s="64"/>
      <c r="Z99" s="64"/>
    </row>
    <row r="100">
      <c r="A100" s="64"/>
      <c r="B100" s="64"/>
      <c r="C100" s="64"/>
      <c r="D100" s="100"/>
      <c r="E100" s="64"/>
      <c r="F100" s="64"/>
      <c r="G100" s="64"/>
      <c r="H100" s="64"/>
      <c r="I100" s="64"/>
      <c r="J100" s="64"/>
      <c r="K100" s="64"/>
      <c r="L100" s="64"/>
      <c r="M100" s="64"/>
      <c r="N100" s="64"/>
      <c r="O100" s="64"/>
      <c r="P100" s="64"/>
      <c r="Q100" s="64"/>
      <c r="R100" s="64"/>
      <c r="S100" s="64"/>
      <c r="T100" s="64"/>
      <c r="U100" s="64"/>
      <c r="V100" s="64"/>
      <c r="W100" s="64"/>
      <c r="X100" s="64"/>
      <c r="Y100" s="64"/>
      <c r="Z100" s="64"/>
    </row>
    <row r="101">
      <c r="A101" s="64"/>
      <c r="B101" s="64"/>
      <c r="C101" s="64"/>
      <c r="D101" s="100"/>
      <c r="E101" s="64"/>
      <c r="F101" s="64"/>
      <c r="G101" s="64"/>
      <c r="H101" s="64"/>
      <c r="I101" s="64"/>
      <c r="J101" s="64"/>
      <c r="K101" s="64"/>
      <c r="L101" s="64"/>
      <c r="M101" s="64"/>
      <c r="N101" s="64"/>
      <c r="O101" s="64"/>
      <c r="P101" s="64"/>
      <c r="Q101" s="64"/>
      <c r="R101" s="64"/>
      <c r="S101" s="64"/>
      <c r="T101" s="64"/>
      <c r="U101" s="64"/>
      <c r="V101" s="64"/>
      <c r="W101" s="64"/>
      <c r="X101" s="64"/>
      <c r="Y101" s="64"/>
      <c r="Z101" s="64"/>
    </row>
    <row r="102">
      <c r="A102" s="64"/>
      <c r="B102" s="64"/>
      <c r="C102" s="64"/>
      <c r="D102" s="100"/>
      <c r="E102" s="64"/>
      <c r="F102" s="64"/>
      <c r="G102" s="64"/>
      <c r="H102" s="64"/>
      <c r="I102" s="64"/>
      <c r="J102" s="64"/>
      <c r="K102" s="64"/>
      <c r="L102" s="64"/>
      <c r="M102" s="64"/>
      <c r="N102" s="64"/>
      <c r="O102" s="64"/>
      <c r="P102" s="64"/>
      <c r="Q102" s="64"/>
      <c r="R102" s="64"/>
      <c r="S102" s="64"/>
      <c r="T102" s="64"/>
      <c r="U102" s="64"/>
      <c r="V102" s="64"/>
      <c r="W102" s="64"/>
      <c r="X102" s="64"/>
      <c r="Y102" s="64"/>
      <c r="Z102" s="64"/>
    </row>
    <row r="103">
      <c r="A103" s="64"/>
      <c r="B103" s="64"/>
      <c r="C103" s="64"/>
      <c r="D103" s="100"/>
      <c r="E103" s="64"/>
      <c r="F103" s="64"/>
      <c r="G103" s="64"/>
      <c r="H103" s="64"/>
      <c r="I103" s="64"/>
      <c r="J103" s="64"/>
      <c r="K103" s="64"/>
      <c r="L103" s="64"/>
      <c r="M103" s="64"/>
      <c r="N103" s="64"/>
      <c r="O103" s="64"/>
      <c r="P103" s="64"/>
      <c r="Q103" s="64"/>
      <c r="R103" s="64"/>
      <c r="S103" s="64"/>
      <c r="T103" s="64"/>
      <c r="U103" s="64"/>
      <c r="V103" s="64"/>
      <c r="W103" s="64"/>
      <c r="X103" s="64"/>
      <c r="Y103" s="64"/>
      <c r="Z103" s="64"/>
    </row>
    <row r="104">
      <c r="A104" s="64"/>
      <c r="B104" s="64"/>
      <c r="C104" s="64"/>
      <c r="D104" s="100"/>
      <c r="E104" s="64"/>
      <c r="F104" s="64"/>
      <c r="G104" s="64"/>
      <c r="H104" s="64"/>
      <c r="I104" s="64"/>
      <c r="J104" s="64"/>
      <c r="K104" s="64"/>
      <c r="L104" s="64"/>
      <c r="M104" s="64"/>
      <c r="N104" s="64"/>
      <c r="O104" s="64"/>
      <c r="P104" s="64"/>
      <c r="Q104" s="64"/>
      <c r="R104" s="64"/>
      <c r="S104" s="64"/>
      <c r="T104" s="64"/>
      <c r="U104" s="64"/>
      <c r="V104" s="64"/>
      <c r="W104" s="64"/>
      <c r="X104" s="64"/>
      <c r="Y104" s="64"/>
      <c r="Z104" s="64"/>
    </row>
    <row r="105">
      <c r="A105" s="64"/>
      <c r="B105" s="64"/>
      <c r="C105" s="64"/>
      <c r="D105" s="100"/>
      <c r="E105" s="64"/>
      <c r="F105" s="64"/>
      <c r="G105" s="64"/>
      <c r="H105" s="64"/>
      <c r="I105" s="64"/>
      <c r="J105" s="64"/>
      <c r="K105" s="64"/>
      <c r="L105" s="64"/>
      <c r="M105" s="64"/>
      <c r="N105" s="64"/>
      <c r="O105" s="64"/>
      <c r="P105" s="64"/>
      <c r="Q105" s="64"/>
      <c r="R105" s="64"/>
      <c r="S105" s="64"/>
      <c r="T105" s="64"/>
      <c r="U105" s="64"/>
      <c r="V105" s="64"/>
      <c r="W105" s="64"/>
      <c r="X105" s="64"/>
      <c r="Y105" s="64"/>
      <c r="Z105" s="64"/>
    </row>
    <row r="106">
      <c r="A106" s="64"/>
      <c r="B106" s="64"/>
      <c r="C106" s="64"/>
      <c r="D106" s="100"/>
      <c r="E106" s="64"/>
      <c r="F106" s="64"/>
      <c r="G106" s="64"/>
      <c r="H106" s="64"/>
      <c r="I106" s="64"/>
      <c r="J106" s="64"/>
      <c r="K106" s="64"/>
      <c r="L106" s="64"/>
      <c r="M106" s="64"/>
      <c r="N106" s="64"/>
      <c r="O106" s="64"/>
      <c r="P106" s="64"/>
      <c r="Q106" s="64"/>
      <c r="R106" s="64"/>
      <c r="S106" s="64"/>
      <c r="T106" s="64"/>
      <c r="U106" s="64"/>
      <c r="V106" s="64"/>
      <c r="W106" s="64"/>
      <c r="X106" s="64"/>
      <c r="Y106" s="64"/>
      <c r="Z106" s="64"/>
    </row>
    <row r="107">
      <c r="A107" s="64"/>
      <c r="B107" s="64"/>
      <c r="C107" s="64"/>
      <c r="D107" s="100"/>
      <c r="E107" s="64"/>
      <c r="F107" s="64"/>
      <c r="G107" s="64"/>
      <c r="H107" s="64"/>
      <c r="I107" s="64"/>
      <c r="J107" s="64"/>
      <c r="K107" s="64"/>
      <c r="L107" s="64"/>
      <c r="M107" s="64"/>
      <c r="N107" s="64"/>
      <c r="O107" s="64"/>
      <c r="P107" s="64"/>
      <c r="Q107" s="64"/>
      <c r="R107" s="64"/>
      <c r="S107" s="64"/>
      <c r="T107" s="64"/>
      <c r="U107" s="64"/>
      <c r="V107" s="64"/>
      <c r="W107" s="64"/>
      <c r="X107" s="64"/>
      <c r="Y107" s="64"/>
      <c r="Z107" s="64"/>
    </row>
    <row r="108">
      <c r="A108" s="64"/>
      <c r="B108" s="64"/>
      <c r="C108" s="64"/>
      <c r="D108" s="100"/>
      <c r="E108" s="64"/>
      <c r="F108" s="64"/>
      <c r="G108" s="64"/>
      <c r="H108" s="64"/>
      <c r="I108" s="64"/>
      <c r="J108" s="64"/>
      <c r="K108" s="64"/>
      <c r="L108" s="64"/>
      <c r="M108" s="64"/>
      <c r="N108" s="64"/>
      <c r="O108" s="64"/>
      <c r="P108" s="64"/>
      <c r="Q108" s="64"/>
      <c r="R108" s="64"/>
      <c r="S108" s="64"/>
      <c r="T108" s="64"/>
      <c r="U108" s="64"/>
      <c r="V108" s="64"/>
      <c r="W108" s="64"/>
      <c r="X108" s="64"/>
      <c r="Y108" s="64"/>
      <c r="Z108" s="64"/>
    </row>
    <row r="109">
      <c r="A109" s="64"/>
      <c r="B109" s="64"/>
      <c r="C109" s="64"/>
      <c r="D109" s="100"/>
      <c r="E109" s="64"/>
      <c r="F109" s="64"/>
      <c r="G109" s="64"/>
      <c r="H109" s="64"/>
      <c r="I109" s="64"/>
      <c r="J109" s="64"/>
      <c r="K109" s="64"/>
      <c r="L109" s="64"/>
      <c r="M109" s="64"/>
      <c r="N109" s="64"/>
      <c r="O109" s="64"/>
      <c r="P109" s="64"/>
      <c r="Q109" s="64"/>
      <c r="R109" s="64"/>
      <c r="S109" s="64"/>
      <c r="T109" s="64"/>
      <c r="U109" s="64"/>
      <c r="V109" s="64"/>
      <c r="W109" s="64"/>
      <c r="X109" s="64"/>
      <c r="Y109" s="64"/>
      <c r="Z109" s="64"/>
    </row>
    <row r="110">
      <c r="A110" s="64"/>
      <c r="B110" s="64"/>
      <c r="C110" s="64"/>
      <c r="D110" s="100"/>
      <c r="E110" s="64"/>
      <c r="F110" s="64"/>
      <c r="G110" s="64"/>
      <c r="H110" s="64"/>
      <c r="I110" s="64"/>
      <c r="J110" s="64"/>
      <c r="K110" s="64"/>
      <c r="L110" s="64"/>
      <c r="M110" s="64"/>
      <c r="N110" s="64"/>
      <c r="O110" s="64"/>
      <c r="P110" s="64"/>
      <c r="Q110" s="64"/>
      <c r="R110" s="64"/>
      <c r="S110" s="64"/>
      <c r="T110" s="64"/>
      <c r="U110" s="64"/>
      <c r="V110" s="64"/>
      <c r="W110" s="64"/>
      <c r="X110" s="64"/>
      <c r="Y110" s="64"/>
      <c r="Z110" s="64"/>
    </row>
    <row r="111">
      <c r="A111" s="64"/>
      <c r="B111" s="64"/>
      <c r="C111" s="64"/>
      <c r="D111" s="100"/>
      <c r="E111" s="64"/>
      <c r="F111" s="64"/>
      <c r="G111" s="64"/>
      <c r="H111" s="64"/>
      <c r="I111" s="64"/>
      <c r="J111" s="64"/>
      <c r="K111" s="64"/>
      <c r="L111" s="64"/>
      <c r="M111" s="64"/>
      <c r="N111" s="64"/>
      <c r="O111" s="64"/>
      <c r="P111" s="64"/>
      <c r="Q111" s="64"/>
      <c r="R111" s="64"/>
      <c r="S111" s="64"/>
      <c r="T111" s="64"/>
      <c r="U111" s="64"/>
      <c r="V111" s="64"/>
      <c r="W111" s="64"/>
      <c r="X111" s="64"/>
      <c r="Y111" s="64"/>
      <c r="Z111" s="64"/>
    </row>
    <row r="112">
      <c r="A112" s="64"/>
      <c r="B112" s="64"/>
      <c r="C112" s="64"/>
      <c r="D112" s="100"/>
      <c r="E112" s="64"/>
      <c r="F112" s="64"/>
      <c r="G112" s="64"/>
      <c r="H112" s="64"/>
      <c r="I112" s="64"/>
      <c r="J112" s="64"/>
      <c r="K112" s="64"/>
      <c r="L112" s="64"/>
      <c r="M112" s="64"/>
      <c r="N112" s="64"/>
      <c r="O112" s="64"/>
      <c r="P112" s="64"/>
      <c r="Q112" s="64"/>
      <c r="R112" s="64"/>
      <c r="S112" s="64"/>
      <c r="T112" s="64"/>
      <c r="U112" s="64"/>
      <c r="V112" s="64"/>
      <c r="W112" s="64"/>
      <c r="X112" s="64"/>
      <c r="Y112" s="64"/>
      <c r="Z112" s="64"/>
    </row>
    <row r="113">
      <c r="A113" s="64"/>
      <c r="B113" s="64"/>
      <c r="C113" s="64"/>
      <c r="D113" s="100"/>
      <c r="E113" s="64"/>
      <c r="F113" s="64"/>
      <c r="G113" s="64"/>
      <c r="H113" s="64"/>
      <c r="I113" s="64"/>
      <c r="J113" s="64"/>
      <c r="K113" s="64"/>
      <c r="L113" s="64"/>
      <c r="M113" s="64"/>
      <c r="N113" s="64"/>
      <c r="O113" s="64"/>
      <c r="P113" s="64"/>
      <c r="Q113" s="64"/>
      <c r="R113" s="64"/>
      <c r="S113" s="64"/>
      <c r="T113" s="64"/>
      <c r="U113" s="64"/>
      <c r="V113" s="64"/>
      <c r="W113" s="64"/>
      <c r="X113" s="64"/>
      <c r="Y113" s="64"/>
      <c r="Z113" s="64"/>
    </row>
    <row r="114">
      <c r="A114" s="64"/>
      <c r="B114" s="64"/>
      <c r="C114" s="64"/>
      <c r="D114" s="100"/>
      <c r="E114" s="64"/>
      <c r="F114" s="64"/>
      <c r="G114" s="64"/>
      <c r="H114" s="64"/>
      <c r="I114" s="64"/>
      <c r="J114" s="64"/>
      <c r="K114" s="64"/>
      <c r="L114" s="64"/>
      <c r="M114" s="64"/>
      <c r="N114" s="64"/>
      <c r="O114" s="64"/>
      <c r="P114" s="64"/>
      <c r="Q114" s="64"/>
      <c r="R114" s="64"/>
      <c r="S114" s="64"/>
      <c r="T114" s="64"/>
      <c r="U114" s="64"/>
      <c r="V114" s="64"/>
      <c r="W114" s="64"/>
      <c r="X114" s="64"/>
      <c r="Y114" s="64"/>
      <c r="Z114" s="64"/>
    </row>
    <row r="115">
      <c r="A115" s="64"/>
      <c r="B115" s="64"/>
      <c r="C115" s="64"/>
      <c r="D115" s="100"/>
      <c r="E115" s="64"/>
      <c r="F115" s="64"/>
      <c r="G115" s="64"/>
      <c r="H115" s="64"/>
      <c r="I115" s="64"/>
      <c r="J115" s="64"/>
      <c r="K115" s="64"/>
      <c r="L115" s="64"/>
      <c r="M115" s="64"/>
      <c r="N115" s="64"/>
      <c r="O115" s="64"/>
      <c r="P115" s="64"/>
      <c r="Q115" s="64"/>
      <c r="R115" s="64"/>
      <c r="S115" s="64"/>
      <c r="T115" s="64"/>
      <c r="U115" s="64"/>
      <c r="V115" s="64"/>
      <c r="W115" s="64"/>
      <c r="X115" s="64"/>
      <c r="Y115" s="64"/>
      <c r="Z115" s="64"/>
    </row>
    <row r="116">
      <c r="A116" s="64"/>
      <c r="B116" s="64"/>
      <c r="C116" s="64"/>
      <c r="D116" s="100"/>
      <c r="E116" s="64"/>
      <c r="F116" s="64"/>
      <c r="G116" s="64"/>
      <c r="H116" s="64"/>
      <c r="I116" s="64"/>
      <c r="J116" s="64"/>
      <c r="K116" s="64"/>
      <c r="L116" s="64"/>
      <c r="M116" s="64"/>
      <c r="N116" s="64"/>
      <c r="O116" s="64"/>
      <c r="P116" s="64"/>
      <c r="Q116" s="64"/>
      <c r="R116" s="64"/>
      <c r="S116" s="64"/>
      <c r="T116" s="64"/>
      <c r="U116" s="64"/>
      <c r="V116" s="64"/>
      <c r="W116" s="64"/>
      <c r="X116" s="64"/>
      <c r="Y116" s="64"/>
      <c r="Z116" s="64"/>
    </row>
    <row r="117">
      <c r="A117" s="64"/>
      <c r="B117" s="64"/>
      <c r="C117" s="64"/>
      <c r="D117" s="100"/>
      <c r="E117" s="64"/>
      <c r="F117" s="64"/>
      <c r="G117" s="64"/>
      <c r="H117" s="64"/>
      <c r="I117" s="64"/>
      <c r="J117" s="64"/>
      <c r="K117" s="64"/>
      <c r="L117" s="64"/>
      <c r="M117" s="64"/>
      <c r="N117" s="64"/>
      <c r="O117" s="64"/>
      <c r="P117" s="64"/>
      <c r="Q117" s="64"/>
      <c r="R117" s="64"/>
      <c r="S117" s="64"/>
      <c r="T117" s="64"/>
      <c r="U117" s="64"/>
      <c r="V117" s="64"/>
      <c r="W117" s="64"/>
      <c r="X117" s="64"/>
      <c r="Y117" s="64"/>
      <c r="Z117" s="64"/>
    </row>
    <row r="118">
      <c r="A118" s="64"/>
      <c r="B118" s="64"/>
      <c r="C118" s="64"/>
      <c r="D118" s="100"/>
      <c r="E118" s="64"/>
      <c r="F118" s="64"/>
      <c r="G118" s="64"/>
      <c r="H118" s="64"/>
      <c r="I118" s="64"/>
      <c r="J118" s="64"/>
      <c r="K118" s="64"/>
      <c r="L118" s="64"/>
      <c r="M118" s="64"/>
      <c r="N118" s="64"/>
      <c r="O118" s="64"/>
      <c r="P118" s="64"/>
      <c r="Q118" s="64"/>
      <c r="R118" s="64"/>
      <c r="S118" s="64"/>
      <c r="T118" s="64"/>
      <c r="U118" s="64"/>
      <c r="V118" s="64"/>
      <c r="W118" s="64"/>
      <c r="X118" s="64"/>
      <c r="Y118" s="64"/>
      <c r="Z118" s="64"/>
    </row>
    <row r="119">
      <c r="A119" s="64"/>
      <c r="B119" s="64"/>
      <c r="C119" s="64"/>
      <c r="D119" s="100"/>
      <c r="E119" s="64"/>
      <c r="F119" s="64"/>
      <c r="G119" s="64"/>
      <c r="H119" s="64"/>
      <c r="I119" s="64"/>
      <c r="J119" s="64"/>
      <c r="K119" s="64"/>
      <c r="L119" s="64"/>
      <c r="M119" s="64"/>
      <c r="N119" s="64"/>
      <c r="O119" s="64"/>
      <c r="P119" s="64"/>
      <c r="Q119" s="64"/>
      <c r="R119" s="64"/>
      <c r="S119" s="64"/>
      <c r="T119" s="64"/>
      <c r="U119" s="64"/>
      <c r="V119" s="64"/>
      <c r="W119" s="64"/>
      <c r="X119" s="64"/>
      <c r="Y119" s="64"/>
      <c r="Z119" s="64"/>
    </row>
    <row r="120">
      <c r="A120" s="64"/>
      <c r="B120" s="64"/>
      <c r="C120" s="64"/>
      <c r="D120" s="100"/>
      <c r="E120" s="64"/>
      <c r="F120" s="64"/>
      <c r="G120" s="64"/>
      <c r="H120" s="64"/>
      <c r="I120" s="64"/>
      <c r="J120" s="64"/>
      <c r="K120" s="64"/>
      <c r="L120" s="64"/>
      <c r="M120" s="64"/>
      <c r="N120" s="64"/>
      <c r="O120" s="64"/>
      <c r="P120" s="64"/>
      <c r="Q120" s="64"/>
      <c r="R120" s="64"/>
      <c r="S120" s="64"/>
      <c r="T120" s="64"/>
      <c r="U120" s="64"/>
      <c r="V120" s="64"/>
      <c r="W120" s="64"/>
      <c r="X120" s="64"/>
      <c r="Y120" s="64"/>
      <c r="Z120" s="64"/>
    </row>
    <row r="121">
      <c r="A121" s="64"/>
      <c r="B121" s="64"/>
      <c r="C121" s="64"/>
      <c r="D121" s="100"/>
      <c r="E121" s="64"/>
      <c r="F121" s="64"/>
      <c r="G121" s="64"/>
      <c r="H121" s="64"/>
      <c r="I121" s="64"/>
      <c r="J121" s="64"/>
      <c r="K121" s="64"/>
      <c r="L121" s="64"/>
      <c r="M121" s="64"/>
      <c r="N121" s="64"/>
      <c r="O121" s="64"/>
      <c r="P121" s="64"/>
      <c r="Q121" s="64"/>
      <c r="R121" s="64"/>
      <c r="S121" s="64"/>
      <c r="T121" s="64"/>
      <c r="U121" s="64"/>
      <c r="V121" s="64"/>
      <c r="W121" s="64"/>
      <c r="X121" s="64"/>
      <c r="Y121" s="64"/>
      <c r="Z121" s="64"/>
    </row>
    <row r="122">
      <c r="A122" s="64"/>
      <c r="B122" s="64"/>
      <c r="C122" s="64"/>
      <c r="D122" s="100"/>
      <c r="E122" s="64"/>
      <c r="F122" s="64"/>
      <c r="G122" s="64"/>
      <c r="H122" s="64"/>
      <c r="I122" s="64"/>
      <c r="J122" s="64"/>
      <c r="K122" s="64"/>
      <c r="L122" s="64"/>
      <c r="M122" s="64"/>
      <c r="N122" s="64"/>
      <c r="O122" s="64"/>
      <c r="P122" s="64"/>
      <c r="Q122" s="64"/>
      <c r="R122" s="64"/>
      <c r="S122" s="64"/>
      <c r="T122" s="64"/>
      <c r="U122" s="64"/>
      <c r="V122" s="64"/>
      <c r="W122" s="64"/>
      <c r="X122" s="64"/>
      <c r="Y122" s="64"/>
      <c r="Z122" s="64"/>
    </row>
    <row r="123">
      <c r="A123" s="64"/>
      <c r="B123" s="64"/>
      <c r="C123" s="64"/>
      <c r="D123" s="100"/>
      <c r="E123" s="64"/>
      <c r="F123" s="64"/>
      <c r="G123" s="64"/>
      <c r="H123" s="64"/>
      <c r="I123" s="64"/>
      <c r="J123" s="64"/>
      <c r="K123" s="64"/>
      <c r="L123" s="64"/>
      <c r="M123" s="64"/>
      <c r="N123" s="64"/>
      <c r="O123" s="64"/>
      <c r="P123" s="64"/>
      <c r="Q123" s="64"/>
      <c r="R123" s="64"/>
      <c r="S123" s="64"/>
      <c r="T123" s="64"/>
      <c r="U123" s="64"/>
      <c r="V123" s="64"/>
      <c r="W123" s="64"/>
      <c r="X123" s="64"/>
      <c r="Y123" s="64"/>
      <c r="Z123" s="64"/>
    </row>
    <row r="124">
      <c r="A124" s="64"/>
      <c r="B124" s="64"/>
      <c r="C124" s="64"/>
      <c r="D124" s="100"/>
      <c r="E124" s="64"/>
      <c r="F124" s="64"/>
      <c r="G124" s="64"/>
      <c r="H124" s="64"/>
      <c r="I124" s="64"/>
      <c r="J124" s="64"/>
      <c r="K124" s="64"/>
      <c r="L124" s="64"/>
      <c r="M124" s="64"/>
      <c r="N124" s="64"/>
      <c r="O124" s="64"/>
      <c r="P124" s="64"/>
      <c r="Q124" s="64"/>
      <c r="R124" s="64"/>
      <c r="S124" s="64"/>
      <c r="T124" s="64"/>
      <c r="U124" s="64"/>
      <c r="V124" s="64"/>
      <c r="W124" s="64"/>
      <c r="X124" s="64"/>
      <c r="Y124" s="64"/>
      <c r="Z124" s="64"/>
    </row>
    <row r="125">
      <c r="A125" s="64"/>
      <c r="B125" s="64"/>
      <c r="C125" s="64"/>
      <c r="D125" s="100"/>
      <c r="E125" s="64"/>
      <c r="F125" s="64"/>
      <c r="G125" s="64"/>
      <c r="H125" s="64"/>
      <c r="I125" s="64"/>
      <c r="J125" s="64"/>
      <c r="K125" s="64"/>
      <c r="L125" s="64"/>
      <c r="M125" s="64"/>
      <c r="N125" s="64"/>
      <c r="O125" s="64"/>
      <c r="P125" s="64"/>
      <c r="Q125" s="64"/>
      <c r="R125" s="64"/>
      <c r="S125" s="64"/>
      <c r="T125" s="64"/>
      <c r="U125" s="64"/>
      <c r="V125" s="64"/>
      <c r="W125" s="64"/>
      <c r="X125" s="64"/>
      <c r="Y125" s="64"/>
      <c r="Z125" s="64"/>
    </row>
    <row r="126">
      <c r="A126" s="64"/>
      <c r="B126" s="64"/>
      <c r="C126" s="64"/>
      <c r="D126" s="100"/>
      <c r="E126" s="64"/>
      <c r="F126" s="64"/>
      <c r="G126" s="64"/>
      <c r="H126" s="64"/>
      <c r="I126" s="64"/>
      <c r="J126" s="64"/>
      <c r="K126" s="64"/>
      <c r="L126" s="64"/>
      <c r="M126" s="64"/>
      <c r="N126" s="64"/>
      <c r="O126" s="64"/>
      <c r="P126" s="64"/>
      <c r="Q126" s="64"/>
      <c r="R126" s="64"/>
      <c r="S126" s="64"/>
      <c r="T126" s="64"/>
      <c r="U126" s="64"/>
      <c r="V126" s="64"/>
      <c r="W126" s="64"/>
      <c r="X126" s="64"/>
      <c r="Y126" s="64"/>
      <c r="Z126" s="64"/>
    </row>
    <row r="127">
      <c r="A127" s="64"/>
      <c r="B127" s="64"/>
      <c r="C127" s="64"/>
      <c r="D127" s="100"/>
      <c r="E127" s="64"/>
      <c r="F127" s="64"/>
      <c r="G127" s="64"/>
      <c r="H127" s="64"/>
      <c r="I127" s="64"/>
      <c r="J127" s="64"/>
      <c r="K127" s="64"/>
      <c r="L127" s="64"/>
      <c r="M127" s="64"/>
      <c r="N127" s="64"/>
      <c r="O127" s="64"/>
      <c r="P127" s="64"/>
      <c r="Q127" s="64"/>
      <c r="R127" s="64"/>
      <c r="S127" s="64"/>
      <c r="T127" s="64"/>
      <c r="U127" s="64"/>
      <c r="V127" s="64"/>
      <c r="W127" s="64"/>
      <c r="X127" s="64"/>
      <c r="Y127" s="64"/>
      <c r="Z127" s="64"/>
    </row>
    <row r="128">
      <c r="A128" s="64"/>
      <c r="B128" s="64"/>
      <c r="C128" s="64"/>
      <c r="D128" s="100"/>
      <c r="E128" s="64"/>
      <c r="F128" s="64"/>
      <c r="G128" s="64"/>
      <c r="H128" s="64"/>
      <c r="I128" s="64"/>
      <c r="J128" s="64"/>
      <c r="K128" s="64"/>
      <c r="L128" s="64"/>
      <c r="M128" s="64"/>
      <c r="N128" s="64"/>
      <c r="O128" s="64"/>
      <c r="P128" s="64"/>
      <c r="Q128" s="64"/>
      <c r="R128" s="64"/>
      <c r="S128" s="64"/>
      <c r="T128" s="64"/>
      <c r="U128" s="64"/>
      <c r="V128" s="64"/>
      <c r="W128" s="64"/>
      <c r="X128" s="64"/>
      <c r="Y128" s="64"/>
      <c r="Z128" s="64"/>
    </row>
    <row r="129">
      <c r="A129" s="64"/>
      <c r="B129" s="64"/>
      <c r="C129" s="64"/>
      <c r="D129" s="100"/>
      <c r="E129" s="64"/>
      <c r="F129" s="64"/>
      <c r="G129" s="64"/>
      <c r="H129" s="64"/>
      <c r="I129" s="64"/>
      <c r="J129" s="64"/>
      <c r="K129" s="64"/>
      <c r="L129" s="64"/>
      <c r="M129" s="64"/>
      <c r="N129" s="64"/>
      <c r="O129" s="64"/>
      <c r="P129" s="64"/>
      <c r="Q129" s="64"/>
      <c r="R129" s="64"/>
      <c r="S129" s="64"/>
      <c r="T129" s="64"/>
      <c r="U129" s="64"/>
      <c r="V129" s="64"/>
      <c r="W129" s="64"/>
      <c r="X129" s="64"/>
      <c r="Y129" s="64"/>
      <c r="Z129" s="64"/>
    </row>
    <row r="130">
      <c r="A130" s="64"/>
      <c r="B130" s="64"/>
      <c r="C130" s="64"/>
      <c r="D130" s="100"/>
      <c r="E130" s="64"/>
      <c r="F130" s="64"/>
      <c r="G130" s="64"/>
      <c r="H130" s="64"/>
      <c r="I130" s="64"/>
      <c r="J130" s="64"/>
      <c r="K130" s="64"/>
      <c r="L130" s="64"/>
      <c r="M130" s="64"/>
      <c r="N130" s="64"/>
      <c r="O130" s="64"/>
      <c r="P130" s="64"/>
      <c r="Q130" s="64"/>
      <c r="R130" s="64"/>
      <c r="S130" s="64"/>
      <c r="T130" s="64"/>
      <c r="U130" s="64"/>
      <c r="V130" s="64"/>
      <c r="W130" s="64"/>
      <c r="X130" s="64"/>
      <c r="Y130" s="64"/>
      <c r="Z130" s="64"/>
    </row>
    <row r="131">
      <c r="A131" s="64"/>
      <c r="B131" s="64"/>
      <c r="C131" s="64"/>
      <c r="D131" s="100"/>
      <c r="E131" s="64"/>
      <c r="F131" s="64"/>
      <c r="G131" s="64"/>
      <c r="H131" s="64"/>
      <c r="I131" s="64"/>
      <c r="J131" s="64"/>
      <c r="K131" s="64"/>
      <c r="L131" s="64"/>
      <c r="M131" s="64"/>
      <c r="N131" s="64"/>
      <c r="O131" s="64"/>
      <c r="P131" s="64"/>
      <c r="Q131" s="64"/>
      <c r="R131" s="64"/>
      <c r="S131" s="64"/>
      <c r="T131" s="64"/>
      <c r="U131" s="64"/>
      <c r="V131" s="64"/>
      <c r="W131" s="64"/>
      <c r="X131" s="64"/>
      <c r="Y131" s="64"/>
      <c r="Z131" s="64"/>
    </row>
    <row r="132">
      <c r="A132" s="64"/>
      <c r="B132" s="64"/>
      <c r="C132" s="64"/>
      <c r="D132" s="100"/>
      <c r="E132" s="64"/>
      <c r="F132" s="64"/>
      <c r="G132" s="64"/>
      <c r="H132" s="64"/>
      <c r="I132" s="64"/>
      <c r="J132" s="64"/>
      <c r="K132" s="64"/>
      <c r="L132" s="64"/>
      <c r="M132" s="64"/>
      <c r="N132" s="64"/>
      <c r="O132" s="64"/>
      <c r="P132" s="64"/>
      <c r="Q132" s="64"/>
      <c r="R132" s="64"/>
      <c r="S132" s="64"/>
      <c r="T132" s="64"/>
      <c r="U132" s="64"/>
      <c r="V132" s="64"/>
      <c r="W132" s="64"/>
      <c r="X132" s="64"/>
      <c r="Y132" s="64"/>
      <c r="Z132" s="64"/>
    </row>
    <row r="133">
      <c r="A133" s="64"/>
      <c r="B133" s="64"/>
      <c r="C133" s="64"/>
      <c r="D133" s="100"/>
      <c r="E133" s="64"/>
      <c r="F133" s="64"/>
      <c r="G133" s="64"/>
      <c r="H133" s="64"/>
      <c r="I133" s="64"/>
      <c r="J133" s="64"/>
      <c r="K133" s="64"/>
      <c r="L133" s="64"/>
      <c r="M133" s="64"/>
      <c r="N133" s="64"/>
      <c r="O133" s="64"/>
      <c r="P133" s="64"/>
      <c r="Q133" s="64"/>
      <c r="R133" s="64"/>
      <c r="S133" s="64"/>
      <c r="T133" s="64"/>
      <c r="U133" s="64"/>
      <c r="V133" s="64"/>
      <c r="W133" s="64"/>
      <c r="X133" s="64"/>
      <c r="Y133" s="64"/>
      <c r="Z133" s="64"/>
    </row>
    <row r="134">
      <c r="A134" s="64"/>
      <c r="B134" s="64"/>
      <c r="C134" s="64"/>
      <c r="D134" s="100"/>
      <c r="E134" s="64"/>
      <c r="F134" s="64"/>
      <c r="G134" s="64"/>
      <c r="H134" s="64"/>
      <c r="I134" s="64"/>
      <c r="J134" s="64"/>
      <c r="K134" s="64"/>
      <c r="L134" s="64"/>
      <c r="M134" s="64"/>
      <c r="N134" s="64"/>
      <c r="O134" s="64"/>
      <c r="P134" s="64"/>
      <c r="Q134" s="64"/>
      <c r="R134" s="64"/>
      <c r="S134" s="64"/>
      <c r="T134" s="64"/>
      <c r="U134" s="64"/>
      <c r="V134" s="64"/>
      <c r="W134" s="64"/>
      <c r="X134" s="64"/>
      <c r="Y134" s="64"/>
      <c r="Z134" s="64"/>
    </row>
    <row r="135">
      <c r="A135" s="64"/>
      <c r="B135" s="64"/>
      <c r="C135" s="64"/>
      <c r="D135" s="100"/>
      <c r="E135" s="64"/>
      <c r="F135" s="64"/>
      <c r="G135" s="64"/>
      <c r="H135" s="64"/>
      <c r="I135" s="64"/>
      <c r="J135" s="64"/>
      <c r="K135" s="64"/>
      <c r="L135" s="64"/>
      <c r="M135" s="64"/>
      <c r="N135" s="64"/>
      <c r="O135" s="64"/>
      <c r="P135" s="64"/>
      <c r="Q135" s="64"/>
      <c r="R135" s="64"/>
      <c r="S135" s="64"/>
      <c r="T135" s="64"/>
      <c r="U135" s="64"/>
      <c r="V135" s="64"/>
      <c r="W135" s="64"/>
      <c r="X135" s="64"/>
      <c r="Y135" s="64"/>
      <c r="Z135" s="64"/>
    </row>
    <row r="136">
      <c r="A136" s="64"/>
      <c r="B136" s="64"/>
      <c r="C136" s="64"/>
      <c r="D136" s="100"/>
      <c r="E136" s="64"/>
      <c r="F136" s="64"/>
      <c r="G136" s="64"/>
      <c r="H136" s="64"/>
      <c r="I136" s="64"/>
      <c r="J136" s="64"/>
      <c r="K136" s="64"/>
      <c r="L136" s="64"/>
      <c r="M136" s="64"/>
      <c r="N136" s="64"/>
      <c r="O136" s="64"/>
      <c r="P136" s="64"/>
      <c r="Q136" s="64"/>
      <c r="R136" s="64"/>
      <c r="S136" s="64"/>
      <c r="T136" s="64"/>
      <c r="U136" s="64"/>
      <c r="V136" s="64"/>
      <c r="W136" s="64"/>
      <c r="X136" s="64"/>
      <c r="Y136" s="64"/>
      <c r="Z136" s="64"/>
    </row>
    <row r="137">
      <c r="A137" s="64"/>
      <c r="B137" s="64"/>
      <c r="C137" s="64"/>
      <c r="D137" s="100"/>
      <c r="E137" s="64"/>
      <c r="F137" s="64"/>
      <c r="G137" s="64"/>
      <c r="H137" s="64"/>
      <c r="I137" s="64"/>
      <c r="J137" s="64"/>
      <c r="K137" s="64"/>
      <c r="L137" s="64"/>
      <c r="M137" s="64"/>
      <c r="N137" s="64"/>
      <c r="O137" s="64"/>
      <c r="P137" s="64"/>
      <c r="Q137" s="64"/>
      <c r="R137" s="64"/>
      <c r="S137" s="64"/>
      <c r="T137" s="64"/>
      <c r="U137" s="64"/>
      <c r="V137" s="64"/>
      <c r="W137" s="64"/>
      <c r="X137" s="64"/>
      <c r="Y137" s="64"/>
      <c r="Z137" s="64"/>
    </row>
    <row r="138">
      <c r="A138" s="64"/>
      <c r="B138" s="64"/>
      <c r="C138" s="64"/>
      <c r="D138" s="100"/>
      <c r="E138" s="64"/>
      <c r="F138" s="64"/>
      <c r="G138" s="64"/>
      <c r="H138" s="64"/>
      <c r="I138" s="64"/>
      <c r="J138" s="64"/>
      <c r="K138" s="64"/>
      <c r="L138" s="64"/>
      <c r="M138" s="64"/>
      <c r="N138" s="64"/>
      <c r="O138" s="64"/>
      <c r="P138" s="64"/>
      <c r="Q138" s="64"/>
      <c r="R138" s="64"/>
      <c r="S138" s="64"/>
      <c r="T138" s="64"/>
      <c r="U138" s="64"/>
      <c r="V138" s="64"/>
      <c r="W138" s="64"/>
      <c r="X138" s="64"/>
      <c r="Y138" s="64"/>
      <c r="Z138" s="64"/>
    </row>
    <row r="139">
      <c r="A139" s="64"/>
      <c r="B139" s="64"/>
      <c r="C139" s="64"/>
      <c r="D139" s="100"/>
      <c r="E139" s="64"/>
      <c r="F139" s="64"/>
      <c r="G139" s="64"/>
      <c r="H139" s="64"/>
      <c r="I139" s="64"/>
      <c r="J139" s="64"/>
      <c r="K139" s="64"/>
      <c r="L139" s="64"/>
      <c r="M139" s="64"/>
      <c r="N139" s="64"/>
      <c r="O139" s="64"/>
      <c r="P139" s="64"/>
      <c r="Q139" s="64"/>
      <c r="R139" s="64"/>
      <c r="S139" s="64"/>
      <c r="T139" s="64"/>
      <c r="U139" s="64"/>
      <c r="V139" s="64"/>
      <c r="W139" s="64"/>
      <c r="X139" s="64"/>
      <c r="Y139" s="64"/>
      <c r="Z139" s="64"/>
    </row>
    <row r="140">
      <c r="A140" s="64"/>
      <c r="B140" s="64"/>
      <c r="C140" s="64"/>
      <c r="D140" s="100"/>
      <c r="E140" s="64"/>
      <c r="F140" s="64"/>
      <c r="G140" s="64"/>
      <c r="H140" s="64"/>
      <c r="I140" s="64"/>
      <c r="J140" s="64"/>
      <c r="K140" s="64"/>
      <c r="L140" s="64"/>
      <c r="M140" s="64"/>
      <c r="N140" s="64"/>
      <c r="O140" s="64"/>
      <c r="P140" s="64"/>
      <c r="Q140" s="64"/>
      <c r="R140" s="64"/>
      <c r="S140" s="64"/>
      <c r="T140" s="64"/>
      <c r="U140" s="64"/>
      <c r="V140" s="64"/>
      <c r="W140" s="64"/>
      <c r="X140" s="64"/>
      <c r="Y140" s="64"/>
      <c r="Z140" s="64"/>
    </row>
    <row r="141">
      <c r="A141" s="64"/>
      <c r="B141" s="64"/>
      <c r="C141" s="64"/>
      <c r="D141" s="100"/>
      <c r="E141" s="64"/>
      <c r="F141" s="64"/>
      <c r="G141" s="64"/>
      <c r="H141" s="64"/>
      <c r="I141" s="64"/>
      <c r="J141" s="64"/>
      <c r="K141" s="64"/>
      <c r="L141" s="64"/>
      <c r="M141" s="64"/>
      <c r="N141" s="64"/>
      <c r="O141" s="64"/>
      <c r="P141" s="64"/>
      <c r="Q141" s="64"/>
      <c r="R141" s="64"/>
      <c r="S141" s="64"/>
      <c r="T141" s="64"/>
      <c r="U141" s="64"/>
      <c r="V141" s="64"/>
      <c r="W141" s="64"/>
      <c r="X141" s="64"/>
      <c r="Y141" s="64"/>
      <c r="Z141" s="64"/>
    </row>
    <row r="142">
      <c r="A142" s="64"/>
      <c r="B142" s="64"/>
      <c r="C142" s="64"/>
      <c r="D142" s="100"/>
      <c r="E142" s="64"/>
      <c r="F142" s="64"/>
      <c r="G142" s="64"/>
      <c r="H142" s="64"/>
      <c r="I142" s="64"/>
      <c r="J142" s="64"/>
      <c r="K142" s="64"/>
      <c r="L142" s="64"/>
      <c r="M142" s="64"/>
      <c r="N142" s="64"/>
      <c r="O142" s="64"/>
      <c r="P142" s="64"/>
      <c r="Q142" s="64"/>
      <c r="R142" s="64"/>
      <c r="S142" s="64"/>
      <c r="T142" s="64"/>
      <c r="U142" s="64"/>
      <c r="V142" s="64"/>
      <c r="W142" s="64"/>
      <c r="X142" s="64"/>
      <c r="Y142" s="64"/>
      <c r="Z142" s="64"/>
    </row>
    <row r="143">
      <c r="A143" s="64"/>
      <c r="B143" s="64"/>
      <c r="C143" s="64"/>
      <c r="D143" s="100"/>
      <c r="E143" s="64"/>
      <c r="F143" s="64"/>
      <c r="G143" s="64"/>
      <c r="H143" s="64"/>
      <c r="I143" s="64"/>
      <c r="J143" s="64"/>
      <c r="K143" s="64"/>
      <c r="L143" s="64"/>
      <c r="M143" s="64"/>
      <c r="N143" s="64"/>
      <c r="O143" s="64"/>
      <c r="P143" s="64"/>
      <c r="Q143" s="64"/>
      <c r="R143" s="64"/>
      <c r="S143" s="64"/>
      <c r="T143" s="64"/>
      <c r="U143" s="64"/>
      <c r="V143" s="64"/>
      <c r="W143" s="64"/>
      <c r="X143" s="64"/>
      <c r="Y143" s="64"/>
      <c r="Z143" s="64"/>
    </row>
    <row r="144">
      <c r="A144" s="64"/>
      <c r="B144" s="64"/>
      <c r="C144" s="64"/>
      <c r="D144" s="100"/>
      <c r="E144" s="64"/>
      <c r="F144" s="64"/>
      <c r="G144" s="64"/>
      <c r="H144" s="64"/>
      <c r="I144" s="64"/>
      <c r="J144" s="64"/>
      <c r="K144" s="64"/>
      <c r="L144" s="64"/>
      <c r="M144" s="64"/>
      <c r="N144" s="64"/>
      <c r="O144" s="64"/>
      <c r="P144" s="64"/>
      <c r="Q144" s="64"/>
      <c r="R144" s="64"/>
      <c r="S144" s="64"/>
      <c r="T144" s="64"/>
      <c r="U144" s="64"/>
      <c r="V144" s="64"/>
      <c r="W144" s="64"/>
      <c r="X144" s="64"/>
      <c r="Y144" s="64"/>
      <c r="Z144" s="64"/>
    </row>
    <row r="145">
      <c r="A145" s="64"/>
      <c r="B145" s="64"/>
      <c r="C145" s="64"/>
      <c r="D145" s="100"/>
      <c r="E145" s="64"/>
      <c r="F145" s="64"/>
      <c r="G145" s="64"/>
      <c r="H145" s="64"/>
      <c r="I145" s="64"/>
      <c r="J145" s="64"/>
      <c r="K145" s="64"/>
      <c r="L145" s="64"/>
      <c r="M145" s="64"/>
      <c r="N145" s="64"/>
      <c r="O145" s="64"/>
      <c r="P145" s="64"/>
      <c r="Q145" s="64"/>
      <c r="R145" s="64"/>
      <c r="S145" s="64"/>
      <c r="T145" s="64"/>
      <c r="U145" s="64"/>
      <c r="V145" s="64"/>
      <c r="W145" s="64"/>
      <c r="X145" s="64"/>
      <c r="Y145" s="64"/>
      <c r="Z145" s="64"/>
    </row>
    <row r="146">
      <c r="A146" s="64"/>
      <c r="B146" s="64"/>
      <c r="C146" s="64"/>
      <c r="D146" s="100"/>
      <c r="E146" s="64"/>
      <c r="F146" s="64"/>
      <c r="G146" s="64"/>
      <c r="H146" s="64"/>
      <c r="I146" s="64"/>
      <c r="J146" s="64"/>
      <c r="K146" s="64"/>
      <c r="L146" s="64"/>
      <c r="M146" s="64"/>
      <c r="N146" s="64"/>
      <c r="O146" s="64"/>
      <c r="P146" s="64"/>
      <c r="Q146" s="64"/>
      <c r="R146" s="64"/>
      <c r="S146" s="64"/>
      <c r="T146" s="64"/>
      <c r="U146" s="64"/>
      <c r="V146" s="64"/>
      <c r="W146" s="64"/>
      <c r="X146" s="64"/>
      <c r="Y146" s="64"/>
      <c r="Z146" s="64"/>
    </row>
    <row r="147">
      <c r="A147" s="64"/>
      <c r="B147" s="64"/>
      <c r="C147" s="64"/>
      <c r="D147" s="100"/>
      <c r="E147" s="64"/>
      <c r="F147" s="64"/>
      <c r="G147" s="64"/>
      <c r="H147" s="64"/>
      <c r="I147" s="64"/>
      <c r="J147" s="64"/>
      <c r="K147" s="64"/>
      <c r="L147" s="64"/>
      <c r="M147" s="64"/>
      <c r="N147" s="64"/>
      <c r="O147" s="64"/>
      <c r="P147" s="64"/>
      <c r="Q147" s="64"/>
      <c r="R147" s="64"/>
      <c r="S147" s="64"/>
      <c r="T147" s="64"/>
      <c r="U147" s="64"/>
      <c r="V147" s="64"/>
      <c r="W147" s="64"/>
      <c r="X147" s="64"/>
      <c r="Y147" s="64"/>
      <c r="Z147" s="64"/>
    </row>
    <row r="148">
      <c r="A148" s="64"/>
      <c r="B148" s="64"/>
      <c r="C148" s="64"/>
      <c r="D148" s="100"/>
      <c r="E148" s="64"/>
      <c r="F148" s="64"/>
      <c r="G148" s="64"/>
      <c r="H148" s="64"/>
      <c r="I148" s="64"/>
      <c r="J148" s="64"/>
      <c r="K148" s="64"/>
      <c r="L148" s="64"/>
      <c r="M148" s="64"/>
      <c r="N148" s="64"/>
      <c r="O148" s="64"/>
      <c r="P148" s="64"/>
      <c r="Q148" s="64"/>
      <c r="R148" s="64"/>
      <c r="S148" s="64"/>
      <c r="T148" s="64"/>
      <c r="U148" s="64"/>
      <c r="V148" s="64"/>
      <c r="W148" s="64"/>
      <c r="X148" s="64"/>
      <c r="Y148" s="64"/>
      <c r="Z148" s="64"/>
    </row>
    <row r="149">
      <c r="A149" s="64"/>
      <c r="B149" s="64"/>
      <c r="C149" s="64"/>
      <c r="D149" s="100"/>
      <c r="E149" s="64"/>
      <c r="F149" s="64"/>
      <c r="G149" s="64"/>
      <c r="H149" s="64"/>
      <c r="I149" s="64"/>
      <c r="J149" s="64"/>
      <c r="K149" s="64"/>
      <c r="L149" s="64"/>
      <c r="M149" s="64"/>
      <c r="N149" s="64"/>
      <c r="O149" s="64"/>
      <c r="P149" s="64"/>
      <c r="Q149" s="64"/>
      <c r="R149" s="64"/>
      <c r="S149" s="64"/>
      <c r="T149" s="64"/>
      <c r="U149" s="64"/>
      <c r="V149" s="64"/>
      <c r="W149" s="64"/>
      <c r="X149" s="64"/>
      <c r="Y149" s="64"/>
      <c r="Z149" s="64"/>
    </row>
    <row r="150">
      <c r="A150" s="64"/>
      <c r="B150" s="64"/>
      <c r="C150" s="64"/>
      <c r="D150" s="100"/>
      <c r="E150" s="64"/>
      <c r="F150" s="64"/>
      <c r="G150" s="64"/>
      <c r="H150" s="64"/>
      <c r="I150" s="64"/>
      <c r="J150" s="64"/>
      <c r="K150" s="64"/>
      <c r="L150" s="64"/>
      <c r="M150" s="64"/>
      <c r="N150" s="64"/>
      <c r="O150" s="64"/>
      <c r="P150" s="64"/>
      <c r="Q150" s="64"/>
      <c r="R150" s="64"/>
      <c r="S150" s="64"/>
      <c r="T150" s="64"/>
      <c r="U150" s="64"/>
      <c r="V150" s="64"/>
      <c r="W150" s="64"/>
      <c r="X150" s="64"/>
      <c r="Y150" s="64"/>
      <c r="Z150" s="64"/>
    </row>
    <row r="151">
      <c r="A151" s="64"/>
      <c r="B151" s="64"/>
      <c r="C151" s="64"/>
      <c r="D151" s="100"/>
      <c r="E151" s="64"/>
      <c r="F151" s="64"/>
      <c r="G151" s="64"/>
      <c r="H151" s="64"/>
      <c r="I151" s="64"/>
      <c r="J151" s="64"/>
      <c r="K151" s="64"/>
      <c r="L151" s="64"/>
      <c r="M151" s="64"/>
      <c r="N151" s="64"/>
      <c r="O151" s="64"/>
      <c r="P151" s="64"/>
      <c r="Q151" s="64"/>
      <c r="R151" s="64"/>
      <c r="S151" s="64"/>
      <c r="T151" s="64"/>
      <c r="U151" s="64"/>
      <c r="V151" s="64"/>
      <c r="W151" s="64"/>
      <c r="X151" s="64"/>
      <c r="Y151" s="64"/>
      <c r="Z151" s="64"/>
    </row>
    <row r="152">
      <c r="A152" s="64"/>
      <c r="B152" s="64"/>
      <c r="C152" s="64"/>
      <c r="D152" s="100"/>
      <c r="E152" s="64"/>
      <c r="F152" s="64"/>
      <c r="G152" s="64"/>
      <c r="H152" s="64"/>
      <c r="I152" s="64"/>
      <c r="J152" s="64"/>
      <c r="K152" s="64"/>
      <c r="L152" s="64"/>
      <c r="M152" s="64"/>
      <c r="N152" s="64"/>
      <c r="O152" s="64"/>
      <c r="P152" s="64"/>
      <c r="Q152" s="64"/>
      <c r="R152" s="64"/>
      <c r="S152" s="64"/>
      <c r="T152" s="64"/>
      <c r="U152" s="64"/>
      <c r="V152" s="64"/>
      <c r="W152" s="64"/>
      <c r="X152" s="64"/>
      <c r="Y152" s="64"/>
      <c r="Z152" s="64"/>
    </row>
    <row r="153">
      <c r="A153" s="64"/>
      <c r="B153" s="64"/>
      <c r="C153" s="64"/>
      <c r="D153" s="100"/>
      <c r="E153" s="64"/>
      <c r="F153" s="64"/>
      <c r="G153" s="64"/>
      <c r="H153" s="64"/>
      <c r="I153" s="64"/>
      <c r="J153" s="64"/>
      <c r="K153" s="64"/>
      <c r="L153" s="64"/>
      <c r="M153" s="64"/>
      <c r="N153" s="64"/>
      <c r="O153" s="64"/>
      <c r="P153" s="64"/>
      <c r="Q153" s="64"/>
      <c r="R153" s="64"/>
      <c r="S153" s="64"/>
      <c r="T153" s="64"/>
      <c r="U153" s="64"/>
      <c r="V153" s="64"/>
      <c r="W153" s="64"/>
      <c r="X153" s="64"/>
      <c r="Y153" s="64"/>
      <c r="Z153" s="64"/>
    </row>
    <row r="154">
      <c r="A154" s="64"/>
      <c r="B154" s="64"/>
      <c r="C154" s="64"/>
      <c r="D154" s="100"/>
      <c r="E154" s="64"/>
      <c r="F154" s="64"/>
      <c r="G154" s="64"/>
      <c r="H154" s="64"/>
      <c r="I154" s="64"/>
      <c r="J154" s="64"/>
      <c r="K154" s="64"/>
      <c r="L154" s="64"/>
      <c r="M154" s="64"/>
      <c r="N154" s="64"/>
      <c r="O154" s="64"/>
      <c r="P154" s="64"/>
      <c r="Q154" s="64"/>
      <c r="R154" s="64"/>
      <c r="S154" s="64"/>
      <c r="T154" s="64"/>
      <c r="U154" s="64"/>
      <c r="V154" s="64"/>
      <c r="W154" s="64"/>
      <c r="X154" s="64"/>
      <c r="Y154" s="64"/>
      <c r="Z154" s="64"/>
    </row>
    <row r="155">
      <c r="A155" s="64"/>
      <c r="B155" s="64"/>
      <c r="C155" s="64"/>
      <c r="D155" s="100"/>
      <c r="E155" s="64"/>
      <c r="F155" s="64"/>
      <c r="G155" s="64"/>
      <c r="H155" s="64"/>
      <c r="I155" s="64"/>
      <c r="J155" s="64"/>
      <c r="K155" s="64"/>
      <c r="L155" s="64"/>
      <c r="M155" s="64"/>
      <c r="N155" s="64"/>
      <c r="O155" s="64"/>
      <c r="P155" s="64"/>
      <c r="Q155" s="64"/>
      <c r="R155" s="64"/>
      <c r="S155" s="64"/>
      <c r="T155" s="64"/>
      <c r="U155" s="64"/>
      <c r="V155" s="64"/>
      <c r="W155" s="64"/>
      <c r="X155" s="64"/>
      <c r="Y155" s="64"/>
      <c r="Z155" s="64"/>
    </row>
    <row r="156">
      <c r="A156" s="64"/>
      <c r="B156" s="64"/>
      <c r="C156" s="64"/>
      <c r="D156" s="100"/>
      <c r="E156" s="64"/>
      <c r="F156" s="64"/>
      <c r="G156" s="64"/>
      <c r="H156" s="64"/>
      <c r="I156" s="64"/>
      <c r="J156" s="64"/>
      <c r="K156" s="64"/>
      <c r="L156" s="64"/>
      <c r="M156" s="64"/>
      <c r="N156" s="64"/>
      <c r="O156" s="64"/>
      <c r="P156" s="64"/>
      <c r="Q156" s="64"/>
      <c r="R156" s="64"/>
      <c r="S156" s="64"/>
      <c r="T156" s="64"/>
      <c r="U156" s="64"/>
      <c r="V156" s="64"/>
      <c r="W156" s="64"/>
      <c r="X156" s="64"/>
      <c r="Y156" s="64"/>
      <c r="Z156" s="64"/>
    </row>
    <row r="157">
      <c r="A157" s="64"/>
      <c r="B157" s="64"/>
      <c r="C157" s="64"/>
      <c r="D157" s="100"/>
      <c r="E157" s="64"/>
      <c r="F157" s="64"/>
      <c r="G157" s="64"/>
      <c r="H157" s="64"/>
      <c r="I157" s="64"/>
      <c r="J157" s="64"/>
      <c r="K157" s="64"/>
      <c r="L157" s="64"/>
      <c r="M157" s="64"/>
      <c r="N157" s="64"/>
      <c r="O157" s="64"/>
      <c r="P157" s="64"/>
      <c r="Q157" s="64"/>
      <c r="R157" s="64"/>
      <c r="S157" s="64"/>
      <c r="T157" s="64"/>
      <c r="U157" s="64"/>
      <c r="V157" s="64"/>
      <c r="W157" s="64"/>
      <c r="X157" s="64"/>
      <c r="Y157" s="64"/>
      <c r="Z157" s="64"/>
    </row>
    <row r="158">
      <c r="A158" s="64"/>
      <c r="B158" s="64"/>
      <c r="C158" s="64"/>
      <c r="D158" s="100"/>
      <c r="E158" s="64"/>
      <c r="F158" s="64"/>
      <c r="G158" s="64"/>
      <c r="H158" s="64"/>
      <c r="I158" s="64"/>
      <c r="J158" s="64"/>
      <c r="K158" s="64"/>
      <c r="L158" s="64"/>
      <c r="M158" s="64"/>
      <c r="N158" s="64"/>
      <c r="O158" s="64"/>
      <c r="P158" s="64"/>
      <c r="Q158" s="64"/>
      <c r="R158" s="64"/>
      <c r="S158" s="64"/>
      <c r="T158" s="64"/>
      <c r="U158" s="64"/>
      <c r="V158" s="64"/>
      <c r="W158" s="64"/>
      <c r="X158" s="64"/>
      <c r="Y158" s="64"/>
      <c r="Z158" s="64"/>
    </row>
    <row r="159">
      <c r="A159" s="64"/>
      <c r="B159" s="64"/>
      <c r="C159" s="64"/>
      <c r="D159" s="100"/>
      <c r="E159" s="64"/>
      <c r="F159" s="64"/>
      <c r="G159" s="64"/>
      <c r="H159" s="64"/>
      <c r="I159" s="64"/>
      <c r="J159" s="64"/>
      <c r="K159" s="64"/>
      <c r="L159" s="64"/>
      <c r="M159" s="64"/>
      <c r="N159" s="64"/>
      <c r="O159" s="64"/>
      <c r="P159" s="64"/>
      <c r="Q159" s="64"/>
      <c r="R159" s="64"/>
      <c r="S159" s="64"/>
      <c r="T159" s="64"/>
      <c r="U159" s="64"/>
      <c r="V159" s="64"/>
      <c r="W159" s="64"/>
      <c r="X159" s="64"/>
      <c r="Y159" s="64"/>
      <c r="Z159" s="64"/>
    </row>
    <row r="160">
      <c r="A160" s="64"/>
      <c r="B160" s="64"/>
      <c r="C160" s="64"/>
      <c r="D160" s="100"/>
      <c r="E160" s="64"/>
      <c r="F160" s="64"/>
      <c r="G160" s="64"/>
      <c r="H160" s="64"/>
      <c r="I160" s="64"/>
      <c r="J160" s="64"/>
      <c r="K160" s="64"/>
      <c r="L160" s="64"/>
      <c r="M160" s="64"/>
      <c r="N160" s="64"/>
      <c r="O160" s="64"/>
      <c r="P160" s="64"/>
      <c r="Q160" s="64"/>
      <c r="R160" s="64"/>
      <c r="S160" s="64"/>
      <c r="T160" s="64"/>
      <c r="U160" s="64"/>
      <c r="V160" s="64"/>
      <c r="W160" s="64"/>
      <c r="X160" s="64"/>
      <c r="Y160" s="64"/>
      <c r="Z160" s="64"/>
    </row>
    <row r="161">
      <c r="A161" s="64"/>
      <c r="B161" s="64"/>
      <c r="C161" s="64"/>
      <c r="D161" s="100"/>
      <c r="E161" s="64"/>
      <c r="F161" s="64"/>
      <c r="G161" s="64"/>
      <c r="H161" s="64"/>
      <c r="I161" s="64"/>
      <c r="J161" s="64"/>
      <c r="K161" s="64"/>
      <c r="L161" s="64"/>
      <c r="M161" s="64"/>
      <c r="N161" s="64"/>
      <c r="O161" s="64"/>
      <c r="P161" s="64"/>
      <c r="Q161" s="64"/>
      <c r="R161" s="64"/>
      <c r="S161" s="64"/>
      <c r="T161" s="64"/>
      <c r="U161" s="64"/>
      <c r="V161" s="64"/>
      <c r="W161" s="64"/>
      <c r="X161" s="64"/>
      <c r="Y161" s="64"/>
      <c r="Z161" s="64"/>
    </row>
    <row r="162">
      <c r="A162" s="64"/>
      <c r="B162" s="64"/>
      <c r="C162" s="64"/>
      <c r="D162" s="100"/>
      <c r="E162" s="64"/>
      <c r="F162" s="64"/>
      <c r="G162" s="64"/>
      <c r="H162" s="64"/>
      <c r="I162" s="64"/>
      <c r="J162" s="64"/>
      <c r="K162" s="64"/>
      <c r="L162" s="64"/>
      <c r="M162" s="64"/>
      <c r="N162" s="64"/>
      <c r="O162" s="64"/>
      <c r="P162" s="64"/>
      <c r="Q162" s="64"/>
      <c r="R162" s="64"/>
      <c r="S162" s="64"/>
      <c r="T162" s="64"/>
      <c r="U162" s="64"/>
      <c r="V162" s="64"/>
      <c r="W162" s="64"/>
      <c r="X162" s="64"/>
      <c r="Y162" s="64"/>
      <c r="Z162" s="64"/>
    </row>
    <row r="163">
      <c r="A163" s="64"/>
      <c r="B163" s="64"/>
      <c r="C163" s="64"/>
      <c r="D163" s="100"/>
      <c r="E163" s="64"/>
      <c r="F163" s="64"/>
      <c r="G163" s="64"/>
      <c r="H163" s="64"/>
      <c r="I163" s="64"/>
      <c r="J163" s="64"/>
      <c r="K163" s="64"/>
      <c r="L163" s="64"/>
      <c r="M163" s="64"/>
      <c r="N163" s="64"/>
      <c r="O163" s="64"/>
      <c r="P163" s="64"/>
      <c r="Q163" s="64"/>
      <c r="R163" s="64"/>
      <c r="S163" s="64"/>
      <c r="T163" s="64"/>
      <c r="U163" s="64"/>
      <c r="V163" s="64"/>
      <c r="W163" s="64"/>
      <c r="X163" s="64"/>
      <c r="Y163" s="64"/>
      <c r="Z163" s="64"/>
    </row>
    <row r="164">
      <c r="A164" s="64"/>
      <c r="B164" s="64"/>
      <c r="C164" s="64"/>
      <c r="D164" s="100"/>
      <c r="E164" s="64"/>
      <c r="F164" s="64"/>
      <c r="G164" s="64"/>
      <c r="H164" s="64"/>
      <c r="I164" s="64"/>
      <c r="J164" s="64"/>
      <c r="K164" s="64"/>
      <c r="L164" s="64"/>
      <c r="M164" s="64"/>
      <c r="N164" s="64"/>
      <c r="O164" s="64"/>
      <c r="P164" s="64"/>
      <c r="Q164" s="64"/>
      <c r="R164" s="64"/>
      <c r="S164" s="64"/>
      <c r="T164" s="64"/>
      <c r="U164" s="64"/>
      <c r="V164" s="64"/>
      <c r="W164" s="64"/>
      <c r="X164" s="64"/>
      <c r="Y164" s="64"/>
      <c r="Z164" s="64"/>
    </row>
    <row r="165">
      <c r="A165" s="64"/>
      <c r="B165" s="64"/>
      <c r="C165" s="64"/>
      <c r="D165" s="100"/>
      <c r="E165" s="64"/>
      <c r="F165" s="64"/>
      <c r="G165" s="64"/>
      <c r="H165" s="64"/>
      <c r="I165" s="64"/>
      <c r="J165" s="64"/>
      <c r="K165" s="64"/>
      <c r="L165" s="64"/>
      <c r="M165" s="64"/>
      <c r="N165" s="64"/>
      <c r="O165" s="64"/>
      <c r="P165" s="64"/>
      <c r="Q165" s="64"/>
      <c r="R165" s="64"/>
      <c r="S165" s="64"/>
      <c r="T165" s="64"/>
      <c r="U165" s="64"/>
      <c r="V165" s="64"/>
      <c r="W165" s="64"/>
      <c r="X165" s="64"/>
      <c r="Y165" s="64"/>
      <c r="Z165" s="64"/>
    </row>
    <row r="166">
      <c r="A166" s="64"/>
      <c r="B166" s="64"/>
      <c r="C166" s="64"/>
      <c r="D166" s="100"/>
      <c r="E166" s="64"/>
      <c r="F166" s="64"/>
      <c r="G166" s="64"/>
      <c r="H166" s="64"/>
      <c r="I166" s="64"/>
      <c r="J166" s="64"/>
      <c r="K166" s="64"/>
      <c r="L166" s="64"/>
      <c r="M166" s="64"/>
      <c r="N166" s="64"/>
      <c r="O166" s="64"/>
      <c r="P166" s="64"/>
      <c r="Q166" s="64"/>
      <c r="R166" s="64"/>
      <c r="S166" s="64"/>
      <c r="T166" s="64"/>
      <c r="U166" s="64"/>
      <c r="V166" s="64"/>
      <c r="W166" s="64"/>
      <c r="X166" s="64"/>
      <c r="Y166" s="64"/>
      <c r="Z166" s="64"/>
    </row>
    <row r="167">
      <c r="A167" s="64"/>
      <c r="B167" s="64"/>
      <c r="C167" s="64"/>
      <c r="D167" s="100"/>
      <c r="E167" s="64"/>
      <c r="F167" s="64"/>
      <c r="G167" s="64"/>
      <c r="H167" s="64"/>
      <c r="I167" s="64"/>
      <c r="J167" s="64"/>
      <c r="K167" s="64"/>
      <c r="L167" s="64"/>
      <c r="M167" s="64"/>
      <c r="N167" s="64"/>
      <c r="O167" s="64"/>
      <c r="P167" s="64"/>
      <c r="Q167" s="64"/>
      <c r="R167" s="64"/>
      <c r="S167" s="64"/>
      <c r="T167" s="64"/>
      <c r="U167" s="64"/>
      <c r="V167" s="64"/>
      <c r="W167" s="64"/>
      <c r="X167" s="64"/>
      <c r="Y167" s="64"/>
      <c r="Z167" s="64"/>
    </row>
    <row r="168">
      <c r="A168" s="64"/>
      <c r="B168" s="64"/>
      <c r="C168" s="64"/>
      <c r="D168" s="100"/>
      <c r="E168" s="64"/>
      <c r="F168" s="64"/>
      <c r="G168" s="64"/>
      <c r="H168" s="64"/>
      <c r="I168" s="64"/>
      <c r="J168" s="64"/>
      <c r="K168" s="64"/>
      <c r="L168" s="64"/>
      <c r="M168" s="64"/>
      <c r="N168" s="64"/>
      <c r="O168" s="64"/>
      <c r="P168" s="64"/>
      <c r="Q168" s="64"/>
      <c r="R168" s="64"/>
      <c r="S168" s="64"/>
      <c r="T168" s="64"/>
      <c r="U168" s="64"/>
      <c r="V168" s="64"/>
      <c r="W168" s="64"/>
      <c r="X168" s="64"/>
      <c r="Y168" s="64"/>
      <c r="Z168" s="64"/>
    </row>
    <row r="169">
      <c r="A169" s="64"/>
      <c r="B169" s="64"/>
      <c r="C169" s="64"/>
      <c r="D169" s="100"/>
      <c r="E169" s="64"/>
      <c r="F169" s="64"/>
      <c r="G169" s="64"/>
      <c r="H169" s="64"/>
      <c r="I169" s="64"/>
      <c r="J169" s="64"/>
      <c r="K169" s="64"/>
      <c r="L169" s="64"/>
      <c r="M169" s="64"/>
      <c r="N169" s="64"/>
      <c r="O169" s="64"/>
      <c r="P169" s="64"/>
      <c r="Q169" s="64"/>
      <c r="R169" s="64"/>
      <c r="S169" s="64"/>
      <c r="T169" s="64"/>
      <c r="U169" s="64"/>
      <c r="V169" s="64"/>
      <c r="W169" s="64"/>
      <c r="X169" s="64"/>
      <c r="Y169" s="64"/>
      <c r="Z169" s="64"/>
    </row>
    <row r="170">
      <c r="A170" s="64"/>
      <c r="B170" s="64"/>
      <c r="C170" s="64"/>
      <c r="D170" s="100"/>
      <c r="E170" s="64"/>
      <c r="F170" s="64"/>
      <c r="G170" s="64"/>
      <c r="H170" s="64"/>
      <c r="I170" s="64"/>
      <c r="J170" s="64"/>
      <c r="K170" s="64"/>
      <c r="L170" s="64"/>
      <c r="M170" s="64"/>
      <c r="N170" s="64"/>
      <c r="O170" s="64"/>
      <c r="P170" s="64"/>
      <c r="Q170" s="64"/>
      <c r="R170" s="64"/>
      <c r="S170" s="64"/>
      <c r="T170" s="64"/>
      <c r="U170" s="64"/>
      <c r="V170" s="64"/>
      <c r="W170" s="64"/>
      <c r="X170" s="64"/>
      <c r="Y170" s="64"/>
      <c r="Z170" s="64"/>
    </row>
    <row r="171">
      <c r="A171" s="64"/>
      <c r="B171" s="64"/>
      <c r="C171" s="64"/>
      <c r="D171" s="100"/>
      <c r="E171" s="64"/>
      <c r="F171" s="64"/>
      <c r="G171" s="64"/>
      <c r="H171" s="64"/>
      <c r="I171" s="64"/>
      <c r="J171" s="64"/>
      <c r="K171" s="64"/>
      <c r="L171" s="64"/>
      <c r="M171" s="64"/>
      <c r="N171" s="64"/>
      <c r="O171" s="64"/>
      <c r="P171" s="64"/>
      <c r="Q171" s="64"/>
      <c r="R171" s="64"/>
      <c r="S171" s="64"/>
      <c r="T171" s="64"/>
      <c r="U171" s="64"/>
      <c r="V171" s="64"/>
      <c r="W171" s="64"/>
      <c r="X171" s="64"/>
      <c r="Y171" s="64"/>
      <c r="Z171" s="64"/>
    </row>
    <row r="172">
      <c r="A172" s="64"/>
      <c r="B172" s="64"/>
      <c r="C172" s="64"/>
      <c r="D172" s="100"/>
      <c r="E172" s="64"/>
      <c r="F172" s="64"/>
      <c r="G172" s="64"/>
      <c r="H172" s="64"/>
      <c r="I172" s="64"/>
      <c r="J172" s="64"/>
      <c r="K172" s="64"/>
      <c r="L172" s="64"/>
      <c r="M172" s="64"/>
      <c r="N172" s="64"/>
      <c r="O172" s="64"/>
      <c r="P172" s="64"/>
      <c r="Q172" s="64"/>
      <c r="R172" s="64"/>
      <c r="S172" s="64"/>
      <c r="T172" s="64"/>
      <c r="U172" s="64"/>
      <c r="V172" s="64"/>
      <c r="W172" s="64"/>
      <c r="X172" s="64"/>
      <c r="Y172" s="64"/>
      <c r="Z172" s="64"/>
    </row>
    <row r="173">
      <c r="A173" s="64"/>
      <c r="B173" s="64"/>
      <c r="C173" s="64"/>
      <c r="D173" s="100"/>
      <c r="E173" s="64"/>
      <c r="F173" s="64"/>
      <c r="G173" s="64"/>
      <c r="H173" s="64"/>
      <c r="I173" s="64"/>
      <c r="J173" s="64"/>
      <c r="K173" s="64"/>
      <c r="L173" s="64"/>
      <c r="M173" s="64"/>
      <c r="N173" s="64"/>
      <c r="O173" s="64"/>
      <c r="P173" s="64"/>
      <c r="Q173" s="64"/>
      <c r="R173" s="64"/>
      <c r="S173" s="64"/>
      <c r="T173" s="64"/>
      <c r="U173" s="64"/>
      <c r="V173" s="64"/>
      <c r="W173" s="64"/>
      <c r="X173" s="64"/>
      <c r="Y173" s="64"/>
      <c r="Z173" s="64"/>
    </row>
    <row r="174">
      <c r="A174" s="64"/>
      <c r="B174" s="64"/>
      <c r="C174" s="64"/>
      <c r="D174" s="100"/>
      <c r="E174" s="64"/>
      <c r="F174" s="64"/>
      <c r="G174" s="64"/>
      <c r="H174" s="64"/>
      <c r="I174" s="64"/>
      <c r="J174" s="64"/>
      <c r="K174" s="64"/>
      <c r="L174" s="64"/>
      <c r="M174" s="64"/>
      <c r="N174" s="64"/>
      <c r="O174" s="64"/>
      <c r="P174" s="64"/>
      <c r="Q174" s="64"/>
      <c r="R174" s="64"/>
      <c r="S174" s="64"/>
      <c r="T174" s="64"/>
      <c r="U174" s="64"/>
      <c r="V174" s="64"/>
      <c r="W174" s="64"/>
      <c r="X174" s="64"/>
      <c r="Y174" s="64"/>
      <c r="Z174" s="64"/>
    </row>
    <row r="175">
      <c r="A175" s="64"/>
      <c r="B175" s="64"/>
      <c r="C175" s="64"/>
      <c r="D175" s="100"/>
      <c r="E175" s="64"/>
      <c r="F175" s="64"/>
      <c r="G175" s="64"/>
      <c r="H175" s="64"/>
      <c r="I175" s="64"/>
      <c r="J175" s="64"/>
      <c r="K175" s="64"/>
      <c r="L175" s="64"/>
      <c r="M175" s="64"/>
      <c r="N175" s="64"/>
      <c r="O175" s="64"/>
      <c r="P175" s="64"/>
      <c r="Q175" s="64"/>
      <c r="R175" s="64"/>
      <c r="S175" s="64"/>
      <c r="T175" s="64"/>
      <c r="U175" s="64"/>
      <c r="V175" s="64"/>
      <c r="W175" s="64"/>
      <c r="X175" s="64"/>
      <c r="Y175" s="64"/>
      <c r="Z175" s="64"/>
    </row>
    <row r="176">
      <c r="A176" s="64"/>
      <c r="B176" s="64"/>
      <c r="C176" s="64"/>
      <c r="D176" s="100"/>
      <c r="E176" s="64"/>
      <c r="F176" s="64"/>
      <c r="G176" s="64"/>
      <c r="H176" s="64"/>
      <c r="I176" s="64"/>
      <c r="J176" s="64"/>
      <c r="K176" s="64"/>
      <c r="L176" s="64"/>
      <c r="M176" s="64"/>
      <c r="N176" s="64"/>
      <c r="O176" s="64"/>
      <c r="P176" s="64"/>
      <c r="Q176" s="64"/>
      <c r="R176" s="64"/>
      <c r="S176" s="64"/>
      <c r="T176" s="64"/>
      <c r="U176" s="64"/>
      <c r="V176" s="64"/>
      <c r="W176" s="64"/>
      <c r="X176" s="64"/>
      <c r="Y176" s="64"/>
      <c r="Z176" s="64"/>
    </row>
    <row r="177">
      <c r="A177" s="64"/>
      <c r="B177" s="64"/>
      <c r="C177" s="64"/>
      <c r="D177" s="100"/>
      <c r="E177" s="64"/>
      <c r="F177" s="64"/>
      <c r="G177" s="64"/>
      <c r="H177" s="64"/>
      <c r="I177" s="64"/>
      <c r="J177" s="64"/>
      <c r="K177" s="64"/>
      <c r="L177" s="64"/>
      <c r="M177" s="64"/>
      <c r="N177" s="64"/>
      <c r="O177" s="64"/>
      <c r="P177" s="64"/>
      <c r="Q177" s="64"/>
      <c r="R177" s="64"/>
      <c r="S177" s="64"/>
      <c r="T177" s="64"/>
      <c r="U177" s="64"/>
      <c r="V177" s="64"/>
      <c r="W177" s="64"/>
      <c r="X177" s="64"/>
      <c r="Y177" s="64"/>
      <c r="Z177" s="64"/>
    </row>
    <row r="178">
      <c r="A178" s="64"/>
      <c r="B178" s="64"/>
      <c r="C178" s="64"/>
      <c r="D178" s="100"/>
      <c r="E178" s="64"/>
      <c r="F178" s="64"/>
      <c r="G178" s="64"/>
      <c r="H178" s="64"/>
      <c r="I178" s="64"/>
      <c r="J178" s="64"/>
      <c r="K178" s="64"/>
      <c r="L178" s="64"/>
      <c r="M178" s="64"/>
      <c r="N178" s="64"/>
      <c r="O178" s="64"/>
      <c r="P178" s="64"/>
      <c r="Q178" s="64"/>
      <c r="R178" s="64"/>
      <c r="S178" s="64"/>
      <c r="T178" s="64"/>
      <c r="U178" s="64"/>
      <c r="V178" s="64"/>
      <c r="W178" s="64"/>
      <c r="X178" s="64"/>
      <c r="Y178" s="64"/>
      <c r="Z178" s="64"/>
    </row>
    <row r="179">
      <c r="A179" s="64"/>
      <c r="B179" s="64"/>
      <c r="C179" s="64"/>
      <c r="D179" s="100"/>
      <c r="E179" s="64"/>
      <c r="F179" s="64"/>
      <c r="G179" s="64"/>
      <c r="H179" s="64"/>
      <c r="I179" s="64"/>
      <c r="J179" s="64"/>
      <c r="K179" s="64"/>
      <c r="L179" s="64"/>
      <c r="M179" s="64"/>
      <c r="N179" s="64"/>
      <c r="O179" s="64"/>
      <c r="P179" s="64"/>
      <c r="Q179" s="64"/>
      <c r="R179" s="64"/>
      <c r="S179" s="64"/>
      <c r="T179" s="64"/>
      <c r="U179" s="64"/>
      <c r="V179" s="64"/>
      <c r="W179" s="64"/>
      <c r="X179" s="64"/>
      <c r="Y179" s="64"/>
      <c r="Z179" s="64"/>
    </row>
    <row r="180">
      <c r="A180" s="64"/>
      <c r="B180" s="64"/>
      <c r="C180" s="64"/>
      <c r="D180" s="100"/>
      <c r="E180" s="64"/>
      <c r="F180" s="64"/>
      <c r="G180" s="64"/>
      <c r="H180" s="64"/>
      <c r="I180" s="64"/>
      <c r="J180" s="64"/>
      <c r="K180" s="64"/>
      <c r="L180" s="64"/>
      <c r="M180" s="64"/>
      <c r="N180" s="64"/>
      <c r="O180" s="64"/>
      <c r="P180" s="64"/>
      <c r="Q180" s="64"/>
      <c r="R180" s="64"/>
      <c r="S180" s="64"/>
      <c r="T180" s="64"/>
      <c r="U180" s="64"/>
      <c r="V180" s="64"/>
      <c r="W180" s="64"/>
      <c r="X180" s="64"/>
      <c r="Y180" s="64"/>
      <c r="Z180" s="64"/>
    </row>
    <row r="181">
      <c r="A181" s="64"/>
      <c r="B181" s="64"/>
      <c r="C181" s="64"/>
      <c r="D181" s="100"/>
      <c r="E181" s="64"/>
      <c r="F181" s="64"/>
      <c r="G181" s="64"/>
      <c r="H181" s="64"/>
      <c r="I181" s="64"/>
      <c r="J181" s="64"/>
      <c r="K181" s="64"/>
      <c r="L181" s="64"/>
      <c r="M181" s="64"/>
      <c r="N181" s="64"/>
      <c r="O181" s="64"/>
      <c r="P181" s="64"/>
      <c r="Q181" s="64"/>
      <c r="R181" s="64"/>
      <c r="S181" s="64"/>
      <c r="T181" s="64"/>
      <c r="U181" s="64"/>
      <c r="V181" s="64"/>
      <c r="W181" s="64"/>
      <c r="X181" s="64"/>
      <c r="Y181" s="64"/>
      <c r="Z181" s="64"/>
    </row>
    <row r="182">
      <c r="A182" s="64"/>
      <c r="B182" s="64"/>
      <c r="C182" s="64"/>
      <c r="D182" s="100"/>
      <c r="E182" s="64"/>
      <c r="F182" s="64"/>
      <c r="G182" s="64"/>
      <c r="H182" s="64"/>
      <c r="I182" s="64"/>
      <c r="J182" s="64"/>
      <c r="K182" s="64"/>
      <c r="L182" s="64"/>
      <c r="M182" s="64"/>
      <c r="N182" s="64"/>
      <c r="O182" s="64"/>
      <c r="P182" s="64"/>
      <c r="Q182" s="64"/>
      <c r="R182" s="64"/>
      <c r="S182" s="64"/>
      <c r="T182" s="64"/>
      <c r="U182" s="64"/>
      <c r="V182" s="64"/>
      <c r="W182" s="64"/>
      <c r="X182" s="64"/>
      <c r="Y182" s="64"/>
      <c r="Z182" s="64"/>
    </row>
    <row r="183">
      <c r="A183" s="64"/>
      <c r="B183" s="64"/>
      <c r="C183" s="64"/>
      <c r="D183" s="100"/>
      <c r="E183" s="64"/>
      <c r="F183" s="64"/>
      <c r="G183" s="64"/>
      <c r="H183" s="64"/>
      <c r="I183" s="64"/>
      <c r="J183" s="64"/>
      <c r="K183" s="64"/>
      <c r="L183" s="64"/>
      <c r="M183" s="64"/>
      <c r="N183" s="64"/>
      <c r="O183" s="64"/>
      <c r="P183" s="64"/>
      <c r="Q183" s="64"/>
      <c r="R183" s="64"/>
      <c r="S183" s="64"/>
      <c r="T183" s="64"/>
      <c r="U183" s="64"/>
      <c r="V183" s="64"/>
      <c r="W183" s="64"/>
      <c r="X183" s="64"/>
      <c r="Y183" s="64"/>
      <c r="Z183" s="64"/>
    </row>
    <row r="184">
      <c r="A184" s="64"/>
      <c r="B184" s="64"/>
      <c r="C184" s="64"/>
      <c r="D184" s="100"/>
      <c r="E184" s="64"/>
      <c r="F184" s="64"/>
      <c r="G184" s="64"/>
      <c r="H184" s="64"/>
      <c r="I184" s="64"/>
      <c r="J184" s="64"/>
      <c r="K184" s="64"/>
      <c r="L184" s="64"/>
      <c r="M184" s="64"/>
      <c r="N184" s="64"/>
      <c r="O184" s="64"/>
      <c r="P184" s="64"/>
      <c r="Q184" s="64"/>
      <c r="R184" s="64"/>
      <c r="S184" s="64"/>
      <c r="T184" s="64"/>
      <c r="U184" s="64"/>
      <c r="V184" s="64"/>
      <c r="W184" s="64"/>
      <c r="X184" s="64"/>
      <c r="Y184" s="64"/>
      <c r="Z184" s="64"/>
    </row>
    <row r="185">
      <c r="A185" s="64"/>
      <c r="B185" s="64"/>
      <c r="C185" s="64"/>
      <c r="D185" s="100"/>
      <c r="E185" s="64"/>
      <c r="F185" s="64"/>
      <c r="G185" s="64"/>
      <c r="H185" s="64"/>
      <c r="I185" s="64"/>
      <c r="J185" s="64"/>
      <c r="K185" s="64"/>
      <c r="L185" s="64"/>
      <c r="M185" s="64"/>
      <c r="N185" s="64"/>
      <c r="O185" s="64"/>
      <c r="P185" s="64"/>
      <c r="Q185" s="64"/>
      <c r="R185" s="64"/>
      <c r="S185" s="64"/>
      <c r="T185" s="64"/>
      <c r="U185" s="64"/>
      <c r="V185" s="64"/>
      <c r="W185" s="64"/>
      <c r="X185" s="64"/>
      <c r="Y185" s="64"/>
      <c r="Z185" s="64"/>
    </row>
    <row r="186">
      <c r="A186" s="64"/>
      <c r="B186" s="64"/>
      <c r="C186" s="64"/>
      <c r="D186" s="100"/>
      <c r="E186" s="64"/>
      <c r="F186" s="64"/>
      <c r="G186" s="64"/>
      <c r="H186" s="64"/>
      <c r="I186" s="64"/>
      <c r="J186" s="64"/>
      <c r="K186" s="64"/>
      <c r="L186" s="64"/>
      <c r="M186" s="64"/>
      <c r="N186" s="64"/>
      <c r="O186" s="64"/>
      <c r="P186" s="64"/>
      <c r="Q186" s="64"/>
      <c r="R186" s="64"/>
      <c r="S186" s="64"/>
      <c r="T186" s="64"/>
      <c r="U186" s="64"/>
      <c r="V186" s="64"/>
      <c r="W186" s="64"/>
      <c r="X186" s="64"/>
      <c r="Y186" s="64"/>
      <c r="Z186" s="64"/>
    </row>
    <row r="187">
      <c r="A187" s="64"/>
      <c r="B187" s="64"/>
      <c r="C187" s="64"/>
      <c r="D187" s="100"/>
      <c r="E187" s="64"/>
      <c r="F187" s="64"/>
      <c r="G187" s="64"/>
      <c r="H187" s="64"/>
      <c r="I187" s="64"/>
      <c r="J187" s="64"/>
      <c r="K187" s="64"/>
      <c r="L187" s="64"/>
      <c r="M187" s="64"/>
      <c r="N187" s="64"/>
      <c r="O187" s="64"/>
      <c r="P187" s="64"/>
      <c r="Q187" s="64"/>
      <c r="R187" s="64"/>
      <c r="S187" s="64"/>
      <c r="T187" s="64"/>
      <c r="U187" s="64"/>
      <c r="V187" s="64"/>
      <c r="W187" s="64"/>
      <c r="X187" s="64"/>
      <c r="Y187" s="64"/>
      <c r="Z187" s="64"/>
    </row>
    <row r="188">
      <c r="A188" s="64"/>
      <c r="B188" s="64"/>
      <c r="C188" s="64"/>
      <c r="D188" s="100"/>
      <c r="E188" s="64"/>
      <c r="F188" s="64"/>
      <c r="G188" s="64"/>
      <c r="H188" s="64"/>
      <c r="I188" s="64"/>
      <c r="J188" s="64"/>
      <c r="K188" s="64"/>
      <c r="L188" s="64"/>
      <c r="M188" s="64"/>
      <c r="N188" s="64"/>
      <c r="O188" s="64"/>
      <c r="P188" s="64"/>
      <c r="Q188" s="64"/>
      <c r="R188" s="64"/>
      <c r="S188" s="64"/>
      <c r="T188" s="64"/>
      <c r="U188" s="64"/>
      <c r="V188" s="64"/>
      <c r="W188" s="64"/>
      <c r="X188" s="64"/>
      <c r="Y188" s="64"/>
      <c r="Z188" s="64"/>
    </row>
    <row r="189">
      <c r="A189" s="64"/>
      <c r="B189" s="64"/>
      <c r="C189" s="64"/>
      <c r="D189" s="100"/>
      <c r="E189" s="64"/>
      <c r="F189" s="64"/>
      <c r="G189" s="64"/>
      <c r="H189" s="64"/>
      <c r="I189" s="64"/>
      <c r="J189" s="64"/>
      <c r="K189" s="64"/>
      <c r="L189" s="64"/>
      <c r="M189" s="64"/>
      <c r="N189" s="64"/>
      <c r="O189" s="64"/>
      <c r="P189" s="64"/>
      <c r="Q189" s="64"/>
      <c r="R189" s="64"/>
      <c r="S189" s="64"/>
      <c r="T189" s="64"/>
      <c r="U189" s="64"/>
      <c r="V189" s="64"/>
      <c r="W189" s="64"/>
      <c r="X189" s="64"/>
      <c r="Y189" s="64"/>
      <c r="Z189" s="64"/>
    </row>
    <row r="190">
      <c r="A190" s="64"/>
      <c r="B190" s="64"/>
      <c r="C190" s="64"/>
      <c r="D190" s="100"/>
      <c r="E190" s="64"/>
      <c r="F190" s="64"/>
      <c r="G190" s="64"/>
      <c r="H190" s="64"/>
      <c r="I190" s="64"/>
      <c r="J190" s="64"/>
      <c r="K190" s="64"/>
      <c r="L190" s="64"/>
      <c r="M190" s="64"/>
      <c r="N190" s="64"/>
      <c r="O190" s="64"/>
      <c r="P190" s="64"/>
      <c r="Q190" s="64"/>
      <c r="R190" s="64"/>
      <c r="S190" s="64"/>
      <c r="T190" s="64"/>
      <c r="U190" s="64"/>
      <c r="V190" s="64"/>
      <c r="W190" s="64"/>
      <c r="X190" s="64"/>
      <c r="Y190" s="64"/>
      <c r="Z190" s="64"/>
    </row>
    <row r="191">
      <c r="A191" s="64"/>
      <c r="B191" s="64"/>
      <c r="C191" s="64"/>
      <c r="D191" s="100"/>
      <c r="E191" s="64"/>
      <c r="F191" s="64"/>
      <c r="G191" s="64"/>
      <c r="H191" s="64"/>
      <c r="I191" s="64"/>
      <c r="J191" s="64"/>
      <c r="K191" s="64"/>
      <c r="L191" s="64"/>
      <c r="M191" s="64"/>
      <c r="N191" s="64"/>
      <c r="O191" s="64"/>
      <c r="P191" s="64"/>
      <c r="Q191" s="64"/>
      <c r="R191" s="64"/>
      <c r="S191" s="64"/>
      <c r="T191" s="64"/>
      <c r="U191" s="64"/>
      <c r="V191" s="64"/>
      <c r="W191" s="64"/>
      <c r="X191" s="64"/>
      <c r="Y191" s="64"/>
      <c r="Z191" s="64"/>
    </row>
    <row r="192">
      <c r="A192" s="64"/>
      <c r="B192" s="64"/>
      <c r="C192" s="64"/>
      <c r="D192" s="100"/>
      <c r="E192" s="64"/>
      <c r="F192" s="64"/>
      <c r="G192" s="64"/>
      <c r="H192" s="64"/>
      <c r="I192" s="64"/>
      <c r="J192" s="64"/>
      <c r="K192" s="64"/>
      <c r="L192" s="64"/>
      <c r="M192" s="64"/>
      <c r="N192" s="64"/>
      <c r="O192" s="64"/>
      <c r="P192" s="64"/>
      <c r="Q192" s="64"/>
      <c r="R192" s="64"/>
      <c r="S192" s="64"/>
      <c r="T192" s="64"/>
      <c r="U192" s="64"/>
      <c r="V192" s="64"/>
      <c r="W192" s="64"/>
      <c r="X192" s="64"/>
      <c r="Y192" s="64"/>
      <c r="Z192" s="64"/>
    </row>
    <row r="193">
      <c r="A193" s="64"/>
      <c r="B193" s="64"/>
      <c r="C193" s="64"/>
      <c r="D193" s="100"/>
      <c r="E193" s="64"/>
      <c r="F193" s="64"/>
      <c r="G193" s="64"/>
      <c r="H193" s="64"/>
      <c r="I193" s="64"/>
      <c r="J193" s="64"/>
      <c r="K193" s="64"/>
      <c r="L193" s="64"/>
      <c r="M193" s="64"/>
      <c r="N193" s="64"/>
      <c r="O193" s="64"/>
      <c r="P193" s="64"/>
      <c r="Q193" s="64"/>
      <c r="R193" s="64"/>
      <c r="S193" s="64"/>
      <c r="T193" s="64"/>
      <c r="U193" s="64"/>
      <c r="V193" s="64"/>
      <c r="W193" s="64"/>
      <c r="X193" s="64"/>
      <c r="Y193" s="64"/>
      <c r="Z193" s="64"/>
    </row>
    <row r="194">
      <c r="A194" s="64"/>
      <c r="B194" s="64"/>
      <c r="C194" s="64"/>
      <c r="D194" s="100"/>
      <c r="E194" s="64"/>
      <c r="F194" s="64"/>
      <c r="G194" s="64"/>
      <c r="H194" s="64"/>
      <c r="I194" s="64"/>
      <c r="J194" s="64"/>
      <c r="K194" s="64"/>
      <c r="L194" s="64"/>
      <c r="M194" s="64"/>
      <c r="N194" s="64"/>
      <c r="O194" s="64"/>
      <c r="P194" s="64"/>
      <c r="Q194" s="64"/>
      <c r="R194" s="64"/>
      <c r="S194" s="64"/>
      <c r="T194" s="64"/>
      <c r="U194" s="64"/>
      <c r="V194" s="64"/>
      <c r="W194" s="64"/>
      <c r="X194" s="64"/>
      <c r="Y194" s="64"/>
      <c r="Z194" s="64"/>
    </row>
    <row r="195">
      <c r="A195" s="64"/>
      <c r="B195" s="64"/>
      <c r="C195" s="64"/>
      <c r="D195" s="100"/>
      <c r="E195" s="64"/>
      <c r="F195" s="64"/>
      <c r="G195" s="64"/>
      <c r="H195" s="64"/>
      <c r="I195" s="64"/>
      <c r="J195" s="64"/>
      <c r="K195" s="64"/>
      <c r="L195" s="64"/>
      <c r="M195" s="64"/>
      <c r="N195" s="64"/>
      <c r="O195" s="64"/>
      <c r="P195" s="64"/>
      <c r="Q195" s="64"/>
      <c r="R195" s="64"/>
      <c r="S195" s="64"/>
      <c r="T195" s="64"/>
      <c r="U195" s="64"/>
      <c r="V195" s="64"/>
      <c r="W195" s="64"/>
      <c r="X195" s="64"/>
      <c r="Y195" s="64"/>
      <c r="Z195" s="64"/>
    </row>
    <row r="196">
      <c r="A196" s="64"/>
      <c r="B196" s="64"/>
      <c r="C196" s="64"/>
      <c r="D196" s="100"/>
      <c r="E196" s="64"/>
      <c r="F196" s="64"/>
      <c r="G196" s="64"/>
      <c r="H196" s="64"/>
      <c r="I196" s="64"/>
      <c r="J196" s="64"/>
      <c r="K196" s="64"/>
      <c r="L196" s="64"/>
      <c r="M196" s="64"/>
      <c r="N196" s="64"/>
      <c r="O196" s="64"/>
      <c r="P196" s="64"/>
      <c r="Q196" s="64"/>
      <c r="R196" s="64"/>
      <c r="S196" s="64"/>
      <c r="T196" s="64"/>
      <c r="U196" s="64"/>
      <c r="V196" s="64"/>
      <c r="W196" s="64"/>
      <c r="X196" s="64"/>
      <c r="Y196" s="64"/>
      <c r="Z196" s="64"/>
    </row>
    <row r="197">
      <c r="A197" s="64"/>
      <c r="B197" s="64"/>
      <c r="C197" s="64"/>
      <c r="D197" s="100"/>
      <c r="E197" s="64"/>
      <c r="F197" s="64"/>
      <c r="G197" s="64"/>
      <c r="H197" s="64"/>
      <c r="I197" s="64"/>
      <c r="J197" s="64"/>
      <c r="K197" s="64"/>
      <c r="L197" s="64"/>
      <c r="M197" s="64"/>
      <c r="N197" s="64"/>
      <c r="O197" s="64"/>
      <c r="P197" s="64"/>
      <c r="Q197" s="64"/>
      <c r="R197" s="64"/>
      <c r="S197" s="64"/>
      <c r="T197" s="64"/>
      <c r="U197" s="64"/>
      <c r="V197" s="64"/>
      <c r="W197" s="64"/>
      <c r="X197" s="64"/>
      <c r="Y197" s="64"/>
      <c r="Z197" s="64"/>
    </row>
    <row r="198">
      <c r="A198" s="64"/>
      <c r="B198" s="64"/>
      <c r="C198" s="64"/>
      <c r="D198" s="100"/>
      <c r="E198" s="64"/>
      <c r="F198" s="64"/>
      <c r="G198" s="64"/>
      <c r="H198" s="64"/>
      <c r="I198" s="64"/>
      <c r="J198" s="64"/>
      <c r="K198" s="64"/>
      <c r="L198" s="64"/>
      <c r="M198" s="64"/>
      <c r="N198" s="64"/>
      <c r="O198" s="64"/>
      <c r="P198" s="64"/>
      <c r="Q198" s="64"/>
      <c r="R198" s="64"/>
      <c r="S198" s="64"/>
      <c r="T198" s="64"/>
      <c r="U198" s="64"/>
      <c r="V198" s="64"/>
      <c r="W198" s="64"/>
      <c r="X198" s="64"/>
      <c r="Y198" s="64"/>
      <c r="Z198" s="64"/>
    </row>
    <row r="199">
      <c r="A199" s="64"/>
      <c r="B199" s="64"/>
      <c r="C199" s="64"/>
      <c r="D199" s="100"/>
      <c r="E199" s="64"/>
      <c r="F199" s="64"/>
      <c r="G199" s="64"/>
      <c r="H199" s="64"/>
      <c r="I199" s="64"/>
      <c r="J199" s="64"/>
      <c r="K199" s="64"/>
      <c r="L199" s="64"/>
      <c r="M199" s="64"/>
      <c r="N199" s="64"/>
      <c r="O199" s="64"/>
      <c r="P199" s="64"/>
      <c r="Q199" s="64"/>
      <c r="R199" s="64"/>
      <c r="S199" s="64"/>
      <c r="T199" s="64"/>
      <c r="U199" s="64"/>
      <c r="V199" s="64"/>
      <c r="W199" s="64"/>
      <c r="X199" s="64"/>
      <c r="Y199" s="64"/>
      <c r="Z199" s="64"/>
    </row>
    <row r="200">
      <c r="A200" s="64"/>
      <c r="B200" s="64"/>
      <c r="C200" s="64"/>
      <c r="D200" s="100"/>
      <c r="E200" s="64"/>
      <c r="F200" s="64"/>
      <c r="G200" s="64"/>
      <c r="H200" s="64"/>
      <c r="I200" s="64"/>
      <c r="J200" s="64"/>
      <c r="K200" s="64"/>
      <c r="L200" s="64"/>
      <c r="M200" s="64"/>
      <c r="N200" s="64"/>
      <c r="O200" s="64"/>
      <c r="P200" s="64"/>
      <c r="Q200" s="64"/>
      <c r="R200" s="64"/>
      <c r="S200" s="64"/>
      <c r="T200" s="64"/>
      <c r="U200" s="64"/>
      <c r="V200" s="64"/>
      <c r="W200" s="64"/>
      <c r="X200" s="64"/>
      <c r="Y200" s="64"/>
      <c r="Z200" s="64"/>
    </row>
    <row r="201">
      <c r="A201" s="64"/>
      <c r="B201" s="64"/>
      <c r="C201" s="64"/>
      <c r="D201" s="100"/>
      <c r="E201" s="64"/>
      <c r="F201" s="64"/>
      <c r="G201" s="64"/>
      <c r="H201" s="64"/>
      <c r="I201" s="64"/>
      <c r="J201" s="64"/>
      <c r="K201" s="64"/>
      <c r="L201" s="64"/>
      <c r="M201" s="64"/>
      <c r="N201" s="64"/>
      <c r="O201" s="64"/>
      <c r="P201" s="64"/>
      <c r="Q201" s="64"/>
      <c r="R201" s="64"/>
      <c r="S201" s="64"/>
      <c r="T201" s="64"/>
      <c r="U201" s="64"/>
      <c r="V201" s="64"/>
      <c r="W201" s="64"/>
      <c r="X201" s="64"/>
      <c r="Y201" s="64"/>
      <c r="Z201" s="64"/>
    </row>
    <row r="202">
      <c r="A202" s="64"/>
      <c r="B202" s="64"/>
      <c r="C202" s="64"/>
      <c r="D202" s="100"/>
      <c r="E202" s="64"/>
      <c r="F202" s="64"/>
      <c r="G202" s="64"/>
      <c r="H202" s="64"/>
      <c r="I202" s="64"/>
      <c r="J202" s="64"/>
      <c r="K202" s="64"/>
      <c r="L202" s="64"/>
      <c r="M202" s="64"/>
      <c r="N202" s="64"/>
      <c r="O202" s="64"/>
      <c r="P202" s="64"/>
      <c r="Q202" s="64"/>
      <c r="R202" s="64"/>
      <c r="S202" s="64"/>
      <c r="T202" s="64"/>
      <c r="U202" s="64"/>
      <c r="V202" s="64"/>
      <c r="W202" s="64"/>
      <c r="X202" s="64"/>
      <c r="Y202" s="64"/>
      <c r="Z202" s="64"/>
    </row>
    <row r="203">
      <c r="A203" s="64"/>
      <c r="B203" s="64"/>
      <c r="C203" s="64"/>
      <c r="D203" s="100"/>
      <c r="E203" s="64"/>
      <c r="F203" s="64"/>
      <c r="G203" s="64"/>
      <c r="H203" s="64"/>
      <c r="I203" s="64"/>
      <c r="J203" s="64"/>
      <c r="K203" s="64"/>
      <c r="L203" s="64"/>
      <c r="M203" s="64"/>
      <c r="N203" s="64"/>
      <c r="O203" s="64"/>
      <c r="P203" s="64"/>
      <c r="Q203" s="64"/>
      <c r="R203" s="64"/>
      <c r="S203" s="64"/>
      <c r="T203" s="64"/>
      <c r="U203" s="64"/>
      <c r="V203" s="64"/>
      <c r="W203" s="64"/>
      <c r="X203" s="64"/>
      <c r="Y203" s="64"/>
      <c r="Z203" s="64"/>
    </row>
    <row r="204">
      <c r="A204" s="64"/>
      <c r="B204" s="64"/>
      <c r="C204" s="64"/>
      <c r="D204" s="100"/>
      <c r="E204" s="64"/>
      <c r="F204" s="64"/>
      <c r="G204" s="64"/>
      <c r="H204" s="64"/>
      <c r="I204" s="64"/>
      <c r="J204" s="64"/>
      <c r="K204" s="64"/>
      <c r="L204" s="64"/>
      <c r="M204" s="64"/>
      <c r="N204" s="64"/>
      <c r="O204" s="64"/>
      <c r="P204" s="64"/>
      <c r="Q204" s="64"/>
      <c r="R204" s="64"/>
      <c r="S204" s="64"/>
      <c r="T204" s="64"/>
      <c r="U204" s="64"/>
      <c r="V204" s="64"/>
      <c r="W204" s="64"/>
      <c r="X204" s="64"/>
      <c r="Y204" s="64"/>
      <c r="Z204" s="64"/>
    </row>
    <row r="205">
      <c r="A205" s="64"/>
      <c r="B205" s="64"/>
      <c r="C205" s="64"/>
      <c r="D205" s="100"/>
      <c r="E205" s="64"/>
      <c r="F205" s="64"/>
      <c r="G205" s="64"/>
      <c r="H205" s="64"/>
      <c r="I205" s="64"/>
      <c r="J205" s="64"/>
      <c r="K205" s="64"/>
      <c r="L205" s="64"/>
      <c r="M205" s="64"/>
      <c r="N205" s="64"/>
      <c r="O205" s="64"/>
      <c r="P205" s="64"/>
      <c r="Q205" s="64"/>
      <c r="R205" s="64"/>
      <c r="S205" s="64"/>
      <c r="T205" s="64"/>
      <c r="U205" s="64"/>
      <c r="V205" s="64"/>
      <c r="W205" s="64"/>
      <c r="X205" s="64"/>
      <c r="Y205" s="64"/>
      <c r="Z205" s="64"/>
    </row>
    <row r="206">
      <c r="A206" s="64"/>
      <c r="B206" s="64"/>
      <c r="C206" s="64"/>
      <c r="D206" s="100"/>
      <c r="E206" s="64"/>
      <c r="F206" s="64"/>
      <c r="G206" s="64"/>
      <c r="H206" s="64"/>
      <c r="I206" s="64"/>
      <c r="J206" s="64"/>
      <c r="K206" s="64"/>
      <c r="L206" s="64"/>
      <c r="M206" s="64"/>
      <c r="N206" s="64"/>
      <c r="O206" s="64"/>
      <c r="P206" s="64"/>
      <c r="Q206" s="64"/>
      <c r="R206" s="64"/>
      <c r="S206" s="64"/>
      <c r="T206" s="64"/>
      <c r="U206" s="64"/>
      <c r="V206" s="64"/>
      <c r="W206" s="64"/>
      <c r="X206" s="64"/>
      <c r="Y206" s="64"/>
      <c r="Z206" s="64"/>
    </row>
    <row r="207">
      <c r="A207" s="64"/>
      <c r="B207" s="64"/>
      <c r="C207" s="64"/>
      <c r="D207" s="100"/>
      <c r="E207" s="64"/>
      <c r="F207" s="64"/>
      <c r="G207" s="64"/>
      <c r="H207" s="64"/>
      <c r="I207" s="64"/>
      <c r="J207" s="64"/>
      <c r="K207" s="64"/>
      <c r="L207" s="64"/>
      <c r="M207" s="64"/>
      <c r="N207" s="64"/>
      <c r="O207" s="64"/>
      <c r="P207" s="64"/>
      <c r="Q207" s="64"/>
      <c r="R207" s="64"/>
      <c r="S207" s="64"/>
      <c r="T207" s="64"/>
      <c r="U207" s="64"/>
      <c r="V207" s="64"/>
      <c r="W207" s="64"/>
      <c r="X207" s="64"/>
      <c r="Y207" s="64"/>
      <c r="Z207" s="64"/>
    </row>
    <row r="208">
      <c r="A208" s="64"/>
      <c r="B208" s="64"/>
      <c r="C208" s="64"/>
      <c r="D208" s="100"/>
      <c r="E208" s="64"/>
      <c r="F208" s="64"/>
      <c r="G208" s="64"/>
      <c r="H208" s="64"/>
      <c r="I208" s="64"/>
      <c r="J208" s="64"/>
      <c r="K208" s="64"/>
      <c r="L208" s="64"/>
      <c r="M208" s="64"/>
      <c r="N208" s="64"/>
      <c r="O208" s="64"/>
      <c r="P208" s="64"/>
      <c r="Q208" s="64"/>
      <c r="R208" s="64"/>
      <c r="S208" s="64"/>
      <c r="T208" s="64"/>
      <c r="U208" s="64"/>
      <c r="V208" s="64"/>
      <c r="W208" s="64"/>
      <c r="X208" s="64"/>
      <c r="Y208" s="64"/>
      <c r="Z208" s="64"/>
    </row>
    <row r="209">
      <c r="A209" s="64"/>
      <c r="B209" s="64"/>
      <c r="C209" s="64"/>
      <c r="D209" s="100"/>
      <c r="E209" s="64"/>
      <c r="F209" s="64"/>
      <c r="G209" s="64"/>
      <c r="H209" s="64"/>
      <c r="I209" s="64"/>
      <c r="J209" s="64"/>
      <c r="K209" s="64"/>
      <c r="L209" s="64"/>
      <c r="M209" s="64"/>
      <c r="N209" s="64"/>
      <c r="O209" s="64"/>
      <c r="P209" s="64"/>
      <c r="Q209" s="64"/>
      <c r="R209" s="64"/>
      <c r="S209" s="64"/>
      <c r="T209" s="64"/>
      <c r="U209" s="64"/>
      <c r="V209" s="64"/>
      <c r="W209" s="64"/>
      <c r="X209" s="64"/>
      <c r="Y209" s="64"/>
      <c r="Z209" s="64"/>
    </row>
    <row r="210">
      <c r="A210" s="64"/>
      <c r="B210" s="64"/>
      <c r="C210" s="64"/>
      <c r="D210" s="100"/>
      <c r="E210" s="64"/>
      <c r="F210" s="64"/>
      <c r="G210" s="64"/>
      <c r="H210" s="64"/>
      <c r="I210" s="64"/>
      <c r="J210" s="64"/>
      <c r="K210" s="64"/>
      <c r="L210" s="64"/>
      <c r="M210" s="64"/>
      <c r="N210" s="64"/>
      <c r="O210" s="64"/>
      <c r="P210" s="64"/>
      <c r="Q210" s="64"/>
      <c r="R210" s="64"/>
      <c r="S210" s="64"/>
      <c r="T210" s="64"/>
      <c r="U210" s="64"/>
      <c r="V210" s="64"/>
      <c r="W210" s="64"/>
      <c r="X210" s="64"/>
      <c r="Y210" s="64"/>
      <c r="Z210" s="64"/>
    </row>
    <row r="211">
      <c r="A211" s="64"/>
      <c r="B211" s="64"/>
      <c r="C211" s="64"/>
      <c r="D211" s="100"/>
      <c r="E211" s="64"/>
      <c r="F211" s="64"/>
      <c r="G211" s="64"/>
      <c r="H211" s="64"/>
      <c r="I211" s="64"/>
      <c r="J211" s="64"/>
      <c r="K211" s="64"/>
      <c r="L211" s="64"/>
      <c r="M211" s="64"/>
      <c r="N211" s="64"/>
      <c r="O211" s="64"/>
      <c r="P211" s="64"/>
      <c r="Q211" s="64"/>
      <c r="R211" s="64"/>
      <c r="S211" s="64"/>
      <c r="T211" s="64"/>
      <c r="U211" s="64"/>
      <c r="V211" s="64"/>
      <c r="W211" s="64"/>
      <c r="X211" s="64"/>
      <c r="Y211" s="64"/>
      <c r="Z211" s="64"/>
    </row>
    <row r="212">
      <c r="A212" s="64"/>
      <c r="B212" s="64"/>
      <c r="C212" s="64"/>
      <c r="D212" s="100"/>
      <c r="E212" s="64"/>
      <c r="F212" s="64"/>
      <c r="G212" s="64"/>
      <c r="H212" s="64"/>
      <c r="I212" s="64"/>
      <c r="J212" s="64"/>
      <c r="K212" s="64"/>
      <c r="L212" s="64"/>
      <c r="M212" s="64"/>
      <c r="N212" s="64"/>
      <c r="O212" s="64"/>
      <c r="P212" s="64"/>
      <c r="Q212" s="64"/>
      <c r="R212" s="64"/>
      <c r="S212" s="64"/>
      <c r="T212" s="64"/>
      <c r="U212" s="64"/>
      <c r="V212" s="64"/>
      <c r="W212" s="64"/>
      <c r="X212" s="64"/>
      <c r="Y212" s="64"/>
      <c r="Z212" s="64"/>
    </row>
    <row r="213">
      <c r="A213" s="64"/>
      <c r="B213" s="64"/>
      <c r="C213" s="64"/>
      <c r="D213" s="100"/>
      <c r="E213" s="64"/>
      <c r="F213" s="64"/>
      <c r="G213" s="64"/>
      <c r="H213" s="64"/>
      <c r="I213" s="64"/>
      <c r="J213" s="64"/>
      <c r="K213" s="64"/>
      <c r="L213" s="64"/>
      <c r="M213" s="64"/>
      <c r="N213" s="64"/>
      <c r="O213" s="64"/>
      <c r="P213" s="64"/>
      <c r="Q213" s="64"/>
      <c r="R213" s="64"/>
      <c r="S213" s="64"/>
      <c r="T213" s="64"/>
      <c r="U213" s="64"/>
      <c r="V213" s="64"/>
      <c r="W213" s="64"/>
      <c r="X213" s="64"/>
      <c r="Y213" s="64"/>
      <c r="Z213" s="64"/>
    </row>
    <row r="214">
      <c r="A214" s="64"/>
      <c r="B214" s="64"/>
      <c r="C214" s="64"/>
      <c r="D214" s="100"/>
      <c r="E214" s="64"/>
      <c r="F214" s="64"/>
      <c r="G214" s="64"/>
      <c r="H214" s="64"/>
      <c r="I214" s="64"/>
      <c r="J214" s="64"/>
      <c r="K214" s="64"/>
      <c r="L214" s="64"/>
      <c r="M214" s="64"/>
      <c r="N214" s="64"/>
      <c r="O214" s="64"/>
      <c r="P214" s="64"/>
      <c r="Q214" s="64"/>
      <c r="R214" s="64"/>
      <c r="S214" s="64"/>
      <c r="T214" s="64"/>
      <c r="U214" s="64"/>
      <c r="V214" s="64"/>
      <c r="W214" s="64"/>
      <c r="X214" s="64"/>
      <c r="Y214" s="64"/>
      <c r="Z214" s="64"/>
    </row>
    <row r="215">
      <c r="A215" s="64"/>
      <c r="B215" s="64"/>
      <c r="C215" s="64"/>
      <c r="D215" s="100"/>
      <c r="E215" s="64"/>
      <c r="F215" s="64"/>
      <c r="G215" s="64"/>
      <c r="H215" s="64"/>
      <c r="I215" s="64"/>
      <c r="J215" s="64"/>
      <c r="K215" s="64"/>
      <c r="L215" s="64"/>
      <c r="M215" s="64"/>
      <c r="N215" s="64"/>
      <c r="O215" s="64"/>
      <c r="P215" s="64"/>
      <c r="Q215" s="64"/>
      <c r="R215" s="64"/>
      <c r="S215" s="64"/>
      <c r="T215" s="64"/>
      <c r="U215" s="64"/>
      <c r="V215" s="64"/>
      <c r="W215" s="64"/>
      <c r="X215" s="64"/>
      <c r="Y215" s="64"/>
      <c r="Z215" s="64"/>
    </row>
    <row r="216">
      <c r="A216" s="64"/>
      <c r="B216" s="64"/>
      <c r="C216" s="64"/>
      <c r="D216" s="100"/>
      <c r="E216" s="64"/>
      <c r="F216" s="64"/>
      <c r="G216" s="64"/>
      <c r="H216" s="64"/>
      <c r="I216" s="64"/>
      <c r="J216" s="64"/>
      <c r="K216" s="64"/>
      <c r="L216" s="64"/>
      <c r="M216" s="64"/>
      <c r="N216" s="64"/>
      <c r="O216" s="64"/>
      <c r="P216" s="64"/>
      <c r="Q216" s="64"/>
      <c r="R216" s="64"/>
      <c r="S216" s="64"/>
      <c r="T216" s="64"/>
      <c r="U216" s="64"/>
      <c r="V216" s="64"/>
      <c r="W216" s="64"/>
      <c r="X216" s="64"/>
      <c r="Y216" s="64"/>
      <c r="Z216" s="64"/>
    </row>
    <row r="217">
      <c r="A217" s="64"/>
      <c r="B217" s="64"/>
      <c r="C217" s="64"/>
      <c r="D217" s="100"/>
      <c r="E217" s="64"/>
      <c r="F217" s="64"/>
      <c r="G217" s="64"/>
      <c r="H217" s="64"/>
      <c r="I217" s="64"/>
      <c r="J217" s="64"/>
      <c r="K217" s="64"/>
      <c r="L217" s="64"/>
      <c r="M217" s="64"/>
      <c r="N217" s="64"/>
      <c r="O217" s="64"/>
      <c r="P217" s="64"/>
      <c r="Q217" s="64"/>
      <c r="R217" s="64"/>
      <c r="S217" s="64"/>
      <c r="T217" s="64"/>
      <c r="U217" s="64"/>
      <c r="V217" s="64"/>
      <c r="W217" s="64"/>
      <c r="X217" s="64"/>
      <c r="Y217" s="64"/>
      <c r="Z217" s="64"/>
    </row>
    <row r="218">
      <c r="A218" s="64"/>
      <c r="B218" s="64"/>
      <c r="C218" s="64"/>
      <c r="D218" s="100"/>
      <c r="E218" s="64"/>
      <c r="F218" s="64"/>
      <c r="G218" s="64"/>
      <c r="H218" s="64"/>
      <c r="I218" s="64"/>
      <c r="J218" s="64"/>
      <c r="K218" s="64"/>
      <c r="L218" s="64"/>
      <c r="M218" s="64"/>
      <c r="N218" s="64"/>
      <c r="O218" s="64"/>
      <c r="P218" s="64"/>
      <c r="Q218" s="64"/>
      <c r="R218" s="64"/>
      <c r="S218" s="64"/>
      <c r="T218" s="64"/>
      <c r="U218" s="64"/>
      <c r="V218" s="64"/>
      <c r="W218" s="64"/>
      <c r="X218" s="64"/>
      <c r="Y218" s="64"/>
      <c r="Z218" s="64"/>
    </row>
    <row r="219">
      <c r="A219" s="64"/>
      <c r="B219" s="64"/>
      <c r="C219" s="64"/>
      <c r="D219" s="100"/>
      <c r="E219" s="64"/>
      <c r="F219" s="64"/>
      <c r="G219" s="64"/>
      <c r="H219" s="64"/>
      <c r="I219" s="64"/>
      <c r="J219" s="64"/>
      <c r="K219" s="64"/>
      <c r="L219" s="64"/>
      <c r="M219" s="64"/>
      <c r="N219" s="64"/>
      <c r="O219" s="64"/>
      <c r="P219" s="64"/>
      <c r="Q219" s="64"/>
      <c r="R219" s="64"/>
      <c r="S219" s="64"/>
      <c r="T219" s="64"/>
      <c r="U219" s="64"/>
      <c r="V219" s="64"/>
      <c r="W219" s="64"/>
      <c r="X219" s="64"/>
      <c r="Y219" s="64"/>
      <c r="Z219" s="64"/>
    </row>
    <row r="220">
      <c r="A220" s="64"/>
      <c r="B220" s="64"/>
      <c r="C220" s="64"/>
      <c r="D220" s="100"/>
      <c r="E220" s="64"/>
      <c r="F220" s="64"/>
      <c r="G220" s="64"/>
      <c r="H220" s="64"/>
      <c r="I220" s="64"/>
      <c r="J220" s="64"/>
      <c r="K220" s="64"/>
      <c r="L220" s="64"/>
      <c r="M220" s="64"/>
      <c r="N220" s="64"/>
      <c r="O220" s="64"/>
      <c r="P220" s="64"/>
      <c r="Q220" s="64"/>
      <c r="R220" s="64"/>
      <c r="S220" s="64"/>
      <c r="T220" s="64"/>
      <c r="U220" s="64"/>
      <c r="V220" s="64"/>
      <c r="W220" s="64"/>
      <c r="X220" s="64"/>
      <c r="Y220" s="64"/>
      <c r="Z220" s="64"/>
    </row>
    <row r="221">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row>
    <row r="222">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row>
    <row r="223">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row>
    <row r="224">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row>
    <row r="225">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row>
    <row r="226">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row>
    <row r="227">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row>
    <row r="228">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row>
    <row r="229">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row>
    <row r="230">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row>
    <row r="231">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row>
    <row r="232">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row>
    <row r="233">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row>
    <row r="234">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row>
    <row r="235">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row>
    <row r="236">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row>
    <row r="237">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row>
    <row r="238">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row>
    <row r="239">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row>
    <row r="240">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row>
    <row r="241">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row>
    <row r="242">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09"/>
    </row>
    <row r="243">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row>
    <row r="244">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row>
    <row r="245">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row>
    <row r="246">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09"/>
      <c r="X246" s="109"/>
      <c r="Y246" s="109"/>
      <c r="Z246" s="109"/>
    </row>
    <row r="247">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row>
    <row r="248">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row>
    <row r="249">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row>
    <row r="250">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09"/>
      <c r="X250" s="109"/>
      <c r="Y250" s="109"/>
      <c r="Z250" s="109"/>
    </row>
    <row r="251">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row>
    <row r="252">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row>
    <row r="253">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row>
    <row r="254">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row>
    <row r="255">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row>
    <row r="256">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row>
    <row r="257">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row>
    <row r="258">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row>
    <row r="259">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row>
    <row r="260">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row>
    <row r="261">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row>
    <row r="262">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row>
    <row r="263">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row>
    <row r="264">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row>
    <row r="265">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row>
    <row r="266">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09"/>
      <c r="X266" s="109"/>
      <c r="Y266" s="109"/>
      <c r="Z266" s="109"/>
    </row>
    <row r="267">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row>
    <row r="268">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09"/>
      <c r="X268" s="109"/>
      <c r="Y268" s="109"/>
      <c r="Z268" s="109"/>
    </row>
    <row r="269">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row>
    <row r="270">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row>
    <row r="271">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row>
    <row r="272">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row>
    <row r="273">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row>
    <row r="274">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09"/>
      <c r="X274" s="109"/>
      <c r="Y274" s="109"/>
      <c r="Z274" s="109"/>
    </row>
    <row r="275">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row>
    <row r="276">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09"/>
      <c r="X276" s="109"/>
      <c r="Y276" s="109"/>
      <c r="Z276" s="109"/>
    </row>
    <row r="277">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row>
    <row r="278">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row>
    <row r="279">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row>
    <row r="280">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row>
    <row r="281">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row>
    <row r="282">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09"/>
      <c r="X282" s="109"/>
      <c r="Y282" s="109"/>
      <c r="Z282" s="109"/>
    </row>
    <row r="283">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row>
    <row r="284">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row>
    <row r="285">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row>
    <row r="286">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row>
    <row r="287">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row>
    <row r="288">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row>
    <row r="289">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row>
    <row r="290">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row>
    <row r="291">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row>
    <row r="292">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row>
    <row r="293">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row>
    <row r="294">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row>
    <row r="295">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row>
    <row r="296">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row>
    <row r="297">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row>
    <row r="298">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row>
    <row r="299">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row>
    <row r="300">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row>
    <row r="301">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row>
    <row r="302">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row>
    <row r="303">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row>
    <row r="304">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row>
    <row r="305">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row>
    <row r="306">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row>
    <row r="307">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row>
    <row r="308">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row>
    <row r="309">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row>
    <row r="310">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row>
    <row r="311">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row>
    <row r="312">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row>
    <row r="313">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row>
    <row r="314">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row>
    <row r="315">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row>
    <row r="316">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row>
    <row r="317">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row>
    <row r="318">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row>
    <row r="319">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row>
    <row r="320">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row>
    <row r="321">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row>
    <row r="322">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row>
    <row r="323">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row>
    <row r="324">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row>
    <row r="325">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row>
    <row r="326">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row>
    <row r="327">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row>
    <row r="328">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row>
    <row r="329">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row>
    <row r="330">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row>
    <row r="331">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row>
    <row r="332">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row>
    <row r="333">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row>
    <row r="334">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row>
    <row r="335">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row>
    <row r="336">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row>
    <row r="337">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row>
    <row r="338">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09"/>
      <c r="X338" s="109"/>
      <c r="Y338" s="109"/>
      <c r="Z338" s="109"/>
    </row>
    <row r="339">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row>
    <row r="340">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09"/>
      <c r="X340" s="109"/>
      <c r="Y340" s="109"/>
      <c r="Z340" s="109"/>
    </row>
    <row r="341">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row>
    <row r="342">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09"/>
      <c r="X342" s="109"/>
      <c r="Y342" s="109"/>
      <c r="Z342" s="109"/>
    </row>
    <row r="343">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row>
    <row r="344">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row>
    <row r="345">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row>
    <row r="346">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09"/>
      <c r="X346" s="109"/>
      <c r="Y346" s="109"/>
      <c r="Z346" s="109"/>
    </row>
    <row r="347">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row>
    <row r="348">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09"/>
      <c r="X348" s="109"/>
      <c r="Y348" s="109"/>
      <c r="Z348" s="109"/>
    </row>
    <row r="349">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row>
    <row r="350">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09"/>
      <c r="X350" s="109"/>
      <c r="Y350" s="109"/>
      <c r="Z350" s="109"/>
    </row>
    <row r="351">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row>
    <row r="352">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row>
    <row r="353">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row>
    <row r="354">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09"/>
      <c r="X354" s="109"/>
      <c r="Y354" s="109"/>
      <c r="Z354" s="109"/>
    </row>
    <row r="355">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row>
    <row r="356">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09"/>
      <c r="X356" s="109"/>
      <c r="Y356" s="109"/>
      <c r="Z356" s="109"/>
    </row>
    <row r="357">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row>
    <row r="358">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09"/>
      <c r="X358" s="109"/>
      <c r="Y358" s="109"/>
      <c r="Z358" s="109"/>
    </row>
    <row r="359">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row>
    <row r="360">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row>
    <row r="361">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row>
    <row r="362">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09"/>
      <c r="X362" s="109"/>
      <c r="Y362" s="109"/>
      <c r="Z362" s="109"/>
    </row>
    <row r="363">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row>
    <row r="364">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09"/>
      <c r="X364" s="109"/>
      <c r="Y364" s="109"/>
      <c r="Z364" s="109"/>
    </row>
    <row r="365">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row>
    <row r="366">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09"/>
      <c r="X366" s="109"/>
      <c r="Y366" s="109"/>
      <c r="Z366" s="109"/>
    </row>
    <row r="367">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row>
    <row r="368">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row>
    <row r="369">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row>
    <row r="370">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09"/>
      <c r="X370" s="109"/>
      <c r="Y370" s="109"/>
      <c r="Z370" s="109"/>
    </row>
    <row r="371">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row>
    <row r="372">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09"/>
      <c r="X372" s="109"/>
      <c r="Y372" s="109"/>
      <c r="Z372" s="109"/>
    </row>
    <row r="373">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row>
    <row r="374">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09"/>
      <c r="X374" s="109"/>
      <c r="Y374" s="109"/>
      <c r="Z374" s="109"/>
    </row>
    <row r="375">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row>
    <row r="376">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row>
    <row r="377">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row>
    <row r="378">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09"/>
      <c r="X378" s="109"/>
      <c r="Y378" s="109"/>
      <c r="Z378" s="109"/>
    </row>
    <row r="379">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row>
    <row r="380">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09"/>
      <c r="X380" s="109"/>
      <c r="Y380" s="109"/>
      <c r="Z380" s="109"/>
    </row>
    <row r="381">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row>
    <row r="382">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09"/>
      <c r="X382" s="109"/>
      <c r="Y382" s="109"/>
      <c r="Z382" s="109"/>
    </row>
    <row r="383">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row>
    <row r="384">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row>
    <row r="385">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row>
    <row r="386">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09"/>
      <c r="X386" s="109"/>
      <c r="Y386" s="109"/>
      <c r="Z386" s="109"/>
    </row>
    <row r="387">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row>
    <row r="388">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09"/>
      <c r="X388" s="109"/>
      <c r="Y388" s="109"/>
      <c r="Z388" s="109"/>
    </row>
    <row r="389">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row>
    <row r="390">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09"/>
      <c r="X390" s="109"/>
      <c r="Y390" s="109"/>
      <c r="Z390" s="109"/>
    </row>
    <row r="391">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row>
    <row r="392">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09"/>
      <c r="X392" s="109"/>
      <c r="Y392" s="109"/>
      <c r="Z392" s="109"/>
    </row>
    <row r="393">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row>
    <row r="394">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09"/>
      <c r="X394" s="109"/>
      <c r="Y394" s="109"/>
      <c r="Z394" s="109"/>
    </row>
    <row r="395">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row>
    <row r="396">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row>
    <row r="397">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row>
    <row r="398">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09"/>
      <c r="X398" s="109"/>
      <c r="Y398" s="109"/>
      <c r="Z398" s="109"/>
    </row>
    <row r="399">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row>
    <row r="400">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row>
    <row r="401">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row>
    <row r="402">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09"/>
      <c r="X402" s="109"/>
      <c r="Y402" s="109"/>
      <c r="Z402" s="109"/>
    </row>
    <row r="403">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row>
    <row r="404">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row>
    <row r="405">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row>
    <row r="406">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09"/>
      <c r="X406" s="109"/>
      <c r="Y406" s="109"/>
      <c r="Z406" s="109"/>
    </row>
    <row r="407">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row>
    <row r="408">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09"/>
      <c r="X408" s="109"/>
      <c r="Y408" s="109"/>
      <c r="Z408" s="109"/>
    </row>
    <row r="409">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row>
    <row r="410">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09"/>
      <c r="X410" s="109"/>
      <c r="Y410" s="109"/>
      <c r="Z410" s="109"/>
    </row>
    <row r="411">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row>
    <row r="412">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09"/>
      <c r="X412" s="109"/>
      <c r="Y412" s="109"/>
      <c r="Z412" s="109"/>
    </row>
    <row r="413">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row>
    <row r="414">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09"/>
      <c r="X414" s="109"/>
      <c r="Y414" s="109"/>
      <c r="Z414" s="109"/>
    </row>
    <row r="415">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row>
    <row r="416">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09"/>
      <c r="X416" s="109"/>
      <c r="Y416" s="109"/>
      <c r="Z416" s="109"/>
    </row>
    <row r="417">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row>
    <row r="418">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09"/>
      <c r="X418" s="109"/>
      <c r="Y418" s="109"/>
      <c r="Z418" s="109"/>
    </row>
    <row r="419">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row>
    <row r="420">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09"/>
      <c r="X420" s="109"/>
      <c r="Y420" s="109"/>
      <c r="Z420" s="109"/>
    </row>
    <row r="421">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row>
    <row r="422">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09"/>
      <c r="X422" s="109"/>
      <c r="Y422" s="109"/>
      <c r="Z422" s="109"/>
    </row>
    <row r="423">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row>
    <row r="424">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09"/>
      <c r="X424" s="109"/>
      <c r="Y424" s="109"/>
      <c r="Z424" s="109"/>
    </row>
    <row r="425">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row>
    <row r="426">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09"/>
      <c r="X426" s="109"/>
      <c r="Y426" s="109"/>
      <c r="Z426" s="109"/>
    </row>
    <row r="427">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row>
    <row r="428">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09"/>
      <c r="X428" s="109"/>
      <c r="Y428" s="109"/>
      <c r="Z428" s="109"/>
    </row>
    <row r="429">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row>
    <row r="430">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09"/>
      <c r="X430" s="109"/>
      <c r="Y430" s="109"/>
      <c r="Z430" s="109"/>
    </row>
    <row r="431">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row>
    <row r="432">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09"/>
      <c r="X432" s="109"/>
      <c r="Y432" s="109"/>
      <c r="Z432" s="109"/>
    </row>
    <row r="433">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row>
    <row r="434">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09"/>
      <c r="X434" s="109"/>
      <c r="Y434" s="109"/>
      <c r="Z434" s="109"/>
    </row>
    <row r="435">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row>
    <row r="436">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09"/>
      <c r="X436" s="109"/>
      <c r="Y436" s="109"/>
      <c r="Z436" s="109"/>
    </row>
    <row r="437">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row>
    <row r="438">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09"/>
      <c r="X438" s="109"/>
      <c r="Y438" s="109"/>
      <c r="Z438" s="109"/>
    </row>
    <row r="439">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row>
    <row r="440">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09"/>
      <c r="X440" s="109"/>
      <c r="Y440" s="109"/>
      <c r="Z440" s="109"/>
    </row>
    <row r="441">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row>
    <row r="442">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09"/>
      <c r="X442" s="109"/>
      <c r="Y442" s="109"/>
      <c r="Z442" s="109"/>
    </row>
    <row r="443">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row>
    <row r="444">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09"/>
      <c r="X444" s="109"/>
      <c r="Y444" s="109"/>
      <c r="Z444" s="109"/>
    </row>
    <row r="445">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row>
    <row r="446">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09"/>
      <c r="X446" s="109"/>
      <c r="Y446" s="109"/>
      <c r="Z446" s="109"/>
    </row>
    <row r="447">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row>
    <row r="448">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09"/>
      <c r="X448" s="109"/>
      <c r="Y448" s="109"/>
      <c r="Z448" s="109"/>
    </row>
    <row r="449">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row>
    <row r="450">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09"/>
      <c r="X450" s="109"/>
      <c r="Y450" s="109"/>
      <c r="Z450" s="109"/>
    </row>
    <row r="451">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row>
    <row r="452">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09"/>
      <c r="X452" s="109"/>
      <c r="Y452" s="109"/>
      <c r="Z452" s="109"/>
    </row>
    <row r="453">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row>
    <row r="454">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09"/>
      <c r="X454" s="109"/>
      <c r="Y454" s="109"/>
      <c r="Z454" s="109"/>
    </row>
    <row r="455">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row>
    <row r="456">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09"/>
      <c r="X456" s="109"/>
      <c r="Y456" s="109"/>
      <c r="Z456" s="109"/>
    </row>
    <row r="457">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row>
    <row r="458">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09"/>
      <c r="X458" s="109"/>
      <c r="Y458" s="109"/>
      <c r="Z458" s="109"/>
    </row>
    <row r="459">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row>
    <row r="460">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09"/>
      <c r="X460" s="109"/>
      <c r="Y460" s="109"/>
      <c r="Z460" s="109"/>
    </row>
    <row r="461">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row>
    <row r="462">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09"/>
      <c r="X462" s="109"/>
      <c r="Y462" s="109"/>
      <c r="Z462" s="109"/>
    </row>
    <row r="463">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row>
    <row r="464">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09"/>
      <c r="X464" s="109"/>
      <c r="Y464" s="109"/>
      <c r="Z464" s="109"/>
    </row>
    <row r="465">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row>
    <row r="466">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09"/>
      <c r="X466" s="109"/>
      <c r="Y466" s="109"/>
      <c r="Z466" s="109"/>
    </row>
    <row r="467">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row>
    <row r="468">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09"/>
      <c r="X468" s="109"/>
      <c r="Y468" s="109"/>
      <c r="Z468" s="109"/>
    </row>
    <row r="469">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row>
    <row r="470">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09"/>
      <c r="X470" s="109"/>
      <c r="Y470" s="109"/>
      <c r="Z470" s="109"/>
    </row>
    <row r="471">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row>
    <row r="472">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09"/>
      <c r="X472" s="109"/>
      <c r="Y472" s="109"/>
      <c r="Z472" s="109"/>
    </row>
    <row r="473">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row>
    <row r="474">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09"/>
      <c r="X474" s="109"/>
      <c r="Y474" s="109"/>
      <c r="Z474" s="109"/>
    </row>
    <row r="475">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row>
    <row r="476">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09"/>
      <c r="X476" s="109"/>
      <c r="Y476" s="109"/>
      <c r="Z476" s="109"/>
    </row>
    <row r="477">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row>
    <row r="478">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09"/>
      <c r="X478" s="109"/>
      <c r="Y478" s="109"/>
      <c r="Z478" s="109"/>
    </row>
    <row r="479">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row>
    <row r="480">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09"/>
      <c r="X480" s="109"/>
      <c r="Y480" s="109"/>
      <c r="Z480" s="109"/>
    </row>
    <row r="481">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row>
    <row r="482">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09"/>
      <c r="X482" s="109"/>
      <c r="Y482" s="109"/>
      <c r="Z482" s="109"/>
    </row>
    <row r="483">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row>
    <row r="484">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row>
    <row r="485">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row>
    <row r="486">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09"/>
      <c r="X486" s="109"/>
      <c r="Y486" s="109"/>
      <c r="Z486" s="109"/>
    </row>
    <row r="487">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row>
    <row r="488">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row>
    <row r="489">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row>
    <row r="490">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09"/>
      <c r="X490" s="109"/>
      <c r="Y490" s="109"/>
      <c r="Z490" s="109"/>
    </row>
    <row r="491">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row>
    <row r="492">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09"/>
      <c r="X492" s="109"/>
      <c r="Y492" s="109"/>
      <c r="Z492" s="109"/>
    </row>
    <row r="493">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row>
    <row r="494">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09"/>
      <c r="X494" s="109"/>
      <c r="Y494" s="109"/>
      <c r="Z494" s="109"/>
    </row>
    <row r="495">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row>
    <row r="496">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09"/>
      <c r="X496" s="109"/>
      <c r="Y496" s="109"/>
      <c r="Z496" s="109"/>
    </row>
    <row r="497">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row>
    <row r="498">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09"/>
      <c r="X498" s="109"/>
      <c r="Y498" s="109"/>
      <c r="Z498" s="109"/>
    </row>
    <row r="499">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row>
    <row r="500">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09"/>
      <c r="X500" s="109"/>
      <c r="Y500" s="109"/>
      <c r="Z500" s="109"/>
    </row>
    <row r="501">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row>
    <row r="502">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09"/>
      <c r="X502" s="109"/>
      <c r="Y502" s="109"/>
      <c r="Z502" s="109"/>
    </row>
    <row r="503">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row>
    <row r="504">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09"/>
      <c r="X504" s="109"/>
      <c r="Y504" s="109"/>
      <c r="Z504" s="109"/>
    </row>
    <row r="505">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row>
    <row r="506">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09"/>
      <c r="X506" s="109"/>
      <c r="Y506" s="109"/>
      <c r="Z506" s="109"/>
    </row>
    <row r="507">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row>
    <row r="508">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09"/>
      <c r="X508" s="109"/>
      <c r="Y508" s="109"/>
      <c r="Z508" s="109"/>
    </row>
    <row r="509">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row>
    <row r="510">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09"/>
      <c r="X510" s="109"/>
      <c r="Y510" s="109"/>
      <c r="Z510" s="109"/>
    </row>
    <row r="511">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row>
    <row r="512">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09"/>
      <c r="X512" s="109"/>
      <c r="Y512" s="109"/>
      <c r="Z512" s="109"/>
    </row>
    <row r="513">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row>
    <row r="514">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09"/>
      <c r="X514" s="109"/>
      <c r="Y514" s="109"/>
      <c r="Z514" s="109"/>
    </row>
    <row r="515">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row>
    <row r="516">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09"/>
      <c r="X516" s="109"/>
      <c r="Y516" s="109"/>
      <c r="Z516" s="109"/>
    </row>
    <row r="517">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row>
    <row r="518">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09"/>
      <c r="X518" s="109"/>
      <c r="Y518" s="109"/>
      <c r="Z518" s="109"/>
    </row>
    <row r="519">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row>
    <row r="520">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09"/>
      <c r="X520" s="109"/>
      <c r="Y520" s="109"/>
      <c r="Z520" s="109"/>
    </row>
    <row r="521">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row>
    <row r="522">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09"/>
      <c r="X522" s="109"/>
      <c r="Y522" s="109"/>
      <c r="Z522" s="109"/>
    </row>
    <row r="523">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row>
    <row r="524">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09"/>
      <c r="X524" s="109"/>
      <c r="Y524" s="109"/>
      <c r="Z524" s="109"/>
    </row>
    <row r="525">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row>
    <row r="526">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09"/>
      <c r="X526" s="109"/>
      <c r="Y526" s="109"/>
      <c r="Z526" s="109"/>
    </row>
    <row r="527">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row>
    <row r="528">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09"/>
      <c r="X528" s="109"/>
      <c r="Y528" s="109"/>
      <c r="Z528" s="109"/>
    </row>
    <row r="529">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row>
    <row r="530">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09"/>
      <c r="X530" s="109"/>
      <c r="Y530" s="109"/>
      <c r="Z530" s="109"/>
    </row>
    <row r="531">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row>
    <row r="532">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09"/>
      <c r="X532" s="109"/>
      <c r="Y532" s="109"/>
      <c r="Z532" s="109"/>
    </row>
    <row r="533">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row>
    <row r="534">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09"/>
      <c r="X534" s="109"/>
      <c r="Y534" s="109"/>
      <c r="Z534" s="109"/>
    </row>
    <row r="535">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row>
    <row r="536">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09"/>
      <c r="X536" s="109"/>
      <c r="Y536" s="109"/>
      <c r="Z536" s="109"/>
    </row>
    <row r="537">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row>
    <row r="538">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09"/>
      <c r="X538" s="109"/>
      <c r="Y538" s="109"/>
      <c r="Z538" s="109"/>
    </row>
    <row r="539">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row>
    <row r="540">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09"/>
      <c r="X540" s="109"/>
      <c r="Y540" s="109"/>
      <c r="Z540" s="109"/>
    </row>
    <row r="541">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row>
    <row r="542">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09"/>
      <c r="X542" s="109"/>
      <c r="Y542" s="109"/>
      <c r="Z542" s="109"/>
    </row>
    <row r="543">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row>
    <row r="544">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09"/>
      <c r="X544" s="109"/>
      <c r="Y544" s="109"/>
      <c r="Z544" s="109"/>
    </row>
    <row r="545">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row>
    <row r="546">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09"/>
      <c r="X546" s="109"/>
      <c r="Y546" s="109"/>
      <c r="Z546" s="109"/>
    </row>
    <row r="547">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row>
    <row r="548">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row>
    <row r="549">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row>
    <row r="550">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09"/>
      <c r="X550" s="109"/>
      <c r="Y550" s="109"/>
      <c r="Z550" s="109"/>
    </row>
    <row r="551">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row>
    <row r="552">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09"/>
      <c r="X552" s="109"/>
      <c r="Y552" s="109"/>
      <c r="Z552" s="109"/>
    </row>
    <row r="553">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row>
    <row r="554">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09"/>
      <c r="X554" s="109"/>
      <c r="Y554" s="109"/>
      <c r="Z554" s="109"/>
    </row>
    <row r="555">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row>
    <row r="556">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09"/>
      <c r="X556" s="109"/>
      <c r="Y556" s="109"/>
      <c r="Z556" s="109"/>
    </row>
    <row r="557">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row>
    <row r="558">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09"/>
      <c r="X558" s="109"/>
      <c r="Y558" s="109"/>
      <c r="Z558" s="109"/>
    </row>
    <row r="559">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row>
    <row r="560">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09"/>
      <c r="X560" s="109"/>
      <c r="Y560" s="109"/>
      <c r="Z560" s="109"/>
    </row>
    <row r="561">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row>
    <row r="562">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09"/>
      <c r="X562" s="109"/>
      <c r="Y562" s="109"/>
      <c r="Z562" s="109"/>
    </row>
    <row r="563">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row>
    <row r="564">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09"/>
      <c r="X564" s="109"/>
      <c r="Y564" s="109"/>
      <c r="Z564" s="109"/>
    </row>
    <row r="565">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row>
    <row r="566">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09"/>
      <c r="X566" s="109"/>
      <c r="Y566" s="109"/>
      <c r="Z566" s="109"/>
    </row>
    <row r="567">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row>
    <row r="568">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09"/>
      <c r="X568" s="109"/>
      <c r="Y568" s="109"/>
      <c r="Z568" s="109"/>
    </row>
    <row r="569">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row>
    <row r="570">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09"/>
      <c r="X570" s="109"/>
      <c r="Y570" s="109"/>
      <c r="Z570" s="109"/>
    </row>
    <row r="571">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row>
    <row r="572">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09"/>
      <c r="X572" s="109"/>
      <c r="Y572" s="109"/>
      <c r="Z572" s="109"/>
    </row>
    <row r="573">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row>
    <row r="574">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09"/>
      <c r="X574" s="109"/>
      <c r="Y574" s="109"/>
      <c r="Z574" s="109"/>
    </row>
    <row r="575">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row>
    <row r="576">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09"/>
      <c r="X576" s="109"/>
      <c r="Y576" s="109"/>
      <c r="Z576" s="109"/>
    </row>
    <row r="577">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row>
    <row r="578">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09"/>
      <c r="X578" s="109"/>
      <c r="Y578" s="109"/>
      <c r="Z578" s="109"/>
    </row>
    <row r="579">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row>
    <row r="580">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09"/>
      <c r="X580" s="109"/>
      <c r="Y580" s="109"/>
      <c r="Z580" s="109"/>
    </row>
    <row r="581">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row>
    <row r="582">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09"/>
      <c r="X582" s="109"/>
      <c r="Y582" s="109"/>
      <c r="Z582" s="109"/>
    </row>
    <row r="583">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row>
    <row r="584">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09"/>
      <c r="X584" s="109"/>
      <c r="Y584" s="109"/>
      <c r="Z584" s="109"/>
    </row>
    <row r="585">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row>
    <row r="586">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09"/>
      <c r="X586" s="109"/>
      <c r="Y586" s="109"/>
      <c r="Z586" s="109"/>
    </row>
    <row r="587">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row>
    <row r="588">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09"/>
      <c r="X588" s="109"/>
      <c r="Y588" s="109"/>
      <c r="Z588" s="109"/>
    </row>
    <row r="589">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row>
    <row r="590">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09"/>
      <c r="X590" s="109"/>
      <c r="Y590" s="109"/>
      <c r="Z590" s="109"/>
    </row>
    <row r="591">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row>
    <row r="592">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09"/>
      <c r="X592" s="109"/>
      <c r="Y592" s="109"/>
      <c r="Z592" s="109"/>
    </row>
    <row r="593">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row>
    <row r="594">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09"/>
      <c r="X594" s="109"/>
      <c r="Y594" s="109"/>
      <c r="Z594" s="109"/>
    </row>
    <row r="595">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row>
    <row r="596">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09"/>
      <c r="X596" s="109"/>
      <c r="Y596" s="109"/>
      <c r="Z596" s="109"/>
    </row>
    <row r="597">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row>
    <row r="598">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09"/>
      <c r="X598" s="109"/>
      <c r="Y598" s="109"/>
      <c r="Z598" s="109"/>
    </row>
    <row r="599">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row>
    <row r="600">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09"/>
      <c r="X600" s="109"/>
      <c r="Y600" s="109"/>
      <c r="Z600" s="109"/>
    </row>
    <row r="601">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row>
    <row r="602">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09"/>
      <c r="X602" s="109"/>
      <c r="Y602" s="109"/>
      <c r="Z602" s="109"/>
    </row>
    <row r="603">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row>
    <row r="604">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09"/>
      <c r="X604" s="109"/>
      <c r="Y604" s="109"/>
      <c r="Z604" s="109"/>
    </row>
    <row r="605">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row>
    <row r="606">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09"/>
      <c r="X606" s="109"/>
      <c r="Y606" s="109"/>
      <c r="Z606" s="109"/>
    </row>
    <row r="607">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row>
    <row r="608">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09"/>
      <c r="X608" s="109"/>
      <c r="Y608" s="109"/>
      <c r="Z608" s="109"/>
    </row>
    <row r="609">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row>
    <row r="610">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09"/>
      <c r="X610" s="109"/>
      <c r="Y610" s="109"/>
      <c r="Z610" s="109"/>
    </row>
    <row r="611">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row>
    <row r="612">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row>
    <row r="613">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row>
    <row r="614">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09"/>
      <c r="X614" s="109"/>
      <c r="Y614" s="109"/>
      <c r="Z614" s="109"/>
    </row>
    <row r="615">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row>
    <row r="616">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09"/>
      <c r="X616" s="109"/>
      <c r="Y616" s="109"/>
      <c r="Z616" s="109"/>
    </row>
    <row r="617">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row>
    <row r="618">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09"/>
      <c r="X618" s="109"/>
      <c r="Y618" s="109"/>
      <c r="Z618" s="109"/>
    </row>
    <row r="619">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row>
    <row r="620">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09"/>
      <c r="X620" s="109"/>
      <c r="Y620" s="109"/>
      <c r="Z620" s="109"/>
    </row>
    <row r="621">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row>
    <row r="622">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row>
    <row r="623">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row>
    <row r="624">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09"/>
      <c r="X624" s="109"/>
      <c r="Y624" s="109"/>
      <c r="Z624" s="109"/>
    </row>
    <row r="625">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row>
    <row r="626">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09"/>
      <c r="X626" s="109"/>
      <c r="Y626" s="109"/>
      <c r="Z626" s="109"/>
    </row>
    <row r="627">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row>
    <row r="628">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09"/>
      <c r="X628" s="109"/>
      <c r="Y628" s="109"/>
      <c r="Z628" s="109"/>
    </row>
    <row r="629">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row>
    <row r="630">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09"/>
      <c r="X630" s="109"/>
      <c r="Y630" s="109"/>
      <c r="Z630" s="109"/>
    </row>
    <row r="631">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row>
    <row r="632">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09"/>
      <c r="X632" s="109"/>
      <c r="Y632" s="109"/>
      <c r="Z632" s="109"/>
    </row>
    <row r="633">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row>
    <row r="634">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09"/>
      <c r="X634" s="109"/>
      <c r="Y634" s="109"/>
      <c r="Z634" s="109"/>
    </row>
    <row r="635">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row>
    <row r="636">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09"/>
      <c r="X636" s="109"/>
      <c r="Y636" s="109"/>
      <c r="Z636" s="109"/>
    </row>
    <row r="637">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row>
    <row r="638">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09"/>
      <c r="X638" s="109"/>
      <c r="Y638" s="109"/>
      <c r="Z638" s="109"/>
    </row>
    <row r="639">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row>
    <row r="640">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09"/>
      <c r="X640" s="109"/>
      <c r="Y640" s="109"/>
      <c r="Z640" s="109"/>
    </row>
    <row r="641">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row>
    <row r="642">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09"/>
      <c r="X642" s="109"/>
      <c r="Y642" s="109"/>
      <c r="Z642" s="109"/>
    </row>
    <row r="643">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row>
    <row r="644">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09"/>
      <c r="X644" s="109"/>
      <c r="Y644" s="109"/>
      <c r="Z644" s="109"/>
    </row>
    <row r="645">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row>
    <row r="646">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09"/>
      <c r="X646" s="109"/>
      <c r="Y646" s="109"/>
      <c r="Z646" s="109"/>
    </row>
    <row r="647">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row>
    <row r="648">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09"/>
      <c r="X648" s="109"/>
      <c r="Y648" s="109"/>
      <c r="Z648" s="109"/>
    </row>
    <row r="649">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row>
    <row r="650">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09"/>
      <c r="X650" s="109"/>
      <c r="Y650" s="109"/>
      <c r="Z650" s="109"/>
    </row>
    <row r="651">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row>
    <row r="652">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09"/>
      <c r="X652" s="109"/>
      <c r="Y652" s="109"/>
      <c r="Z652" s="109"/>
    </row>
    <row r="653">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row>
    <row r="654">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09"/>
      <c r="X654" s="109"/>
      <c r="Y654" s="109"/>
      <c r="Z654" s="109"/>
    </row>
    <row r="655">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row>
    <row r="656">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09"/>
      <c r="X656" s="109"/>
      <c r="Y656" s="109"/>
      <c r="Z656" s="109"/>
    </row>
    <row r="657">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row>
    <row r="658">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row>
    <row r="659">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row>
    <row r="660">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row>
    <row r="661">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row>
    <row r="662">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09"/>
      <c r="X662" s="109"/>
      <c r="Y662" s="109"/>
      <c r="Z662" s="109"/>
    </row>
    <row r="663">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row>
    <row r="664">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09"/>
      <c r="X664" s="109"/>
      <c r="Y664" s="109"/>
      <c r="Z664" s="109"/>
    </row>
    <row r="665">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row>
    <row r="666">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09"/>
      <c r="X666" s="109"/>
      <c r="Y666" s="109"/>
      <c r="Z666" s="109"/>
    </row>
    <row r="667">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row>
    <row r="668">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09"/>
      <c r="X668" s="109"/>
      <c r="Y668" s="109"/>
      <c r="Z668" s="109"/>
    </row>
    <row r="669">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row>
    <row r="670">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row>
    <row r="671">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row>
    <row r="672">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09"/>
      <c r="X672" s="109"/>
      <c r="Y672" s="109"/>
      <c r="Z672" s="109"/>
    </row>
    <row r="673">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row>
    <row r="674">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09"/>
      <c r="X674" s="109"/>
      <c r="Y674" s="109"/>
      <c r="Z674" s="109"/>
    </row>
    <row r="675">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row>
    <row r="676">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09"/>
      <c r="X676" s="109"/>
      <c r="Y676" s="109"/>
      <c r="Z676" s="109"/>
    </row>
    <row r="677">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row>
    <row r="678">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09"/>
      <c r="X678" s="109"/>
      <c r="Y678" s="109"/>
      <c r="Z678" s="109"/>
    </row>
    <row r="679">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row>
    <row r="680">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09"/>
      <c r="X680" s="109"/>
      <c r="Y680" s="109"/>
      <c r="Z680" s="109"/>
    </row>
    <row r="681">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row>
    <row r="682">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09"/>
      <c r="X682" s="109"/>
      <c r="Y682" s="109"/>
      <c r="Z682" s="109"/>
    </row>
    <row r="683">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row>
    <row r="684">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09"/>
      <c r="X684" s="109"/>
      <c r="Y684" s="109"/>
      <c r="Z684" s="109"/>
    </row>
    <row r="685">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row>
    <row r="686">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09"/>
      <c r="X686" s="109"/>
      <c r="Y686" s="109"/>
      <c r="Z686" s="109"/>
    </row>
    <row r="687">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row>
    <row r="688">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09"/>
      <c r="X688" s="109"/>
      <c r="Y688" s="109"/>
      <c r="Z688" s="109"/>
    </row>
    <row r="689">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row>
    <row r="690">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09"/>
      <c r="X690" s="109"/>
      <c r="Y690" s="109"/>
      <c r="Z690" s="109"/>
    </row>
    <row r="691">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row>
    <row r="692">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09"/>
      <c r="X692" s="109"/>
      <c r="Y692" s="109"/>
      <c r="Z692" s="109"/>
    </row>
    <row r="693">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row>
    <row r="694">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09"/>
      <c r="X694" s="109"/>
      <c r="Y694" s="109"/>
      <c r="Z694" s="109"/>
    </row>
    <row r="695">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row>
    <row r="696">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09"/>
      <c r="X696" s="109"/>
      <c r="Y696" s="109"/>
      <c r="Z696" s="109"/>
    </row>
    <row r="697">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row>
    <row r="698">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09"/>
      <c r="X698" s="109"/>
      <c r="Y698" s="109"/>
      <c r="Z698" s="109"/>
    </row>
    <row r="699">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row>
    <row r="700">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09"/>
      <c r="X700" s="109"/>
      <c r="Y700" s="109"/>
      <c r="Z700" s="109"/>
    </row>
    <row r="701">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row>
    <row r="702">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09"/>
      <c r="X702" s="109"/>
      <c r="Y702" s="109"/>
      <c r="Z702" s="109"/>
    </row>
    <row r="703">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row>
    <row r="704">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09"/>
      <c r="X704" s="109"/>
      <c r="Y704" s="109"/>
      <c r="Z704" s="109"/>
    </row>
    <row r="705">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row>
    <row r="706">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09"/>
      <c r="X706" s="109"/>
      <c r="Y706" s="109"/>
      <c r="Z706" s="109"/>
    </row>
    <row r="707">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row>
    <row r="708">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09"/>
      <c r="X708" s="109"/>
      <c r="Y708" s="109"/>
      <c r="Z708" s="109"/>
    </row>
    <row r="709">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row>
    <row r="710">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09"/>
      <c r="X710" s="109"/>
      <c r="Y710" s="109"/>
      <c r="Z710" s="109"/>
    </row>
    <row r="711">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row>
    <row r="712">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09"/>
      <c r="X712" s="109"/>
      <c r="Y712" s="109"/>
      <c r="Z712" s="109"/>
    </row>
    <row r="713">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row>
    <row r="714">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row>
    <row r="715">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row>
    <row r="716">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09"/>
      <c r="X716" s="109"/>
      <c r="Y716" s="109"/>
      <c r="Z716" s="109"/>
    </row>
    <row r="717">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row>
    <row r="718">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09"/>
      <c r="X718" s="109"/>
      <c r="Y718" s="109"/>
      <c r="Z718" s="109"/>
    </row>
    <row r="719">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row>
    <row r="720">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09"/>
      <c r="X720" s="109"/>
      <c r="Y720" s="109"/>
      <c r="Z720" s="109"/>
    </row>
    <row r="721">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row>
    <row r="722">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09"/>
      <c r="X722" s="109"/>
      <c r="Y722" s="109"/>
      <c r="Z722" s="109"/>
    </row>
    <row r="723">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row>
    <row r="724">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09"/>
      <c r="X724" s="109"/>
      <c r="Y724" s="109"/>
      <c r="Z724" s="109"/>
    </row>
    <row r="725">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row>
    <row r="726">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09"/>
      <c r="X726" s="109"/>
      <c r="Y726" s="109"/>
      <c r="Z726" s="109"/>
    </row>
    <row r="727">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row>
    <row r="728">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09"/>
      <c r="X728" s="109"/>
      <c r="Y728" s="109"/>
      <c r="Z728" s="109"/>
    </row>
    <row r="729">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row>
    <row r="730">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09"/>
      <c r="X730" s="109"/>
      <c r="Y730" s="109"/>
      <c r="Z730" s="109"/>
    </row>
    <row r="731">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row>
    <row r="732">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09"/>
      <c r="X732" s="109"/>
      <c r="Y732" s="109"/>
      <c r="Z732" s="109"/>
    </row>
    <row r="733">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row>
    <row r="734">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09"/>
      <c r="X734" s="109"/>
      <c r="Y734" s="109"/>
      <c r="Z734" s="109"/>
    </row>
    <row r="735">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row>
    <row r="736">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09"/>
      <c r="X736" s="109"/>
      <c r="Y736" s="109"/>
      <c r="Z736" s="109"/>
    </row>
    <row r="737">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row>
    <row r="738">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09"/>
      <c r="X738" s="109"/>
      <c r="Y738" s="109"/>
      <c r="Z738" s="109"/>
    </row>
    <row r="739">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row>
    <row r="740">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09"/>
      <c r="X740" s="109"/>
      <c r="Y740" s="109"/>
      <c r="Z740" s="109"/>
    </row>
    <row r="741">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row>
    <row r="742">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09"/>
      <c r="X742" s="109"/>
      <c r="Y742" s="109"/>
      <c r="Z742" s="109"/>
    </row>
    <row r="743">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row>
    <row r="744">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09"/>
      <c r="X744" s="109"/>
      <c r="Y744" s="109"/>
      <c r="Z744" s="109"/>
    </row>
    <row r="745">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row>
    <row r="746">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09"/>
      <c r="X746" s="109"/>
      <c r="Y746" s="109"/>
      <c r="Z746" s="109"/>
    </row>
    <row r="747">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row>
    <row r="748">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09"/>
      <c r="X748" s="109"/>
      <c r="Y748" s="109"/>
      <c r="Z748" s="109"/>
    </row>
    <row r="749">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row>
    <row r="750">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09"/>
      <c r="X750" s="109"/>
      <c r="Y750" s="109"/>
      <c r="Z750" s="109"/>
    </row>
    <row r="751">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row>
    <row r="752">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09"/>
      <c r="X752" s="109"/>
      <c r="Y752" s="109"/>
      <c r="Z752" s="109"/>
    </row>
    <row r="753">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row>
    <row r="754">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09"/>
      <c r="X754" s="109"/>
      <c r="Y754" s="109"/>
      <c r="Z754" s="109"/>
    </row>
    <row r="755">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row>
    <row r="756">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09"/>
      <c r="X756" s="109"/>
      <c r="Y756" s="109"/>
      <c r="Z756" s="109"/>
    </row>
    <row r="757">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row>
    <row r="758">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09"/>
      <c r="X758" s="109"/>
      <c r="Y758" s="109"/>
      <c r="Z758" s="109"/>
    </row>
    <row r="759">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row>
    <row r="760">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09"/>
      <c r="X760" s="109"/>
      <c r="Y760" s="109"/>
      <c r="Z760" s="109"/>
    </row>
    <row r="761">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row>
    <row r="762">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09"/>
      <c r="X762" s="109"/>
      <c r="Y762" s="109"/>
      <c r="Z762" s="109"/>
    </row>
    <row r="763">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row>
    <row r="764">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09"/>
      <c r="X764" s="109"/>
      <c r="Y764" s="109"/>
      <c r="Z764" s="109"/>
    </row>
    <row r="765">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row>
    <row r="766">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09"/>
      <c r="X766" s="109"/>
      <c r="Y766" s="109"/>
      <c r="Z766" s="109"/>
    </row>
    <row r="767">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row>
    <row r="768">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09"/>
      <c r="X768" s="109"/>
      <c r="Y768" s="109"/>
      <c r="Z768" s="109"/>
    </row>
    <row r="769">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row>
    <row r="770">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09"/>
      <c r="X770" s="109"/>
      <c r="Y770" s="109"/>
      <c r="Z770" s="109"/>
    </row>
    <row r="771">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row>
    <row r="772">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09"/>
      <c r="X772" s="109"/>
      <c r="Y772" s="109"/>
      <c r="Z772" s="109"/>
    </row>
    <row r="773">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row>
    <row r="774">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09"/>
      <c r="X774" s="109"/>
      <c r="Y774" s="109"/>
      <c r="Z774" s="109"/>
    </row>
    <row r="775">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row>
    <row r="776">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09"/>
      <c r="X776" s="109"/>
      <c r="Y776" s="109"/>
      <c r="Z776" s="109"/>
    </row>
    <row r="777">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row>
    <row r="778">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09"/>
      <c r="X778" s="109"/>
      <c r="Y778" s="109"/>
      <c r="Z778" s="109"/>
    </row>
    <row r="779">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row>
    <row r="780">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09"/>
      <c r="X780" s="109"/>
      <c r="Y780" s="109"/>
      <c r="Z780" s="109"/>
    </row>
    <row r="781">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row>
    <row r="782">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09"/>
      <c r="X782" s="109"/>
      <c r="Y782" s="109"/>
      <c r="Z782" s="109"/>
    </row>
    <row r="783">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row>
    <row r="784">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09"/>
      <c r="X784" s="109"/>
      <c r="Y784" s="109"/>
      <c r="Z784" s="109"/>
    </row>
    <row r="785">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row>
    <row r="786">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09"/>
      <c r="X786" s="109"/>
      <c r="Y786" s="109"/>
      <c r="Z786" s="109"/>
    </row>
    <row r="787">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row>
    <row r="788">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09"/>
      <c r="X788" s="109"/>
      <c r="Y788" s="109"/>
      <c r="Z788" s="109"/>
    </row>
    <row r="789">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row>
    <row r="790">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09"/>
      <c r="X790" s="109"/>
      <c r="Y790" s="109"/>
      <c r="Z790" s="109"/>
    </row>
    <row r="791">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row>
    <row r="792">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09"/>
      <c r="X792" s="109"/>
      <c r="Y792" s="109"/>
      <c r="Z792" s="109"/>
    </row>
    <row r="793">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row>
    <row r="794">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09"/>
      <c r="X794" s="109"/>
      <c r="Y794" s="109"/>
      <c r="Z794" s="109"/>
    </row>
    <row r="795">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row>
    <row r="796">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09"/>
      <c r="X796" s="109"/>
      <c r="Y796" s="109"/>
      <c r="Z796" s="109"/>
    </row>
    <row r="797">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row>
    <row r="798">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09"/>
      <c r="X798" s="109"/>
      <c r="Y798" s="109"/>
      <c r="Z798" s="109"/>
    </row>
    <row r="799">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row>
    <row r="800">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09"/>
      <c r="X800" s="109"/>
      <c r="Y800" s="109"/>
      <c r="Z800" s="109"/>
    </row>
    <row r="801">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row>
    <row r="802">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09"/>
      <c r="X802" s="109"/>
      <c r="Y802" s="109"/>
      <c r="Z802" s="109"/>
    </row>
    <row r="803">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row>
    <row r="804">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09"/>
      <c r="X804" s="109"/>
      <c r="Y804" s="109"/>
      <c r="Z804" s="109"/>
    </row>
    <row r="805">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row>
    <row r="806">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09"/>
      <c r="X806" s="109"/>
      <c r="Y806" s="109"/>
      <c r="Z806" s="109"/>
    </row>
    <row r="807">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row>
    <row r="808">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09"/>
      <c r="X808" s="109"/>
      <c r="Y808" s="109"/>
      <c r="Z808" s="109"/>
    </row>
    <row r="809">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row>
    <row r="810">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09"/>
      <c r="X810" s="109"/>
      <c r="Y810" s="109"/>
      <c r="Z810" s="109"/>
    </row>
    <row r="811">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row>
    <row r="812">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09"/>
      <c r="X812" s="109"/>
      <c r="Y812" s="109"/>
      <c r="Z812" s="109"/>
    </row>
    <row r="813">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row>
    <row r="814">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09"/>
      <c r="X814" s="109"/>
      <c r="Y814" s="109"/>
      <c r="Z814" s="109"/>
    </row>
    <row r="815">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row>
    <row r="816">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09"/>
      <c r="X816" s="109"/>
      <c r="Y816" s="109"/>
      <c r="Z816" s="109"/>
    </row>
    <row r="817">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row>
    <row r="818">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09"/>
      <c r="X818" s="109"/>
      <c r="Y818" s="109"/>
      <c r="Z818" s="109"/>
    </row>
    <row r="819">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row>
    <row r="820">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09"/>
      <c r="X820" s="109"/>
      <c r="Y820" s="109"/>
      <c r="Z820" s="109"/>
    </row>
    <row r="821">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row>
    <row r="822">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09"/>
      <c r="X822" s="109"/>
      <c r="Y822" s="109"/>
      <c r="Z822" s="109"/>
    </row>
    <row r="823">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row>
    <row r="824">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09"/>
      <c r="X824" s="109"/>
      <c r="Y824" s="109"/>
      <c r="Z824" s="109"/>
    </row>
    <row r="825">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row>
    <row r="826">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09"/>
      <c r="X826" s="109"/>
      <c r="Y826" s="109"/>
      <c r="Z826" s="109"/>
    </row>
    <row r="827">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row>
    <row r="828">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09"/>
      <c r="X828" s="109"/>
      <c r="Y828" s="109"/>
      <c r="Z828" s="109"/>
    </row>
    <row r="829">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row>
    <row r="830">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09"/>
      <c r="X830" s="109"/>
      <c r="Y830" s="109"/>
      <c r="Z830" s="109"/>
    </row>
    <row r="831">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row>
    <row r="832">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09"/>
      <c r="X832" s="109"/>
      <c r="Y832" s="109"/>
      <c r="Z832" s="109"/>
    </row>
    <row r="833">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row>
    <row r="834">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09"/>
      <c r="X834" s="109"/>
      <c r="Y834" s="109"/>
      <c r="Z834" s="109"/>
    </row>
    <row r="835">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row>
    <row r="836">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09"/>
      <c r="X836" s="109"/>
      <c r="Y836" s="109"/>
      <c r="Z836" s="109"/>
    </row>
    <row r="837">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row>
    <row r="838">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09"/>
      <c r="X838" s="109"/>
      <c r="Y838" s="109"/>
      <c r="Z838" s="109"/>
    </row>
    <row r="839">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row>
    <row r="840">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09"/>
      <c r="X840" s="109"/>
      <c r="Y840" s="109"/>
      <c r="Z840" s="109"/>
    </row>
    <row r="841">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row>
    <row r="842">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09"/>
      <c r="X842" s="109"/>
      <c r="Y842" s="109"/>
      <c r="Z842" s="109"/>
    </row>
    <row r="843">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row>
    <row r="844">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09"/>
      <c r="X844" s="109"/>
      <c r="Y844" s="109"/>
      <c r="Z844" s="109"/>
    </row>
    <row r="845">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row>
    <row r="846">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09"/>
      <c r="X846" s="109"/>
      <c r="Y846" s="109"/>
      <c r="Z846" s="109"/>
    </row>
    <row r="847">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row>
    <row r="848">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09"/>
      <c r="X848" s="109"/>
      <c r="Y848" s="109"/>
      <c r="Z848" s="109"/>
    </row>
    <row r="849">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row>
    <row r="850">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09"/>
      <c r="X850" s="109"/>
      <c r="Y850" s="109"/>
      <c r="Z850" s="109"/>
    </row>
    <row r="851">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row>
    <row r="852">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09"/>
      <c r="X852" s="109"/>
      <c r="Y852" s="109"/>
      <c r="Z852" s="109"/>
    </row>
    <row r="853">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row>
    <row r="854">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09"/>
      <c r="X854" s="109"/>
      <c r="Y854" s="109"/>
      <c r="Z854" s="109"/>
    </row>
    <row r="855">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row>
    <row r="856">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09"/>
      <c r="X856" s="109"/>
      <c r="Y856" s="109"/>
      <c r="Z856" s="109"/>
    </row>
    <row r="857">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row>
    <row r="858">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09"/>
      <c r="X858" s="109"/>
      <c r="Y858" s="109"/>
      <c r="Z858" s="109"/>
    </row>
    <row r="859">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row>
    <row r="860">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09"/>
      <c r="X860" s="109"/>
      <c r="Y860" s="109"/>
      <c r="Z860" s="109"/>
    </row>
    <row r="861">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row>
    <row r="862">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09"/>
      <c r="X862" s="109"/>
      <c r="Y862" s="109"/>
      <c r="Z862" s="109"/>
    </row>
    <row r="863">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row>
    <row r="864">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09"/>
      <c r="X864" s="109"/>
      <c r="Y864" s="109"/>
      <c r="Z864" s="109"/>
    </row>
    <row r="865">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row>
    <row r="866">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09"/>
      <c r="X866" s="109"/>
      <c r="Y866" s="109"/>
      <c r="Z866" s="109"/>
    </row>
    <row r="867">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row>
    <row r="868">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09"/>
      <c r="X868" s="109"/>
      <c r="Y868" s="109"/>
      <c r="Z868" s="109"/>
    </row>
    <row r="869">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row>
    <row r="870">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09"/>
      <c r="X870" s="109"/>
      <c r="Y870" s="109"/>
      <c r="Z870" s="109"/>
    </row>
    <row r="871">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row>
    <row r="872">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09"/>
      <c r="X872" s="109"/>
      <c r="Y872" s="109"/>
      <c r="Z872" s="109"/>
    </row>
    <row r="873">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row>
    <row r="874">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09"/>
      <c r="X874" s="109"/>
      <c r="Y874" s="109"/>
      <c r="Z874" s="109"/>
    </row>
    <row r="875">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row>
    <row r="876">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09"/>
      <c r="X876" s="109"/>
      <c r="Y876" s="109"/>
      <c r="Z876" s="109"/>
    </row>
    <row r="877">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row>
    <row r="878">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09"/>
      <c r="X878" s="109"/>
      <c r="Y878" s="109"/>
      <c r="Z878" s="109"/>
    </row>
    <row r="879">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row>
    <row r="880">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09"/>
      <c r="X880" s="109"/>
      <c r="Y880" s="109"/>
      <c r="Z880" s="109"/>
    </row>
    <row r="881">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row>
    <row r="882">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09"/>
      <c r="X882" s="109"/>
      <c r="Y882" s="109"/>
      <c r="Z882" s="109"/>
    </row>
    <row r="883">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row>
    <row r="884">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09"/>
      <c r="X884" s="109"/>
      <c r="Y884" s="109"/>
      <c r="Z884" s="109"/>
    </row>
    <row r="885">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row>
    <row r="886">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09"/>
      <c r="X886" s="109"/>
      <c r="Y886" s="109"/>
      <c r="Z886" s="109"/>
    </row>
    <row r="887">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row>
    <row r="888">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09"/>
      <c r="X888" s="109"/>
      <c r="Y888" s="109"/>
      <c r="Z888" s="109"/>
    </row>
    <row r="889">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row>
    <row r="890">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09"/>
      <c r="X890" s="109"/>
      <c r="Y890" s="109"/>
      <c r="Z890" s="109"/>
    </row>
    <row r="891">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row>
    <row r="892">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09"/>
      <c r="X892" s="109"/>
      <c r="Y892" s="109"/>
      <c r="Z892" s="109"/>
    </row>
    <row r="893">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row>
    <row r="894">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09"/>
      <c r="X894" s="109"/>
      <c r="Y894" s="109"/>
      <c r="Z894" s="109"/>
    </row>
    <row r="895">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row>
    <row r="896">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09"/>
      <c r="X896" s="109"/>
      <c r="Y896" s="109"/>
      <c r="Z896" s="109"/>
    </row>
    <row r="897">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row>
    <row r="898">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09"/>
      <c r="X898" s="109"/>
      <c r="Y898" s="109"/>
      <c r="Z898" s="109"/>
    </row>
    <row r="899">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row>
    <row r="900">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09"/>
      <c r="X900" s="109"/>
      <c r="Y900" s="109"/>
      <c r="Z900" s="109"/>
    </row>
    <row r="901">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row>
    <row r="902">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09"/>
      <c r="X902" s="109"/>
      <c r="Y902" s="109"/>
      <c r="Z902" s="109"/>
    </row>
    <row r="903">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row>
    <row r="904">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09"/>
      <c r="X904" s="109"/>
      <c r="Y904" s="109"/>
      <c r="Z904" s="109"/>
    </row>
    <row r="905">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row>
    <row r="906">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09"/>
      <c r="X906" s="109"/>
      <c r="Y906" s="109"/>
      <c r="Z906" s="109"/>
    </row>
    <row r="907">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row>
    <row r="908">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09"/>
      <c r="X908" s="109"/>
      <c r="Y908" s="109"/>
      <c r="Z908" s="109"/>
    </row>
    <row r="909">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row>
    <row r="910">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09"/>
      <c r="X910" s="109"/>
      <c r="Y910" s="109"/>
      <c r="Z910" s="109"/>
    </row>
    <row r="911">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row>
    <row r="912">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09"/>
      <c r="X912" s="109"/>
      <c r="Y912" s="109"/>
      <c r="Z912" s="109"/>
    </row>
    <row r="913">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row>
    <row r="914">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09"/>
      <c r="X914" s="109"/>
      <c r="Y914" s="109"/>
      <c r="Z914" s="109"/>
    </row>
    <row r="915">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row>
    <row r="916">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09"/>
      <c r="X916" s="109"/>
      <c r="Y916" s="109"/>
      <c r="Z916" s="109"/>
    </row>
    <row r="917">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row>
    <row r="918">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09"/>
      <c r="X918" s="109"/>
      <c r="Y918" s="109"/>
      <c r="Z918" s="109"/>
    </row>
    <row r="919">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row>
    <row r="920">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09"/>
      <c r="X920" s="109"/>
      <c r="Y920" s="109"/>
      <c r="Z920" s="109"/>
    </row>
    <row r="921">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row>
    <row r="922">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09"/>
      <c r="X922" s="109"/>
      <c r="Y922" s="109"/>
      <c r="Z922" s="109"/>
    </row>
    <row r="923">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row>
    <row r="924">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09"/>
      <c r="X924" s="109"/>
      <c r="Y924" s="109"/>
      <c r="Z924" s="109"/>
    </row>
    <row r="925">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row>
    <row r="926">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09"/>
      <c r="X926" s="109"/>
      <c r="Y926" s="109"/>
      <c r="Z926" s="109"/>
    </row>
    <row r="927">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row>
    <row r="928">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row>
    <row r="929">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row>
    <row r="930">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row>
    <row r="931">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row>
    <row r="932">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09"/>
      <c r="X932" s="109"/>
      <c r="Y932" s="109"/>
      <c r="Z932" s="109"/>
    </row>
    <row r="933">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row>
    <row r="934">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09"/>
      <c r="X934" s="109"/>
      <c r="Y934" s="109"/>
      <c r="Z934" s="109"/>
    </row>
    <row r="935">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row>
    <row r="936">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09"/>
      <c r="X936" s="109"/>
      <c r="Y936" s="109"/>
      <c r="Z936" s="109"/>
    </row>
    <row r="937">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row>
    <row r="938">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row>
    <row r="939">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row>
    <row r="940">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row>
    <row r="941">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row>
    <row r="942">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09"/>
      <c r="X942" s="109"/>
      <c r="Y942" s="109"/>
      <c r="Z942" s="109"/>
    </row>
    <row r="943">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row>
    <row r="944">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09"/>
      <c r="X944" s="109"/>
      <c r="Y944" s="109"/>
      <c r="Z944" s="109"/>
    </row>
    <row r="945">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row>
    <row r="946">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09"/>
      <c r="X946" s="109"/>
      <c r="Y946" s="109"/>
      <c r="Z946" s="109"/>
    </row>
    <row r="947">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row>
    <row r="948">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row>
    <row r="949">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row>
    <row r="950">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row>
    <row r="951">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row>
    <row r="952">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09"/>
      <c r="X952" s="109"/>
      <c r="Y952" s="109"/>
      <c r="Z952" s="109"/>
    </row>
    <row r="953">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row>
    <row r="954">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09"/>
      <c r="X954" s="109"/>
      <c r="Y954" s="109"/>
      <c r="Z954" s="109"/>
    </row>
    <row r="955">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row>
    <row r="956">
      <c r="A956" s="109"/>
      <c r="B956" s="109"/>
      <c r="C956" s="109"/>
      <c r="D956" s="109"/>
      <c r="E956" s="109"/>
      <c r="F956" s="109"/>
      <c r="G956" s="109"/>
      <c r="H956" s="109"/>
      <c r="I956" s="109"/>
      <c r="J956" s="109"/>
      <c r="K956" s="109"/>
      <c r="L956" s="109"/>
      <c r="M956" s="109"/>
      <c r="N956" s="109"/>
      <c r="O956" s="109"/>
      <c r="P956" s="109"/>
      <c r="Q956" s="109"/>
      <c r="R956" s="109"/>
      <c r="S956" s="109"/>
      <c r="T956" s="109"/>
      <c r="U956" s="109"/>
      <c r="V956" s="109"/>
      <c r="W956" s="109"/>
      <c r="X956" s="109"/>
      <c r="Y956" s="109"/>
      <c r="Z956" s="109"/>
    </row>
    <row r="957">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09"/>
      <c r="X957" s="109"/>
      <c r="Y957" s="109"/>
      <c r="Z957" s="109"/>
    </row>
    <row r="958">
      <c r="A958" s="109"/>
      <c r="B958" s="109"/>
      <c r="C958" s="109"/>
      <c r="D958" s="109"/>
      <c r="E958" s="109"/>
      <c r="F958" s="109"/>
      <c r="G958" s="109"/>
      <c r="H958" s="109"/>
      <c r="I958" s="109"/>
      <c r="J958" s="109"/>
      <c r="K958" s="109"/>
      <c r="L958" s="109"/>
      <c r="M958" s="109"/>
      <c r="N958" s="109"/>
      <c r="O958" s="109"/>
      <c r="P958" s="109"/>
      <c r="Q958" s="109"/>
      <c r="R958" s="109"/>
      <c r="S958" s="109"/>
      <c r="T958" s="109"/>
      <c r="U958" s="109"/>
      <c r="V958" s="109"/>
      <c r="W958" s="109"/>
      <c r="X958" s="109"/>
      <c r="Y958" s="109"/>
      <c r="Z958" s="109"/>
    </row>
    <row r="959">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09"/>
      <c r="X959" s="109"/>
      <c r="Y959" s="109"/>
      <c r="Z959" s="109"/>
    </row>
    <row r="960">
      <c r="A960" s="109"/>
      <c r="B960" s="109"/>
      <c r="C960" s="109"/>
      <c r="D960" s="109"/>
      <c r="E960" s="109"/>
      <c r="F960" s="109"/>
      <c r="G960" s="109"/>
      <c r="H960" s="109"/>
      <c r="I960" s="109"/>
      <c r="J960" s="109"/>
      <c r="K960" s="109"/>
      <c r="L960" s="109"/>
      <c r="M960" s="109"/>
      <c r="N960" s="109"/>
      <c r="O960" s="109"/>
      <c r="P960" s="109"/>
      <c r="Q960" s="109"/>
      <c r="R960" s="109"/>
      <c r="S960" s="109"/>
      <c r="T960" s="109"/>
      <c r="U960" s="109"/>
      <c r="V960" s="109"/>
      <c r="W960" s="109"/>
      <c r="X960" s="109"/>
      <c r="Y960" s="109"/>
      <c r="Z960" s="109"/>
    </row>
    <row r="961">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09"/>
      <c r="X961" s="109"/>
      <c r="Y961" s="109"/>
      <c r="Z961" s="109"/>
    </row>
    <row r="962">
      <c r="A962" s="109"/>
      <c r="B962" s="109"/>
      <c r="C962" s="109"/>
      <c r="D962" s="109"/>
      <c r="E962" s="109"/>
      <c r="F962" s="109"/>
      <c r="G962" s="109"/>
      <c r="H962" s="109"/>
      <c r="I962" s="109"/>
      <c r="J962" s="109"/>
      <c r="K962" s="109"/>
      <c r="L962" s="109"/>
      <c r="M962" s="109"/>
      <c r="N962" s="109"/>
      <c r="O962" s="109"/>
      <c r="P962" s="109"/>
      <c r="Q962" s="109"/>
      <c r="R962" s="109"/>
      <c r="S962" s="109"/>
      <c r="T962" s="109"/>
      <c r="U962" s="109"/>
      <c r="V962" s="109"/>
      <c r="W962" s="109"/>
      <c r="X962" s="109"/>
      <c r="Y962" s="109"/>
      <c r="Z962" s="109"/>
    </row>
    <row r="963">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09"/>
      <c r="X963" s="109"/>
      <c r="Y963" s="109"/>
      <c r="Z963" s="109"/>
    </row>
    <row r="964">
      <c r="A964" s="109"/>
      <c r="B964" s="109"/>
      <c r="C964" s="109"/>
      <c r="D964" s="109"/>
      <c r="E964" s="109"/>
      <c r="F964" s="109"/>
      <c r="G964" s="109"/>
      <c r="H964" s="109"/>
      <c r="I964" s="109"/>
      <c r="J964" s="109"/>
      <c r="K964" s="109"/>
      <c r="L964" s="109"/>
      <c r="M964" s="109"/>
      <c r="N964" s="109"/>
      <c r="O964" s="109"/>
      <c r="P964" s="109"/>
      <c r="Q964" s="109"/>
      <c r="R964" s="109"/>
      <c r="S964" s="109"/>
      <c r="T964" s="109"/>
      <c r="U964" s="109"/>
      <c r="V964" s="109"/>
      <c r="W964" s="109"/>
      <c r="X964" s="109"/>
      <c r="Y964" s="109"/>
      <c r="Z964" s="109"/>
    </row>
    <row r="965">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09"/>
      <c r="X965" s="109"/>
      <c r="Y965" s="109"/>
      <c r="Z965" s="109"/>
    </row>
    <row r="966">
      <c r="A966" s="109"/>
      <c r="B966" s="109"/>
      <c r="C966" s="109"/>
      <c r="D966" s="109"/>
      <c r="E966" s="109"/>
      <c r="F966" s="109"/>
      <c r="G966" s="109"/>
      <c r="H966" s="109"/>
      <c r="I966" s="109"/>
      <c r="J966" s="109"/>
      <c r="K966" s="109"/>
      <c r="L966" s="109"/>
      <c r="M966" s="109"/>
      <c r="N966" s="109"/>
      <c r="O966" s="109"/>
      <c r="P966" s="109"/>
      <c r="Q966" s="109"/>
      <c r="R966" s="109"/>
      <c r="S966" s="109"/>
      <c r="T966" s="109"/>
      <c r="U966" s="109"/>
      <c r="V966" s="109"/>
      <c r="W966" s="109"/>
      <c r="X966" s="109"/>
      <c r="Y966" s="109"/>
      <c r="Z966" s="109"/>
    </row>
    <row r="967">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09"/>
      <c r="X967" s="109"/>
      <c r="Y967" s="109"/>
      <c r="Z967" s="109"/>
    </row>
    <row r="968">
      <c r="A968" s="109"/>
      <c r="B968" s="109"/>
      <c r="C968" s="109"/>
      <c r="D968" s="109"/>
      <c r="E968" s="109"/>
      <c r="F968" s="109"/>
      <c r="G968" s="109"/>
      <c r="H968" s="109"/>
      <c r="I968" s="109"/>
      <c r="J968" s="109"/>
      <c r="K968" s="109"/>
      <c r="L968" s="109"/>
      <c r="M968" s="109"/>
      <c r="N968" s="109"/>
      <c r="O968" s="109"/>
      <c r="P968" s="109"/>
      <c r="Q968" s="109"/>
      <c r="R968" s="109"/>
      <c r="S968" s="109"/>
      <c r="T968" s="109"/>
      <c r="U968" s="109"/>
      <c r="V968" s="109"/>
      <c r="W968" s="109"/>
      <c r="X968" s="109"/>
      <c r="Y968" s="109"/>
      <c r="Z968" s="109"/>
    </row>
    <row r="969">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09"/>
      <c r="X969" s="109"/>
      <c r="Y969" s="109"/>
      <c r="Z969" s="109"/>
    </row>
    <row r="970">
      <c r="A970" s="109"/>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09"/>
      <c r="X970" s="109"/>
      <c r="Y970" s="109"/>
      <c r="Z970" s="109"/>
    </row>
    <row r="971">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row>
    <row r="972">
      <c r="A972" s="109"/>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09"/>
      <c r="X972" s="109"/>
      <c r="Y972" s="109"/>
      <c r="Z972" s="109"/>
    </row>
    <row r="973">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row>
    <row r="974">
      <c r="A974" s="109"/>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09"/>
      <c r="X974" s="109"/>
      <c r="Y974" s="109"/>
      <c r="Z974" s="109"/>
    </row>
    <row r="975">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09"/>
      <c r="X975" s="109"/>
      <c r="Y975" s="109"/>
      <c r="Z975" s="109"/>
    </row>
    <row r="976">
      <c r="A976" s="109"/>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09"/>
      <c r="X976" s="109"/>
      <c r="Y976" s="109"/>
      <c r="Z976" s="109"/>
    </row>
    <row r="977">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row>
    <row r="978">
      <c r="A978" s="109"/>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09"/>
      <c r="X978" s="109"/>
      <c r="Y978" s="109"/>
      <c r="Z978" s="109"/>
    </row>
    <row r="979">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row>
    <row r="980">
      <c r="A980" s="109"/>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09"/>
      <c r="X980" s="109"/>
      <c r="Y980" s="109"/>
      <c r="Z980" s="109"/>
    </row>
    <row r="981">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09"/>
      <c r="X981" s="109"/>
      <c r="Y981" s="109"/>
      <c r="Z981" s="109"/>
    </row>
    <row r="982">
      <c r="A982" s="109"/>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09"/>
      <c r="X982" s="109"/>
      <c r="Y982" s="109"/>
      <c r="Z982" s="109"/>
    </row>
    <row r="983">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row>
    <row r="984">
      <c r="A984" s="109"/>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09"/>
      <c r="X984" s="109"/>
      <c r="Y984" s="109"/>
      <c r="Z984" s="109"/>
    </row>
    <row r="985">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row>
    <row r="986">
      <c r="A986" s="109"/>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09"/>
      <c r="X986" s="109"/>
      <c r="Y986" s="109"/>
      <c r="Z986" s="109"/>
    </row>
    <row r="987">
      <c r="A987" s="109"/>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09"/>
      <c r="X987" s="109"/>
      <c r="Y987" s="109"/>
      <c r="Z987" s="109"/>
    </row>
    <row r="988">
      <c r="A988" s="109"/>
      <c r="B988" s="109"/>
      <c r="C988" s="109"/>
      <c r="D988" s="109"/>
      <c r="E988" s="109"/>
      <c r="F988" s="109"/>
      <c r="G988" s="109"/>
      <c r="H988" s="109"/>
      <c r="I988" s="109"/>
      <c r="J988" s="109"/>
      <c r="K988" s="109"/>
      <c r="L988" s="109"/>
      <c r="M988" s="109"/>
      <c r="N988" s="109"/>
      <c r="O988" s="109"/>
      <c r="P988" s="109"/>
      <c r="Q988" s="109"/>
      <c r="R988" s="109"/>
      <c r="S988" s="109"/>
      <c r="T988" s="109"/>
      <c r="U988" s="109"/>
      <c r="V988" s="109"/>
      <c r="W988" s="109"/>
      <c r="X988" s="109"/>
      <c r="Y988" s="109"/>
      <c r="Z988" s="109"/>
    </row>
    <row r="989">
      <c r="A989" s="109"/>
      <c r="B989" s="109"/>
      <c r="C989" s="109"/>
      <c r="D989" s="109"/>
      <c r="E989" s="109"/>
      <c r="F989" s="109"/>
      <c r="G989" s="109"/>
      <c r="H989" s="109"/>
      <c r="I989" s="109"/>
      <c r="J989" s="109"/>
      <c r="K989" s="109"/>
      <c r="L989" s="109"/>
      <c r="M989" s="109"/>
      <c r="N989" s="109"/>
      <c r="O989" s="109"/>
      <c r="P989" s="109"/>
      <c r="Q989" s="109"/>
      <c r="R989" s="109"/>
      <c r="S989" s="109"/>
      <c r="T989" s="109"/>
      <c r="U989" s="109"/>
      <c r="V989" s="109"/>
      <c r="W989" s="109"/>
      <c r="X989" s="109"/>
      <c r="Y989" s="109"/>
      <c r="Z989" s="109"/>
    </row>
    <row r="990">
      <c r="A990" s="109"/>
      <c r="B990" s="109"/>
      <c r="C990" s="109"/>
      <c r="D990" s="109"/>
      <c r="E990" s="109"/>
      <c r="F990" s="109"/>
      <c r="G990" s="109"/>
      <c r="H990" s="109"/>
      <c r="I990" s="109"/>
      <c r="J990" s="109"/>
      <c r="K990" s="109"/>
      <c r="L990" s="109"/>
      <c r="M990" s="109"/>
      <c r="N990" s="109"/>
      <c r="O990" s="109"/>
      <c r="P990" s="109"/>
      <c r="Q990" s="109"/>
      <c r="R990" s="109"/>
      <c r="S990" s="109"/>
      <c r="T990" s="109"/>
      <c r="U990" s="109"/>
      <c r="V990" s="109"/>
      <c r="W990" s="109"/>
      <c r="X990" s="109"/>
      <c r="Y990" s="109"/>
      <c r="Z990" s="109"/>
    </row>
    <row r="991">
      <c r="A991" s="109"/>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09"/>
      <c r="X991" s="109"/>
      <c r="Y991" s="109"/>
      <c r="Z991" s="109"/>
    </row>
    <row r="992">
      <c r="A992" s="109"/>
      <c r="B992" s="109"/>
      <c r="C992" s="109"/>
      <c r="D992" s="109"/>
      <c r="E992" s="109"/>
      <c r="F992" s="109"/>
      <c r="G992" s="109"/>
      <c r="H992" s="109"/>
      <c r="I992" s="109"/>
      <c r="J992" s="109"/>
      <c r="K992" s="109"/>
      <c r="L992" s="109"/>
      <c r="M992" s="109"/>
      <c r="N992" s="109"/>
      <c r="O992" s="109"/>
      <c r="P992" s="109"/>
      <c r="Q992" s="109"/>
      <c r="R992" s="109"/>
      <c r="S992" s="109"/>
      <c r="T992" s="109"/>
      <c r="U992" s="109"/>
      <c r="V992" s="109"/>
      <c r="W992" s="109"/>
      <c r="X992" s="109"/>
      <c r="Y992" s="109"/>
      <c r="Z992" s="109"/>
    </row>
    <row r="993">
      <c r="A993" s="109"/>
      <c r="B993" s="109"/>
      <c r="C993" s="109"/>
      <c r="D993" s="109"/>
      <c r="E993" s="109"/>
      <c r="F993" s="109"/>
      <c r="G993" s="109"/>
      <c r="H993" s="109"/>
      <c r="I993" s="109"/>
      <c r="J993" s="109"/>
      <c r="K993" s="109"/>
      <c r="L993" s="109"/>
      <c r="M993" s="109"/>
      <c r="N993" s="109"/>
      <c r="O993" s="109"/>
      <c r="P993" s="109"/>
      <c r="Q993" s="109"/>
      <c r="R993" s="109"/>
      <c r="S993" s="109"/>
      <c r="T993" s="109"/>
      <c r="U993" s="109"/>
      <c r="V993" s="109"/>
      <c r="W993" s="109"/>
      <c r="X993" s="109"/>
      <c r="Y993" s="109"/>
      <c r="Z993" s="109"/>
    </row>
    <row r="994">
      <c r="A994" s="109"/>
      <c r="B994" s="109"/>
      <c r="C994" s="109"/>
      <c r="D994" s="109"/>
      <c r="E994" s="109"/>
      <c r="F994" s="109"/>
      <c r="G994" s="109"/>
      <c r="H994" s="109"/>
      <c r="I994" s="109"/>
      <c r="J994" s="109"/>
      <c r="K994" s="109"/>
      <c r="L994" s="109"/>
      <c r="M994" s="109"/>
      <c r="N994" s="109"/>
      <c r="O994" s="109"/>
      <c r="P994" s="109"/>
      <c r="Q994" s="109"/>
      <c r="R994" s="109"/>
      <c r="S994" s="109"/>
      <c r="T994" s="109"/>
      <c r="U994" s="109"/>
      <c r="V994" s="109"/>
      <c r="W994" s="109"/>
      <c r="X994" s="109"/>
      <c r="Y994" s="109"/>
      <c r="Z994" s="109"/>
    </row>
    <row r="995">
      <c r="A995" s="109"/>
      <c r="B995" s="109"/>
      <c r="C995" s="109"/>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c r="Z995" s="109"/>
    </row>
    <row r="996">
      <c r="A996" s="109"/>
      <c r="B996" s="109"/>
      <c r="C996" s="109"/>
      <c r="D996" s="109"/>
      <c r="E996" s="109"/>
      <c r="F996" s="109"/>
      <c r="G996" s="109"/>
      <c r="H996" s="109"/>
      <c r="I996" s="109"/>
      <c r="J996" s="109"/>
      <c r="K996" s="109"/>
      <c r="L996" s="109"/>
      <c r="M996" s="109"/>
      <c r="N996" s="109"/>
      <c r="O996" s="109"/>
      <c r="P996" s="109"/>
      <c r="Q996" s="109"/>
      <c r="R996" s="109"/>
      <c r="S996" s="109"/>
      <c r="T996" s="109"/>
      <c r="U996" s="109"/>
      <c r="V996" s="109"/>
      <c r="W996" s="109"/>
      <c r="X996" s="109"/>
      <c r="Y996" s="109"/>
      <c r="Z996" s="109"/>
    </row>
    <row r="997">
      <c r="A997" s="109"/>
      <c r="B997" s="109"/>
      <c r="C997" s="109"/>
      <c r="D997" s="109"/>
      <c r="E997" s="109"/>
      <c r="F997" s="109"/>
      <c r="G997" s="109"/>
      <c r="H997" s="109"/>
      <c r="I997" s="109"/>
      <c r="J997" s="109"/>
      <c r="K997" s="109"/>
      <c r="L997" s="109"/>
      <c r="M997" s="109"/>
      <c r="N997" s="109"/>
      <c r="O997" s="109"/>
      <c r="P997" s="109"/>
      <c r="Q997" s="109"/>
      <c r="R997" s="109"/>
      <c r="S997" s="109"/>
      <c r="T997" s="109"/>
      <c r="U997" s="109"/>
      <c r="V997" s="109"/>
      <c r="W997" s="109"/>
      <c r="X997" s="109"/>
      <c r="Y997" s="109"/>
      <c r="Z997" s="109"/>
    </row>
    <row r="998">
      <c r="A998" s="109"/>
      <c r="B998" s="109"/>
      <c r="C998" s="109"/>
      <c r="D998" s="109"/>
      <c r="E998" s="109"/>
      <c r="F998" s="109"/>
      <c r="G998" s="109"/>
      <c r="H998" s="109"/>
      <c r="I998" s="109"/>
      <c r="J998" s="109"/>
      <c r="K998" s="109"/>
      <c r="L998" s="109"/>
      <c r="M998" s="109"/>
      <c r="N998" s="109"/>
      <c r="O998" s="109"/>
      <c r="P998" s="109"/>
      <c r="Q998" s="109"/>
      <c r="R998" s="109"/>
      <c r="S998" s="109"/>
      <c r="T998" s="109"/>
      <c r="U998" s="109"/>
      <c r="V998" s="109"/>
      <c r="W998" s="109"/>
      <c r="X998" s="109"/>
      <c r="Y998" s="109"/>
      <c r="Z998" s="109"/>
    </row>
    <row r="999">
      <c r="A999" s="109"/>
      <c r="B999" s="109"/>
      <c r="C999" s="109"/>
      <c r="D999" s="109"/>
      <c r="E999" s="109"/>
      <c r="F999" s="109"/>
      <c r="G999" s="109"/>
      <c r="H999" s="109"/>
      <c r="I999" s="109"/>
      <c r="J999" s="109"/>
      <c r="K999" s="109"/>
      <c r="L999" s="109"/>
      <c r="M999" s="109"/>
      <c r="N999" s="109"/>
      <c r="O999" s="109"/>
      <c r="P999" s="109"/>
      <c r="Q999" s="109"/>
      <c r="R999" s="109"/>
      <c r="S999" s="109"/>
      <c r="T999" s="109"/>
      <c r="U999" s="109"/>
      <c r="V999" s="109"/>
      <c r="W999" s="109"/>
      <c r="X999" s="109"/>
      <c r="Y999" s="109"/>
      <c r="Z999" s="109"/>
    </row>
    <row r="1000">
      <c r="A1000" s="109"/>
      <c r="B1000" s="109"/>
      <c r="C1000" s="109"/>
      <c r="D1000" s="109"/>
      <c r="E1000" s="109"/>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row>
  </sheetData>
  <mergeCells count="3">
    <mergeCell ref="B11:G11"/>
    <mergeCell ref="B12:G12"/>
    <mergeCell ref="B13:G13"/>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EA5E9"/>
    <pageSetUpPr/>
  </sheetPr>
  <sheetViews>
    <sheetView showGridLines="0" workbookViewId="0"/>
  </sheetViews>
  <sheetFormatPr customHeight="1" defaultColWidth="12.63" defaultRowHeight="15.0"/>
  <cols>
    <col customWidth="1" min="1" max="1" width="19.75"/>
    <col customWidth="1" min="2" max="2" width="52.25"/>
    <col customWidth="1" min="3" max="3" width="30.0"/>
    <col customWidth="1" min="4" max="4" width="15.0"/>
    <col customWidth="1" min="5" max="24" width="9.13"/>
  </cols>
  <sheetData>
    <row r="1">
      <c r="A1" s="81" t="s">
        <v>260</v>
      </c>
      <c r="B1" s="82" t="s">
        <v>29</v>
      </c>
      <c r="C1" s="83"/>
      <c r="D1" s="83"/>
      <c r="E1" s="8"/>
      <c r="F1" s="8"/>
      <c r="G1" s="8"/>
      <c r="H1" s="8"/>
      <c r="I1" s="8"/>
      <c r="J1" s="8"/>
      <c r="K1" s="8"/>
      <c r="L1" s="8"/>
      <c r="M1" s="8"/>
      <c r="N1" s="8"/>
      <c r="O1" s="8"/>
      <c r="P1" s="8"/>
      <c r="Q1" s="8"/>
      <c r="R1" s="8"/>
      <c r="S1" s="8"/>
      <c r="T1" s="8"/>
      <c r="U1" s="8"/>
      <c r="V1" s="8"/>
      <c r="W1" s="8"/>
      <c r="X1" s="8"/>
      <c r="Y1" s="8"/>
      <c r="Z1" s="8"/>
    </row>
    <row r="2">
      <c r="A2" s="84" t="s">
        <v>5</v>
      </c>
      <c r="B2" s="85"/>
      <c r="C2" s="8"/>
      <c r="D2" s="8"/>
      <c r="E2" s="8"/>
      <c r="F2" s="8"/>
      <c r="G2" s="8"/>
      <c r="H2" s="8"/>
      <c r="I2" s="8"/>
      <c r="J2" s="8"/>
      <c r="K2" s="8"/>
      <c r="L2" s="8"/>
      <c r="M2" s="8"/>
      <c r="N2" s="8"/>
      <c r="O2" s="8"/>
      <c r="P2" s="8"/>
      <c r="Q2" s="8"/>
      <c r="R2" s="8"/>
      <c r="S2" s="8"/>
      <c r="T2" s="8"/>
      <c r="U2" s="8"/>
      <c r="V2" s="8"/>
      <c r="W2" s="8"/>
      <c r="X2" s="8"/>
      <c r="Y2" s="8"/>
      <c r="Z2" s="8"/>
    </row>
    <row r="3">
      <c r="A3" s="31" t="s">
        <v>704</v>
      </c>
      <c r="B3" s="33" t="str">
        <f>IF(LEFT($B$1,2)="T1",Schedule!$A$4&amp;", "&amp;Schedule!$A$10,IF(LEFT($B$1,2)="T2",Schedule!$A$4&amp;", "&amp;Schedule!$A$12,IF(LEFT($B$1,2)="T3",Schedule!$A$4&amp;", "&amp;#REF!,IF(LEFT($B$1,2)="T4",Schedule!$A$16&amp;", "&amp;Schedule!$A$18,IF($B$1="Keynote 1",Schedule!$A$4&amp;", "&amp;Schedule!$A$8,IF($B$1="Keynote 2",Schedule!$A$4&amp;", "&amp;Schedule!$A$13,IF($B$1="Keynote 3",Schedule!$A$16&amp;", "&amp;Schedule!$A$19,IF($B$1="IEEE Workshop",Schedule!$A$16&amp;", "&amp;#REF!,""))))))))</f>
        <v>Day 1, 16:30-17:30</v>
      </c>
      <c r="C3" s="31"/>
      <c r="D3" s="31"/>
      <c r="E3" s="8"/>
      <c r="F3" s="8"/>
      <c r="G3" s="8"/>
      <c r="H3" s="8"/>
      <c r="I3" s="8"/>
      <c r="J3" s="8"/>
      <c r="K3" s="8"/>
      <c r="L3" s="8"/>
      <c r="M3" s="8"/>
      <c r="N3" s="8"/>
      <c r="O3" s="8"/>
      <c r="P3" s="8"/>
      <c r="Q3" s="8"/>
      <c r="R3" s="8"/>
      <c r="S3" s="8"/>
      <c r="T3" s="8"/>
      <c r="U3" s="8"/>
      <c r="V3" s="8"/>
      <c r="W3" s="8"/>
      <c r="X3" s="8"/>
      <c r="Y3" s="8"/>
      <c r="Z3" s="8"/>
    </row>
    <row r="4">
      <c r="A4" s="31" t="s">
        <v>11</v>
      </c>
      <c r="B4" s="31" t="str">
        <f t="array" ref="B4">IFERROR(INDEX(Sessions!$D$2:$D$173,MATCH($B$1,Sessions!$B$2:$B$173,0))&amp;"","")</f>
        <v/>
      </c>
      <c r="C4" s="31"/>
      <c r="D4" s="31"/>
      <c r="E4" s="8"/>
      <c r="F4" s="8"/>
      <c r="G4" s="8"/>
      <c r="H4" s="8"/>
      <c r="I4" s="8"/>
      <c r="J4" s="8"/>
      <c r="K4" s="8"/>
      <c r="L4" s="8"/>
      <c r="M4" s="8"/>
      <c r="N4" s="8"/>
      <c r="O4" s="8"/>
      <c r="P4" s="8"/>
      <c r="Q4" s="8"/>
      <c r="R4" s="8"/>
      <c r="S4" s="8"/>
      <c r="T4" s="8"/>
      <c r="U4" s="8"/>
      <c r="V4" s="8"/>
      <c r="W4" s="8"/>
      <c r="X4" s="8"/>
      <c r="Y4" s="8"/>
      <c r="Z4" s="8"/>
    </row>
    <row r="5">
      <c r="A5" s="31" t="s">
        <v>707</v>
      </c>
      <c r="B5" s="33" t="str">
        <f t="array" ref="B5">IFERROR(INDEX(Chairs!$J$2:$J$359,MATCH(1,INDEX((Chairs!$K$2:$K$359=$B$1)*(Chairs!$N$2:$N$359=1),0),0)),"")</f>
        <v>Prof. Dr. Md. Shahriar Rahman</v>
      </c>
      <c r="C5" s="33" t="str">
        <f t="array" ref="C5">IFERROR(INDEX(Chairs!$L$2:$L$359,MATCH(1,INDEX((Chairs!$K$2:$K$359=$B$1)*(Chairs!$N$2:$N$359=1),0),0))&amp;"","")</f>
        <v>mshahriar@cse.uiu.ac.bd</v>
      </c>
      <c r="D5" s="33" t="str">
        <f t="array" ref="D5">IFERROR(INDEX(Chairs!$M$2:$M$359,MATCH(1,INDEX((Chairs!$K$2:$K$359=$B$1)*(Chairs!$N$2:$N$359=1),0),0))&amp;"","")</f>
        <v>01742092172</v>
      </c>
      <c r="E5" s="8"/>
      <c r="F5" s="8"/>
      <c r="G5" s="8"/>
      <c r="H5" s="8"/>
      <c r="I5" s="8"/>
      <c r="J5" s="8"/>
      <c r="K5" s="8"/>
      <c r="L5" s="8"/>
      <c r="M5" s="8"/>
      <c r="N5" s="8"/>
      <c r="O5" s="8"/>
      <c r="P5" s="8"/>
      <c r="Q5" s="8"/>
      <c r="R5" s="8"/>
      <c r="S5" s="8"/>
      <c r="T5" s="8"/>
      <c r="U5" s="8"/>
      <c r="V5" s="8"/>
      <c r="W5" s="8"/>
      <c r="X5" s="8"/>
      <c r="Y5" s="8"/>
      <c r="Z5" s="8"/>
    </row>
    <row r="6">
      <c r="A6" s="31" t="s">
        <v>709</v>
      </c>
      <c r="B6" s="33" t="str">
        <f t="array" ref="B6">IFERROR(INDEX('Senior Faculty'!$J$2:$J$401,MATCH(1,INDEX(('Senior Faculty'!$K$2:$K$401=$B$1)*('Senior Faculty'!$N$2:$N$401=1),0),0)),"")</f>
        <v>Prof. Dr. Muhammad Golam Kibria</v>
      </c>
      <c r="C6" s="33" t="str">
        <f t="array" ref="C6">IFERROR(INDEX('Senior Faculty'!$L$2:$L$401,MATCH(1,INDEX(('Senior Faculty'!$K$2:$K$401=$B$1)*('Senior Faculty'!$N$2:$N$401=1),0),0))&amp;"","")</f>
        <v>golam.kibria@ulab.edu.bd</v>
      </c>
      <c r="D6" s="33" t="str">
        <f t="array" ref="D6">IFERROR(INDEX('Senior Faculty'!$M$2:$M$401,MATCH(1,INDEX(('Senior Faculty'!$K$2:$K$401=$B$1)*('Senior Faculty'!$N$2:$N$401=1),0),0))&amp;"","")</f>
        <v>01771122144</v>
      </c>
      <c r="E6" s="8"/>
      <c r="F6" s="8"/>
      <c r="G6" s="8"/>
      <c r="H6" s="8"/>
      <c r="I6" s="8"/>
      <c r="J6" s="8"/>
      <c r="K6" s="8"/>
      <c r="L6" s="8"/>
      <c r="M6" s="8"/>
      <c r="N6" s="8"/>
      <c r="O6" s="8"/>
      <c r="P6" s="8"/>
      <c r="Q6" s="8"/>
      <c r="R6" s="8"/>
      <c r="S6" s="8"/>
      <c r="T6" s="8"/>
      <c r="U6" s="8"/>
      <c r="V6" s="8"/>
      <c r="W6" s="8"/>
      <c r="X6" s="8"/>
      <c r="Y6" s="8"/>
      <c r="Z6" s="8"/>
    </row>
    <row r="7">
      <c r="A7" s="31" t="s">
        <v>713</v>
      </c>
      <c r="B7" s="33" t="str">
        <f t="array" ref="B7">IFERROR(INDEX('Junior Faculty'!$J$2:$J$401,MATCH(1,INDEX(('Junior Faculty'!$K$2:$K$401=$B$1)*('Junior Faculty'!$N$2:$N$401=1),0),0)),"")</f>
        <v/>
      </c>
      <c r="C7" s="33" t="str">
        <f t="array" ref="C7">IFERROR(INDEX('Junior Faculty'!$L$2:$L$401,MATCH(1,INDEX(('Junior Faculty'!$K$2:$K$401=$B$1)*('Junior Faculty'!$N$2:$N$401=1),0),0))&amp;"","")</f>
        <v/>
      </c>
      <c r="D7" s="33" t="str">
        <f t="array" ref="D7">IFERROR(INDEX('Junior Faculty'!$M$2:$M$401,MATCH(1,INDEX(('Junior Faculty'!$K$2:$K$401=$B$1)*('Junior Faculty'!$N$2:$N$401=1),0),0))&amp;"","")</f>
        <v/>
      </c>
      <c r="E7" s="8"/>
      <c r="F7" s="8"/>
      <c r="G7" s="8"/>
      <c r="H7" s="8"/>
      <c r="I7" s="8"/>
      <c r="J7" s="8"/>
      <c r="K7" s="8"/>
      <c r="L7" s="8"/>
      <c r="M7" s="8"/>
      <c r="N7" s="8"/>
      <c r="O7" s="8"/>
      <c r="P7" s="8"/>
      <c r="Q7" s="8"/>
      <c r="R7" s="8"/>
      <c r="S7" s="8"/>
      <c r="T7" s="8"/>
      <c r="U7" s="8"/>
      <c r="V7" s="8"/>
      <c r="W7" s="8"/>
      <c r="X7" s="8"/>
      <c r="Y7" s="8"/>
      <c r="Z7" s="8"/>
    </row>
    <row r="8">
      <c r="A8" s="45" t="s">
        <v>714</v>
      </c>
      <c r="B8" s="47" t="str">
        <f t="array" ref="B8">IFERROR(INDEX('Junior Faculty'!$J$2:$J$401,MATCH(1,INDEX(('Junior Faculty'!$K$2:$K$401=$B$1)*('Junior Faculty'!$N$2:$N$401=2),0),0)),"")</f>
        <v/>
      </c>
      <c r="C8" s="47" t="str">
        <f t="array" ref="C8">IFERROR(INDEX('Junior Faculty'!$L$2:$L$401,MATCH(1,INDEX(('Junior Faculty'!$K$2:$K$401=$B$1)*('Junior Faculty'!$N$2:$N$401=2),0),0))&amp;"","")</f>
        <v/>
      </c>
      <c r="D8" s="47" t="str">
        <f t="array" ref="D8">IFERROR(INDEX('Junior Faculty'!$M$2:$M$401,MATCH(1,INDEX(('Junior Faculty'!$K$2:$K$401=$B$1)*('Junior Faculty'!$N$2:$N$401=2),0),0))&amp;"","")</f>
        <v/>
      </c>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5" t="s">
        <v>715</v>
      </c>
      <c r="B10" s="33"/>
      <c r="C10" s="33"/>
      <c r="D10" s="33"/>
      <c r="E10" s="8"/>
      <c r="F10" s="8"/>
      <c r="G10" s="8"/>
      <c r="H10" s="8"/>
      <c r="I10" s="8"/>
      <c r="J10" s="8"/>
      <c r="K10" s="8"/>
      <c r="L10" s="8"/>
      <c r="M10" s="8"/>
      <c r="N10" s="8"/>
      <c r="O10" s="8"/>
      <c r="P10" s="8"/>
      <c r="Q10" s="8"/>
      <c r="R10" s="8"/>
      <c r="S10" s="8"/>
      <c r="T10" s="8"/>
      <c r="U10" s="8"/>
      <c r="V10" s="8"/>
      <c r="W10" s="8"/>
      <c r="X10" s="8"/>
      <c r="Y10" s="8"/>
      <c r="Z10" s="8"/>
    </row>
    <row r="11">
      <c r="A11" s="93" t="s">
        <v>716</v>
      </c>
      <c r="B11" s="97"/>
      <c r="H11" s="8"/>
      <c r="I11" s="8"/>
      <c r="J11" s="8"/>
      <c r="K11" s="8"/>
      <c r="L11" s="8"/>
      <c r="M11" s="8"/>
      <c r="N11" s="8"/>
      <c r="O11" s="8"/>
      <c r="P11" s="8"/>
      <c r="Q11" s="8"/>
      <c r="R11" s="8"/>
      <c r="S11" s="8"/>
      <c r="T11" s="8"/>
      <c r="U11" s="8"/>
      <c r="V11" s="8"/>
      <c r="W11" s="8"/>
      <c r="X11" s="8"/>
      <c r="Y11" s="8"/>
      <c r="Z11" s="8"/>
    </row>
    <row r="12">
      <c r="A12" s="93" t="s">
        <v>718</v>
      </c>
      <c r="B12" s="97"/>
      <c r="H12" s="8"/>
      <c r="I12" s="8"/>
      <c r="J12" s="8"/>
      <c r="K12" s="8"/>
      <c r="L12" s="8"/>
      <c r="M12" s="8"/>
      <c r="N12" s="8"/>
      <c r="O12" s="8"/>
      <c r="P12" s="8"/>
      <c r="Q12" s="8"/>
      <c r="R12" s="8"/>
      <c r="S12" s="8"/>
      <c r="T12" s="8"/>
      <c r="U12" s="8"/>
      <c r="V12" s="8"/>
      <c r="W12" s="8"/>
      <c r="X12" s="8"/>
      <c r="Y12" s="8"/>
      <c r="Z12" s="8"/>
    </row>
    <row r="13">
      <c r="A13" s="93" t="s">
        <v>720</v>
      </c>
      <c r="B13" s="97"/>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sheetData>
  <mergeCells count="3">
    <mergeCell ref="B11:G11"/>
    <mergeCell ref="B12:G12"/>
    <mergeCell ref="B13:G13"/>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EA5E9"/>
    <pageSetUpPr/>
  </sheetPr>
  <sheetViews>
    <sheetView showGridLines="0" workbookViewId="0"/>
  </sheetViews>
  <sheetFormatPr customHeight="1" defaultColWidth="12.63" defaultRowHeight="15.0"/>
  <cols>
    <col customWidth="1" min="1" max="1" width="19.75"/>
    <col customWidth="1" min="2" max="2" width="52.25"/>
    <col customWidth="1" min="3" max="3" width="30.0"/>
    <col customWidth="1" min="4" max="4" width="15.0"/>
    <col customWidth="1" min="5" max="24" width="9.13"/>
  </cols>
  <sheetData>
    <row r="1" ht="12.75" customHeight="1">
      <c r="A1" s="81" t="s">
        <v>260</v>
      </c>
      <c r="B1" s="82" t="s">
        <v>705</v>
      </c>
      <c r="C1" s="83"/>
      <c r="D1" s="83"/>
      <c r="E1" s="8"/>
      <c r="F1" s="8"/>
      <c r="G1" s="8"/>
      <c r="H1" s="8"/>
      <c r="I1" s="8"/>
      <c r="J1" s="8"/>
      <c r="K1" s="8"/>
      <c r="L1" s="8"/>
      <c r="M1" s="8"/>
      <c r="N1" s="8"/>
      <c r="O1" s="8"/>
      <c r="P1" s="8"/>
      <c r="Q1" s="8"/>
      <c r="R1" s="8"/>
      <c r="S1" s="8"/>
      <c r="T1" s="8"/>
      <c r="U1" s="8"/>
      <c r="V1" s="8"/>
      <c r="W1" s="8"/>
      <c r="X1" s="8"/>
      <c r="Y1" s="8"/>
      <c r="Z1" s="8"/>
    </row>
    <row r="2" ht="12.75" customHeight="1">
      <c r="A2" s="84" t="s">
        <v>5</v>
      </c>
      <c r="B2" s="88" t="s">
        <v>706</v>
      </c>
      <c r="C2" s="8"/>
      <c r="D2" s="8"/>
      <c r="E2" s="8"/>
      <c r="F2" s="8"/>
      <c r="G2" s="8"/>
      <c r="H2" s="8"/>
      <c r="I2" s="8"/>
      <c r="J2" s="8"/>
      <c r="K2" s="8"/>
      <c r="L2" s="8"/>
      <c r="M2" s="8"/>
      <c r="N2" s="8"/>
      <c r="O2" s="8"/>
      <c r="P2" s="8"/>
      <c r="Q2" s="8"/>
      <c r="R2" s="8"/>
      <c r="S2" s="8"/>
      <c r="T2" s="8"/>
      <c r="U2" s="8"/>
      <c r="V2" s="8"/>
      <c r="W2" s="8"/>
      <c r="X2" s="8"/>
      <c r="Y2" s="8"/>
      <c r="Z2" s="8"/>
    </row>
    <row r="3" ht="12.75" customHeight="1">
      <c r="A3" s="31" t="s">
        <v>704</v>
      </c>
      <c r="B3" s="33" t="str">
        <f>IF(LEFT($B$1,2)="T1",Schedule!$A$4&amp;", "&amp;Schedule!$A$10,IF(LEFT($B$1,2)="T2",Schedule!$A$4&amp;", "&amp;Schedule!$A$12,IF(LEFT($B$1,2)="T3",Schedule!$A$4&amp;", "&amp;#REF!,IF(LEFT($B$1,2)="T4",Schedule!$A$16&amp;", "&amp;Schedule!$A$18,IF($B$1="Keynote 1",Schedule!$A$4&amp;", "&amp;Schedule!$A$8,IF($B$1="Keynote 2",Schedule!$A$4&amp;", "&amp;Schedule!$A$13,IF($B$1="Keynote 3",Schedule!$A$16&amp;", "&amp;Schedule!$A$19,IF($B$1="IEEE Workshop",Schedule!$A$16&amp;", "&amp;#REF!,""))))))))</f>
        <v>Day 2, 14:30-15:30</v>
      </c>
      <c r="C3" s="31"/>
      <c r="D3" s="31"/>
      <c r="E3" s="8"/>
      <c r="F3" s="8"/>
      <c r="G3" s="8"/>
      <c r="H3" s="8"/>
      <c r="I3" s="8"/>
      <c r="J3" s="8"/>
      <c r="K3" s="8"/>
      <c r="L3" s="8"/>
      <c r="M3" s="8"/>
      <c r="N3" s="8"/>
      <c r="O3" s="8"/>
      <c r="P3" s="8"/>
      <c r="Q3" s="8"/>
      <c r="R3" s="8"/>
      <c r="S3" s="8"/>
      <c r="T3" s="8"/>
      <c r="U3" s="8"/>
      <c r="V3" s="8"/>
      <c r="W3" s="8"/>
      <c r="X3" s="8"/>
      <c r="Y3" s="8"/>
      <c r="Z3" s="8"/>
    </row>
    <row r="4" ht="12.75" customHeight="1">
      <c r="A4" s="31" t="s">
        <v>11</v>
      </c>
      <c r="B4" s="89" t="s">
        <v>79</v>
      </c>
      <c r="C4" s="31"/>
      <c r="D4" s="31"/>
      <c r="E4" s="8"/>
      <c r="F4" s="8"/>
      <c r="G4" s="8"/>
      <c r="H4" s="8"/>
      <c r="I4" s="8"/>
      <c r="J4" s="8"/>
      <c r="K4" s="8"/>
      <c r="L4" s="8"/>
      <c r="M4" s="8"/>
      <c r="N4" s="8"/>
      <c r="O4" s="8"/>
      <c r="P4" s="8"/>
      <c r="Q4" s="8"/>
      <c r="R4" s="8"/>
      <c r="S4" s="8"/>
      <c r="T4" s="8"/>
      <c r="U4" s="8"/>
      <c r="V4" s="8"/>
      <c r="W4" s="8"/>
      <c r="X4" s="8"/>
      <c r="Y4" s="8"/>
      <c r="Z4" s="8"/>
    </row>
    <row r="5" ht="12.75" customHeight="1">
      <c r="A5" s="31" t="s">
        <v>707</v>
      </c>
      <c r="B5" s="37" t="s">
        <v>708</v>
      </c>
      <c r="C5" s="33" t="str">
        <f t="array" ref="C5">IFERROR(INDEX(Chairs!$L$2:$L$359,MATCH(1,INDEX((Chairs!$K$2:$K$359=$B$1)*(Chairs!$N$2:$N$359=1),0),0))&amp;"","")</f>
        <v/>
      </c>
      <c r="D5" s="33" t="str">
        <f t="array" ref="D5">IFERROR(INDEX(Chairs!$M$2:$M$359,MATCH(1,INDEX((Chairs!$K$2:$K$359=$B$1)*(Chairs!$N$2:$N$359=1),0),0))&amp;"","")</f>
        <v/>
      </c>
      <c r="E5" s="8"/>
      <c r="F5" s="8"/>
      <c r="G5" s="8"/>
      <c r="H5" s="8"/>
      <c r="I5" s="8"/>
      <c r="J5" s="8"/>
      <c r="K5" s="8"/>
      <c r="L5" s="8"/>
      <c r="M5" s="8"/>
      <c r="N5" s="8"/>
      <c r="O5" s="8"/>
      <c r="P5" s="8"/>
      <c r="Q5" s="8"/>
      <c r="R5" s="8"/>
      <c r="S5" s="8"/>
      <c r="T5" s="8"/>
      <c r="U5" s="8"/>
      <c r="V5" s="8"/>
      <c r="W5" s="8"/>
      <c r="X5" s="8"/>
      <c r="Y5" s="8"/>
      <c r="Z5" s="8"/>
    </row>
    <row r="6" ht="12.75" customHeight="1">
      <c r="A6" s="31" t="s">
        <v>709</v>
      </c>
      <c r="B6" s="33" t="str">
        <f t="array" ref="B6">IFERROR(INDEX('Senior Faculty'!$J$2:$J$401,MATCH(1,INDEX(('Senior Faculty'!$K$2:$K$401=$B$1)*('Senior Faculty'!$N$2:$N$401=1),0),0)),"")</f>
        <v/>
      </c>
      <c r="C6" s="33" t="str">
        <f t="array" ref="C6">IFERROR(INDEX('Senior Faculty'!$L$2:$L$401,MATCH(1,INDEX(('Senior Faculty'!$K$2:$K$401=$B$1)*('Senior Faculty'!$N$2:$N$401=1),0),0))&amp;"","")</f>
        <v/>
      </c>
      <c r="D6" s="33" t="str">
        <f t="array" ref="D6">IFERROR(INDEX('Senior Faculty'!$M$2:$M$401,MATCH(1,INDEX(('Senior Faculty'!$K$2:$K$401=$B$1)*('Senior Faculty'!$N$2:$N$401=1),0),0))&amp;"","")</f>
        <v/>
      </c>
      <c r="E6" s="8"/>
      <c r="F6" s="8"/>
      <c r="G6" s="8"/>
      <c r="H6" s="8"/>
      <c r="I6" s="8"/>
      <c r="J6" s="8"/>
      <c r="K6" s="8"/>
      <c r="L6" s="8"/>
      <c r="M6" s="8"/>
      <c r="N6" s="8"/>
      <c r="O6" s="8"/>
      <c r="P6" s="8"/>
      <c r="Q6" s="8"/>
      <c r="R6" s="8"/>
      <c r="S6" s="8"/>
      <c r="T6" s="8"/>
      <c r="U6" s="8"/>
      <c r="V6" s="8"/>
      <c r="W6" s="8"/>
      <c r="X6" s="8"/>
      <c r="Y6" s="8"/>
      <c r="Z6" s="8"/>
    </row>
    <row r="7" ht="12.75" customHeight="1">
      <c r="A7" s="31" t="s">
        <v>713</v>
      </c>
      <c r="B7" s="33" t="str">
        <f t="array" ref="B7">IFERROR(INDEX('Junior Faculty'!$J$2:$J$401,MATCH(1,INDEX(('Junior Faculty'!$K$2:$K$401=$B$1)*('Junior Faculty'!$N$2:$N$401=1),0),0)),"")</f>
        <v/>
      </c>
      <c r="C7" s="33" t="str">
        <f t="array" ref="C7">IFERROR(INDEX('Junior Faculty'!$L$2:$L$401,MATCH(1,INDEX(('Junior Faculty'!$K$2:$K$401=$B$1)*('Junior Faculty'!$N$2:$N$401=1),0),0))&amp;"","")</f>
        <v/>
      </c>
      <c r="D7" s="33" t="str">
        <f t="array" ref="D7">IFERROR(INDEX('Junior Faculty'!$M$2:$M$401,MATCH(1,INDEX(('Junior Faculty'!$K$2:$K$401=$B$1)*('Junior Faculty'!$N$2:$N$401=1),0),0))&amp;"","")</f>
        <v/>
      </c>
      <c r="E7" s="8"/>
      <c r="F7" s="8"/>
      <c r="G7" s="8"/>
      <c r="H7" s="8"/>
      <c r="I7" s="8"/>
      <c r="J7" s="8"/>
      <c r="K7" s="8"/>
      <c r="L7" s="8"/>
      <c r="M7" s="8"/>
      <c r="N7" s="8"/>
      <c r="O7" s="8"/>
      <c r="P7" s="8"/>
      <c r="Q7" s="8"/>
      <c r="R7" s="8"/>
      <c r="S7" s="8"/>
      <c r="T7" s="8"/>
      <c r="U7" s="8"/>
      <c r="V7" s="8"/>
      <c r="W7" s="8"/>
      <c r="X7" s="8"/>
      <c r="Y7" s="8"/>
      <c r="Z7" s="8"/>
    </row>
    <row r="8" ht="12.75" customHeight="1">
      <c r="A8" s="45" t="s">
        <v>714</v>
      </c>
      <c r="B8" s="47" t="str">
        <f t="array" ref="B8">IFERROR(INDEX('Junior Faculty'!$J$2:$J$401,MATCH(1,INDEX(('Junior Faculty'!$K$2:$K$401=$B$1)*('Junior Faculty'!$N$2:$N$401=2),0),0)),"")</f>
        <v/>
      </c>
      <c r="C8" s="47" t="str">
        <f t="array" ref="C8">IFERROR(INDEX('Junior Faculty'!$L$2:$L$401,MATCH(1,INDEX(('Junior Faculty'!$K$2:$K$401=$B$1)*('Junior Faculty'!$N$2:$N$401=2),0),0))&amp;"","")</f>
        <v/>
      </c>
      <c r="D8" s="47" t="str">
        <f t="array" ref="D8">IFERROR(INDEX('Junior Faculty'!$M$2:$M$401,MATCH(1,INDEX(('Junior Faculty'!$K$2:$K$401=$B$1)*('Junior Faculty'!$N$2:$N$401=2),0),0))&amp;"","")</f>
        <v/>
      </c>
      <c r="E8" s="8"/>
      <c r="F8" s="8"/>
      <c r="G8" s="8"/>
      <c r="H8" s="8"/>
      <c r="I8" s="8"/>
      <c r="J8" s="8"/>
      <c r="K8" s="8"/>
      <c r="L8" s="8"/>
      <c r="M8" s="8"/>
      <c r="N8" s="8"/>
      <c r="O8" s="8"/>
      <c r="P8" s="8"/>
      <c r="Q8" s="8"/>
      <c r="R8" s="8"/>
      <c r="S8" s="8"/>
      <c r="T8" s="8"/>
      <c r="U8" s="8"/>
      <c r="V8" s="8"/>
      <c r="W8" s="8"/>
      <c r="X8" s="8"/>
      <c r="Y8" s="8"/>
      <c r="Z8" s="8"/>
    </row>
    <row r="9" ht="12.75" customHeight="1">
      <c r="A9" s="8"/>
      <c r="B9" s="8"/>
      <c r="C9" s="8"/>
      <c r="D9" s="8"/>
      <c r="E9" s="8"/>
      <c r="F9" s="8"/>
      <c r="G9" s="8"/>
      <c r="H9" s="8"/>
      <c r="I9" s="8"/>
      <c r="J9" s="8"/>
      <c r="K9" s="8"/>
      <c r="L9" s="8"/>
      <c r="M9" s="8"/>
      <c r="N9" s="8"/>
      <c r="O9" s="8"/>
      <c r="P9" s="8"/>
      <c r="Q9" s="8"/>
      <c r="R9" s="8"/>
      <c r="S9" s="8"/>
      <c r="T9" s="8"/>
      <c r="U9" s="8"/>
      <c r="V9" s="8"/>
      <c r="W9" s="8"/>
      <c r="X9" s="8"/>
      <c r="Y9" s="8"/>
      <c r="Z9" s="8"/>
    </row>
    <row r="10" ht="12.75" customHeight="1">
      <c r="A10" s="85" t="s">
        <v>715</v>
      </c>
      <c r="B10" s="33"/>
      <c r="C10" s="33"/>
      <c r="D10" s="33"/>
      <c r="E10" s="8"/>
      <c r="F10" s="8"/>
      <c r="G10" s="8"/>
      <c r="H10" s="8"/>
      <c r="I10" s="8"/>
      <c r="J10" s="8"/>
      <c r="K10" s="8"/>
      <c r="L10" s="8"/>
      <c r="M10" s="8"/>
      <c r="N10" s="8"/>
      <c r="O10" s="8"/>
      <c r="P10" s="8"/>
      <c r="Q10" s="8"/>
      <c r="R10" s="8"/>
      <c r="S10" s="8"/>
      <c r="T10" s="8"/>
      <c r="U10" s="8"/>
      <c r="V10" s="8"/>
      <c r="W10" s="8"/>
      <c r="X10" s="8"/>
      <c r="Y10" s="8"/>
      <c r="Z10" s="8"/>
    </row>
    <row r="11" ht="12.75" customHeight="1">
      <c r="A11" s="93" t="s">
        <v>716</v>
      </c>
      <c r="B11" s="94" t="s">
        <v>717</v>
      </c>
      <c r="H11" s="8"/>
      <c r="I11" s="8"/>
      <c r="J11" s="8"/>
      <c r="K11" s="8"/>
      <c r="L11" s="8"/>
      <c r="M11" s="8"/>
      <c r="N11" s="8"/>
      <c r="O11" s="8"/>
      <c r="P11" s="8"/>
      <c r="Q11" s="8"/>
      <c r="R11" s="8"/>
      <c r="S11" s="8"/>
      <c r="T11" s="8"/>
      <c r="U11" s="8"/>
      <c r="V11" s="8"/>
      <c r="W11" s="8"/>
      <c r="X11" s="8"/>
      <c r="Y11" s="8"/>
      <c r="Z11" s="8"/>
    </row>
    <row r="12" ht="12.75" customHeight="1">
      <c r="A12" s="93" t="s">
        <v>718</v>
      </c>
      <c r="B12" s="94" t="s">
        <v>719</v>
      </c>
      <c r="H12" s="8"/>
      <c r="I12" s="8"/>
      <c r="J12" s="8"/>
      <c r="K12" s="8"/>
      <c r="L12" s="8"/>
      <c r="M12" s="8"/>
      <c r="N12" s="8"/>
      <c r="O12" s="8"/>
      <c r="P12" s="8"/>
      <c r="Q12" s="8"/>
      <c r="R12" s="8"/>
      <c r="S12" s="8"/>
      <c r="T12" s="8"/>
      <c r="U12" s="8"/>
      <c r="V12" s="8"/>
      <c r="W12" s="8"/>
      <c r="X12" s="8"/>
      <c r="Y12" s="8"/>
      <c r="Z12" s="8"/>
    </row>
    <row r="13" ht="12.75" customHeight="1">
      <c r="A13" s="93" t="s">
        <v>720</v>
      </c>
      <c r="B13" s="96" t="s">
        <v>721</v>
      </c>
      <c r="C13" s="97"/>
      <c r="D13" s="97"/>
      <c r="E13" s="97"/>
      <c r="F13" s="97"/>
      <c r="G13" s="97"/>
      <c r="H13" s="8"/>
      <c r="I13" s="8"/>
      <c r="J13" s="8"/>
      <c r="K13" s="8"/>
      <c r="L13" s="8"/>
      <c r="M13" s="8"/>
      <c r="N13" s="8"/>
      <c r="O13" s="8"/>
      <c r="P13" s="8"/>
      <c r="Q13" s="8"/>
      <c r="R13" s="8"/>
      <c r="S13" s="8"/>
      <c r="T13" s="8"/>
      <c r="U13" s="8"/>
      <c r="V13" s="8"/>
      <c r="W13" s="8"/>
      <c r="X13" s="8"/>
      <c r="Y13" s="8"/>
      <c r="Z13" s="8"/>
    </row>
    <row r="14" ht="12.75"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ht="12.7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2.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2.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2.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2.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2.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2.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2.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2.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2.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2.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2.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2.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2.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2.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2.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2.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2.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2.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2.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2.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2.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2.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2.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2.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2.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2.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2.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2.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2.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2.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2.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2.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2.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2.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2.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2.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2.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2.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2.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2.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2.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2.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2.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2.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2.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2.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2.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2.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2.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2.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2.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2.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2.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2.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2.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2.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2.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2.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2.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2.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2.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2.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2.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2.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2.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2.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2.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2.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2.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2.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2.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2.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2.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2.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2.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2.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2.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2.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2.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2.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2.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2.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2.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2.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2.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2.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2.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2.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2.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2.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2.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2.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2.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2.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2.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2.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2.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2.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2.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2.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2.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2.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2.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2.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2.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2.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2.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2.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2.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2.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2.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2.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2.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2.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2.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2.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2.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2.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2.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2.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2.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2.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2.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2.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2.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2.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2.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2.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2.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2.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2.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2.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2.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2.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2.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2.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2.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2.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2.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2.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2.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2.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2.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2.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2.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2.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2.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2.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2.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2.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2.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2.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2.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2.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2.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2.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2.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2.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2.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2.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2.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2.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2.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2.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2.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2.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2.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2.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2.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2.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2.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2.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2.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2.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2.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2.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2.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2.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2.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2.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2.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2.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2.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2.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2.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2.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2.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2.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2.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2.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2.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2.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2.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2.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2.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2.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2.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2.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2.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2.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2.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2.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2.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2.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2.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B11:G11"/>
    <mergeCell ref="B12:G12"/>
  </mergeCells>
  <hyperlinks>
    <hyperlink r:id="rId1" ref="B4"/>
  </hyperlinks>
  <printOptions/>
  <pageMargins bottom="0.75" footer="0.0" header="0.0" left="0.7" right="0.7" top="0.75"/>
  <pageSetup paperSize="9" orientation="portrait"/>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EA5E9"/>
    <pageSetUpPr/>
  </sheetPr>
  <sheetViews>
    <sheetView showGridLines="0" workbookViewId="0"/>
  </sheetViews>
  <sheetFormatPr customHeight="1" defaultColWidth="12.63" defaultRowHeight="15.0"/>
  <cols>
    <col customWidth="1" min="1" max="1" width="19.75"/>
    <col customWidth="1" min="2" max="2" width="52.25"/>
    <col customWidth="1" min="3" max="3" width="30.0"/>
    <col customWidth="1" min="4" max="4" width="15.0"/>
    <col customWidth="1" min="5" max="24" width="9.13"/>
  </cols>
  <sheetData>
    <row r="1" ht="12.75" customHeight="1">
      <c r="A1" s="81" t="s">
        <v>260</v>
      </c>
      <c r="B1" s="82" t="s">
        <v>70</v>
      </c>
      <c r="C1" s="83"/>
      <c r="D1" s="83"/>
      <c r="E1" s="8"/>
      <c r="F1" s="8"/>
      <c r="G1" s="8"/>
      <c r="H1" s="8"/>
      <c r="I1" s="8"/>
      <c r="J1" s="8"/>
      <c r="K1" s="8"/>
      <c r="L1" s="8"/>
      <c r="M1" s="8"/>
      <c r="N1" s="8"/>
      <c r="O1" s="8"/>
      <c r="P1" s="8"/>
      <c r="Q1" s="8"/>
      <c r="R1" s="8"/>
      <c r="S1" s="8"/>
      <c r="T1" s="8"/>
      <c r="U1" s="8"/>
      <c r="V1" s="8"/>
      <c r="W1" s="8"/>
      <c r="X1" s="8"/>
      <c r="Y1" s="8"/>
      <c r="Z1" s="8"/>
    </row>
    <row r="2" ht="12.75" customHeight="1">
      <c r="A2" s="84" t="s">
        <v>5</v>
      </c>
      <c r="B2" s="7" t="s">
        <v>710</v>
      </c>
      <c r="C2" s="8"/>
      <c r="D2" s="8"/>
      <c r="E2" s="8"/>
      <c r="F2" s="8"/>
      <c r="G2" s="8"/>
      <c r="H2" s="8"/>
      <c r="I2" s="8"/>
      <c r="J2" s="8"/>
      <c r="K2" s="8"/>
      <c r="L2" s="8"/>
      <c r="M2" s="8"/>
      <c r="N2" s="8"/>
      <c r="O2" s="8"/>
      <c r="P2" s="8"/>
      <c r="Q2" s="8"/>
      <c r="R2" s="8"/>
      <c r="S2" s="8"/>
      <c r="T2" s="8"/>
      <c r="U2" s="8"/>
      <c r="V2" s="8"/>
      <c r="W2" s="8"/>
      <c r="X2" s="8"/>
      <c r="Y2" s="8"/>
      <c r="Z2" s="8"/>
    </row>
    <row r="3" ht="12.75" customHeight="1">
      <c r="A3" s="31" t="s">
        <v>704</v>
      </c>
      <c r="B3" s="37" t="s">
        <v>711</v>
      </c>
      <c r="C3" s="31"/>
      <c r="D3" s="31"/>
      <c r="E3" s="8"/>
      <c r="F3" s="8"/>
      <c r="G3" s="8"/>
      <c r="H3" s="8"/>
      <c r="I3" s="8"/>
      <c r="J3" s="8"/>
      <c r="K3" s="8"/>
      <c r="L3" s="8"/>
      <c r="M3" s="8"/>
      <c r="N3" s="8"/>
      <c r="O3" s="8"/>
      <c r="P3" s="8"/>
      <c r="Q3" s="8"/>
      <c r="R3" s="8"/>
      <c r="S3" s="8"/>
      <c r="T3" s="8"/>
      <c r="U3" s="8"/>
      <c r="V3" s="8"/>
      <c r="W3" s="8"/>
      <c r="X3" s="8"/>
      <c r="Y3" s="8"/>
      <c r="Z3" s="8"/>
    </row>
    <row r="4" ht="12.75" customHeight="1">
      <c r="A4" s="31" t="s">
        <v>11</v>
      </c>
      <c r="B4" s="41" t="s">
        <v>43</v>
      </c>
      <c r="C4" s="31"/>
      <c r="D4" s="31"/>
      <c r="E4" s="8"/>
      <c r="F4" s="8"/>
      <c r="G4" s="8"/>
      <c r="H4" s="8"/>
      <c r="I4" s="8"/>
      <c r="J4" s="8"/>
      <c r="K4" s="8"/>
      <c r="L4" s="8"/>
      <c r="M4" s="8"/>
      <c r="N4" s="8"/>
      <c r="O4" s="8"/>
      <c r="P4" s="8"/>
      <c r="Q4" s="8"/>
      <c r="R4" s="8"/>
      <c r="S4" s="8"/>
      <c r="T4" s="8"/>
      <c r="U4" s="8"/>
      <c r="V4" s="8"/>
      <c r="W4" s="8"/>
      <c r="X4" s="8"/>
      <c r="Y4" s="8"/>
      <c r="Z4" s="8"/>
    </row>
    <row r="5" ht="12.75" customHeight="1">
      <c r="A5" s="41" t="s">
        <v>712</v>
      </c>
      <c r="B5" s="37" t="s">
        <v>70</v>
      </c>
      <c r="C5" s="33"/>
      <c r="D5" s="33"/>
      <c r="E5" s="8"/>
      <c r="F5" s="8"/>
      <c r="G5" s="8"/>
      <c r="H5" s="8"/>
      <c r="I5" s="8"/>
      <c r="J5" s="8"/>
      <c r="K5" s="8"/>
      <c r="L5" s="8"/>
      <c r="M5" s="8"/>
      <c r="N5" s="8"/>
      <c r="O5" s="8"/>
      <c r="P5" s="8"/>
      <c r="Q5" s="8"/>
      <c r="R5" s="8"/>
      <c r="S5" s="8"/>
      <c r="T5" s="8"/>
      <c r="U5" s="8"/>
      <c r="V5" s="8"/>
      <c r="W5" s="8"/>
      <c r="X5" s="8"/>
      <c r="Y5" s="8"/>
      <c r="Z5" s="8"/>
    </row>
    <row r="6" ht="12.75" customHeight="1">
      <c r="A6" s="31" t="s">
        <v>709</v>
      </c>
      <c r="B6" s="33" t="str">
        <f t="array" ref="B6">IFERROR(INDEX('Senior Faculty'!$J$2:$J$401,MATCH(1,INDEX(('Senior Faculty'!$K$2:$K$401=$B$1)*('Senior Faculty'!$N$2:$N$401=1),0),0)),"")</f>
        <v>Prof. Dr. Nafees Mansoor</v>
      </c>
      <c r="C6" s="33" t="str">
        <f t="array" ref="C6">IFERROR(INDEX('Senior Faculty'!$L$2:$L$401,MATCH(1,INDEX(('Senior Faculty'!$K$2:$K$401=$B$1)*('Senior Faculty'!$N$2:$N$401=1),0),0))&amp;"","")</f>
        <v>nafees.mansoor@ulab.edu.bd</v>
      </c>
      <c r="D6" s="33" t="str">
        <f t="array" ref="D6">IFERROR(INDEX('Senior Faculty'!$M$2:$M$401,MATCH(1,INDEX(('Senior Faculty'!$K$2:$K$401=$B$1)*('Senior Faculty'!$N$2:$N$401=1),0),0))&amp;"","")</f>
        <v>01879242323</v>
      </c>
      <c r="E6" s="8"/>
      <c r="F6" s="8"/>
      <c r="G6" s="8"/>
      <c r="H6" s="8"/>
      <c r="I6" s="8"/>
      <c r="J6" s="8"/>
      <c r="K6" s="8"/>
      <c r="L6" s="8"/>
      <c r="M6" s="8"/>
      <c r="N6" s="8"/>
      <c r="O6" s="8"/>
      <c r="P6" s="8"/>
      <c r="Q6" s="8"/>
      <c r="R6" s="8"/>
      <c r="S6" s="8"/>
      <c r="T6" s="8"/>
      <c r="U6" s="8"/>
      <c r="V6" s="8"/>
      <c r="W6" s="8"/>
      <c r="X6" s="8"/>
      <c r="Y6" s="8"/>
      <c r="Z6" s="8"/>
    </row>
    <row r="7" ht="12.75" customHeight="1">
      <c r="A7" s="90" t="s">
        <v>713</v>
      </c>
      <c r="B7" s="92" t="str">
        <f t="array" ref="B7">IFERROR(INDEX('Junior Faculty'!$J$2:$J$401,MATCH(1,INDEX(('Junior Faculty'!$K$2:$K$401=$B$1)*('Junior Faculty'!$N$2:$N$401=1),0),0)),"")</f>
        <v/>
      </c>
      <c r="C7" s="92" t="str">
        <f t="array" ref="C7">IFERROR(INDEX('Junior Faculty'!$L$2:$L$401,MATCH(1,INDEX(('Junior Faculty'!$K$2:$K$401=$B$1)*('Junior Faculty'!$N$2:$N$401=1),0),0))&amp;"","")</f>
        <v/>
      </c>
      <c r="D7" s="92" t="str">
        <f t="array" ref="D7">IFERROR(INDEX('Junior Faculty'!$M$2:$M$401,MATCH(1,INDEX(('Junior Faculty'!$K$2:$K$401=$B$1)*('Junior Faculty'!$N$2:$N$401=1),0),0))&amp;"","")</f>
        <v/>
      </c>
      <c r="E7" s="8"/>
      <c r="F7" s="8"/>
      <c r="G7" s="8"/>
      <c r="H7" s="8"/>
      <c r="I7" s="8"/>
      <c r="J7" s="8"/>
      <c r="K7" s="8"/>
      <c r="L7" s="8"/>
      <c r="M7" s="8"/>
      <c r="N7" s="8"/>
      <c r="O7" s="8"/>
      <c r="P7" s="8"/>
      <c r="Q7" s="8"/>
      <c r="R7" s="8"/>
      <c r="S7" s="8"/>
      <c r="T7" s="8"/>
      <c r="U7" s="8"/>
      <c r="V7" s="8"/>
      <c r="W7" s="8"/>
      <c r="X7" s="8"/>
      <c r="Y7" s="8"/>
      <c r="Z7" s="8"/>
    </row>
    <row r="8" ht="12.75" customHeight="1">
      <c r="A8" s="98" t="s">
        <v>714</v>
      </c>
      <c r="B8" s="83" t="str">
        <f t="array" ref="B8">IFERROR(INDEX('Junior Faculty'!$J$2:$J$401,MATCH(1,INDEX(('Junior Faculty'!$K$2:$K$401=$B$1)*('Junior Faculty'!$N$2:$N$401=2),0),0)),"")</f>
        <v/>
      </c>
      <c r="C8" s="83" t="str">
        <f t="array" ref="C8">IFERROR(INDEX('Junior Faculty'!$L$2:$L$401,MATCH(1,INDEX(('Junior Faculty'!$K$2:$K$401=$B$1)*('Junior Faculty'!$N$2:$N$401=2),0),0))&amp;"","")</f>
        <v/>
      </c>
      <c r="D8" s="83" t="str">
        <f t="array" ref="D8">IFERROR(INDEX('Junior Faculty'!$M$2:$M$401,MATCH(1,INDEX(('Junior Faculty'!$K$2:$K$401=$B$1)*('Junior Faculty'!$N$2:$N$401=2),0),0))&amp;"","")</f>
        <v/>
      </c>
      <c r="E8" s="8"/>
      <c r="F8" s="8"/>
      <c r="G8" s="8"/>
      <c r="H8" s="8"/>
      <c r="I8" s="8"/>
      <c r="J8" s="8"/>
      <c r="K8" s="8"/>
      <c r="L8" s="8"/>
      <c r="M8" s="8"/>
      <c r="N8" s="8"/>
      <c r="O8" s="8"/>
      <c r="P8" s="8"/>
      <c r="Q8" s="8"/>
      <c r="R8" s="8"/>
      <c r="S8" s="8"/>
      <c r="T8" s="8"/>
      <c r="U8" s="8"/>
      <c r="V8" s="8"/>
      <c r="W8" s="8"/>
      <c r="X8" s="8"/>
      <c r="Y8" s="8"/>
      <c r="Z8" s="8"/>
    </row>
    <row r="9" ht="12.75" customHeight="1">
      <c r="A9" s="8"/>
      <c r="B9" s="8"/>
      <c r="C9" s="8"/>
      <c r="D9" s="8"/>
      <c r="E9" s="8"/>
      <c r="F9" s="8"/>
      <c r="G9" s="8"/>
      <c r="H9" s="8"/>
      <c r="I9" s="8"/>
      <c r="J9" s="8"/>
      <c r="K9" s="8"/>
      <c r="L9" s="8"/>
      <c r="M9" s="8"/>
      <c r="N9" s="8"/>
      <c r="O9" s="8"/>
      <c r="P9" s="8"/>
      <c r="Q9" s="8"/>
      <c r="R9" s="8"/>
      <c r="S9" s="8"/>
      <c r="T9" s="8"/>
      <c r="U9" s="8"/>
      <c r="V9" s="8"/>
      <c r="W9" s="8"/>
      <c r="X9" s="8"/>
      <c r="Y9" s="8"/>
      <c r="Z9" s="8"/>
    </row>
    <row r="10" ht="12.75" customHeight="1">
      <c r="A10" s="85" t="s">
        <v>715</v>
      </c>
      <c r="B10" s="33"/>
      <c r="C10" s="33"/>
      <c r="D10" s="33"/>
      <c r="E10" s="8"/>
      <c r="F10" s="8"/>
      <c r="G10" s="8"/>
      <c r="H10" s="8"/>
      <c r="I10" s="8"/>
      <c r="J10" s="8"/>
      <c r="K10" s="8"/>
      <c r="L10" s="8"/>
      <c r="M10" s="8"/>
      <c r="N10" s="8"/>
      <c r="O10" s="8"/>
      <c r="P10" s="8"/>
      <c r="Q10" s="8"/>
      <c r="R10" s="8"/>
      <c r="S10" s="8"/>
      <c r="T10" s="8"/>
      <c r="U10" s="8"/>
      <c r="V10" s="8"/>
      <c r="W10" s="8"/>
      <c r="X10" s="8"/>
      <c r="Y10" s="8"/>
      <c r="Z10" s="8"/>
    </row>
    <row r="11" ht="12.75" customHeight="1">
      <c r="A11" s="93" t="s">
        <v>716</v>
      </c>
      <c r="B11" s="97"/>
      <c r="H11" s="8"/>
      <c r="I11" s="8"/>
      <c r="J11" s="8"/>
      <c r="K11" s="8"/>
      <c r="L11" s="8"/>
      <c r="M11" s="8"/>
      <c r="N11" s="8"/>
      <c r="O11" s="8"/>
      <c r="P11" s="8"/>
      <c r="Q11" s="8"/>
      <c r="R11" s="8"/>
      <c r="S11" s="8"/>
      <c r="T11" s="8"/>
      <c r="U11" s="8"/>
      <c r="V11" s="8"/>
      <c r="W11" s="8"/>
      <c r="X11" s="8"/>
      <c r="Y11" s="8"/>
      <c r="Z11" s="8"/>
    </row>
    <row r="12" ht="12.75" customHeight="1">
      <c r="A12" s="93" t="s">
        <v>718</v>
      </c>
      <c r="B12" s="97"/>
      <c r="H12" s="8"/>
      <c r="I12" s="8"/>
      <c r="J12" s="8"/>
      <c r="K12" s="8"/>
      <c r="L12" s="8"/>
      <c r="M12" s="8"/>
      <c r="N12" s="8"/>
      <c r="O12" s="8"/>
      <c r="P12" s="8"/>
      <c r="Q12" s="8"/>
      <c r="R12" s="8"/>
      <c r="S12" s="8"/>
      <c r="T12" s="8"/>
      <c r="U12" s="8"/>
      <c r="V12" s="8"/>
      <c r="W12" s="8"/>
      <c r="X12" s="8"/>
      <c r="Y12" s="8"/>
      <c r="Z12" s="8"/>
    </row>
    <row r="13" ht="12.75" customHeight="1">
      <c r="A13" s="93" t="s">
        <v>720</v>
      </c>
      <c r="B13" s="97"/>
      <c r="H13" s="8"/>
      <c r="I13" s="8"/>
      <c r="J13" s="8"/>
      <c r="K13" s="8"/>
      <c r="L13" s="8"/>
      <c r="M13" s="8"/>
      <c r="N13" s="8"/>
      <c r="O13" s="8"/>
      <c r="P13" s="8"/>
      <c r="Q13" s="8"/>
      <c r="R13" s="8"/>
      <c r="S13" s="8"/>
      <c r="T13" s="8"/>
      <c r="U13" s="8"/>
      <c r="V13" s="8"/>
      <c r="W13" s="8"/>
      <c r="X13" s="8"/>
      <c r="Y13" s="8"/>
      <c r="Z13" s="8"/>
    </row>
    <row r="14" ht="12.75"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ht="12.7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2.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2.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2.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2.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2.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2.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2.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2.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2.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2.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2.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2.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2.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2.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2.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2.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2.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2.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2.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2.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2.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2.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2.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2.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2.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2.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2.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2.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2.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2.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2.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2.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2.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2.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2.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2.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2.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2.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2.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2.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2.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2.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2.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2.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2.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2.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2.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2.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2.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2.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2.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2.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2.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2.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2.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2.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2.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2.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2.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2.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2.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2.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2.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2.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2.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2.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2.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2.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2.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2.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2.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2.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2.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2.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2.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2.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2.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2.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2.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2.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2.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2.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2.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2.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2.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2.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2.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2.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2.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2.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2.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2.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2.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2.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2.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2.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2.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2.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2.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2.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2.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2.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2.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2.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2.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2.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2.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2.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2.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2.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2.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2.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2.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2.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2.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2.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2.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2.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2.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2.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2.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2.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2.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2.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2.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2.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2.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2.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2.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2.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2.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2.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2.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2.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2.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2.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2.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2.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2.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2.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2.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2.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2.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2.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2.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2.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2.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2.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2.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2.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2.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2.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2.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2.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2.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2.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2.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2.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2.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2.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2.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2.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2.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2.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2.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2.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2.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2.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2.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2.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2.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2.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2.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2.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2.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2.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2.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2.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2.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2.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2.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2.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2.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2.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2.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2.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2.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2.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2.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2.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2.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2.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2.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2.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2.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2.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2.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2.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2.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2.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2.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2.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2.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2.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2.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B11:G11"/>
    <mergeCell ref="B12:G12"/>
    <mergeCell ref="B13:G13"/>
  </mergeCell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4A3B8"/>
    <pageSetUpPr/>
  </sheetPr>
  <sheetViews>
    <sheetView showGridLines="0" workbookViewId="0"/>
  </sheetViews>
  <sheetFormatPr customHeight="1" defaultColWidth="12.63" defaultRowHeight="15.0"/>
  <cols>
    <col customWidth="1" min="1" max="1" width="17.13"/>
    <col customWidth="1" min="2" max="2" width="49.63"/>
    <col customWidth="1" min="3" max="3" width="27.38"/>
    <col customWidth="1" min="4" max="4" width="13.75"/>
    <col customWidth="1" min="5" max="5" width="23.63"/>
    <col customWidth="1" min="6" max="6" width="16.25"/>
    <col customWidth="1" min="7" max="7" width="15.0"/>
    <col customWidth="1" min="8" max="26" width="9.13"/>
  </cols>
  <sheetData>
    <row r="1" ht="12.75" customHeight="1">
      <c r="A1" s="105" t="s">
        <v>260</v>
      </c>
      <c r="B1" s="106" t="s">
        <v>22</v>
      </c>
      <c r="C1" s="107"/>
      <c r="D1" s="107"/>
      <c r="E1" s="108"/>
      <c r="F1" s="63"/>
      <c r="G1" s="63"/>
      <c r="H1" s="108"/>
      <c r="I1" s="108"/>
      <c r="J1" s="108"/>
      <c r="K1" s="108"/>
      <c r="L1" s="108"/>
      <c r="M1" s="108"/>
      <c r="N1" s="108"/>
      <c r="O1" s="108"/>
      <c r="P1" s="108"/>
      <c r="Q1" s="108"/>
      <c r="R1" s="108"/>
      <c r="S1" s="108"/>
      <c r="T1" s="108"/>
      <c r="U1" s="108"/>
      <c r="V1" s="108"/>
      <c r="W1" s="108"/>
      <c r="X1" s="108"/>
      <c r="Y1" s="108"/>
      <c r="Z1" s="108"/>
    </row>
    <row r="2" ht="12.75" customHeight="1">
      <c r="A2" s="110" t="s">
        <v>5</v>
      </c>
      <c r="B2" s="111" t="str">
        <f t="array" ref="B2">IFERROR(INDEX(Sessions!$C$2:$C$173,MATCH($B$1,Sessions!$B$2:$B$173,0))&amp;"","")</f>
        <v>Machine Learning Foundations and Intelligent Systems</v>
      </c>
      <c r="C2" s="108"/>
      <c r="D2" s="108"/>
      <c r="E2" s="108"/>
      <c r="F2" s="63"/>
      <c r="G2" s="63"/>
      <c r="H2" s="108"/>
      <c r="I2" s="108"/>
      <c r="J2" s="108"/>
      <c r="K2" s="108"/>
      <c r="L2" s="108"/>
      <c r="M2" s="108"/>
      <c r="N2" s="108"/>
      <c r="O2" s="108"/>
      <c r="P2" s="108"/>
      <c r="Q2" s="108"/>
      <c r="R2" s="108"/>
      <c r="S2" s="108"/>
      <c r="T2" s="108"/>
      <c r="U2" s="108"/>
      <c r="V2" s="108"/>
      <c r="W2" s="108"/>
      <c r="X2" s="108"/>
      <c r="Y2" s="108"/>
      <c r="Z2" s="108"/>
    </row>
    <row r="3" ht="12.75" customHeight="1">
      <c r="A3" s="112" t="s">
        <v>704</v>
      </c>
      <c r="B3" s="113" t="str">
        <f>IF(LEFT($B$1,2)="T1",Schedule!$A$4&amp;", "&amp;Schedule!$A$10,IF(LEFT($B$1,2)="T2",Schedule!$A$4&amp;", "&amp;Schedule!$A$12,IF(LEFT($B$1,2)="T3",Schedule!$A$4&amp;", "&amp;#REF!,IF(LEFT($B$1,2)="T4",Schedule!$A$16&amp;", "&amp;Schedule!$A$18,IF($B$1="Keynote 1",Schedule!$A$4&amp;", "&amp;Schedule!$A$8,IF($B$1="Keynote 2",Schedule!$A$4&amp;", "&amp;Schedule!$A$13,IF($B$1="Keynote 3",Schedule!$A$16&amp;", "&amp;Schedule!$A$19,IF($B$1="IEEE Workshop",Schedule!$A$16&amp;", "&amp;#REF!,""))))))))</f>
        <v>Day 1, 11:40-12:40</v>
      </c>
      <c r="C3" s="112"/>
      <c r="D3" s="112"/>
      <c r="E3" s="108"/>
      <c r="F3" s="63"/>
      <c r="G3" s="63"/>
      <c r="H3" s="108"/>
      <c r="I3" s="108"/>
      <c r="J3" s="108"/>
      <c r="K3" s="108"/>
      <c r="L3" s="108"/>
      <c r="M3" s="108"/>
      <c r="N3" s="108"/>
      <c r="O3" s="108"/>
      <c r="P3" s="108"/>
      <c r="Q3" s="108"/>
      <c r="R3" s="108"/>
      <c r="S3" s="108"/>
      <c r="T3" s="108"/>
      <c r="U3" s="108"/>
      <c r="V3" s="108"/>
      <c r="W3" s="108"/>
      <c r="X3" s="108"/>
      <c r="Y3" s="108"/>
      <c r="Z3" s="108"/>
    </row>
    <row r="4" ht="12.75" customHeight="1">
      <c r="A4" s="112" t="s">
        <v>11</v>
      </c>
      <c r="B4" s="114" t="s">
        <v>28</v>
      </c>
      <c r="C4" s="112"/>
      <c r="D4" s="112"/>
      <c r="E4" s="108"/>
      <c r="F4" s="63"/>
      <c r="G4" s="63"/>
      <c r="H4" s="108"/>
      <c r="I4" s="108"/>
      <c r="J4" s="108"/>
      <c r="K4" s="108"/>
      <c r="L4" s="108"/>
      <c r="M4" s="108"/>
      <c r="N4" s="108"/>
      <c r="O4" s="108"/>
      <c r="P4" s="108"/>
      <c r="Q4" s="108"/>
      <c r="R4" s="108"/>
      <c r="S4" s="108"/>
      <c r="T4" s="108"/>
      <c r="U4" s="108"/>
      <c r="V4" s="108"/>
      <c r="W4" s="108"/>
      <c r="X4" s="108"/>
      <c r="Y4" s="108"/>
      <c r="Z4" s="108"/>
    </row>
    <row r="5" ht="12.75" customHeight="1">
      <c r="A5" s="114" t="s">
        <v>725</v>
      </c>
      <c r="B5" s="113" t="str">
        <f t="array" ref="B5">IFERROR(INDEX(Chairs!$J$2:$J$359,MATCH(1,INDEX((Chairs!$K$2:$K$359=$B$1)*(Chairs!$N$2:$N$359=1),0),0)),"")</f>
        <v>Dr. Md.Ruhul Amin</v>
      </c>
      <c r="C5" s="113" t="str">
        <f t="array" ref="C5">IFERROR(INDEX(Chairs!$L$2:$L$359,MATCH(1,INDEX((Chairs!$K$2:$K$359=$B$1)*(Chairs!$N$2:$N$359=1),0),0))&amp;"","")</f>
        <v>dr.mdruhulamin@seu.edu.bd</v>
      </c>
      <c r="D5" s="113" t="str">
        <f t="array" ref="D5">IFERROR(INDEX(Chairs!$M$2:$M$359,MATCH(1,INDEX((Chairs!$K$2:$K$359=$B$1)*(Chairs!$N$2:$N$359=1),0),0))&amp;"","")</f>
        <v>01710949921</v>
      </c>
      <c r="E5" s="108"/>
      <c r="F5" s="63"/>
      <c r="G5" s="63"/>
      <c r="H5" s="108"/>
      <c r="I5" s="108"/>
      <c r="J5" s="108"/>
      <c r="K5" s="108"/>
      <c r="L5" s="108"/>
      <c r="M5" s="108"/>
      <c r="N5" s="108"/>
      <c r="O5" s="108"/>
      <c r="P5" s="108"/>
      <c r="Q5" s="108"/>
      <c r="R5" s="108"/>
      <c r="S5" s="108"/>
      <c r="T5" s="108"/>
      <c r="U5" s="108"/>
      <c r="V5" s="108"/>
      <c r="W5" s="108"/>
      <c r="X5" s="108"/>
      <c r="Y5" s="108"/>
      <c r="Z5" s="108"/>
    </row>
    <row r="6" ht="12.75" customHeight="1">
      <c r="A6" s="114" t="s">
        <v>726</v>
      </c>
      <c r="B6" s="116" t="s">
        <v>285</v>
      </c>
      <c r="C6" s="116" t="s">
        <v>287</v>
      </c>
      <c r="D6" s="116">
        <v>1.78773678E9</v>
      </c>
      <c r="E6" s="108"/>
      <c r="F6" s="63"/>
      <c r="G6" s="63"/>
      <c r="H6" s="108"/>
      <c r="I6" s="108"/>
      <c r="J6" s="108"/>
      <c r="K6" s="108"/>
      <c r="L6" s="108"/>
      <c r="M6" s="108"/>
      <c r="N6" s="108"/>
      <c r="O6" s="108"/>
      <c r="P6" s="108"/>
      <c r="Q6" s="108"/>
      <c r="R6" s="108"/>
      <c r="S6" s="108"/>
      <c r="T6" s="108"/>
      <c r="U6" s="108"/>
      <c r="V6" s="108"/>
      <c r="W6" s="108"/>
      <c r="X6" s="108"/>
      <c r="Y6" s="108"/>
      <c r="Z6" s="108"/>
    </row>
    <row r="7" ht="12.75" customHeight="1">
      <c r="A7" s="112" t="s">
        <v>709</v>
      </c>
      <c r="B7" s="113" t="str">
        <f t="array" ref="B7">IFERROR(INDEX('Senior Faculty'!$J$2:$J$401,MATCH(1,INDEX(('Senior Faculty'!$K$2:$K$401=$B$1)*('Senior Faculty'!$N$2:$N$401=1),0),0)),"")</f>
        <v>Dr. Ayesha Akter Lata</v>
      </c>
      <c r="C7" s="113" t="str">
        <f t="array" ref="C7">IFERROR(INDEX('Senior Faculty'!$L$2:$L$401,MATCH(1,INDEX(('Senior Faculty'!$K$2:$K$401=$B$1)*('Senior Faculty'!$N$2:$N$401=1),0),0))&amp;"","")</f>
        <v>ayesha.akter@ulab.edu.bd</v>
      </c>
      <c r="D7" s="113" t="str">
        <f t="array" ref="D7">IFERROR(INDEX('Senior Faculty'!$M$2:$M$401,MATCH(1,INDEX(('Senior Faculty'!$K$2:$K$401=$B$1)*('Senior Faculty'!$N$2:$N$401=1),0),0))&amp;"","")</f>
        <v>01856412501</v>
      </c>
      <c r="E7" s="108"/>
      <c r="F7" s="63"/>
      <c r="G7" s="63"/>
      <c r="H7" s="108"/>
      <c r="I7" s="108"/>
      <c r="J7" s="108"/>
      <c r="K7" s="108"/>
      <c r="L7" s="108"/>
      <c r="M7" s="108"/>
      <c r="N7" s="108"/>
      <c r="O7" s="108"/>
      <c r="P7" s="108"/>
      <c r="Q7" s="108"/>
      <c r="R7" s="108"/>
      <c r="S7" s="108"/>
      <c r="T7" s="108"/>
      <c r="U7" s="108"/>
      <c r="V7" s="108"/>
      <c r="W7" s="108"/>
      <c r="X7" s="108"/>
      <c r="Y7" s="108"/>
      <c r="Z7" s="108"/>
    </row>
    <row r="8" ht="12.75" customHeight="1">
      <c r="A8" s="112" t="s">
        <v>713</v>
      </c>
      <c r="B8" s="113" t="str">
        <f t="array" ref="B8">IFERROR(INDEX('Junior Faculty'!$J$2:$J$401,MATCH(1,INDEX(('Junior Faculty'!$K$2:$K$401=$B$1)*('Junior Faculty'!$N$2:$N$401=1),0),0)),"")</f>
        <v>Suravi Akhter</v>
      </c>
      <c r="C8" s="113" t="str">
        <f t="array" ref="C8">IFERROR(INDEX('Junior Faculty'!$L$2:$L$401,MATCH(1,INDEX(('Junior Faculty'!$K$2:$K$401=$B$1)*('Junior Faculty'!$N$2:$N$401=1),0),0))&amp;"","")</f>
        <v>suravi.akhter@ulab.edu.bd</v>
      </c>
      <c r="D8" s="113" t="str">
        <f t="array" ref="D8">IFERROR(INDEX('Junior Faculty'!$M$2:$M$401,MATCH(1,INDEX(('Junior Faculty'!$K$2:$K$401=$B$1)*('Junior Faculty'!$N$2:$N$401=1),0),0))&amp;"","")</f>
        <v>01308395394</v>
      </c>
      <c r="E8" s="108"/>
      <c r="F8" s="63"/>
      <c r="G8" s="63"/>
      <c r="H8" s="108"/>
      <c r="I8" s="108"/>
      <c r="J8" s="108"/>
      <c r="K8" s="108"/>
      <c r="L8" s="108"/>
      <c r="M8" s="108"/>
      <c r="N8" s="108"/>
      <c r="O8" s="108"/>
      <c r="P8" s="108"/>
      <c r="Q8" s="108"/>
      <c r="R8" s="108"/>
      <c r="S8" s="108"/>
      <c r="T8" s="108"/>
      <c r="U8" s="108"/>
      <c r="V8" s="108"/>
      <c r="W8" s="108"/>
      <c r="X8" s="108"/>
      <c r="Y8" s="108"/>
      <c r="Z8" s="108"/>
    </row>
    <row r="9" ht="12.75" customHeight="1">
      <c r="A9" s="119" t="s">
        <v>714</v>
      </c>
      <c r="B9" s="120" t="str">
        <f t="array" ref="B9">IFERROR(INDEX('Junior Faculty'!$J$2:$J$401,MATCH(1,INDEX(('Junior Faculty'!$K$2:$K$401=$B$1)*('Junior Faculty'!$N$2:$N$401=2),0),0)),"")</f>
        <v>Abir Bin Yousuf</v>
      </c>
      <c r="C9" s="120" t="str">
        <f t="array" ref="C9">IFERROR(INDEX('Junior Faculty'!$L$2:$L$401,MATCH(1,INDEX(('Junior Faculty'!$K$2:$K$401=$B$1)*('Junior Faculty'!$N$2:$N$401=2),0),0))&amp;"","")</f>
        <v>abir.yousuf@ulab.edu.bd</v>
      </c>
      <c r="D9" s="120" t="str">
        <f t="array" ref="D9">IFERROR(INDEX('Junior Faculty'!$M$2:$M$401,MATCH(1,INDEX(('Junior Faculty'!$K$2:$K$401=$B$1)*('Junior Faculty'!$N$2:$N$401=2),0),0))&amp;"","")</f>
        <v>01628312807</v>
      </c>
      <c r="E9" s="108"/>
      <c r="F9" s="63"/>
      <c r="G9" s="63"/>
      <c r="H9" s="108"/>
      <c r="I9" s="108"/>
      <c r="J9" s="108"/>
      <c r="K9" s="108"/>
      <c r="L9" s="108"/>
      <c r="M9" s="108"/>
      <c r="N9" s="108"/>
      <c r="O9" s="108"/>
      <c r="P9" s="108"/>
      <c r="Q9" s="108"/>
      <c r="R9" s="108"/>
      <c r="S9" s="108"/>
      <c r="T9" s="108"/>
      <c r="U9" s="108"/>
      <c r="V9" s="108"/>
      <c r="W9" s="108"/>
      <c r="X9" s="108"/>
      <c r="Y9" s="108"/>
      <c r="Z9" s="108"/>
    </row>
    <row r="10" ht="12.75" customHeight="1">
      <c r="A10" s="108"/>
      <c r="B10" s="108"/>
      <c r="C10" s="108"/>
      <c r="D10" s="108"/>
      <c r="E10" s="108"/>
      <c r="F10" s="63"/>
      <c r="G10" s="63"/>
      <c r="H10" s="108"/>
      <c r="I10" s="108"/>
      <c r="J10" s="108"/>
      <c r="K10" s="108"/>
      <c r="L10" s="108"/>
      <c r="M10" s="108"/>
      <c r="N10" s="108"/>
      <c r="O10" s="108"/>
      <c r="P10" s="108"/>
      <c r="Q10" s="108"/>
      <c r="R10" s="108"/>
      <c r="S10" s="108"/>
      <c r="T10" s="108"/>
      <c r="U10" s="108"/>
      <c r="V10" s="108"/>
      <c r="W10" s="108"/>
      <c r="X10" s="108"/>
      <c r="Y10" s="108"/>
      <c r="Z10" s="108"/>
    </row>
    <row r="11" ht="12.75" customHeight="1">
      <c r="A11" s="121" t="s">
        <v>727</v>
      </c>
      <c r="B11" s="113"/>
      <c r="C11" s="113"/>
      <c r="D11" s="113"/>
      <c r="E11" s="108"/>
      <c r="F11" s="63"/>
      <c r="G11" s="63"/>
      <c r="H11" s="108"/>
      <c r="I11" s="108"/>
      <c r="J11" s="108"/>
      <c r="K11" s="108"/>
      <c r="L11" s="108"/>
      <c r="M11" s="108"/>
      <c r="N11" s="108"/>
      <c r="O11" s="108"/>
      <c r="P11" s="108"/>
      <c r="Q11" s="108"/>
      <c r="R11" s="108"/>
      <c r="S11" s="108"/>
      <c r="T11" s="108"/>
      <c r="U11" s="108"/>
      <c r="V11" s="108"/>
      <c r="W11" s="108"/>
      <c r="X11" s="108"/>
      <c r="Y11" s="108"/>
      <c r="Z11" s="108"/>
    </row>
    <row r="12" ht="15.0" customHeight="1">
      <c r="A12" s="122" t="s">
        <v>174</v>
      </c>
      <c r="B12" s="122" t="s">
        <v>256</v>
      </c>
      <c r="C12" s="123" t="s">
        <v>257</v>
      </c>
      <c r="D12" s="124"/>
      <c r="E12" s="122" t="s">
        <v>258</v>
      </c>
      <c r="F12" s="60" t="s">
        <v>265</v>
      </c>
      <c r="G12" s="108"/>
      <c r="H12" s="108"/>
      <c r="I12" s="108"/>
      <c r="J12" s="108"/>
      <c r="K12" s="108"/>
      <c r="L12" s="108"/>
      <c r="M12" s="108"/>
      <c r="N12" s="108"/>
      <c r="O12" s="108"/>
      <c r="P12" s="108"/>
      <c r="Q12" s="108"/>
      <c r="R12" s="108"/>
      <c r="S12" s="108"/>
      <c r="T12" s="108"/>
      <c r="U12" s="108"/>
      <c r="V12" s="108"/>
      <c r="W12" s="108"/>
      <c r="X12" s="108"/>
      <c r="Y12" s="108"/>
      <c r="Z12" s="108"/>
    </row>
    <row r="13" ht="12.75" customHeight="1">
      <c r="A13" s="113">
        <f t="array" ref="A13">IFERROR(INDEX(Papers!$A$2:$A$201,MATCH(1,INDEX((Papers!$G$2:$G$201=$B$1)*(Papers!$I$2:$I$201=1),0),0)),"")</f>
        <v>49</v>
      </c>
      <c r="B13" s="113" t="str">
        <f t="array" ref="B13">IFERROR(INDEX(Papers!$C$2:$C$201,MATCH(1,INDEX((Papers!$G$2:$G$201=$B$1)*(Papers!$I$2:$I$201=1),0),0)),"")</f>
        <v>SPPC: Benchmarking Selenium, Playwright, Puppeteer, and Cypress for Energy-Efficient Web Automation</v>
      </c>
      <c r="C13" s="113" t="str">
        <f t="array" ref="C13">IFERROR(INDEX(Papers!$D$2:$D$201,MATCH(1,INDEX((Papers!$G$2:$G$201=$B$1)*(Papers!$I$2:$I$201=1),0),0)),"")</f>
        <v>MD. Zihaul Islam  Zihan (American International University-Bangladesh); Al Israfil Niloy (	American International University-Bangladesh); Raid Ibney Hasan  Arnob (American International University-Bangladesh); Rifat Rudro (American International University-Bangladesh)*; Kamruddin  Nur (American International University-Bangladesh)</v>
      </c>
      <c r="D13" s="125"/>
      <c r="E13" s="113" t="str">
        <f t="array" ref="E13">IFERROR(INDEX(Papers!$E$2:$E$201,MATCH(1,INDEX((Papers!$G$2:$G$201=$B$1)*(Papers!$I$2:$I$201=1),0),0)),"")</f>
        <v>22-49229-3@student.aiub.edu; 22-49033-3@student.aiub.edu; 22-48357-3@student.aiub.edu; mamun.rudro@aiub.edu; kamruddin@aiub.edu</v>
      </c>
      <c r="F13" s="67"/>
      <c r="G13" s="108"/>
      <c r="H13" s="108"/>
      <c r="I13" s="108"/>
      <c r="J13" s="108"/>
      <c r="K13" s="108"/>
      <c r="L13" s="108"/>
      <c r="M13" s="108"/>
      <c r="N13" s="108"/>
      <c r="O13" s="108"/>
      <c r="P13" s="108"/>
      <c r="Q13" s="108"/>
      <c r="R13" s="108"/>
      <c r="S13" s="108"/>
      <c r="T13" s="108"/>
      <c r="U13" s="108"/>
      <c r="V13" s="108"/>
      <c r="W13" s="108"/>
      <c r="X13" s="108"/>
      <c r="Y13" s="108"/>
      <c r="Z13" s="108"/>
    </row>
    <row r="14" ht="12.75" customHeight="1">
      <c r="A14" s="113">
        <f t="array" ref="A14">IFERROR(INDEX(Papers!$A$2:$A$201,MATCH(1,INDEX((Papers!$G$2:$G$201=$B$1)*(Papers!$I$2:$I$201=2),0),0)),"")</f>
        <v>58</v>
      </c>
      <c r="B14" s="113" t="str">
        <f t="array" ref="B14">IFERROR(INDEX(Papers!$C$2:$C$201,MATCH(1,INDEX((Papers!$G$2:$G$201=$B$1)*(Papers!$I$2:$I$201=2),0),0)),"")</f>
        <v>Explainable Machine Learning for Cross-Species Myeloid Biomarker Discovery in Glioblastoma</v>
      </c>
      <c r="C14" s="113" t="str">
        <f t="array" ref="C14">IFERROR(INDEX(Papers!$D$2:$D$201,MATCH(1,INDEX((Papers!$G$2:$G$201=$B$1)*(Papers!$I$2:$I$201=2),0),0)),"")</f>
        <v>MD Himel  Kabir (American International University-Bangladesh); Shanjida   Sultana (American International University-Bangladesh); MD  Salauddin (American International University-Bangladesh); Rifat Rudro (American International University-Bangladesh)*; Kamruddin  Nur (American International University-Bangladesh)</v>
      </c>
      <c r="D14" s="125"/>
      <c r="E14" s="113" t="str">
        <f t="array" ref="E14">IFERROR(INDEX(Papers!$E$2:$E$201,MATCH(1,INDEX((Papers!$G$2:$G$201=$B$1)*(Papers!$I$2:$I$201=2),0),0)),"")</f>
        <v>23-51481-1@student.aiub.edu; 23-51519-1@student.aiub.edu; 23-51479-1@student.aiub.edu; mamun.rudro@aiub.edu; kamruddin@aiub.edu</v>
      </c>
      <c r="F14" s="67"/>
      <c r="G14" s="108"/>
      <c r="H14" s="108"/>
      <c r="I14" s="108"/>
      <c r="J14" s="108"/>
      <c r="K14" s="108"/>
      <c r="L14" s="108"/>
      <c r="M14" s="108"/>
      <c r="N14" s="108"/>
      <c r="O14" s="108"/>
      <c r="P14" s="108"/>
      <c r="Q14" s="108"/>
      <c r="R14" s="108"/>
      <c r="S14" s="108"/>
      <c r="T14" s="108"/>
      <c r="U14" s="108"/>
      <c r="V14" s="108"/>
      <c r="W14" s="108"/>
      <c r="X14" s="108"/>
      <c r="Y14" s="108"/>
      <c r="Z14" s="108"/>
    </row>
    <row r="15" ht="12.75" customHeight="1">
      <c r="A15" s="113">
        <f t="array" ref="A15">IFERROR(INDEX(Papers!$A$2:$A$201,MATCH(1,INDEX((Papers!$G$2:$G$201=$B$1)*(Papers!$I$2:$I$201=3),0),0)),"")</f>
        <v>177</v>
      </c>
      <c r="B15" s="113" t="str">
        <f t="array" ref="B15">IFERROR(INDEX(Papers!$C$2:$C$201,MATCH(1,INDEX((Papers!$G$2:$G$201=$B$1)*(Papers!$I$2:$I$201=3),0),0)),"")</f>
        <v>An Interpretable Machine Learning Approach for Maternity Risk Prediction and Assessment</v>
      </c>
      <c r="C15" s="113" t="str">
        <f t="array" ref="C15">IFERROR(INDEX(Papers!$D$2:$D$201,MATCH(1,INDEX((Papers!$G$2:$G$201=$B$1)*(Papers!$I$2:$I$201=3),0),0)),"")</f>
        <v>Shah Jafor Sadeek Quaderi (University of Liberal Arts Bangladesh)*; Nasir Uddin Ahmed (University of Liberal Arts Bangladesh); Md. Sahidullah (Asian University of Bangladesh)</v>
      </c>
      <c r="D15" s="125"/>
      <c r="E15" s="113" t="str">
        <f t="array" ref="E15">IFERROR(INDEX(Papers!$E$2:$E$201,MATCH(1,INDEX((Papers!$G$2:$G$201=$B$1)*(Papers!$I$2:$I$201=3),0),0)),"")</f>
        <v>jafor.sadeek@ulab.edu.bd; nasir.uddin1@ulab.edu.bd; sahidullah.shafi.work@gmail.com</v>
      </c>
      <c r="F15" s="67"/>
      <c r="G15" s="108"/>
      <c r="H15" s="108"/>
      <c r="I15" s="108"/>
      <c r="J15" s="108"/>
      <c r="K15" s="108"/>
      <c r="L15" s="108"/>
      <c r="M15" s="108"/>
      <c r="N15" s="108"/>
      <c r="O15" s="108"/>
      <c r="P15" s="108"/>
      <c r="Q15" s="108"/>
      <c r="R15" s="108"/>
      <c r="S15" s="108"/>
      <c r="T15" s="108"/>
      <c r="U15" s="108"/>
      <c r="V15" s="108"/>
      <c r="W15" s="108"/>
      <c r="X15" s="108"/>
      <c r="Y15" s="108"/>
      <c r="Z15" s="108"/>
    </row>
    <row r="16" ht="12.75" customHeight="1">
      <c r="A16" s="113" t="str">
        <f t="array" ref="A16">IFERROR(INDEX(Papers!$A$2:$A$201,MATCH(1,INDEX((Papers!$G$2:$G$201=$B$1)*(Papers!$I$2:$I$201=4),0),0)),"")</f>
        <v/>
      </c>
      <c r="B16" s="113" t="str">
        <f t="array" ref="B16">IFERROR(INDEX(Papers!$C$2:$C$201,MATCH(1,INDEX((Papers!$G$2:$G$201=$B$1)*(Papers!$I$2:$I$201=4),0),0)),"")</f>
        <v/>
      </c>
      <c r="C16" s="113" t="str">
        <f t="array" ref="C16">IFERROR(INDEX(Papers!$D$2:$D$201,MATCH(1,INDEX((Papers!$G$2:$G$201=$B$1)*(Papers!$I$2:$I$201=4),0),0)),"")</f>
        <v/>
      </c>
      <c r="D16" s="125"/>
      <c r="E16" s="113" t="str">
        <f t="array" ref="E16">IFERROR(INDEX(Papers!$E$2:$E$201,MATCH(1,INDEX((Papers!$G$2:$G$201=$B$1)*(Papers!$I$2:$I$201=4),0),0)),"")</f>
        <v/>
      </c>
      <c r="F16" s="67"/>
      <c r="G16" s="108"/>
      <c r="H16" s="108"/>
      <c r="I16" s="108"/>
      <c r="J16" s="108"/>
      <c r="K16" s="108"/>
      <c r="L16" s="108"/>
      <c r="M16" s="108"/>
      <c r="N16" s="108"/>
      <c r="O16" s="108"/>
      <c r="P16" s="108"/>
      <c r="Q16" s="108"/>
      <c r="R16" s="108"/>
      <c r="S16" s="108"/>
      <c r="T16" s="108"/>
      <c r="U16" s="108"/>
      <c r="V16" s="108"/>
      <c r="W16" s="108"/>
      <c r="X16" s="108"/>
      <c r="Y16" s="108"/>
      <c r="Z16" s="108"/>
    </row>
    <row r="17" ht="12.75" customHeight="1">
      <c r="A17" s="113" t="str">
        <f t="array" ref="A17">IFERROR(INDEX(Papers!$A$2:$A$201,MATCH(1,INDEX((Papers!$G$2:$G$201=$B$1)*(Papers!$I$2:$I$201=5),0),0)),"")</f>
        <v/>
      </c>
      <c r="B17" s="113" t="str">
        <f t="array" ref="B17">IFERROR(INDEX(Papers!$C$2:$C$201,MATCH(1,INDEX((Papers!$G$2:$G$201=$B$1)*(Papers!$I$2:$I$201=5),0),0)),"")</f>
        <v/>
      </c>
      <c r="C17" s="113" t="str">
        <f t="array" ref="C17">IFERROR(INDEX(Papers!$D$2:$D$201,MATCH(1,INDEX((Papers!$G$2:$G$201=$B$1)*(Papers!$I$2:$I$201=5),0),0)),"")</f>
        <v/>
      </c>
      <c r="D17" s="125"/>
      <c r="E17" s="113" t="str">
        <f t="array" ref="E17">IFERROR(INDEX(Papers!$E$2:$E$201,MATCH(1,INDEX((Papers!$G$2:$G$201=$B$1)*(Papers!$I$2:$I$201=5),0),0)),"")</f>
        <v/>
      </c>
      <c r="F17" s="67"/>
      <c r="G17" s="108"/>
      <c r="H17" s="108"/>
      <c r="I17" s="108"/>
      <c r="J17" s="108"/>
      <c r="K17" s="108"/>
      <c r="L17" s="108"/>
      <c r="M17" s="108"/>
      <c r="N17" s="108"/>
      <c r="O17" s="108"/>
      <c r="P17" s="108"/>
      <c r="Q17" s="108"/>
      <c r="R17" s="108"/>
      <c r="S17" s="108"/>
      <c r="T17" s="108"/>
      <c r="U17" s="108"/>
      <c r="V17" s="108"/>
      <c r="W17" s="108"/>
      <c r="X17" s="108"/>
      <c r="Y17" s="108"/>
      <c r="Z17" s="108"/>
    </row>
    <row r="18" ht="12.75" customHeight="1">
      <c r="A18" s="113" t="str">
        <f t="array" ref="A18">IFERROR(INDEX(Papers!$A$2:$A$201,MATCH(1,INDEX((Papers!$G$2:$G$201=$B$1)*(Papers!$I$2:$I$201=6),0),0)),"")</f>
        <v/>
      </c>
      <c r="B18" s="113" t="str">
        <f t="array" ref="B18">IFERROR(INDEX(Papers!$C$2:$C$201,MATCH(1,INDEX((Papers!$G$2:$G$201=$B$1)*(Papers!$I$2:$I$201=6),0),0)),"")</f>
        <v/>
      </c>
      <c r="C18" s="113" t="str">
        <f t="array" ref="C18">IFERROR(INDEX(Papers!$D$2:$D$201,MATCH(1,INDEX((Papers!$G$2:$G$201=$B$1)*(Papers!$I$2:$I$201=6),0),0)),"")</f>
        <v/>
      </c>
      <c r="D18" s="125"/>
      <c r="E18" s="113" t="str">
        <f t="array" ref="E18">IFERROR(INDEX(Papers!$E$2:$E$201,MATCH(1,INDEX((Papers!$G$2:$G$201=$B$1)*(Papers!$I$2:$I$201=6),0),0)),"")</f>
        <v/>
      </c>
      <c r="F18" s="67"/>
      <c r="G18" s="108"/>
      <c r="H18" s="108"/>
      <c r="I18" s="108"/>
      <c r="J18" s="108"/>
      <c r="K18" s="108"/>
      <c r="L18" s="108"/>
      <c r="M18" s="108"/>
      <c r="N18" s="108"/>
      <c r="O18" s="108"/>
      <c r="P18" s="108"/>
      <c r="Q18" s="108"/>
      <c r="R18" s="108"/>
      <c r="S18" s="108"/>
      <c r="T18" s="108"/>
      <c r="U18" s="108"/>
      <c r="V18" s="108"/>
      <c r="W18" s="108"/>
      <c r="X18" s="108"/>
      <c r="Y18" s="108"/>
      <c r="Z18" s="108"/>
    </row>
    <row r="19" ht="12.75" customHeight="1">
      <c r="A19" s="113" t="str">
        <f t="array" ref="A19">IFERROR(INDEX(Papers!$A$2:$A$201,MATCH(1,INDEX((Papers!$G$2:$G$201=$B$1)*(Papers!$I$2:$I$201=7),0),0)),"")</f>
        <v/>
      </c>
      <c r="B19" s="113" t="str">
        <f t="array" ref="B19">IFERROR(INDEX(Papers!$C$2:$C$201,MATCH(1,INDEX((Papers!$G$2:$G$201=$B$1)*(Papers!$I$2:$I$201=7),0),0)),"")</f>
        <v/>
      </c>
      <c r="C19" s="113" t="str">
        <f t="array" ref="C19">IFERROR(INDEX(Papers!$D$2:$D$201,MATCH(1,INDEX((Papers!$G$2:$G$201=$B$1)*(Papers!$I$2:$I$201=7),0),0)),"")</f>
        <v/>
      </c>
      <c r="D19" s="125"/>
      <c r="E19" s="113" t="str">
        <f t="array" ref="E19">IFERROR(INDEX(Papers!$E$2:$E$201,MATCH(1,INDEX((Papers!$G$2:$G$201=$B$1)*(Papers!$I$2:$I$201=7),0),0)),"")</f>
        <v/>
      </c>
      <c r="F19" s="67"/>
      <c r="G19" s="108"/>
      <c r="H19" s="108"/>
      <c r="I19" s="108"/>
      <c r="J19" s="108"/>
      <c r="K19" s="108"/>
      <c r="L19" s="108"/>
      <c r="M19" s="108"/>
      <c r="N19" s="108"/>
      <c r="O19" s="108"/>
      <c r="P19" s="108"/>
      <c r="Q19" s="108"/>
      <c r="R19" s="108"/>
      <c r="S19" s="108"/>
      <c r="T19" s="108"/>
      <c r="U19" s="108"/>
      <c r="V19" s="108"/>
      <c r="W19" s="108"/>
      <c r="X19" s="108"/>
      <c r="Y19" s="108"/>
      <c r="Z19" s="108"/>
    </row>
    <row r="20" ht="12.75" customHeight="1">
      <c r="A20" s="113" t="str">
        <f t="array" ref="A20">IFERROR(INDEX(Papers!$A$2:$A$201,MATCH(1,INDEX((Papers!$G$2:$G$201=$B$1)*(Papers!$I$2:$I$201=8),0),0)),"")</f>
        <v/>
      </c>
      <c r="B20" s="113" t="str">
        <f t="array" ref="B20">IFERROR(INDEX(Papers!$C$2:$C$201,MATCH(1,INDEX((Papers!$G$2:$G$201=$B$1)*(Papers!$I$2:$I$201=8),0),0)),"")</f>
        <v/>
      </c>
      <c r="C20" s="113" t="str">
        <f t="array" ref="C20">IFERROR(INDEX(Papers!$D$2:$D$201,MATCH(1,INDEX((Papers!$G$2:$G$201=$B$1)*(Papers!$I$2:$I$201=8),0),0)),"")</f>
        <v/>
      </c>
      <c r="D20" s="125"/>
      <c r="E20" s="113" t="str">
        <f t="array" ref="E20">IFERROR(INDEX(Papers!$E$2:$E$201,MATCH(1,INDEX((Papers!$G$2:$G$201=$B$1)*(Papers!$I$2:$I$201=8),0),0)),"")</f>
        <v/>
      </c>
      <c r="F20" s="67"/>
      <c r="G20" s="108"/>
      <c r="H20" s="108"/>
      <c r="I20" s="108"/>
      <c r="J20" s="108"/>
      <c r="K20" s="108"/>
      <c r="L20" s="108"/>
      <c r="M20" s="108"/>
      <c r="N20" s="108"/>
      <c r="O20" s="108"/>
      <c r="P20" s="108"/>
      <c r="Q20" s="108"/>
      <c r="R20" s="108"/>
      <c r="S20" s="108"/>
      <c r="T20" s="108"/>
      <c r="U20" s="108"/>
      <c r="V20" s="108"/>
      <c r="W20" s="108"/>
      <c r="X20" s="108"/>
      <c r="Y20" s="108"/>
      <c r="Z20" s="108"/>
    </row>
    <row r="21" ht="12.75" customHeight="1">
      <c r="A21" s="108"/>
      <c r="B21" s="108"/>
      <c r="C21" s="108"/>
      <c r="E21" s="108"/>
      <c r="F21" s="63"/>
      <c r="G21" s="108"/>
      <c r="H21" s="108"/>
      <c r="I21" s="108"/>
      <c r="J21" s="108"/>
      <c r="K21" s="108"/>
      <c r="L21" s="108"/>
      <c r="M21" s="108"/>
      <c r="N21" s="108"/>
      <c r="O21" s="108"/>
      <c r="P21" s="108"/>
      <c r="Q21" s="108"/>
      <c r="R21" s="108"/>
      <c r="S21" s="108"/>
      <c r="T21" s="108"/>
      <c r="U21" s="108"/>
      <c r="V21" s="108"/>
      <c r="W21" s="108"/>
      <c r="X21" s="108"/>
      <c r="Y21" s="108"/>
      <c r="Z21" s="108"/>
    </row>
    <row r="22" ht="12.75" customHeight="1">
      <c r="A22" s="108"/>
      <c r="B22" s="108"/>
      <c r="C22" s="108"/>
      <c r="D22" s="108"/>
      <c r="E22" s="108"/>
      <c r="F22" s="63"/>
      <c r="G22" s="63"/>
      <c r="H22" s="108"/>
      <c r="I22" s="108"/>
      <c r="J22" s="108"/>
      <c r="K22" s="108"/>
      <c r="L22" s="108"/>
      <c r="M22" s="108"/>
      <c r="N22" s="108"/>
      <c r="O22" s="108"/>
      <c r="P22" s="108"/>
      <c r="Q22" s="108"/>
      <c r="R22" s="108"/>
      <c r="S22" s="108"/>
      <c r="T22" s="108"/>
      <c r="U22" s="108"/>
      <c r="V22" s="108"/>
      <c r="W22" s="108"/>
      <c r="X22" s="108"/>
      <c r="Y22" s="108"/>
      <c r="Z22" s="108"/>
    </row>
    <row r="23" ht="12.75" customHeight="1">
      <c r="A23" s="108"/>
      <c r="B23" s="108"/>
      <c r="C23" s="108"/>
      <c r="D23" s="108"/>
      <c r="E23" s="108"/>
      <c r="F23" s="63"/>
      <c r="G23" s="63"/>
      <c r="H23" s="108"/>
      <c r="I23" s="108"/>
      <c r="J23" s="108"/>
      <c r="K23" s="108"/>
      <c r="L23" s="108"/>
      <c r="M23" s="108"/>
      <c r="N23" s="108"/>
      <c r="O23" s="108"/>
      <c r="P23" s="108"/>
      <c r="Q23" s="108"/>
      <c r="R23" s="108"/>
      <c r="S23" s="108"/>
      <c r="T23" s="108"/>
      <c r="U23" s="108"/>
      <c r="V23" s="108"/>
      <c r="W23" s="108"/>
      <c r="X23" s="108"/>
      <c r="Y23" s="108"/>
      <c r="Z23" s="108"/>
    </row>
    <row r="24" ht="12.75" customHeight="1">
      <c r="A24" s="108"/>
      <c r="B24" s="108"/>
      <c r="C24" s="108"/>
      <c r="D24" s="108"/>
      <c r="E24" s="108"/>
      <c r="F24" s="63"/>
      <c r="G24" s="63"/>
      <c r="H24" s="108"/>
      <c r="I24" s="108"/>
      <c r="J24" s="108"/>
      <c r="K24" s="108"/>
      <c r="L24" s="108"/>
      <c r="M24" s="108"/>
      <c r="N24" s="108"/>
      <c r="O24" s="108"/>
      <c r="P24" s="108"/>
      <c r="Q24" s="108"/>
      <c r="R24" s="108"/>
      <c r="S24" s="108"/>
      <c r="T24" s="108"/>
      <c r="U24" s="108"/>
      <c r="V24" s="108"/>
      <c r="W24" s="108"/>
      <c r="X24" s="108"/>
      <c r="Y24" s="108"/>
      <c r="Z24" s="108"/>
    </row>
    <row r="25" ht="12.75" customHeight="1">
      <c r="A25" s="108"/>
      <c r="B25" s="108"/>
      <c r="C25" s="108"/>
      <c r="D25" s="108"/>
      <c r="E25" s="108"/>
      <c r="F25" s="63"/>
      <c r="G25" s="63"/>
      <c r="H25" s="108"/>
      <c r="I25" s="108"/>
      <c r="J25" s="108"/>
      <c r="K25" s="108"/>
      <c r="L25" s="108"/>
      <c r="M25" s="108"/>
      <c r="N25" s="108"/>
      <c r="O25" s="108"/>
      <c r="P25" s="108"/>
      <c r="Q25" s="108"/>
      <c r="R25" s="108"/>
      <c r="S25" s="108"/>
      <c r="T25" s="108"/>
      <c r="U25" s="108"/>
      <c r="V25" s="108"/>
      <c r="W25" s="108"/>
      <c r="X25" s="108"/>
      <c r="Y25" s="108"/>
      <c r="Z25" s="108"/>
    </row>
    <row r="26" ht="12.75" customHeight="1">
      <c r="A26" s="108"/>
      <c r="B26" s="108"/>
      <c r="C26" s="108"/>
      <c r="D26" s="108"/>
      <c r="E26" s="108"/>
      <c r="F26" s="63"/>
      <c r="G26" s="63"/>
      <c r="H26" s="108"/>
      <c r="I26" s="108"/>
      <c r="J26" s="108"/>
      <c r="K26" s="108"/>
      <c r="L26" s="108"/>
      <c r="M26" s="108"/>
      <c r="N26" s="108"/>
      <c r="O26" s="108"/>
      <c r="P26" s="108"/>
      <c r="Q26" s="108"/>
      <c r="R26" s="108"/>
      <c r="S26" s="108"/>
      <c r="T26" s="108"/>
      <c r="U26" s="108"/>
      <c r="V26" s="108"/>
      <c r="W26" s="108"/>
      <c r="X26" s="108"/>
      <c r="Y26" s="108"/>
      <c r="Z26" s="108"/>
    </row>
    <row r="27" ht="12.75" customHeight="1">
      <c r="A27" s="108"/>
      <c r="B27" s="108"/>
      <c r="C27" s="108"/>
      <c r="D27" s="108"/>
      <c r="E27" s="108"/>
      <c r="F27" s="63"/>
      <c r="G27" s="63"/>
      <c r="H27" s="108"/>
      <c r="I27" s="108"/>
      <c r="J27" s="108"/>
      <c r="K27" s="108"/>
      <c r="L27" s="108"/>
      <c r="M27" s="108"/>
      <c r="N27" s="108"/>
      <c r="O27" s="108"/>
      <c r="P27" s="108"/>
      <c r="Q27" s="108"/>
      <c r="R27" s="108"/>
      <c r="S27" s="108"/>
      <c r="T27" s="108"/>
      <c r="U27" s="108"/>
      <c r="V27" s="108"/>
      <c r="W27" s="108"/>
      <c r="X27" s="108"/>
      <c r="Y27" s="108"/>
      <c r="Z27" s="108"/>
    </row>
    <row r="28" ht="12.75" customHeight="1">
      <c r="A28" s="108"/>
      <c r="B28" s="108"/>
      <c r="C28" s="108"/>
      <c r="D28" s="108"/>
      <c r="E28" s="108"/>
      <c r="F28" s="63"/>
      <c r="G28" s="63"/>
      <c r="H28" s="108"/>
      <c r="I28" s="108"/>
      <c r="J28" s="108"/>
      <c r="K28" s="108"/>
      <c r="L28" s="108"/>
      <c r="M28" s="108"/>
      <c r="N28" s="108"/>
      <c r="O28" s="108"/>
      <c r="P28" s="108"/>
      <c r="Q28" s="108"/>
      <c r="R28" s="108"/>
      <c r="S28" s="108"/>
      <c r="T28" s="108"/>
      <c r="U28" s="108"/>
      <c r="V28" s="108"/>
      <c r="W28" s="108"/>
      <c r="X28" s="108"/>
      <c r="Y28" s="108"/>
      <c r="Z28" s="108"/>
    </row>
    <row r="29" ht="12.75" customHeight="1">
      <c r="A29" s="108"/>
      <c r="B29" s="108"/>
      <c r="C29" s="108"/>
      <c r="D29" s="108"/>
      <c r="E29" s="108"/>
      <c r="F29" s="63"/>
      <c r="G29" s="63"/>
      <c r="H29" s="108"/>
      <c r="I29" s="108"/>
      <c r="J29" s="108"/>
      <c r="K29" s="108"/>
      <c r="L29" s="108"/>
      <c r="M29" s="108"/>
      <c r="N29" s="108"/>
      <c r="O29" s="108"/>
      <c r="P29" s="108"/>
      <c r="Q29" s="108"/>
      <c r="R29" s="108"/>
      <c r="S29" s="108"/>
      <c r="T29" s="108"/>
      <c r="U29" s="108"/>
      <c r="V29" s="108"/>
      <c r="W29" s="108"/>
      <c r="X29" s="108"/>
      <c r="Y29" s="108"/>
      <c r="Z29" s="108"/>
    </row>
    <row r="30" ht="12.75" customHeight="1">
      <c r="A30" s="108"/>
      <c r="B30" s="108"/>
      <c r="C30" s="108"/>
      <c r="D30" s="108"/>
      <c r="E30" s="108"/>
      <c r="F30" s="63"/>
      <c r="G30" s="63"/>
      <c r="H30" s="108"/>
      <c r="I30" s="108"/>
      <c r="J30" s="108"/>
      <c r="K30" s="108"/>
      <c r="L30" s="108"/>
      <c r="M30" s="108"/>
      <c r="N30" s="108"/>
      <c r="O30" s="108"/>
      <c r="P30" s="108"/>
      <c r="Q30" s="108"/>
      <c r="R30" s="108"/>
      <c r="S30" s="108"/>
      <c r="T30" s="108"/>
      <c r="U30" s="108"/>
      <c r="V30" s="108"/>
      <c r="W30" s="108"/>
      <c r="X30" s="108"/>
      <c r="Y30" s="108"/>
      <c r="Z30" s="108"/>
    </row>
    <row r="31" ht="12.75" customHeight="1">
      <c r="A31" s="108"/>
      <c r="B31" s="108"/>
      <c r="C31" s="108"/>
      <c r="D31" s="108"/>
      <c r="E31" s="108"/>
      <c r="F31" s="63"/>
      <c r="G31" s="63"/>
      <c r="H31" s="108"/>
      <c r="I31" s="108"/>
      <c r="J31" s="108"/>
      <c r="K31" s="108"/>
      <c r="L31" s="108"/>
      <c r="M31" s="108"/>
      <c r="N31" s="108"/>
      <c r="O31" s="108"/>
      <c r="P31" s="108"/>
      <c r="Q31" s="108"/>
      <c r="R31" s="108"/>
      <c r="S31" s="108"/>
      <c r="T31" s="108"/>
      <c r="U31" s="108"/>
      <c r="V31" s="108"/>
      <c r="W31" s="108"/>
      <c r="X31" s="108"/>
      <c r="Y31" s="108"/>
      <c r="Z31" s="108"/>
    </row>
    <row r="32" ht="12.75" customHeight="1">
      <c r="A32" s="108"/>
      <c r="B32" s="108"/>
      <c r="C32" s="108"/>
      <c r="D32" s="108"/>
      <c r="E32" s="108"/>
      <c r="F32" s="63"/>
      <c r="G32" s="63"/>
      <c r="H32" s="108"/>
      <c r="I32" s="108"/>
      <c r="J32" s="108"/>
      <c r="K32" s="108"/>
      <c r="L32" s="108"/>
      <c r="M32" s="108"/>
      <c r="N32" s="108"/>
      <c r="O32" s="108"/>
      <c r="P32" s="108"/>
      <c r="Q32" s="108"/>
      <c r="R32" s="108"/>
      <c r="S32" s="108"/>
      <c r="T32" s="108"/>
      <c r="U32" s="108"/>
      <c r="V32" s="108"/>
      <c r="W32" s="108"/>
      <c r="X32" s="108"/>
      <c r="Y32" s="108"/>
      <c r="Z32" s="108"/>
    </row>
    <row r="33" ht="12.75" customHeight="1">
      <c r="A33" s="108"/>
      <c r="B33" s="108"/>
      <c r="C33" s="108"/>
      <c r="D33" s="108"/>
      <c r="E33" s="108"/>
      <c r="F33" s="63"/>
      <c r="G33" s="63"/>
      <c r="H33" s="108"/>
      <c r="I33" s="108"/>
      <c r="J33" s="108"/>
      <c r="K33" s="108"/>
      <c r="L33" s="108"/>
      <c r="M33" s="108"/>
      <c r="N33" s="108"/>
      <c r="O33" s="108"/>
      <c r="P33" s="108"/>
      <c r="Q33" s="108"/>
      <c r="R33" s="108"/>
      <c r="S33" s="108"/>
      <c r="T33" s="108"/>
      <c r="U33" s="108"/>
      <c r="V33" s="108"/>
      <c r="W33" s="108"/>
      <c r="X33" s="108"/>
      <c r="Y33" s="108"/>
      <c r="Z33" s="108"/>
    </row>
    <row r="34" ht="12.75" customHeight="1">
      <c r="A34" s="108"/>
      <c r="B34" s="108"/>
      <c r="C34" s="108"/>
      <c r="D34" s="108"/>
      <c r="E34" s="108"/>
      <c r="F34" s="63"/>
      <c r="G34" s="63"/>
      <c r="H34" s="108"/>
      <c r="I34" s="108"/>
      <c r="J34" s="108"/>
      <c r="K34" s="108"/>
      <c r="L34" s="108"/>
      <c r="M34" s="108"/>
      <c r="N34" s="108"/>
      <c r="O34" s="108"/>
      <c r="P34" s="108"/>
      <c r="Q34" s="108"/>
      <c r="R34" s="108"/>
      <c r="S34" s="108"/>
      <c r="T34" s="108"/>
      <c r="U34" s="108"/>
      <c r="V34" s="108"/>
      <c r="W34" s="108"/>
      <c r="X34" s="108"/>
      <c r="Y34" s="108"/>
      <c r="Z34" s="108"/>
    </row>
    <row r="35" ht="12.75" customHeight="1">
      <c r="A35" s="108"/>
      <c r="B35" s="108"/>
      <c r="C35" s="108"/>
      <c r="D35" s="108"/>
      <c r="E35" s="108"/>
      <c r="F35" s="63"/>
      <c r="G35" s="63"/>
      <c r="H35" s="108"/>
      <c r="I35" s="108"/>
      <c r="J35" s="108"/>
      <c r="K35" s="108"/>
      <c r="L35" s="108"/>
      <c r="M35" s="108"/>
      <c r="N35" s="108"/>
      <c r="O35" s="108"/>
      <c r="P35" s="108"/>
      <c r="Q35" s="108"/>
      <c r="R35" s="108"/>
      <c r="S35" s="108"/>
      <c r="T35" s="108"/>
      <c r="U35" s="108"/>
      <c r="V35" s="108"/>
      <c r="W35" s="108"/>
      <c r="X35" s="108"/>
      <c r="Y35" s="108"/>
      <c r="Z35" s="108"/>
    </row>
    <row r="36" ht="12.75" customHeight="1">
      <c r="A36" s="108"/>
      <c r="B36" s="108"/>
      <c r="C36" s="108"/>
      <c r="D36" s="108"/>
      <c r="E36" s="108"/>
      <c r="F36" s="63"/>
      <c r="G36" s="63"/>
      <c r="H36" s="108"/>
      <c r="I36" s="108"/>
      <c r="J36" s="108"/>
      <c r="K36" s="108"/>
      <c r="L36" s="108"/>
      <c r="M36" s="108"/>
      <c r="N36" s="108"/>
      <c r="O36" s="108"/>
      <c r="P36" s="108"/>
      <c r="Q36" s="108"/>
      <c r="R36" s="108"/>
      <c r="S36" s="108"/>
      <c r="T36" s="108"/>
      <c r="U36" s="108"/>
      <c r="V36" s="108"/>
      <c r="W36" s="108"/>
      <c r="X36" s="108"/>
      <c r="Y36" s="108"/>
      <c r="Z36" s="108"/>
    </row>
    <row r="37" ht="12.75" customHeight="1">
      <c r="A37" s="108"/>
      <c r="B37" s="108"/>
      <c r="C37" s="108"/>
      <c r="D37" s="108"/>
      <c r="E37" s="108"/>
      <c r="F37" s="63"/>
      <c r="G37" s="63"/>
      <c r="H37" s="108"/>
      <c r="I37" s="108"/>
      <c r="J37" s="108"/>
      <c r="K37" s="108"/>
      <c r="L37" s="108"/>
      <c r="M37" s="108"/>
      <c r="N37" s="108"/>
      <c r="O37" s="108"/>
      <c r="P37" s="108"/>
      <c r="Q37" s="108"/>
      <c r="R37" s="108"/>
      <c r="S37" s="108"/>
      <c r="T37" s="108"/>
      <c r="U37" s="108"/>
      <c r="V37" s="108"/>
      <c r="W37" s="108"/>
      <c r="X37" s="108"/>
      <c r="Y37" s="108"/>
      <c r="Z37" s="108"/>
    </row>
    <row r="38" ht="12.75" customHeight="1">
      <c r="A38" s="108"/>
      <c r="B38" s="108"/>
      <c r="C38" s="108"/>
      <c r="D38" s="108"/>
      <c r="E38" s="108"/>
      <c r="F38" s="63"/>
      <c r="G38" s="63"/>
      <c r="H38" s="108"/>
      <c r="I38" s="108"/>
      <c r="J38" s="108"/>
      <c r="K38" s="108"/>
      <c r="L38" s="108"/>
      <c r="M38" s="108"/>
      <c r="N38" s="108"/>
      <c r="O38" s="108"/>
      <c r="P38" s="108"/>
      <c r="Q38" s="108"/>
      <c r="R38" s="108"/>
      <c r="S38" s="108"/>
      <c r="T38" s="108"/>
      <c r="U38" s="108"/>
      <c r="V38" s="108"/>
      <c r="W38" s="108"/>
      <c r="X38" s="108"/>
      <c r="Y38" s="108"/>
      <c r="Z38" s="108"/>
    </row>
    <row r="39" ht="12.75" customHeight="1">
      <c r="A39" s="108"/>
      <c r="B39" s="108"/>
      <c r="C39" s="108"/>
      <c r="D39" s="108"/>
      <c r="E39" s="108"/>
      <c r="F39" s="63"/>
      <c r="G39" s="63"/>
      <c r="H39" s="108"/>
      <c r="I39" s="108"/>
      <c r="J39" s="108"/>
      <c r="K39" s="108"/>
      <c r="L39" s="108"/>
      <c r="M39" s="108"/>
      <c r="N39" s="108"/>
      <c r="O39" s="108"/>
      <c r="P39" s="108"/>
      <c r="Q39" s="108"/>
      <c r="R39" s="108"/>
      <c r="S39" s="108"/>
      <c r="T39" s="108"/>
      <c r="U39" s="108"/>
      <c r="V39" s="108"/>
      <c r="W39" s="108"/>
      <c r="X39" s="108"/>
      <c r="Y39" s="108"/>
      <c r="Z39" s="108"/>
    </row>
    <row r="40" ht="12.75" customHeight="1">
      <c r="A40" s="108"/>
      <c r="B40" s="108"/>
      <c r="C40" s="108"/>
      <c r="D40" s="108"/>
      <c r="E40" s="108"/>
      <c r="F40" s="63"/>
      <c r="G40" s="63"/>
      <c r="H40" s="108"/>
      <c r="I40" s="108"/>
      <c r="J40" s="108"/>
      <c r="K40" s="108"/>
      <c r="L40" s="108"/>
      <c r="M40" s="108"/>
      <c r="N40" s="108"/>
      <c r="O40" s="108"/>
      <c r="P40" s="108"/>
      <c r="Q40" s="108"/>
      <c r="R40" s="108"/>
      <c r="S40" s="108"/>
      <c r="T40" s="108"/>
      <c r="U40" s="108"/>
      <c r="V40" s="108"/>
      <c r="W40" s="108"/>
      <c r="X40" s="108"/>
      <c r="Y40" s="108"/>
      <c r="Z40" s="108"/>
    </row>
    <row r="41" ht="12.75" customHeight="1">
      <c r="A41" s="108"/>
      <c r="B41" s="108"/>
      <c r="C41" s="108"/>
      <c r="D41" s="108"/>
      <c r="E41" s="108"/>
      <c r="F41" s="63"/>
      <c r="G41" s="63"/>
      <c r="H41" s="108"/>
      <c r="I41" s="108"/>
      <c r="J41" s="108"/>
      <c r="K41" s="108"/>
      <c r="L41" s="108"/>
      <c r="M41" s="108"/>
      <c r="N41" s="108"/>
      <c r="O41" s="108"/>
      <c r="P41" s="108"/>
      <c r="Q41" s="108"/>
      <c r="R41" s="108"/>
      <c r="S41" s="108"/>
      <c r="T41" s="108"/>
      <c r="U41" s="108"/>
      <c r="V41" s="108"/>
      <c r="W41" s="108"/>
      <c r="X41" s="108"/>
      <c r="Y41" s="108"/>
      <c r="Z41" s="108"/>
    </row>
    <row r="42" ht="12.75" customHeight="1">
      <c r="A42" s="108"/>
      <c r="B42" s="108"/>
      <c r="C42" s="108"/>
      <c r="D42" s="108"/>
      <c r="E42" s="108"/>
      <c r="F42" s="63"/>
      <c r="G42" s="63"/>
      <c r="H42" s="108"/>
      <c r="I42" s="108"/>
      <c r="J42" s="108"/>
      <c r="K42" s="108"/>
      <c r="L42" s="108"/>
      <c r="M42" s="108"/>
      <c r="N42" s="108"/>
      <c r="O42" s="108"/>
      <c r="P42" s="108"/>
      <c r="Q42" s="108"/>
      <c r="R42" s="108"/>
      <c r="S42" s="108"/>
      <c r="T42" s="108"/>
      <c r="U42" s="108"/>
      <c r="V42" s="108"/>
      <c r="W42" s="108"/>
      <c r="X42" s="108"/>
      <c r="Y42" s="108"/>
      <c r="Z42" s="108"/>
    </row>
    <row r="43" ht="12.75" customHeight="1">
      <c r="A43" s="108"/>
      <c r="B43" s="108"/>
      <c r="C43" s="108"/>
      <c r="D43" s="108"/>
      <c r="E43" s="108"/>
      <c r="F43" s="63"/>
      <c r="G43" s="63"/>
      <c r="H43" s="108"/>
      <c r="I43" s="108"/>
      <c r="J43" s="108"/>
      <c r="K43" s="108"/>
      <c r="L43" s="108"/>
      <c r="M43" s="108"/>
      <c r="N43" s="108"/>
      <c r="O43" s="108"/>
      <c r="P43" s="108"/>
      <c r="Q43" s="108"/>
      <c r="R43" s="108"/>
      <c r="S43" s="108"/>
      <c r="T43" s="108"/>
      <c r="U43" s="108"/>
      <c r="V43" s="108"/>
      <c r="W43" s="108"/>
      <c r="X43" s="108"/>
      <c r="Y43" s="108"/>
      <c r="Z43" s="108"/>
    </row>
    <row r="44" ht="12.75" customHeight="1">
      <c r="A44" s="108"/>
      <c r="B44" s="108"/>
      <c r="C44" s="108"/>
      <c r="D44" s="108"/>
      <c r="E44" s="108"/>
      <c r="F44" s="63"/>
      <c r="G44" s="63"/>
      <c r="H44" s="108"/>
      <c r="I44" s="108"/>
      <c r="J44" s="108"/>
      <c r="K44" s="108"/>
      <c r="L44" s="108"/>
      <c r="M44" s="108"/>
      <c r="N44" s="108"/>
      <c r="O44" s="108"/>
      <c r="P44" s="108"/>
      <c r="Q44" s="108"/>
      <c r="R44" s="108"/>
      <c r="S44" s="108"/>
      <c r="T44" s="108"/>
      <c r="U44" s="108"/>
      <c r="V44" s="108"/>
      <c r="W44" s="108"/>
      <c r="X44" s="108"/>
      <c r="Y44" s="108"/>
      <c r="Z44" s="108"/>
    </row>
    <row r="45" ht="12.75" customHeight="1">
      <c r="A45" s="108"/>
      <c r="B45" s="108"/>
      <c r="C45" s="108"/>
      <c r="D45" s="108"/>
      <c r="E45" s="108"/>
      <c r="F45" s="63"/>
      <c r="G45" s="63"/>
      <c r="H45" s="108"/>
      <c r="I45" s="108"/>
      <c r="J45" s="108"/>
      <c r="K45" s="108"/>
      <c r="L45" s="108"/>
      <c r="M45" s="108"/>
      <c r="N45" s="108"/>
      <c r="O45" s="108"/>
      <c r="P45" s="108"/>
      <c r="Q45" s="108"/>
      <c r="R45" s="108"/>
      <c r="S45" s="108"/>
      <c r="T45" s="108"/>
      <c r="U45" s="108"/>
      <c r="V45" s="108"/>
      <c r="W45" s="108"/>
      <c r="X45" s="108"/>
      <c r="Y45" s="108"/>
      <c r="Z45" s="108"/>
    </row>
    <row r="46" ht="12.75" customHeight="1">
      <c r="A46" s="108"/>
      <c r="B46" s="108"/>
      <c r="C46" s="108"/>
      <c r="D46" s="108"/>
      <c r="E46" s="108"/>
      <c r="F46" s="63"/>
      <c r="G46" s="63"/>
      <c r="H46" s="108"/>
      <c r="I46" s="108"/>
      <c r="J46" s="108"/>
      <c r="K46" s="108"/>
      <c r="L46" s="108"/>
      <c r="M46" s="108"/>
      <c r="N46" s="108"/>
      <c r="O46" s="108"/>
      <c r="P46" s="108"/>
      <c r="Q46" s="108"/>
      <c r="R46" s="108"/>
      <c r="S46" s="108"/>
      <c r="T46" s="108"/>
      <c r="U46" s="108"/>
      <c r="V46" s="108"/>
      <c r="W46" s="108"/>
      <c r="X46" s="108"/>
      <c r="Y46" s="108"/>
      <c r="Z46" s="108"/>
    </row>
    <row r="47" ht="12.75" customHeight="1">
      <c r="A47" s="108"/>
      <c r="B47" s="108"/>
      <c r="C47" s="108"/>
      <c r="D47" s="108"/>
      <c r="E47" s="108"/>
      <c r="F47" s="63"/>
      <c r="G47" s="63"/>
      <c r="H47" s="108"/>
      <c r="I47" s="108"/>
      <c r="J47" s="108"/>
      <c r="K47" s="108"/>
      <c r="L47" s="108"/>
      <c r="M47" s="108"/>
      <c r="N47" s="108"/>
      <c r="O47" s="108"/>
      <c r="P47" s="108"/>
      <c r="Q47" s="108"/>
      <c r="R47" s="108"/>
      <c r="S47" s="108"/>
      <c r="T47" s="108"/>
      <c r="U47" s="108"/>
      <c r="V47" s="108"/>
      <c r="W47" s="108"/>
      <c r="X47" s="108"/>
      <c r="Y47" s="108"/>
      <c r="Z47" s="108"/>
    </row>
    <row r="48" ht="12.75" customHeight="1">
      <c r="A48" s="108"/>
      <c r="B48" s="108"/>
      <c r="C48" s="108"/>
      <c r="D48" s="108"/>
      <c r="E48" s="108"/>
      <c r="F48" s="63"/>
      <c r="G48" s="63"/>
      <c r="H48" s="108"/>
      <c r="I48" s="108"/>
      <c r="J48" s="108"/>
      <c r="K48" s="108"/>
      <c r="L48" s="108"/>
      <c r="M48" s="108"/>
      <c r="N48" s="108"/>
      <c r="O48" s="108"/>
      <c r="P48" s="108"/>
      <c r="Q48" s="108"/>
      <c r="R48" s="108"/>
      <c r="S48" s="108"/>
      <c r="T48" s="108"/>
      <c r="U48" s="108"/>
      <c r="V48" s="108"/>
      <c r="W48" s="108"/>
      <c r="X48" s="108"/>
      <c r="Y48" s="108"/>
      <c r="Z48" s="108"/>
    </row>
    <row r="49" ht="12.75" customHeight="1">
      <c r="A49" s="108"/>
      <c r="B49" s="108"/>
      <c r="C49" s="108"/>
      <c r="D49" s="108"/>
      <c r="E49" s="108"/>
      <c r="F49" s="63"/>
      <c r="G49" s="63"/>
      <c r="H49" s="108"/>
      <c r="I49" s="108"/>
      <c r="J49" s="108"/>
      <c r="K49" s="108"/>
      <c r="L49" s="108"/>
      <c r="M49" s="108"/>
      <c r="N49" s="108"/>
      <c r="O49" s="108"/>
      <c r="P49" s="108"/>
      <c r="Q49" s="108"/>
      <c r="R49" s="108"/>
      <c r="S49" s="108"/>
      <c r="T49" s="108"/>
      <c r="U49" s="108"/>
      <c r="V49" s="108"/>
      <c r="W49" s="108"/>
      <c r="X49" s="108"/>
      <c r="Y49" s="108"/>
      <c r="Z49" s="108"/>
    </row>
    <row r="50" ht="12.75" customHeight="1">
      <c r="A50" s="108"/>
      <c r="B50" s="108"/>
      <c r="C50" s="108"/>
      <c r="D50" s="108"/>
      <c r="E50" s="108"/>
      <c r="F50" s="63"/>
      <c r="G50" s="63"/>
      <c r="H50" s="108"/>
      <c r="I50" s="108"/>
      <c r="J50" s="108"/>
      <c r="K50" s="108"/>
      <c r="L50" s="108"/>
      <c r="M50" s="108"/>
      <c r="N50" s="108"/>
      <c r="O50" s="108"/>
      <c r="P50" s="108"/>
      <c r="Q50" s="108"/>
      <c r="R50" s="108"/>
      <c r="S50" s="108"/>
      <c r="T50" s="108"/>
      <c r="U50" s="108"/>
      <c r="V50" s="108"/>
      <c r="W50" s="108"/>
      <c r="X50" s="108"/>
      <c r="Y50" s="108"/>
      <c r="Z50" s="108"/>
    </row>
    <row r="51" ht="12.75" customHeight="1">
      <c r="A51" s="108"/>
      <c r="B51" s="108"/>
      <c r="C51" s="108"/>
      <c r="D51" s="108"/>
      <c r="E51" s="108"/>
      <c r="F51" s="63"/>
      <c r="G51" s="63"/>
      <c r="H51" s="108"/>
      <c r="I51" s="108"/>
      <c r="J51" s="108"/>
      <c r="K51" s="108"/>
      <c r="L51" s="108"/>
      <c r="M51" s="108"/>
      <c r="N51" s="108"/>
      <c r="O51" s="108"/>
      <c r="P51" s="108"/>
      <c r="Q51" s="108"/>
      <c r="R51" s="108"/>
      <c r="S51" s="108"/>
      <c r="T51" s="108"/>
      <c r="U51" s="108"/>
      <c r="V51" s="108"/>
      <c r="W51" s="108"/>
      <c r="X51" s="108"/>
      <c r="Y51" s="108"/>
      <c r="Z51" s="108"/>
    </row>
    <row r="52" ht="12.75" customHeight="1">
      <c r="A52" s="108"/>
      <c r="B52" s="108"/>
      <c r="C52" s="108"/>
      <c r="D52" s="108"/>
      <c r="E52" s="108"/>
      <c r="F52" s="63"/>
      <c r="G52" s="63"/>
      <c r="H52" s="108"/>
      <c r="I52" s="108"/>
      <c r="J52" s="108"/>
      <c r="K52" s="108"/>
      <c r="L52" s="108"/>
      <c r="M52" s="108"/>
      <c r="N52" s="108"/>
      <c r="O52" s="108"/>
      <c r="P52" s="108"/>
      <c r="Q52" s="108"/>
      <c r="R52" s="108"/>
      <c r="S52" s="108"/>
      <c r="T52" s="108"/>
      <c r="U52" s="108"/>
      <c r="V52" s="108"/>
      <c r="W52" s="108"/>
      <c r="X52" s="108"/>
      <c r="Y52" s="108"/>
      <c r="Z52" s="108"/>
    </row>
    <row r="53" ht="12.75" customHeight="1">
      <c r="A53" s="108"/>
      <c r="B53" s="108"/>
      <c r="C53" s="108"/>
      <c r="D53" s="108"/>
      <c r="E53" s="108"/>
      <c r="F53" s="63"/>
      <c r="G53" s="63"/>
      <c r="H53" s="108"/>
      <c r="I53" s="108"/>
      <c r="J53" s="108"/>
      <c r="K53" s="108"/>
      <c r="L53" s="108"/>
      <c r="M53" s="108"/>
      <c r="N53" s="108"/>
      <c r="O53" s="108"/>
      <c r="P53" s="108"/>
      <c r="Q53" s="108"/>
      <c r="R53" s="108"/>
      <c r="S53" s="108"/>
      <c r="T53" s="108"/>
      <c r="U53" s="108"/>
      <c r="V53" s="108"/>
      <c r="W53" s="108"/>
      <c r="X53" s="108"/>
      <c r="Y53" s="108"/>
      <c r="Z53" s="108"/>
    </row>
    <row r="54" ht="12.75" customHeight="1">
      <c r="A54" s="108"/>
      <c r="B54" s="108"/>
      <c r="C54" s="108"/>
      <c r="D54" s="108"/>
      <c r="E54" s="108"/>
      <c r="F54" s="63"/>
      <c r="G54" s="63"/>
      <c r="H54" s="108"/>
      <c r="I54" s="108"/>
      <c r="J54" s="108"/>
      <c r="K54" s="108"/>
      <c r="L54" s="108"/>
      <c r="M54" s="108"/>
      <c r="N54" s="108"/>
      <c r="O54" s="108"/>
      <c r="P54" s="108"/>
      <c r="Q54" s="108"/>
      <c r="R54" s="108"/>
      <c r="S54" s="108"/>
      <c r="T54" s="108"/>
      <c r="U54" s="108"/>
      <c r="V54" s="108"/>
      <c r="W54" s="108"/>
      <c r="X54" s="108"/>
      <c r="Y54" s="108"/>
      <c r="Z54" s="108"/>
    </row>
    <row r="55" ht="12.75" customHeight="1">
      <c r="A55" s="108"/>
      <c r="B55" s="108"/>
      <c r="C55" s="108"/>
      <c r="D55" s="108"/>
      <c r="E55" s="108"/>
      <c r="F55" s="63"/>
      <c r="G55" s="63"/>
      <c r="H55" s="108"/>
      <c r="I55" s="108"/>
      <c r="J55" s="108"/>
      <c r="K55" s="108"/>
      <c r="L55" s="108"/>
      <c r="M55" s="108"/>
      <c r="N55" s="108"/>
      <c r="O55" s="108"/>
      <c r="P55" s="108"/>
      <c r="Q55" s="108"/>
      <c r="R55" s="108"/>
      <c r="S55" s="108"/>
      <c r="T55" s="108"/>
      <c r="U55" s="108"/>
      <c r="V55" s="108"/>
      <c r="W55" s="108"/>
      <c r="X55" s="108"/>
      <c r="Y55" s="108"/>
      <c r="Z55" s="108"/>
    </row>
    <row r="56" ht="12.75" customHeight="1">
      <c r="A56" s="108"/>
      <c r="B56" s="108"/>
      <c r="C56" s="108"/>
      <c r="D56" s="108"/>
      <c r="E56" s="108"/>
      <c r="F56" s="63"/>
      <c r="G56" s="63"/>
      <c r="H56" s="108"/>
      <c r="I56" s="108"/>
      <c r="J56" s="108"/>
      <c r="K56" s="108"/>
      <c r="L56" s="108"/>
      <c r="M56" s="108"/>
      <c r="N56" s="108"/>
      <c r="O56" s="108"/>
      <c r="P56" s="108"/>
      <c r="Q56" s="108"/>
      <c r="R56" s="108"/>
      <c r="S56" s="108"/>
      <c r="T56" s="108"/>
      <c r="U56" s="108"/>
      <c r="V56" s="108"/>
      <c r="W56" s="108"/>
      <c r="X56" s="108"/>
      <c r="Y56" s="108"/>
      <c r="Z56" s="108"/>
    </row>
    <row r="57" ht="12.75" customHeight="1">
      <c r="A57" s="108"/>
      <c r="B57" s="108"/>
      <c r="C57" s="108"/>
      <c r="D57" s="108"/>
      <c r="E57" s="108"/>
      <c r="F57" s="63"/>
      <c r="G57" s="63"/>
      <c r="H57" s="108"/>
      <c r="I57" s="108"/>
      <c r="J57" s="108"/>
      <c r="K57" s="108"/>
      <c r="L57" s="108"/>
      <c r="M57" s="108"/>
      <c r="N57" s="108"/>
      <c r="O57" s="108"/>
      <c r="P57" s="108"/>
      <c r="Q57" s="108"/>
      <c r="R57" s="108"/>
      <c r="S57" s="108"/>
      <c r="T57" s="108"/>
      <c r="U57" s="108"/>
      <c r="V57" s="108"/>
      <c r="W57" s="108"/>
      <c r="X57" s="108"/>
      <c r="Y57" s="108"/>
      <c r="Z57" s="108"/>
    </row>
    <row r="58" ht="12.75" customHeight="1">
      <c r="A58" s="108"/>
      <c r="B58" s="108"/>
      <c r="C58" s="108"/>
      <c r="D58" s="108"/>
      <c r="E58" s="108"/>
      <c r="F58" s="63"/>
      <c r="G58" s="63"/>
      <c r="H58" s="108"/>
      <c r="I58" s="108"/>
      <c r="J58" s="108"/>
      <c r="K58" s="108"/>
      <c r="L58" s="108"/>
      <c r="M58" s="108"/>
      <c r="N58" s="108"/>
      <c r="O58" s="108"/>
      <c r="P58" s="108"/>
      <c r="Q58" s="108"/>
      <c r="R58" s="108"/>
      <c r="S58" s="108"/>
      <c r="T58" s="108"/>
      <c r="U58" s="108"/>
      <c r="V58" s="108"/>
      <c r="W58" s="108"/>
      <c r="X58" s="108"/>
      <c r="Y58" s="108"/>
      <c r="Z58" s="108"/>
    </row>
    <row r="59" ht="12.75" customHeight="1">
      <c r="A59" s="108"/>
      <c r="B59" s="108"/>
      <c r="C59" s="108"/>
      <c r="D59" s="108"/>
      <c r="E59" s="108"/>
      <c r="F59" s="63"/>
      <c r="G59" s="63"/>
      <c r="H59" s="108"/>
      <c r="I59" s="108"/>
      <c r="J59" s="108"/>
      <c r="K59" s="108"/>
      <c r="L59" s="108"/>
      <c r="M59" s="108"/>
      <c r="N59" s="108"/>
      <c r="O59" s="108"/>
      <c r="P59" s="108"/>
      <c r="Q59" s="108"/>
      <c r="R59" s="108"/>
      <c r="S59" s="108"/>
      <c r="T59" s="108"/>
      <c r="U59" s="108"/>
      <c r="V59" s="108"/>
      <c r="W59" s="108"/>
      <c r="X59" s="108"/>
      <c r="Y59" s="108"/>
      <c r="Z59" s="108"/>
    </row>
    <row r="60" ht="12.75" customHeight="1">
      <c r="A60" s="108"/>
      <c r="B60" s="108"/>
      <c r="C60" s="108"/>
      <c r="D60" s="108"/>
      <c r="E60" s="108"/>
      <c r="F60" s="63"/>
      <c r="G60" s="63"/>
      <c r="H60" s="108"/>
      <c r="I60" s="108"/>
      <c r="J60" s="108"/>
      <c r="K60" s="108"/>
      <c r="L60" s="108"/>
      <c r="M60" s="108"/>
      <c r="N60" s="108"/>
      <c r="O60" s="108"/>
      <c r="P60" s="108"/>
      <c r="Q60" s="108"/>
      <c r="R60" s="108"/>
      <c r="S60" s="108"/>
      <c r="T60" s="108"/>
      <c r="U60" s="108"/>
      <c r="V60" s="108"/>
      <c r="W60" s="108"/>
      <c r="X60" s="108"/>
      <c r="Y60" s="108"/>
      <c r="Z60" s="108"/>
    </row>
    <row r="61" ht="12.75" customHeight="1">
      <c r="A61" s="108"/>
      <c r="B61" s="108"/>
      <c r="C61" s="108"/>
      <c r="D61" s="108"/>
      <c r="E61" s="108"/>
      <c r="F61" s="63"/>
      <c r="G61" s="63"/>
      <c r="H61" s="108"/>
      <c r="I61" s="108"/>
      <c r="J61" s="108"/>
      <c r="K61" s="108"/>
      <c r="L61" s="108"/>
      <c r="M61" s="108"/>
      <c r="N61" s="108"/>
      <c r="O61" s="108"/>
      <c r="P61" s="108"/>
      <c r="Q61" s="108"/>
      <c r="R61" s="108"/>
      <c r="S61" s="108"/>
      <c r="T61" s="108"/>
      <c r="U61" s="108"/>
      <c r="V61" s="108"/>
      <c r="W61" s="108"/>
      <c r="X61" s="108"/>
      <c r="Y61" s="108"/>
      <c r="Z61" s="108"/>
    </row>
    <row r="62" ht="12.75" customHeight="1">
      <c r="A62" s="108"/>
      <c r="B62" s="108"/>
      <c r="C62" s="108"/>
      <c r="D62" s="108"/>
      <c r="E62" s="108"/>
      <c r="F62" s="63"/>
      <c r="G62" s="63"/>
      <c r="H62" s="108"/>
      <c r="I62" s="108"/>
      <c r="J62" s="108"/>
      <c r="K62" s="108"/>
      <c r="L62" s="108"/>
      <c r="M62" s="108"/>
      <c r="N62" s="108"/>
      <c r="O62" s="108"/>
      <c r="P62" s="108"/>
      <c r="Q62" s="108"/>
      <c r="R62" s="108"/>
      <c r="S62" s="108"/>
      <c r="T62" s="108"/>
      <c r="U62" s="108"/>
      <c r="V62" s="108"/>
      <c r="W62" s="108"/>
      <c r="X62" s="108"/>
      <c r="Y62" s="108"/>
      <c r="Z62" s="108"/>
    </row>
    <row r="63" ht="12.75" customHeight="1">
      <c r="A63" s="108"/>
      <c r="B63" s="108"/>
      <c r="C63" s="108"/>
      <c r="D63" s="108"/>
      <c r="E63" s="108"/>
      <c r="F63" s="63"/>
      <c r="G63" s="63"/>
      <c r="H63" s="108"/>
      <c r="I63" s="108"/>
      <c r="J63" s="108"/>
      <c r="K63" s="108"/>
      <c r="L63" s="108"/>
      <c r="M63" s="108"/>
      <c r="N63" s="108"/>
      <c r="O63" s="108"/>
      <c r="P63" s="108"/>
      <c r="Q63" s="108"/>
      <c r="R63" s="108"/>
      <c r="S63" s="108"/>
      <c r="T63" s="108"/>
      <c r="U63" s="108"/>
      <c r="V63" s="108"/>
      <c r="W63" s="108"/>
      <c r="X63" s="108"/>
      <c r="Y63" s="108"/>
      <c r="Z63" s="108"/>
    </row>
    <row r="64" ht="12.75" customHeight="1">
      <c r="A64" s="108"/>
      <c r="B64" s="108"/>
      <c r="C64" s="108"/>
      <c r="D64" s="108"/>
      <c r="E64" s="108"/>
      <c r="F64" s="63"/>
      <c r="G64" s="63"/>
      <c r="H64" s="108"/>
      <c r="I64" s="108"/>
      <c r="J64" s="108"/>
      <c r="K64" s="108"/>
      <c r="L64" s="108"/>
      <c r="M64" s="108"/>
      <c r="N64" s="108"/>
      <c r="O64" s="108"/>
      <c r="P64" s="108"/>
      <c r="Q64" s="108"/>
      <c r="R64" s="108"/>
      <c r="S64" s="108"/>
      <c r="T64" s="108"/>
      <c r="U64" s="108"/>
      <c r="V64" s="108"/>
      <c r="W64" s="108"/>
      <c r="X64" s="108"/>
      <c r="Y64" s="108"/>
      <c r="Z64" s="108"/>
    </row>
    <row r="65" ht="12.75" customHeight="1">
      <c r="A65" s="108"/>
      <c r="B65" s="108"/>
      <c r="C65" s="108"/>
      <c r="D65" s="108"/>
      <c r="E65" s="108"/>
      <c r="F65" s="63"/>
      <c r="G65" s="63"/>
      <c r="H65" s="108"/>
      <c r="I65" s="108"/>
      <c r="J65" s="108"/>
      <c r="K65" s="108"/>
      <c r="L65" s="108"/>
      <c r="M65" s="108"/>
      <c r="N65" s="108"/>
      <c r="O65" s="108"/>
      <c r="P65" s="108"/>
      <c r="Q65" s="108"/>
      <c r="R65" s="108"/>
      <c r="S65" s="108"/>
      <c r="T65" s="108"/>
      <c r="U65" s="108"/>
      <c r="V65" s="108"/>
      <c r="W65" s="108"/>
      <c r="X65" s="108"/>
      <c r="Y65" s="108"/>
      <c r="Z65" s="108"/>
    </row>
    <row r="66" ht="12.75" customHeight="1">
      <c r="A66" s="108"/>
      <c r="B66" s="108"/>
      <c r="C66" s="108"/>
      <c r="D66" s="108"/>
      <c r="E66" s="108"/>
      <c r="F66" s="63"/>
      <c r="G66" s="63"/>
      <c r="H66" s="108"/>
      <c r="I66" s="108"/>
      <c r="J66" s="108"/>
      <c r="K66" s="108"/>
      <c r="L66" s="108"/>
      <c r="M66" s="108"/>
      <c r="N66" s="108"/>
      <c r="O66" s="108"/>
      <c r="P66" s="108"/>
      <c r="Q66" s="108"/>
      <c r="R66" s="108"/>
      <c r="S66" s="108"/>
      <c r="T66" s="108"/>
      <c r="U66" s="108"/>
      <c r="V66" s="108"/>
      <c r="W66" s="108"/>
      <c r="X66" s="108"/>
      <c r="Y66" s="108"/>
      <c r="Z66" s="108"/>
    </row>
    <row r="67" ht="12.75" customHeight="1">
      <c r="A67" s="108"/>
      <c r="B67" s="108"/>
      <c r="C67" s="108"/>
      <c r="D67" s="108"/>
      <c r="E67" s="108"/>
      <c r="F67" s="63"/>
      <c r="G67" s="63"/>
      <c r="H67" s="108"/>
      <c r="I67" s="108"/>
      <c r="J67" s="108"/>
      <c r="K67" s="108"/>
      <c r="L67" s="108"/>
      <c r="M67" s="108"/>
      <c r="N67" s="108"/>
      <c r="O67" s="108"/>
      <c r="P67" s="108"/>
      <c r="Q67" s="108"/>
      <c r="R67" s="108"/>
      <c r="S67" s="108"/>
      <c r="T67" s="108"/>
      <c r="U67" s="108"/>
      <c r="V67" s="108"/>
      <c r="W67" s="108"/>
      <c r="X67" s="108"/>
      <c r="Y67" s="108"/>
      <c r="Z67" s="108"/>
    </row>
    <row r="68" ht="12.75" customHeight="1">
      <c r="A68" s="108"/>
      <c r="B68" s="108"/>
      <c r="C68" s="108"/>
      <c r="D68" s="108"/>
      <c r="E68" s="108"/>
      <c r="F68" s="63"/>
      <c r="G68" s="63"/>
      <c r="H68" s="108"/>
      <c r="I68" s="108"/>
      <c r="J68" s="108"/>
      <c r="K68" s="108"/>
      <c r="L68" s="108"/>
      <c r="M68" s="108"/>
      <c r="N68" s="108"/>
      <c r="O68" s="108"/>
      <c r="P68" s="108"/>
      <c r="Q68" s="108"/>
      <c r="R68" s="108"/>
      <c r="S68" s="108"/>
      <c r="T68" s="108"/>
      <c r="U68" s="108"/>
      <c r="V68" s="108"/>
      <c r="W68" s="108"/>
      <c r="X68" s="108"/>
      <c r="Y68" s="108"/>
      <c r="Z68" s="108"/>
    </row>
    <row r="69" ht="12.75" customHeight="1">
      <c r="A69" s="108"/>
      <c r="B69" s="108"/>
      <c r="C69" s="108"/>
      <c r="D69" s="108"/>
      <c r="E69" s="108"/>
      <c r="F69" s="63"/>
      <c r="G69" s="63"/>
      <c r="H69" s="108"/>
      <c r="I69" s="108"/>
      <c r="J69" s="108"/>
      <c r="K69" s="108"/>
      <c r="L69" s="108"/>
      <c r="M69" s="108"/>
      <c r="N69" s="108"/>
      <c r="O69" s="108"/>
      <c r="P69" s="108"/>
      <c r="Q69" s="108"/>
      <c r="R69" s="108"/>
      <c r="S69" s="108"/>
      <c r="T69" s="108"/>
      <c r="U69" s="108"/>
      <c r="V69" s="108"/>
      <c r="W69" s="108"/>
      <c r="X69" s="108"/>
      <c r="Y69" s="108"/>
      <c r="Z69" s="108"/>
    </row>
    <row r="70" ht="12.75" customHeight="1">
      <c r="A70" s="108"/>
      <c r="B70" s="108"/>
      <c r="C70" s="108"/>
      <c r="D70" s="108"/>
      <c r="E70" s="108"/>
      <c r="F70" s="63"/>
      <c r="G70" s="63"/>
      <c r="H70" s="108"/>
      <c r="I70" s="108"/>
      <c r="J70" s="108"/>
      <c r="K70" s="108"/>
      <c r="L70" s="108"/>
      <c r="M70" s="108"/>
      <c r="N70" s="108"/>
      <c r="O70" s="108"/>
      <c r="P70" s="108"/>
      <c r="Q70" s="108"/>
      <c r="R70" s="108"/>
      <c r="S70" s="108"/>
      <c r="T70" s="108"/>
      <c r="U70" s="108"/>
      <c r="V70" s="108"/>
      <c r="W70" s="108"/>
      <c r="X70" s="108"/>
      <c r="Y70" s="108"/>
      <c r="Z70" s="108"/>
    </row>
    <row r="71" ht="12.75" customHeight="1">
      <c r="A71" s="108"/>
      <c r="B71" s="108"/>
      <c r="C71" s="108"/>
      <c r="D71" s="108"/>
      <c r="E71" s="108"/>
      <c r="F71" s="63"/>
      <c r="G71" s="63"/>
      <c r="H71" s="108"/>
      <c r="I71" s="108"/>
      <c r="J71" s="108"/>
      <c r="K71" s="108"/>
      <c r="L71" s="108"/>
      <c r="M71" s="108"/>
      <c r="N71" s="108"/>
      <c r="O71" s="108"/>
      <c r="P71" s="108"/>
      <c r="Q71" s="108"/>
      <c r="R71" s="108"/>
      <c r="S71" s="108"/>
      <c r="T71" s="108"/>
      <c r="U71" s="108"/>
      <c r="V71" s="108"/>
      <c r="W71" s="108"/>
      <c r="X71" s="108"/>
      <c r="Y71" s="108"/>
      <c r="Z71" s="108"/>
    </row>
    <row r="72" ht="12.75" customHeight="1">
      <c r="A72" s="108"/>
      <c r="B72" s="108"/>
      <c r="C72" s="108"/>
      <c r="D72" s="108"/>
      <c r="E72" s="108"/>
      <c r="F72" s="63"/>
      <c r="G72" s="63"/>
      <c r="H72" s="108"/>
      <c r="I72" s="108"/>
      <c r="J72" s="108"/>
      <c r="K72" s="108"/>
      <c r="L72" s="108"/>
      <c r="M72" s="108"/>
      <c r="N72" s="108"/>
      <c r="O72" s="108"/>
      <c r="P72" s="108"/>
      <c r="Q72" s="108"/>
      <c r="R72" s="108"/>
      <c r="S72" s="108"/>
      <c r="T72" s="108"/>
      <c r="U72" s="108"/>
      <c r="V72" s="108"/>
      <c r="W72" s="108"/>
      <c r="X72" s="108"/>
      <c r="Y72" s="108"/>
      <c r="Z72" s="108"/>
    </row>
    <row r="73" ht="12.75" customHeight="1">
      <c r="A73" s="108"/>
      <c r="B73" s="108"/>
      <c r="C73" s="108"/>
      <c r="D73" s="108"/>
      <c r="E73" s="108"/>
      <c r="F73" s="63"/>
      <c r="G73" s="63"/>
      <c r="H73" s="108"/>
      <c r="I73" s="108"/>
      <c r="J73" s="108"/>
      <c r="K73" s="108"/>
      <c r="L73" s="108"/>
      <c r="M73" s="108"/>
      <c r="N73" s="108"/>
      <c r="O73" s="108"/>
      <c r="P73" s="108"/>
      <c r="Q73" s="108"/>
      <c r="R73" s="108"/>
      <c r="S73" s="108"/>
      <c r="T73" s="108"/>
      <c r="U73" s="108"/>
      <c r="V73" s="108"/>
      <c r="W73" s="108"/>
      <c r="X73" s="108"/>
      <c r="Y73" s="108"/>
      <c r="Z73" s="108"/>
    </row>
    <row r="74" ht="12.75" customHeight="1">
      <c r="A74" s="108"/>
      <c r="B74" s="108"/>
      <c r="C74" s="108"/>
      <c r="D74" s="108"/>
      <c r="E74" s="108"/>
      <c r="F74" s="63"/>
      <c r="G74" s="63"/>
      <c r="H74" s="108"/>
      <c r="I74" s="108"/>
      <c r="J74" s="108"/>
      <c r="K74" s="108"/>
      <c r="L74" s="108"/>
      <c r="M74" s="108"/>
      <c r="N74" s="108"/>
      <c r="O74" s="108"/>
      <c r="P74" s="108"/>
      <c r="Q74" s="108"/>
      <c r="R74" s="108"/>
      <c r="S74" s="108"/>
      <c r="T74" s="108"/>
      <c r="U74" s="108"/>
      <c r="V74" s="108"/>
      <c r="W74" s="108"/>
      <c r="X74" s="108"/>
      <c r="Y74" s="108"/>
      <c r="Z74" s="108"/>
    </row>
    <row r="75" ht="12.75" customHeight="1">
      <c r="A75" s="108"/>
      <c r="B75" s="108"/>
      <c r="C75" s="108"/>
      <c r="D75" s="108"/>
      <c r="E75" s="108"/>
      <c r="F75" s="63"/>
      <c r="G75" s="63"/>
      <c r="H75" s="108"/>
      <c r="I75" s="108"/>
      <c r="J75" s="108"/>
      <c r="K75" s="108"/>
      <c r="L75" s="108"/>
      <c r="M75" s="108"/>
      <c r="N75" s="108"/>
      <c r="O75" s="108"/>
      <c r="P75" s="108"/>
      <c r="Q75" s="108"/>
      <c r="R75" s="108"/>
      <c r="S75" s="108"/>
      <c r="T75" s="108"/>
      <c r="U75" s="108"/>
      <c r="V75" s="108"/>
      <c r="W75" s="108"/>
      <c r="X75" s="108"/>
      <c r="Y75" s="108"/>
      <c r="Z75" s="108"/>
    </row>
    <row r="76" ht="12.75" customHeight="1">
      <c r="A76" s="108"/>
      <c r="B76" s="108"/>
      <c r="C76" s="108"/>
      <c r="D76" s="108"/>
      <c r="E76" s="108"/>
      <c r="F76" s="63"/>
      <c r="G76" s="63"/>
      <c r="H76" s="108"/>
      <c r="I76" s="108"/>
      <c r="J76" s="108"/>
      <c r="K76" s="108"/>
      <c r="L76" s="108"/>
      <c r="M76" s="108"/>
      <c r="N76" s="108"/>
      <c r="O76" s="108"/>
      <c r="P76" s="108"/>
      <c r="Q76" s="108"/>
      <c r="R76" s="108"/>
      <c r="S76" s="108"/>
      <c r="T76" s="108"/>
      <c r="U76" s="108"/>
      <c r="V76" s="108"/>
      <c r="W76" s="108"/>
      <c r="X76" s="108"/>
      <c r="Y76" s="108"/>
      <c r="Z76" s="108"/>
    </row>
    <row r="77" ht="12.75" customHeight="1">
      <c r="A77" s="108"/>
      <c r="B77" s="108"/>
      <c r="C77" s="108"/>
      <c r="D77" s="108"/>
      <c r="E77" s="108"/>
      <c r="F77" s="63"/>
      <c r="G77" s="63"/>
      <c r="H77" s="108"/>
      <c r="I77" s="108"/>
      <c r="J77" s="108"/>
      <c r="K77" s="108"/>
      <c r="L77" s="108"/>
      <c r="M77" s="108"/>
      <c r="N77" s="108"/>
      <c r="O77" s="108"/>
      <c r="P77" s="108"/>
      <c r="Q77" s="108"/>
      <c r="R77" s="108"/>
      <c r="S77" s="108"/>
      <c r="T77" s="108"/>
      <c r="U77" s="108"/>
      <c r="V77" s="108"/>
      <c r="W77" s="108"/>
      <c r="X77" s="108"/>
      <c r="Y77" s="108"/>
      <c r="Z77" s="108"/>
    </row>
    <row r="78" ht="12.75" customHeight="1">
      <c r="A78" s="108"/>
      <c r="B78" s="108"/>
      <c r="C78" s="108"/>
      <c r="D78" s="108"/>
      <c r="E78" s="108"/>
      <c r="F78" s="63"/>
      <c r="G78" s="63"/>
      <c r="H78" s="108"/>
      <c r="I78" s="108"/>
      <c r="J78" s="108"/>
      <c r="K78" s="108"/>
      <c r="L78" s="108"/>
      <c r="M78" s="108"/>
      <c r="N78" s="108"/>
      <c r="O78" s="108"/>
      <c r="P78" s="108"/>
      <c r="Q78" s="108"/>
      <c r="R78" s="108"/>
      <c r="S78" s="108"/>
      <c r="T78" s="108"/>
      <c r="U78" s="108"/>
      <c r="V78" s="108"/>
      <c r="W78" s="108"/>
      <c r="X78" s="108"/>
      <c r="Y78" s="108"/>
      <c r="Z78" s="108"/>
    </row>
    <row r="79" ht="12.75" customHeight="1">
      <c r="A79" s="108"/>
      <c r="B79" s="108"/>
      <c r="C79" s="108"/>
      <c r="D79" s="108"/>
      <c r="E79" s="108"/>
      <c r="F79" s="63"/>
      <c r="G79" s="63"/>
      <c r="H79" s="108"/>
      <c r="I79" s="108"/>
      <c r="J79" s="108"/>
      <c r="K79" s="108"/>
      <c r="L79" s="108"/>
      <c r="M79" s="108"/>
      <c r="N79" s="108"/>
      <c r="O79" s="108"/>
      <c r="P79" s="108"/>
      <c r="Q79" s="108"/>
      <c r="R79" s="108"/>
      <c r="S79" s="108"/>
      <c r="T79" s="108"/>
      <c r="U79" s="108"/>
      <c r="V79" s="108"/>
      <c r="W79" s="108"/>
      <c r="X79" s="108"/>
      <c r="Y79" s="108"/>
      <c r="Z79" s="108"/>
    </row>
    <row r="80" ht="12.75" customHeight="1">
      <c r="A80" s="108"/>
      <c r="B80" s="108"/>
      <c r="C80" s="108"/>
      <c r="D80" s="108"/>
      <c r="E80" s="108"/>
      <c r="F80" s="63"/>
      <c r="G80" s="63"/>
      <c r="H80" s="108"/>
      <c r="I80" s="108"/>
      <c r="J80" s="108"/>
      <c r="K80" s="108"/>
      <c r="L80" s="108"/>
      <c r="M80" s="108"/>
      <c r="N80" s="108"/>
      <c r="O80" s="108"/>
      <c r="P80" s="108"/>
      <c r="Q80" s="108"/>
      <c r="R80" s="108"/>
      <c r="S80" s="108"/>
      <c r="T80" s="108"/>
      <c r="U80" s="108"/>
      <c r="V80" s="108"/>
      <c r="W80" s="108"/>
      <c r="X80" s="108"/>
      <c r="Y80" s="108"/>
      <c r="Z80" s="108"/>
    </row>
    <row r="81" ht="12.75" customHeight="1">
      <c r="A81" s="108"/>
      <c r="B81" s="108"/>
      <c r="C81" s="108"/>
      <c r="D81" s="108"/>
      <c r="E81" s="108"/>
      <c r="F81" s="63"/>
      <c r="G81" s="63"/>
      <c r="H81" s="108"/>
      <c r="I81" s="108"/>
      <c r="J81" s="108"/>
      <c r="K81" s="108"/>
      <c r="L81" s="108"/>
      <c r="M81" s="108"/>
      <c r="N81" s="108"/>
      <c r="O81" s="108"/>
      <c r="P81" s="108"/>
      <c r="Q81" s="108"/>
      <c r="R81" s="108"/>
      <c r="S81" s="108"/>
      <c r="T81" s="108"/>
      <c r="U81" s="108"/>
      <c r="V81" s="108"/>
      <c r="W81" s="108"/>
      <c r="X81" s="108"/>
      <c r="Y81" s="108"/>
      <c r="Z81" s="108"/>
    </row>
    <row r="82" ht="12.75" customHeight="1">
      <c r="A82" s="108"/>
      <c r="B82" s="108"/>
      <c r="C82" s="108"/>
      <c r="D82" s="108"/>
      <c r="E82" s="108"/>
      <c r="F82" s="63"/>
      <c r="G82" s="63"/>
      <c r="H82" s="108"/>
      <c r="I82" s="108"/>
      <c r="J82" s="108"/>
      <c r="K82" s="108"/>
      <c r="L82" s="108"/>
      <c r="M82" s="108"/>
      <c r="N82" s="108"/>
      <c r="O82" s="108"/>
      <c r="P82" s="108"/>
      <c r="Q82" s="108"/>
      <c r="R82" s="108"/>
      <c r="S82" s="108"/>
      <c r="T82" s="108"/>
      <c r="U82" s="108"/>
      <c r="V82" s="108"/>
      <c r="W82" s="108"/>
      <c r="X82" s="108"/>
      <c r="Y82" s="108"/>
      <c r="Z82" s="108"/>
    </row>
    <row r="83" ht="12.75" customHeight="1">
      <c r="A83" s="108"/>
      <c r="B83" s="108"/>
      <c r="C83" s="108"/>
      <c r="D83" s="108"/>
      <c r="E83" s="108"/>
      <c r="F83" s="63"/>
      <c r="G83" s="63"/>
      <c r="H83" s="108"/>
      <c r="I83" s="108"/>
      <c r="J83" s="108"/>
      <c r="K83" s="108"/>
      <c r="L83" s="108"/>
      <c r="M83" s="108"/>
      <c r="N83" s="108"/>
      <c r="O83" s="108"/>
      <c r="P83" s="108"/>
      <c r="Q83" s="108"/>
      <c r="R83" s="108"/>
      <c r="S83" s="108"/>
      <c r="T83" s="108"/>
      <c r="U83" s="108"/>
      <c r="V83" s="108"/>
      <c r="W83" s="108"/>
      <c r="X83" s="108"/>
      <c r="Y83" s="108"/>
      <c r="Z83" s="108"/>
    </row>
    <row r="84" ht="12.75" customHeight="1">
      <c r="A84" s="108"/>
      <c r="B84" s="108"/>
      <c r="C84" s="108"/>
      <c r="D84" s="108"/>
      <c r="E84" s="108"/>
      <c r="F84" s="63"/>
      <c r="G84" s="63"/>
      <c r="H84" s="108"/>
      <c r="I84" s="108"/>
      <c r="J84" s="108"/>
      <c r="K84" s="108"/>
      <c r="L84" s="108"/>
      <c r="M84" s="108"/>
      <c r="N84" s="108"/>
      <c r="O84" s="108"/>
      <c r="P84" s="108"/>
      <c r="Q84" s="108"/>
      <c r="R84" s="108"/>
      <c r="S84" s="108"/>
      <c r="T84" s="108"/>
      <c r="U84" s="108"/>
      <c r="V84" s="108"/>
      <c r="W84" s="108"/>
      <c r="X84" s="108"/>
      <c r="Y84" s="108"/>
      <c r="Z84" s="108"/>
    </row>
    <row r="85" ht="12.75" customHeight="1">
      <c r="A85" s="108"/>
      <c r="B85" s="108"/>
      <c r="C85" s="108"/>
      <c r="D85" s="108"/>
      <c r="E85" s="108"/>
      <c r="F85" s="63"/>
      <c r="G85" s="63"/>
      <c r="H85" s="108"/>
      <c r="I85" s="108"/>
      <c r="J85" s="108"/>
      <c r="K85" s="108"/>
      <c r="L85" s="108"/>
      <c r="M85" s="108"/>
      <c r="N85" s="108"/>
      <c r="O85" s="108"/>
      <c r="P85" s="108"/>
      <c r="Q85" s="108"/>
      <c r="R85" s="108"/>
      <c r="S85" s="108"/>
      <c r="T85" s="108"/>
      <c r="U85" s="108"/>
      <c r="V85" s="108"/>
      <c r="W85" s="108"/>
      <c r="X85" s="108"/>
      <c r="Y85" s="108"/>
      <c r="Z85" s="108"/>
    </row>
    <row r="86" ht="12.75" customHeight="1">
      <c r="A86" s="108"/>
      <c r="B86" s="108"/>
      <c r="C86" s="108"/>
      <c r="D86" s="108"/>
      <c r="E86" s="108"/>
      <c r="F86" s="63"/>
      <c r="G86" s="63"/>
      <c r="H86" s="108"/>
      <c r="I86" s="108"/>
      <c r="J86" s="108"/>
      <c r="K86" s="108"/>
      <c r="L86" s="108"/>
      <c r="M86" s="108"/>
      <c r="N86" s="108"/>
      <c r="O86" s="108"/>
      <c r="P86" s="108"/>
      <c r="Q86" s="108"/>
      <c r="R86" s="108"/>
      <c r="S86" s="108"/>
      <c r="T86" s="108"/>
      <c r="U86" s="108"/>
      <c r="V86" s="108"/>
      <c r="W86" s="108"/>
      <c r="X86" s="108"/>
      <c r="Y86" s="108"/>
      <c r="Z86" s="108"/>
    </row>
    <row r="87" ht="12.75" customHeight="1">
      <c r="A87" s="108"/>
      <c r="B87" s="108"/>
      <c r="C87" s="108"/>
      <c r="D87" s="108"/>
      <c r="E87" s="108"/>
      <c r="F87" s="63"/>
      <c r="G87" s="63"/>
      <c r="H87" s="108"/>
      <c r="I87" s="108"/>
      <c r="J87" s="108"/>
      <c r="K87" s="108"/>
      <c r="L87" s="108"/>
      <c r="M87" s="108"/>
      <c r="N87" s="108"/>
      <c r="O87" s="108"/>
      <c r="P87" s="108"/>
      <c r="Q87" s="108"/>
      <c r="R87" s="108"/>
      <c r="S87" s="108"/>
      <c r="T87" s="108"/>
      <c r="U87" s="108"/>
      <c r="V87" s="108"/>
      <c r="W87" s="108"/>
      <c r="X87" s="108"/>
      <c r="Y87" s="108"/>
      <c r="Z87" s="108"/>
    </row>
    <row r="88" ht="12.75" customHeight="1">
      <c r="A88" s="108"/>
      <c r="B88" s="108"/>
      <c r="C88" s="108"/>
      <c r="D88" s="108"/>
      <c r="E88" s="108"/>
      <c r="F88" s="63"/>
      <c r="G88" s="63"/>
      <c r="H88" s="108"/>
      <c r="I88" s="108"/>
      <c r="J88" s="108"/>
      <c r="K88" s="108"/>
      <c r="L88" s="108"/>
      <c r="M88" s="108"/>
      <c r="N88" s="108"/>
      <c r="O88" s="108"/>
      <c r="P88" s="108"/>
      <c r="Q88" s="108"/>
      <c r="R88" s="108"/>
      <c r="S88" s="108"/>
      <c r="T88" s="108"/>
      <c r="U88" s="108"/>
      <c r="V88" s="108"/>
      <c r="W88" s="108"/>
      <c r="X88" s="108"/>
      <c r="Y88" s="108"/>
      <c r="Z88" s="108"/>
    </row>
    <row r="89" ht="12.75" customHeight="1">
      <c r="A89" s="108"/>
      <c r="B89" s="108"/>
      <c r="C89" s="108"/>
      <c r="D89" s="108"/>
      <c r="E89" s="108"/>
      <c r="F89" s="63"/>
      <c r="G89" s="63"/>
      <c r="H89" s="108"/>
      <c r="I89" s="108"/>
      <c r="J89" s="108"/>
      <c r="K89" s="108"/>
      <c r="L89" s="108"/>
      <c r="M89" s="108"/>
      <c r="N89" s="108"/>
      <c r="O89" s="108"/>
      <c r="P89" s="108"/>
      <c r="Q89" s="108"/>
      <c r="R89" s="108"/>
      <c r="S89" s="108"/>
      <c r="T89" s="108"/>
      <c r="U89" s="108"/>
      <c r="V89" s="108"/>
      <c r="W89" s="108"/>
      <c r="X89" s="108"/>
      <c r="Y89" s="108"/>
      <c r="Z89" s="108"/>
    </row>
    <row r="90" ht="12.75" customHeight="1">
      <c r="A90" s="108"/>
      <c r="B90" s="108"/>
      <c r="C90" s="108"/>
      <c r="D90" s="108"/>
      <c r="E90" s="108"/>
      <c r="F90" s="63"/>
      <c r="G90" s="63"/>
      <c r="H90" s="108"/>
      <c r="I90" s="108"/>
      <c r="J90" s="108"/>
      <c r="K90" s="108"/>
      <c r="L90" s="108"/>
      <c r="M90" s="108"/>
      <c r="N90" s="108"/>
      <c r="O90" s="108"/>
      <c r="P90" s="108"/>
      <c r="Q90" s="108"/>
      <c r="R90" s="108"/>
      <c r="S90" s="108"/>
      <c r="T90" s="108"/>
      <c r="U90" s="108"/>
      <c r="V90" s="108"/>
      <c r="W90" s="108"/>
      <c r="X90" s="108"/>
      <c r="Y90" s="108"/>
      <c r="Z90" s="108"/>
    </row>
    <row r="91" ht="12.75" customHeight="1">
      <c r="A91" s="108"/>
      <c r="B91" s="108"/>
      <c r="C91" s="108"/>
      <c r="D91" s="108"/>
      <c r="E91" s="108"/>
      <c r="F91" s="63"/>
      <c r="G91" s="63"/>
      <c r="H91" s="108"/>
      <c r="I91" s="108"/>
      <c r="J91" s="108"/>
      <c r="K91" s="108"/>
      <c r="L91" s="108"/>
      <c r="M91" s="108"/>
      <c r="N91" s="108"/>
      <c r="O91" s="108"/>
      <c r="P91" s="108"/>
      <c r="Q91" s="108"/>
      <c r="R91" s="108"/>
      <c r="S91" s="108"/>
      <c r="T91" s="108"/>
      <c r="U91" s="108"/>
      <c r="V91" s="108"/>
      <c r="W91" s="108"/>
      <c r="X91" s="108"/>
      <c r="Y91" s="108"/>
      <c r="Z91" s="108"/>
    </row>
    <row r="92" ht="12.75" customHeight="1">
      <c r="A92" s="108"/>
      <c r="B92" s="108"/>
      <c r="C92" s="108"/>
      <c r="D92" s="108"/>
      <c r="E92" s="108"/>
      <c r="F92" s="63"/>
      <c r="G92" s="63"/>
      <c r="H92" s="108"/>
      <c r="I92" s="108"/>
      <c r="J92" s="108"/>
      <c r="K92" s="108"/>
      <c r="L92" s="108"/>
      <c r="M92" s="108"/>
      <c r="N92" s="108"/>
      <c r="O92" s="108"/>
      <c r="P92" s="108"/>
      <c r="Q92" s="108"/>
      <c r="R92" s="108"/>
      <c r="S92" s="108"/>
      <c r="T92" s="108"/>
      <c r="U92" s="108"/>
      <c r="V92" s="108"/>
      <c r="W92" s="108"/>
      <c r="X92" s="108"/>
      <c r="Y92" s="108"/>
      <c r="Z92" s="108"/>
    </row>
    <row r="93" ht="12.75" customHeight="1">
      <c r="A93" s="108"/>
      <c r="B93" s="108"/>
      <c r="C93" s="108"/>
      <c r="D93" s="108"/>
      <c r="E93" s="108"/>
      <c r="F93" s="63"/>
      <c r="G93" s="63"/>
      <c r="H93" s="108"/>
      <c r="I93" s="108"/>
      <c r="J93" s="108"/>
      <c r="K93" s="108"/>
      <c r="L93" s="108"/>
      <c r="M93" s="108"/>
      <c r="N93" s="108"/>
      <c r="O93" s="108"/>
      <c r="P93" s="108"/>
      <c r="Q93" s="108"/>
      <c r="R93" s="108"/>
      <c r="S93" s="108"/>
      <c r="T93" s="108"/>
      <c r="U93" s="108"/>
      <c r="V93" s="108"/>
      <c r="W93" s="108"/>
      <c r="X93" s="108"/>
      <c r="Y93" s="108"/>
      <c r="Z93" s="108"/>
    </row>
    <row r="94" ht="12.75" customHeight="1">
      <c r="A94" s="108"/>
      <c r="B94" s="108"/>
      <c r="C94" s="108"/>
      <c r="D94" s="108"/>
      <c r="E94" s="108"/>
      <c r="F94" s="63"/>
      <c r="G94" s="63"/>
      <c r="H94" s="108"/>
      <c r="I94" s="108"/>
      <c r="J94" s="108"/>
      <c r="K94" s="108"/>
      <c r="L94" s="108"/>
      <c r="M94" s="108"/>
      <c r="N94" s="108"/>
      <c r="O94" s="108"/>
      <c r="P94" s="108"/>
      <c r="Q94" s="108"/>
      <c r="R94" s="108"/>
      <c r="S94" s="108"/>
      <c r="T94" s="108"/>
      <c r="U94" s="108"/>
      <c r="V94" s="108"/>
      <c r="W94" s="108"/>
      <c r="X94" s="108"/>
      <c r="Y94" s="108"/>
      <c r="Z94" s="108"/>
    </row>
    <row r="95" ht="12.75" customHeight="1">
      <c r="A95" s="108"/>
      <c r="B95" s="108"/>
      <c r="C95" s="108"/>
      <c r="D95" s="108"/>
      <c r="E95" s="108"/>
      <c r="F95" s="63"/>
      <c r="G95" s="63"/>
      <c r="H95" s="108"/>
      <c r="I95" s="108"/>
      <c r="J95" s="108"/>
      <c r="K95" s="108"/>
      <c r="L95" s="108"/>
      <c r="M95" s="108"/>
      <c r="N95" s="108"/>
      <c r="O95" s="108"/>
      <c r="P95" s="108"/>
      <c r="Q95" s="108"/>
      <c r="R95" s="108"/>
      <c r="S95" s="108"/>
      <c r="T95" s="108"/>
      <c r="U95" s="108"/>
      <c r="V95" s="108"/>
      <c r="W95" s="108"/>
      <c r="X95" s="108"/>
      <c r="Y95" s="108"/>
      <c r="Z95" s="108"/>
    </row>
    <row r="96" ht="12.75" customHeight="1">
      <c r="A96" s="108"/>
      <c r="B96" s="108"/>
      <c r="C96" s="108"/>
      <c r="D96" s="108"/>
      <c r="E96" s="108"/>
      <c r="F96" s="63"/>
      <c r="G96" s="63"/>
      <c r="H96" s="108"/>
      <c r="I96" s="108"/>
      <c r="J96" s="108"/>
      <c r="K96" s="108"/>
      <c r="L96" s="108"/>
      <c r="M96" s="108"/>
      <c r="N96" s="108"/>
      <c r="O96" s="108"/>
      <c r="P96" s="108"/>
      <c r="Q96" s="108"/>
      <c r="R96" s="108"/>
      <c r="S96" s="108"/>
      <c r="T96" s="108"/>
      <c r="U96" s="108"/>
      <c r="V96" s="108"/>
      <c r="W96" s="108"/>
      <c r="X96" s="108"/>
      <c r="Y96" s="108"/>
      <c r="Z96" s="108"/>
    </row>
    <row r="97" ht="12.75" customHeight="1">
      <c r="A97" s="108"/>
      <c r="B97" s="108"/>
      <c r="C97" s="108"/>
      <c r="D97" s="108"/>
      <c r="E97" s="108"/>
      <c r="F97" s="63"/>
      <c r="G97" s="63"/>
      <c r="H97" s="108"/>
      <c r="I97" s="108"/>
      <c r="J97" s="108"/>
      <c r="K97" s="108"/>
      <c r="L97" s="108"/>
      <c r="M97" s="108"/>
      <c r="N97" s="108"/>
      <c r="O97" s="108"/>
      <c r="P97" s="108"/>
      <c r="Q97" s="108"/>
      <c r="R97" s="108"/>
      <c r="S97" s="108"/>
      <c r="T97" s="108"/>
      <c r="U97" s="108"/>
      <c r="V97" s="108"/>
      <c r="W97" s="108"/>
      <c r="X97" s="108"/>
      <c r="Y97" s="108"/>
      <c r="Z97" s="108"/>
    </row>
    <row r="98" ht="12.75" customHeight="1">
      <c r="A98" s="108"/>
      <c r="B98" s="108"/>
      <c r="C98" s="108"/>
      <c r="D98" s="108"/>
      <c r="E98" s="108"/>
      <c r="F98" s="63"/>
      <c r="G98" s="63"/>
      <c r="H98" s="108"/>
      <c r="I98" s="108"/>
      <c r="J98" s="108"/>
      <c r="K98" s="108"/>
      <c r="L98" s="108"/>
      <c r="M98" s="108"/>
      <c r="N98" s="108"/>
      <c r="O98" s="108"/>
      <c r="P98" s="108"/>
      <c r="Q98" s="108"/>
      <c r="R98" s="108"/>
      <c r="S98" s="108"/>
      <c r="T98" s="108"/>
      <c r="U98" s="108"/>
      <c r="V98" s="108"/>
      <c r="W98" s="108"/>
      <c r="X98" s="108"/>
      <c r="Y98" s="108"/>
      <c r="Z98" s="108"/>
    </row>
    <row r="99" ht="12.75" customHeight="1">
      <c r="A99" s="108"/>
      <c r="B99" s="108"/>
      <c r="C99" s="108"/>
      <c r="D99" s="108"/>
      <c r="E99" s="108"/>
      <c r="F99" s="63"/>
      <c r="G99" s="63"/>
      <c r="H99" s="108"/>
      <c r="I99" s="108"/>
      <c r="J99" s="108"/>
      <c r="K99" s="108"/>
      <c r="L99" s="108"/>
      <c r="M99" s="108"/>
      <c r="N99" s="108"/>
      <c r="O99" s="108"/>
      <c r="P99" s="108"/>
      <c r="Q99" s="108"/>
      <c r="R99" s="108"/>
      <c r="S99" s="108"/>
      <c r="T99" s="108"/>
      <c r="U99" s="108"/>
      <c r="V99" s="108"/>
      <c r="W99" s="108"/>
      <c r="X99" s="108"/>
      <c r="Y99" s="108"/>
      <c r="Z99" s="108"/>
    </row>
    <row r="100" ht="12.75" customHeight="1">
      <c r="A100" s="108"/>
      <c r="B100" s="108"/>
      <c r="C100" s="108"/>
      <c r="D100" s="108"/>
      <c r="E100" s="108"/>
      <c r="F100" s="63"/>
      <c r="G100" s="63"/>
      <c r="H100" s="108"/>
      <c r="I100" s="108"/>
      <c r="J100" s="108"/>
      <c r="K100" s="108"/>
      <c r="L100" s="108"/>
      <c r="M100" s="108"/>
      <c r="N100" s="108"/>
      <c r="O100" s="108"/>
      <c r="P100" s="108"/>
      <c r="Q100" s="108"/>
      <c r="R100" s="108"/>
      <c r="S100" s="108"/>
      <c r="T100" s="108"/>
      <c r="U100" s="108"/>
      <c r="V100" s="108"/>
      <c r="W100" s="108"/>
      <c r="X100" s="108"/>
      <c r="Y100" s="108"/>
      <c r="Z100" s="108"/>
    </row>
    <row r="101" ht="12.75" customHeight="1">
      <c r="A101" s="108"/>
      <c r="B101" s="108"/>
      <c r="C101" s="108"/>
      <c r="D101" s="108"/>
      <c r="E101" s="108"/>
      <c r="F101" s="63"/>
      <c r="G101" s="63"/>
      <c r="H101" s="108"/>
      <c r="I101" s="108"/>
      <c r="J101" s="108"/>
      <c r="K101" s="108"/>
      <c r="L101" s="108"/>
      <c r="M101" s="108"/>
      <c r="N101" s="108"/>
      <c r="O101" s="108"/>
      <c r="P101" s="108"/>
      <c r="Q101" s="108"/>
      <c r="R101" s="108"/>
      <c r="S101" s="108"/>
      <c r="T101" s="108"/>
      <c r="U101" s="108"/>
      <c r="V101" s="108"/>
      <c r="W101" s="108"/>
      <c r="X101" s="108"/>
      <c r="Y101" s="108"/>
      <c r="Z101" s="108"/>
    </row>
    <row r="102" ht="12.75" customHeight="1">
      <c r="A102" s="108"/>
      <c r="B102" s="108"/>
      <c r="C102" s="108"/>
      <c r="D102" s="108"/>
      <c r="E102" s="108"/>
      <c r="F102" s="63"/>
      <c r="G102" s="63"/>
      <c r="H102" s="108"/>
      <c r="I102" s="108"/>
      <c r="J102" s="108"/>
      <c r="K102" s="108"/>
      <c r="L102" s="108"/>
      <c r="M102" s="108"/>
      <c r="N102" s="108"/>
      <c r="O102" s="108"/>
      <c r="P102" s="108"/>
      <c r="Q102" s="108"/>
      <c r="R102" s="108"/>
      <c r="S102" s="108"/>
      <c r="T102" s="108"/>
      <c r="U102" s="108"/>
      <c r="V102" s="108"/>
      <c r="W102" s="108"/>
      <c r="X102" s="108"/>
      <c r="Y102" s="108"/>
      <c r="Z102" s="108"/>
    </row>
    <row r="103" ht="12.75" customHeight="1">
      <c r="A103" s="108"/>
      <c r="B103" s="108"/>
      <c r="C103" s="108"/>
      <c r="D103" s="108"/>
      <c r="E103" s="108"/>
      <c r="F103" s="63"/>
      <c r="G103" s="63"/>
      <c r="H103" s="108"/>
      <c r="I103" s="108"/>
      <c r="J103" s="108"/>
      <c r="K103" s="108"/>
      <c r="L103" s="108"/>
      <c r="M103" s="108"/>
      <c r="N103" s="108"/>
      <c r="O103" s="108"/>
      <c r="P103" s="108"/>
      <c r="Q103" s="108"/>
      <c r="R103" s="108"/>
      <c r="S103" s="108"/>
      <c r="T103" s="108"/>
      <c r="U103" s="108"/>
      <c r="V103" s="108"/>
      <c r="W103" s="108"/>
      <c r="X103" s="108"/>
      <c r="Y103" s="108"/>
      <c r="Z103" s="108"/>
    </row>
    <row r="104" ht="12.75" customHeight="1">
      <c r="A104" s="108"/>
      <c r="B104" s="108"/>
      <c r="C104" s="108"/>
      <c r="D104" s="108"/>
      <c r="E104" s="108"/>
      <c r="F104" s="63"/>
      <c r="G104" s="63"/>
      <c r="H104" s="108"/>
      <c r="I104" s="108"/>
      <c r="J104" s="108"/>
      <c r="K104" s="108"/>
      <c r="L104" s="108"/>
      <c r="M104" s="108"/>
      <c r="N104" s="108"/>
      <c r="O104" s="108"/>
      <c r="P104" s="108"/>
      <c r="Q104" s="108"/>
      <c r="R104" s="108"/>
      <c r="S104" s="108"/>
      <c r="T104" s="108"/>
      <c r="U104" s="108"/>
      <c r="V104" s="108"/>
      <c r="W104" s="108"/>
      <c r="X104" s="108"/>
      <c r="Y104" s="108"/>
      <c r="Z104" s="108"/>
    </row>
    <row r="105" ht="12.75" customHeight="1">
      <c r="A105" s="108"/>
      <c r="B105" s="108"/>
      <c r="C105" s="108"/>
      <c r="D105" s="108"/>
      <c r="E105" s="108"/>
      <c r="F105" s="63"/>
      <c r="G105" s="63"/>
      <c r="H105" s="108"/>
      <c r="I105" s="108"/>
      <c r="J105" s="108"/>
      <c r="K105" s="108"/>
      <c r="L105" s="108"/>
      <c r="M105" s="108"/>
      <c r="N105" s="108"/>
      <c r="O105" s="108"/>
      <c r="P105" s="108"/>
      <c r="Q105" s="108"/>
      <c r="R105" s="108"/>
      <c r="S105" s="108"/>
      <c r="T105" s="108"/>
      <c r="U105" s="108"/>
      <c r="V105" s="108"/>
      <c r="W105" s="108"/>
      <c r="X105" s="108"/>
      <c r="Y105" s="108"/>
      <c r="Z105" s="108"/>
    </row>
    <row r="106" ht="12.75" customHeight="1">
      <c r="A106" s="108"/>
      <c r="B106" s="108"/>
      <c r="C106" s="108"/>
      <c r="D106" s="108"/>
      <c r="E106" s="108"/>
      <c r="F106" s="63"/>
      <c r="G106" s="63"/>
      <c r="H106" s="108"/>
      <c r="I106" s="108"/>
      <c r="J106" s="108"/>
      <c r="K106" s="108"/>
      <c r="L106" s="108"/>
      <c r="M106" s="108"/>
      <c r="N106" s="108"/>
      <c r="O106" s="108"/>
      <c r="P106" s="108"/>
      <c r="Q106" s="108"/>
      <c r="R106" s="108"/>
      <c r="S106" s="108"/>
      <c r="T106" s="108"/>
      <c r="U106" s="108"/>
      <c r="V106" s="108"/>
      <c r="W106" s="108"/>
      <c r="X106" s="108"/>
      <c r="Y106" s="108"/>
      <c r="Z106" s="108"/>
    </row>
    <row r="107" ht="12.75" customHeight="1">
      <c r="A107" s="108"/>
      <c r="B107" s="108"/>
      <c r="C107" s="108"/>
      <c r="D107" s="108"/>
      <c r="E107" s="108"/>
      <c r="F107" s="63"/>
      <c r="G107" s="63"/>
      <c r="H107" s="108"/>
      <c r="I107" s="108"/>
      <c r="J107" s="108"/>
      <c r="K107" s="108"/>
      <c r="L107" s="108"/>
      <c r="M107" s="108"/>
      <c r="N107" s="108"/>
      <c r="O107" s="108"/>
      <c r="P107" s="108"/>
      <c r="Q107" s="108"/>
      <c r="R107" s="108"/>
      <c r="S107" s="108"/>
      <c r="T107" s="108"/>
      <c r="U107" s="108"/>
      <c r="V107" s="108"/>
      <c r="W107" s="108"/>
      <c r="X107" s="108"/>
      <c r="Y107" s="108"/>
      <c r="Z107" s="108"/>
    </row>
    <row r="108" ht="12.75" customHeight="1">
      <c r="A108" s="108"/>
      <c r="B108" s="108"/>
      <c r="C108" s="108"/>
      <c r="D108" s="108"/>
      <c r="E108" s="108"/>
      <c r="F108" s="63"/>
      <c r="G108" s="63"/>
      <c r="H108" s="108"/>
      <c r="I108" s="108"/>
      <c r="J108" s="108"/>
      <c r="K108" s="108"/>
      <c r="L108" s="108"/>
      <c r="M108" s="108"/>
      <c r="N108" s="108"/>
      <c r="O108" s="108"/>
      <c r="P108" s="108"/>
      <c r="Q108" s="108"/>
      <c r="R108" s="108"/>
      <c r="S108" s="108"/>
      <c r="T108" s="108"/>
      <c r="U108" s="108"/>
      <c r="V108" s="108"/>
      <c r="W108" s="108"/>
      <c r="X108" s="108"/>
      <c r="Y108" s="108"/>
      <c r="Z108" s="108"/>
    </row>
    <row r="109" ht="12.75" customHeight="1">
      <c r="A109" s="108"/>
      <c r="B109" s="108"/>
      <c r="C109" s="108"/>
      <c r="D109" s="108"/>
      <c r="E109" s="108"/>
      <c r="F109" s="63"/>
      <c r="G109" s="63"/>
      <c r="H109" s="108"/>
      <c r="I109" s="108"/>
      <c r="J109" s="108"/>
      <c r="K109" s="108"/>
      <c r="L109" s="108"/>
      <c r="M109" s="108"/>
      <c r="N109" s="108"/>
      <c r="O109" s="108"/>
      <c r="P109" s="108"/>
      <c r="Q109" s="108"/>
      <c r="R109" s="108"/>
      <c r="S109" s="108"/>
      <c r="T109" s="108"/>
      <c r="U109" s="108"/>
      <c r="V109" s="108"/>
      <c r="W109" s="108"/>
      <c r="X109" s="108"/>
      <c r="Y109" s="108"/>
      <c r="Z109" s="108"/>
    </row>
    <row r="110" ht="12.75" customHeight="1">
      <c r="A110" s="108"/>
      <c r="B110" s="108"/>
      <c r="C110" s="108"/>
      <c r="D110" s="108"/>
      <c r="E110" s="108"/>
      <c r="F110" s="63"/>
      <c r="G110" s="63"/>
      <c r="H110" s="108"/>
      <c r="I110" s="108"/>
      <c r="J110" s="108"/>
      <c r="K110" s="108"/>
      <c r="L110" s="108"/>
      <c r="M110" s="108"/>
      <c r="N110" s="108"/>
      <c r="O110" s="108"/>
      <c r="P110" s="108"/>
      <c r="Q110" s="108"/>
      <c r="R110" s="108"/>
      <c r="S110" s="108"/>
      <c r="T110" s="108"/>
      <c r="U110" s="108"/>
      <c r="V110" s="108"/>
      <c r="W110" s="108"/>
      <c r="X110" s="108"/>
      <c r="Y110" s="108"/>
      <c r="Z110" s="108"/>
    </row>
    <row r="111" ht="12.75" customHeight="1">
      <c r="A111" s="108"/>
      <c r="B111" s="108"/>
      <c r="C111" s="108"/>
      <c r="D111" s="108"/>
      <c r="E111" s="108"/>
      <c r="F111" s="63"/>
      <c r="G111" s="63"/>
      <c r="H111" s="108"/>
      <c r="I111" s="108"/>
      <c r="J111" s="108"/>
      <c r="K111" s="108"/>
      <c r="L111" s="108"/>
      <c r="M111" s="108"/>
      <c r="N111" s="108"/>
      <c r="O111" s="108"/>
      <c r="P111" s="108"/>
      <c r="Q111" s="108"/>
      <c r="R111" s="108"/>
      <c r="S111" s="108"/>
      <c r="T111" s="108"/>
      <c r="U111" s="108"/>
      <c r="V111" s="108"/>
      <c r="W111" s="108"/>
      <c r="X111" s="108"/>
      <c r="Y111" s="108"/>
      <c r="Z111" s="108"/>
    </row>
    <row r="112" ht="12.75" customHeight="1">
      <c r="A112" s="108"/>
      <c r="B112" s="108"/>
      <c r="C112" s="108"/>
      <c r="D112" s="108"/>
      <c r="E112" s="108"/>
      <c r="F112" s="63"/>
      <c r="G112" s="63"/>
      <c r="H112" s="108"/>
      <c r="I112" s="108"/>
      <c r="J112" s="108"/>
      <c r="K112" s="108"/>
      <c r="L112" s="108"/>
      <c r="M112" s="108"/>
      <c r="N112" s="108"/>
      <c r="O112" s="108"/>
      <c r="P112" s="108"/>
      <c r="Q112" s="108"/>
      <c r="R112" s="108"/>
      <c r="S112" s="108"/>
      <c r="T112" s="108"/>
      <c r="U112" s="108"/>
      <c r="V112" s="108"/>
      <c r="W112" s="108"/>
      <c r="X112" s="108"/>
      <c r="Y112" s="108"/>
      <c r="Z112" s="108"/>
    </row>
    <row r="113" ht="12.75" customHeight="1">
      <c r="A113" s="108"/>
      <c r="B113" s="108"/>
      <c r="C113" s="108"/>
      <c r="D113" s="108"/>
      <c r="E113" s="108"/>
      <c r="F113" s="63"/>
      <c r="G113" s="63"/>
      <c r="H113" s="108"/>
      <c r="I113" s="108"/>
      <c r="J113" s="108"/>
      <c r="K113" s="108"/>
      <c r="L113" s="108"/>
      <c r="M113" s="108"/>
      <c r="N113" s="108"/>
      <c r="O113" s="108"/>
      <c r="P113" s="108"/>
      <c r="Q113" s="108"/>
      <c r="R113" s="108"/>
      <c r="S113" s="108"/>
      <c r="T113" s="108"/>
      <c r="U113" s="108"/>
      <c r="V113" s="108"/>
      <c r="W113" s="108"/>
      <c r="X113" s="108"/>
      <c r="Y113" s="108"/>
      <c r="Z113" s="108"/>
    </row>
    <row r="114" ht="12.75" customHeight="1">
      <c r="A114" s="108"/>
      <c r="B114" s="108"/>
      <c r="C114" s="108"/>
      <c r="D114" s="108"/>
      <c r="E114" s="108"/>
      <c r="F114" s="63"/>
      <c r="G114" s="63"/>
      <c r="H114" s="108"/>
      <c r="I114" s="108"/>
      <c r="J114" s="108"/>
      <c r="K114" s="108"/>
      <c r="L114" s="108"/>
      <c r="M114" s="108"/>
      <c r="N114" s="108"/>
      <c r="O114" s="108"/>
      <c r="P114" s="108"/>
      <c r="Q114" s="108"/>
      <c r="R114" s="108"/>
      <c r="S114" s="108"/>
      <c r="T114" s="108"/>
      <c r="U114" s="108"/>
      <c r="V114" s="108"/>
      <c r="W114" s="108"/>
      <c r="X114" s="108"/>
      <c r="Y114" s="108"/>
      <c r="Z114" s="108"/>
    </row>
    <row r="115" ht="12.75" customHeight="1">
      <c r="A115" s="108"/>
      <c r="B115" s="108"/>
      <c r="C115" s="108"/>
      <c r="D115" s="108"/>
      <c r="E115" s="108"/>
      <c r="F115" s="63"/>
      <c r="G115" s="63"/>
      <c r="H115" s="108"/>
      <c r="I115" s="108"/>
      <c r="J115" s="108"/>
      <c r="K115" s="108"/>
      <c r="L115" s="108"/>
      <c r="M115" s="108"/>
      <c r="N115" s="108"/>
      <c r="O115" s="108"/>
      <c r="P115" s="108"/>
      <c r="Q115" s="108"/>
      <c r="R115" s="108"/>
      <c r="S115" s="108"/>
      <c r="T115" s="108"/>
      <c r="U115" s="108"/>
      <c r="V115" s="108"/>
      <c r="W115" s="108"/>
      <c r="X115" s="108"/>
      <c r="Y115" s="108"/>
      <c r="Z115" s="108"/>
    </row>
    <row r="116" ht="12.75" customHeight="1">
      <c r="A116" s="108"/>
      <c r="B116" s="108"/>
      <c r="C116" s="108"/>
      <c r="D116" s="108"/>
      <c r="E116" s="108"/>
      <c r="F116" s="63"/>
      <c r="G116" s="63"/>
      <c r="H116" s="108"/>
      <c r="I116" s="108"/>
      <c r="J116" s="108"/>
      <c r="K116" s="108"/>
      <c r="L116" s="108"/>
      <c r="M116" s="108"/>
      <c r="N116" s="108"/>
      <c r="O116" s="108"/>
      <c r="P116" s="108"/>
      <c r="Q116" s="108"/>
      <c r="R116" s="108"/>
      <c r="S116" s="108"/>
      <c r="T116" s="108"/>
      <c r="U116" s="108"/>
      <c r="V116" s="108"/>
      <c r="W116" s="108"/>
      <c r="X116" s="108"/>
      <c r="Y116" s="108"/>
      <c r="Z116" s="108"/>
    </row>
    <row r="117" ht="12.75" customHeight="1">
      <c r="A117" s="108"/>
      <c r="B117" s="108"/>
      <c r="C117" s="108"/>
      <c r="D117" s="108"/>
      <c r="E117" s="108"/>
      <c r="F117" s="63"/>
      <c r="G117" s="63"/>
      <c r="H117" s="108"/>
      <c r="I117" s="108"/>
      <c r="J117" s="108"/>
      <c r="K117" s="108"/>
      <c r="L117" s="108"/>
      <c r="M117" s="108"/>
      <c r="N117" s="108"/>
      <c r="O117" s="108"/>
      <c r="P117" s="108"/>
      <c r="Q117" s="108"/>
      <c r="R117" s="108"/>
      <c r="S117" s="108"/>
      <c r="T117" s="108"/>
      <c r="U117" s="108"/>
      <c r="V117" s="108"/>
      <c r="W117" s="108"/>
      <c r="X117" s="108"/>
      <c r="Y117" s="108"/>
      <c r="Z117" s="108"/>
    </row>
    <row r="118" ht="12.75" customHeight="1">
      <c r="A118" s="108"/>
      <c r="B118" s="108"/>
      <c r="C118" s="108"/>
      <c r="D118" s="108"/>
      <c r="E118" s="108"/>
      <c r="F118" s="63"/>
      <c r="G118" s="63"/>
      <c r="H118" s="108"/>
      <c r="I118" s="108"/>
      <c r="J118" s="108"/>
      <c r="K118" s="108"/>
      <c r="L118" s="108"/>
      <c r="M118" s="108"/>
      <c r="N118" s="108"/>
      <c r="O118" s="108"/>
      <c r="P118" s="108"/>
      <c r="Q118" s="108"/>
      <c r="R118" s="108"/>
      <c r="S118" s="108"/>
      <c r="T118" s="108"/>
      <c r="U118" s="108"/>
      <c r="V118" s="108"/>
      <c r="W118" s="108"/>
      <c r="X118" s="108"/>
      <c r="Y118" s="108"/>
      <c r="Z118" s="108"/>
    </row>
    <row r="119" ht="12.75" customHeight="1">
      <c r="A119" s="108"/>
      <c r="B119" s="108"/>
      <c r="C119" s="108"/>
      <c r="D119" s="108"/>
      <c r="E119" s="108"/>
      <c r="F119" s="63"/>
      <c r="G119" s="63"/>
      <c r="H119" s="108"/>
      <c r="I119" s="108"/>
      <c r="J119" s="108"/>
      <c r="K119" s="108"/>
      <c r="L119" s="108"/>
      <c r="M119" s="108"/>
      <c r="N119" s="108"/>
      <c r="O119" s="108"/>
      <c r="P119" s="108"/>
      <c r="Q119" s="108"/>
      <c r="R119" s="108"/>
      <c r="S119" s="108"/>
      <c r="T119" s="108"/>
      <c r="U119" s="108"/>
      <c r="V119" s="108"/>
      <c r="W119" s="108"/>
      <c r="X119" s="108"/>
      <c r="Y119" s="108"/>
      <c r="Z119" s="108"/>
    </row>
    <row r="120" ht="12.75" customHeight="1">
      <c r="A120" s="108"/>
      <c r="B120" s="108"/>
      <c r="C120" s="108"/>
      <c r="D120" s="108"/>
      <c r="E120" s="108"/>
      <c r="F120" s="63"/>
      <c r="G120" s="63"/>
      <c r="H120" s="108"/>
      <c r="I120" s="108"/>
      <c r="J120" s="108"/>
      <c r="K120" s="108"/>
      <c r="L120" s="108"/>
      <c r="M120" s="108"/>
      <c r="N120" s="108"/>
      <c r="O120" s="108"/>
      <c r="P120" s="108"/>
      <c r="Q120" s="108"/>
      <c r="R120" s="108"/>
      <c r="S120" s="108"/>
      <c r="T120" s="108"/>
      <c r="U120" s="108"/>
      <c r="V120" s="108"/>
      <c r="W120" s="108"/>
      <c r="X120" s="108"/>
      <c r="Y120" s="108"/>
      <c r="Z120" s="108"/>
    </row>
    <row r="121" ht="12.75" customHeight="1">
      <c r="A121" s="108"/>
      <c r="B121" s="108"/>
      <c r="C121" s="108"/>
      <c r="D121" s="108"/>
      <c r="E121" s="108"/>
      <c r="F121" s="63"/>
      <c r="G121" s="63"/>
      <c r="H121" s="108"/>
      <c r="I121" s="108"/>
      <c r="J121" s="108"/>
      <c r="K121" s="108"/>
      <c r="L121" s="108"/>
      <c r="M121" s="108"/>
      <c r="N121" s="108"/>
      <c r="O121" s="108"/>
      <c r="P121" s="108"/>
      <c r="Q121" s="108"/>
      <c r="R121" s="108"/>
      <c r="S121" s="108"/>
      <c r="T121" s="108"/>
      <c r="U121" s="108"/>
      <c r="V121" s="108"/>
      <c r="W121" s="108"/>
      <c r="X121" s="108"/>
      <c r="Y121" s="108"/>
      <c r="Z121" s="108"/>
    </row>
    <row r="122" ht="12.75" customHeight="1">
      <c r="A122" s="108"/>
      <c r="B122" s="108"/>
      <c r="C122" s="108"/>
      <c r="D122" s="108"/>
      <c r="E122" s="108"/>
      <c r="F122" s="63"/>
      <c r="G122" s="63"/>
      <c r="H122" s="108"/>
      <c r="I122" s="108"/>
      <c r="J122" s="108"/>
      <c r="K122" s="108"/>
      <c r="L122" s="108"/>
      <c r="M122" s="108"/>
      <c r="N122" s="108"/>
      <c r="O122" s="108"/>
      <c r="P122" s="108"/>
      <c r="Q122" s="108"/>
      <c r="R122" s="108"/>
      <c r="S122" s="108"/>
      <c r="T122" s="108"/>
      <c r="U122" s="108"/>
      <c r="V122" s="108"/>
      <c r="W122" s="108"/>
      <c r="X122" s="108"/>
      <c r="Y122" s="108"/>
      <c r="Z122" s="108"/>
    </row>
    <row r="123" ht="12.75" customHeight="1">
      <c r="A123" s="108"/>
      <c r="B123" s="108"/>
      <c r="C123" s="108"/>
      <c r="D123" s="108"/>
      <c r="E123" s="108"/>
      <c r="F123" s="63"/>
      <c r="G123" s="63"/>
      <c r="H123" s="108"/>
      <c r="I123" s="108"/>
      <c r="J123" s="108"/>
      <c r="K123" s="108"/>
      <c r="L123" s="108"/>
      <c r="M123" s="108"/>
      <c r="N123" s="108"/>
      <c r="O123" s="108"/>
      <c r="P123" s="108"/>
      <c r="Q123" s="108"/>
      <c r="R123" s="108"/>
      <c r="S123" s="108"/>
      <c r="T123" s="108"/>
      <c r="U123" s="108"/>
      <c r="V123" s="108"/>
      <c r="W123" s="108"/>
      <c r="X123" s="108"/>
      <c r="Y123" s="108"/>
      <c r="Z123" s="108"/>
    </row>
    <row r="124" ht="12.75" customHeight="1">
      <c r="A124" s="108"/>
      <c r="B124" s="108"/>
      <c r="C124" s="108"/>
      <c r="D124" s="108"/>
      <c r="E124" s="108"/>
      <c r="F124" s="63"/>
      <c r="G124" s="63"/>
      <c r="H124" s="108"/>
      <c r="I124" s="108"/>
      <c r="J124" s="108"/>
      <c r="K124" s="108"/>
      <c r="L124" s="108"/>
      <c r="M124" s="108"/>
      <c r="N124" s="108"/>
      <c r="O124" s="108"/>
      <c r="P124" s="108"/>
      <c r="Q124" s="108"/>
      <c r="R124" s="108"/>
      <c r="S124" s="108"/>
      <c r="T124" s="108"/>
      <c r="U124" s="108"/>
      <c r="V124" s="108"/>
      <c r="W124" s="108"/>
      <c r="X124" s="108"/>
      <c r="Y124" s="108"/>
      <c r="Z124" s="108"/>
    </row>
    <row r="125" ht="12.75" customHeight="1">
      <c r="A125" s="108"/>
      <c r="B125" s="108"/>
      <c r="C125" s="108"/>
      <c r="D125" s="108"/>
      <c r="E125" s="108"/>
      <c r="F125" s="63"/>
      <c r="G125" s="63"/>
      <c r="H125" s="108"/>
      <c r="I125" s="108"/>
      <c r="J125" s="108"/>
      <c r="K125" s="108"/>
      <c r="L125" s="108"/>
      <c r="M125" s="108"/>
      <c r="N125" s="108"/>
      <c r="O125" s="108"/>
      <c r="P125" s="108"/>
      <c r="Q125" s="108"/>
      <c r="R125" s="108"/>
      <c r="S125" s="108"/>
      <c r="T125" s="108"/>
      <c r="U125" s="108"/>
      <c r="V125" s="108"/>
      <c r="W125" s="108"/>
      <c r="X125" s="108"/>
      <c r="Y125" s="108"/>
      <c r="Z125" s="108"/>
    </row>
    <row r="126" ht="12.75" customHeight="1">
      <c r="A126" s="108"/>
      <c r="B126" s="108"/>
      <c r="C126" s="108"/>
      <c r="D126" s="108"/>
      <c r="E126" s="108"/>
      <c r="F126" s="63"/>
      <c r="G126" s="63"/>
      <c r="H126" s="108"/>
      <c r="I126" s="108"/>
      <c r="J126" s="108"/>
      <c r="K126" s="108"/>
      <c r="L126" s="108"/>
      <c r="M126" s="108"/>
      <c r="N126" s="108"/>
      <c r="O126" s="108"/>
      <c r="P126" s="108"/>
      <c r="Q126" s="108"/>
      <c r="R126" s="108"/>
      <c r="S126" s="108"/>
      <c r="T126" s="108"/>
      <c r="U126" s="108"/>
      <c r="V126" s="108"/>
      <c r="W126" s="108"/>
      <c r="X126" s="108"/>
      <c r="Y126" s="108"/>
      <c r="Z126" s="108"/>
    </row>
    <row r="127" ht="12.75" customHeight="1">
      <c r="A127" s="108"/>
      <c r="B127" s="108"/>
      <c r="C127" s="108"/>
      <c r="D127" s="108"/>
      <c r="E127" s="108"/>
      <c r="F127" s="63"/>
      <c r="G127" s="63"/>
      <c r="H127" s="108"/>
      <c r="I127" s="108"/>
      <c r="J127" s="108"/>
      <c r="K127" s="108"/>
      <c r="L127" s="108"/>
      <c r="M127" s="108"/>
      <c r="N127" s="108"/>
      <c r="O127" s="108"/>
      <c r="P127" s="108"/>
      <c r="Q127" s="108"/>
      <c r="R127" s="108"/>
      <c r="S127" s="108"/>
      <c r="T127" s="108"/>
      <c r="U127" s="108"/>
      <c r="V127" s="108"/>
      <c r="W127" s="108"/>
      <c r="X127" s="108"/>
      <c r="Y127" s="108"/>
      <c r="Z127" s="108"/>
    </row>
    <row r="128" ht="12.75" customHeight="1">
      <c r="A128" s="108"/>
      <c r="B128" s="108"/>
      <c r="C128" s="108"/>
      <c r="D128" s="108"/>
      <c r="E128" s="108"/>
      <c r="F128" s="63"/>
      <c r="G128" s="63"/>
      <c r="H128" s="108"/>
      <c r="I128" s="108"/>
      <c r="J128" s="108"/>
      <c r="K128" s="108"/>
      <c r="L128" s="108"/>
      <c r="M128" s="108"/>
      <c r="N128" s="108"/>
      <c r="O128" s="108"/>
      <c r="P128" s="108"/>
      <c r="Q128" s="108"/>
      <c r="R128" s="108"/>
      <c r="S128" s="108"/>
      <c r="T128" s="108"/>
      <c r="U128" s="108"/>
      <c r="V128" s="108"/>
      <c r="W128" s="108"/>
      <c r="X128" s="108"/>
      <c r="Y128" s="108"/>
      <c r="Z128" s="108"/>
    </row>
    <row r="129" ht="12.75" customHeight="1">
      <c r="A129" s="108"/>
      <c r="B129" s="108"/>
      <c r="C129" s="108"/>
      <c r="D129" s="108"/>
      <c r="E129" s="108"/>
      <c r="F129" s="63"/>
      <c r="G129" s="63"/>
      <c r="H129" s="108"/>
      <c r="I129" s="108"/>
      <c r="J129" s="108"/>
      <c r="K129" s="108"/>
      <c r="L129" s="108"/>
      <c r="M129" s="108"/>
      <c r="N129" s="108"/>
      <c r="O129" s="108"/>
      <c r="P129" s="108"/>
      <c r="Q129" s="108"/>
      <c r="R129" s="108"/>
      <c r="S129" s="108"/>
      <c r="T129" s="108"/>
      <c r="U129" s="108"/>
      <c r="V129" s="108"/>
      <c r="W129" s="108"/>
      <c r="X129" s="108"/>
      <c r="Y129" s="108"/>
      <c r="Z129" s="108"/>
    </row>
    <row r="130" ht="12.75" customHeight="1">
      <c r="A130" s="108"/>
      <c r="B130" s="108"/>
      <c r="C130" s="108"/>
      <c r="D130" s="108"/>
      <c r="E130" s="108"/>
      <c r="F130" s="63"/>
      <c r="G130" s="63"/>
      <c r="H130" s="108"/>
      <c r="I130" s="108"/>
      <c r="J130" s="108"/>
      <c r="K130" s="108"/>
      <c r="L130" s="108"/>
      <c r="M130" s="108"/>
      <c r="N130" s="108"/>
      <c r="O130" s="108"/>
      <c r="P130" s="108"/>
      <c r="Q130" s="108"/>
      <c r="R130" s="108"/>
      <c r="S130" s="108"/>
      <c r="T130" s="108"/>
      <c r="U130" s="108"/>
      <c r="V130" s="108"/>
      <c r="W130" s="108"/>
      <c r="X130" s="108"/>
      <c r="Y130" s="108"/>
      <c r="Z130" s="108"/>
    </row>
    <row r="131" ht="12.75" customHeight="1">
      <c r="A131" s="108"/>
      <c r="B131" s="108"/>
      <c r="C131" s="108"/>
      <c r="D131" s="108"/>
      <c r="E131" s="108"/>
      <c r="F131" s="63"/>
      <c r="G131" s="63"/>
      <c r="H131" s="108"/>
      <c r="I131" s="108"/>
      <c r="J131" s="108"/>
      <c r="K131" s="108"/>
      <c r="L131" s="108"/>
      <c r="M131" s="108"/>
      <c r="N131" s="108"/>
      <c r="O131" s="108"/>
      <c r="P131" s="108"/>
      <c r="Q131" s="108"/>
      <c r="R131" s="108"/>
      <c r="S131" s="108"/>
      <c r="T131" s="108"/>
      <c r="U131" s="108"/>
      <c r="V131" s="108"/>
      <c r="W131" s="108"/>
      <c r="X131" s="108"/>
      <c r="Y131" s="108"/>
      <c r="Z131" s="108"/>
    </row>
    <row r="132" ht="12.75" customHeight="1">
      <c r="A132" s="108"/>
      <c r="B132" s="108"/>
      <c r="C132" s="108"/>
      <c r="D132" s="108"/>
      <c r="E132" s="108"/>
      <c r="F132" s="63"/>
      <c r="G132" s="63"/>
      <c r="H132" s="108"/>
      <c r="I132" s="108"/>
      <c r="J132" s="108"/>
      <c r="K132" s="108"/>
      <c r="L132" s="108"/>
      <c r="M132" s="108"/>
      <c r="N132" s="108"/>
      <c r="O132" s="108"/>
      <c r="P132" s="108"/>
      <c r="Q132" s="108"/>
      <c r="R132" s="108"/>
      <c r="S132" s="108"/>
      <c r="T132" s="108"/>
      <c r="U132" s="108"/>
      <c r="V132" s="108"/>
      <c r="W132" s="108"/>
      <c r="X132" s="108"/>
      <c r="Y132" s="108"/>
      <c r="Z132" s="108"/>
    </row>
    <row r="133" ht="12.75" customHeight="1">
      <c r="A133" s="108"/>
      <c r="B133" s="108"/>
      <c r="C133" s="108"/>
      <c r="D133" s="108"/>
      <c r="E133" s="108"/>
      <c r="F133" s="63"/>
      <c r="G133" s="63"/>
      <c r="H133" s="108"/>
      <c r="I133" s="108"/>
      <c r="J133" s="108"/>
      <c r="K133" s="108"/>
      <c r="L133" s="108"/>
      <c r="M133" s="108"/>
      <c r="N133" s="108"/>
      <c r="O133" s="108"/>
      <c r="P133" s="108"/>
      <c r="Q133" s="108"/>
      <c r="R133" s="108"/>
      <c r="S133" s="108"/>
      <c r="T133" s="108"/>
      <c r="U133" s="108"/>
      <c r="V133" s="108"/>
      <c r="W133" s="108"/>
      <c r="X133" s="108"/>
      <c r="Y133" s="108"/>
      <c r="Z133" s="108"/>
    </row>
    <row r="134" ht="12.75" customHeight="1">
      <c r="A134" s="108"/>
      <c r="B134" s="108"/>
      <c r="C134" s="108"/>
      <c r="D134" s="108"/>
      <c r="E134" s="108"/>
      <c r="F134" s="63"/>
      <c r="G134" s="63"/>
      <c r="H134" s="108"/>
      <c r="I134" s="108"/>
      <c r="J134" s="108"/>
      <c r="K134" s="108"/>
      <c r="L134" s="108"/>
      <c r="M134" s="108"/>
      <c r="N134" s="108"/>
      <c r="O134" s="108"/>
      <c r="P134" s="108"/>
      <c r="Q134" s="108"/>
      <c r="R134" s="108"/>
      <c r="S134" s="108"/>
      <c r="T134" s="108"/>
      <c r="U134" s="108"/>
      <c r="V134" s="108"/>
      <c r="W134" s="108"/>
      <c r="X134" s="108"/>
      <c r="Y134" s="108"/>
      <c r="Z134" s="108"/>
    </row>
    <row r="135" ht="12.75" customHeight="1">
      <c r="A135" s="108"/>
      <c r="B135" s="108"/>
      <c r="C135" s="108"/>
      <c r="D135" s="108"/>
      <c r="E135" s="108"/>
      <c r="F135" s="63"/>
      <c r="G135" s="63"/>
      <c r="H135" s="108"/>
      <c r="I135" s="108"/>
      <c r="J135" s="108"/>
      <c r="K135" s="108"/>
      <c r="L135" s="108"/>
      <c r="M135" s="108"/>
      <c r="N135" s="108"/>
      <c r="O135" s="108"/>
      <c r="P135" s="108"/>
      <c r="Q135" s="108"/>
      <c r="R135" s="108"/>
      <c r="S135" s="108"/>
      <c r="T135" s="108"/>
      <c r="U135" s="108"/>
      <c r="V135" s="108"/>
      <c r="W135" s="108"/>
      <c r="X135" s="108"/>
      <c r="Y135" s="108"/>
      <c r="Z135" s="108"/>
    </row>
    <row r="136" ht="12.75" customHeight="1">
      <c r="A136" s="108"/>
      <c r="B136" s="108"/>
      <c r="C136" s="108"/>
      <c r="D136" s="108"/>
      <c r="E136" s="108"/>
      <c r="F136" s="63"/>
      <c r="G136" s="63"/>
      <c r="H136" s="108"/>
      <c r="I136" s="108"/>
      <c r="J136" s="108"/>
      <c r="K136" s="108"/>
      <c r="L136" s="108"/>
      <c r="M136" s="108"/>
      <c r="N136" s="108"/>
      <c r="O136" s="108"/>
      <c r="P136" s="108"/>
      <c r="Q136" s="108"/>
      <c r="R136" s="108"/>
      <c r="S136" s="108"/>
      <c r="T136" s="108"/>
      <c r="U136" s="108"/>
      <c r="V136" s="108"/>
      <c r="W136" s="108"/>
      <c r="X136" s="108"/>
      <c r="Y136" s="108"/>
      <c r="Z136" s="108"/>
    </row>
    <row r="137" ht="12.75" customHeight="1">
      <c r="A137" s="108"/>
      <c r="B137" s="108"/>
      <c r="C137" s="108"/>
      <c r="D137" s="108"/>
      <c r="E137" s="108"/>
      <c r="F137" s="63"/>
      <c r="G137" s="63"/>
      <c r="H137" s="108"/>
      <c r="I137" s="108"/>
      <c r="J137" s="108"/>
      <c r="K137" s="108"/>
      <c r="L137" s="108"/>
      <c r="M137" s="108"/>
      <c r="N137" s="108"/>
      <c r="O137" s="108"/>
      <c r="P137" s="108"/>
      <c r="Q137" s="108"/>
      <c r="R137" s="108"/>
      <c r="S137" s="108"/>
      <c r="T137" s="108"/>
      <c r="U137" s="108"/>
      <c r="V137" s="108"/>
      <c r="W137" s="108"/>
      <c r="X137" s="108"/>
      <c r="Y137" s="108"/>
      <c r="Z137" s="108"/>
    </row>
    <row r="138" ht="12.75" customHeight="1">
      <c r="A138" s="108"/>
      <c r="B138" s="108"/>
      <c r="C138" s="108"/>
      <c r="D138" s="108"/>
      <c r="E138" s="108"/>
      <c r="F138" s="63"/>
      <c r="G138" s="63"/>
      <c r="H138" s="108"/>
      <c r="I138" s="108"/>
      <c r="J138" s="108"/>
      <c r="K138" s="108"/>
      <c r="L138" s="108"/>
      <c r="M138" s="108"/>
      <c r="N138" s="108"/>
      <c r="O138" s="108"/>
      <c r="P138" s="108"/>
      <c r="Q138" s="108"/>
      <c r="R138" s="108"/>
      <c r="S138" s="108"/>
      <c r="T138" s="108"/>
      <c r="U138" s="108"/>
      <c r="V138" s="108"/>
      <c r="W138" s="108"/>
      <c r="X138" s="108"/>
      <c r="Y138" s="108"/>
      <c r="Z138" s="108"/>
    </row>
    <row r="139" ht="12.75" customHeight="1">
      <c r="A139" s="108"/>
      <c r="B139" s="108"/>
      <c r="C139" s="108"/>
      <c r="D139" s="108"/>
      <c r="E139" s="108"/>
      <c r="F139" s="63"/>
      <c r="G139" s="63"/>
      <c r="H139" s="108"/>
      <c r="I139" s="108"/>
      <c r="J139" s="108"/>
      <c r="K139" s="108"/>
      <c r="L139" s="108"/>
      <c r="M139" s="108"/>
      <c r="N139" s="108"/>
      <c r="O139" s="108"/>
      <c r="P139" s="108"/>
      <c r="Q139" s="108"/>
      <c r="R139" s="108"/>
      <c r="S139" s="108"/>
      <c r="T139" s="108"/>
      <c r="U139" s="108"/>
      <c r="V139" s="108"/>
      <c r="W139" s="108"/>
      <c r="X139" s="108"/>
      <c r="Y139" s="108"/>
      <c r="Z139" s="108"/>
    </row>
    <row r="140" ht="12.75" customHeight="1">
      <c r="A140" s="108"/>
      <c r="B140" s="108"/>
      <c r="C140" s="108"/>
      <c r="D140" s="108"/>
      <c r="E140" s="108"/>
      <c r="F140" s="63"/>
      <c r="G140" s="63"/>
      <c r="H140" s="108"/>
      <c r="I140" s="108"/>
      <c r="J140" s="108"/>
      <c r="K140" s="108"/>
      <c r="L140" s="108"/>
      <c r="M140" s="108"/>
      <c r="N140" s="108"/>
      <c r="O140" s="108"/>
      <c r="P140" s="108"/>
      <c r="Q140" s="108"/>
      <c r="R140" s="108"/>
      <c r="S140" s="108"/>
      <c r="T140" s="108"/>
      <c r="U140" s="108"/>
      <c r="V140" s="108"/>
      <c r="W140" s="108"/>
      <c r="X140" s="108"/>
      <c r="Y140" s="108"/>
      <c r="Z140" s="108"/>
    </row>
    <row r="141" ht="12.75" customHeight="1">
      <c r="A141" s="108"/>
      <c r="B141" s="108"/>
      <c r="C141" s="108"/>
      <c r="D141" s="108"/>
      <c r="E141" s="108"/>
      <c r="F141" s="63"/>
      <c r="G141" s="63"/>
      <c r="H141" s="108"/>
      <c r="I141" s="108"/>
      <c r="J141" s="108"/>
      <c r="K141" s="108"/>
      <c r="L141" s="108"/>
      <c r="M141" s="108"/>
      <c r="N141" s="108"/>
      <c r="O141" s="108"/>
      <c r="P141" s="108"/>
      <c r="Q141" s="108"/>
      <c r="R141" s="108"/>
      <c r="S141" s="108"/>
      <c r="T141" s="108"/>
      <c r="U141" s="108"/>
      <c r="V141" s="108"/>
      <c r="W141" s="108"/>
      <c r="X141" s="108"/>
      <c r="Y141" s="108"/>
      <c r="Z141" s="108"/>
    </row>
    <row r="142" ht="12.75" customHeight="1">
      <c r="A142" s="108"/>
      <c r="B142" s="108"/>
      <c r="C142" s="108"/>
      <c r="D142" s="108"/>
      <c r="E142" s="108"/>
      <c r="F142" s="63"/>
      <c r="G142" s="63"/>
      <c r="H142" s="108"/>
      <c r="I142" s="108"/>
      <c r="J142" s="108"/>
      <c r="K142" s="108"/>
      <c r="L142" s="108"/>
      <c r="M142" s="108"/>
      <c r="N142" s="108"/>
      <c r="O142" s="108"/>
      <c r="P142" s="108"/>
      <c r="Q142" s="108"/>
      <c r="R142" s="108"/>
      <c r="S142" s="108"/>
      <c r="T142" s="108"/>
      <c r="U142" s="108"/>
      <c r="V142" s="108"/>
      <c r="W142" s="108"/>
      <c r="X142" s="108"/>
      <c r="Y142" s="108"/>
      <c r="Z142" s="108"/>
    </row>
    <row r="143" ht="12.75" customHeight="1">
      <c r="A143" s="108"/>
      <c r="B143" s="108"/>
      <c r="C143" s="108"/>
      <c r="D143" s="108"/>
      <c r="E143" s="108"/>
      <c r="F143" s="63"/>
      <c r="G143" s="63"/>
      <c r="H143" s="108"/>
      <c r="I143" s="108"/>
      <c r="J143" s="108"/>
      <c r="K143" s="108"/>
      <c r="L143" s="108"/>
      <c r="M143" s="108"/>
      <c r="N143" s="108"/>
      <c r="O143" s="108"/>
      <c r="P143" s="108"/>
      <c r="Q143" s="108"/>
      <c r="R143" s="108"/>
      <c r="S143" s="108"/>
      <c r="T143" s="108"/>
      <c r="U143" s="108"/>
      <c r="V143" s="108"/>
      <c r="W143" s="108"/>
      <c r="X143" s="108"/>
      <c r="Y143" s="108"/>
      <c r="Z143" s="108"/>
    </row>
    <row r="144" ht="12.75" customHeight="1">
      <c r="A144" s="108"/>
      <c r="B144" s="108"/>
      <c r="C144" s="108"/>
      <c r="D144" s="108"/>
      <c r="E144" s="108"/>
      <c r="F144" s="63"/>
      <c r="G144" s="63"/>
      <c r="H144" s="108"/>
      <c r="I144" s="108"/>
      <c r="J144" s="108"/>
      <c r="K144" s="108"/>
      <c r="L144" s="108"/>
      <c r="M144" s="108"/>
      <c r="N144" s="108"/>
      <c r="O144" s="108"/>
      <c r="P144" s="108"/>
      <c r="Q144" s="108"/>
      <c r="R144" s="108"/>
      <c r="S144" s="108"/>
      <c r="T144" s="108"/>
      <c r="U144" s="108"/>
      <c r="V144" s="108"/>
      <c r="W144" s="108"/>
      <c r="X144" s="108"/>
      <c r="Y144" s="108"/>
      <c r="Z144" s="108"/>
    </row>
    <row r="145" ht="12.75" customHeight="1">
      <c r="A145" s="108"/>
      <c r="B145" s="108"/>
      <c r="C145" s="108"/>
      <c r="D145" s="108"/>
      <c r="E145" s="108"/>
      <c r="F145" s="63"/>
      <c r="G145" s="63"/>
      <c r="H145" s="108"/>
      <c r="I145" s="108"/>
      <c r="J145" s="108"/>
      <c r="K145" s="108"/>
      <c r="L145" s="108"/>
      <c r="M145" s="108"/>
      <c r="N145" s="108"/>
      <c r="O145" s="108"/>
      <c r="P145" s="108"/>
      <c r="Q145" s="108"/>
      <c r="R145" s="108"/>
      <c r="S145" s="108"/>
      <c r="T145" s="108"/>
      <c r="U145" s="108"/>
      <c r="V145" s="108"/>
      <c r="W145" s="108"/>
      <c r="X145" s="108"/>
      <c r="Y145" s="108"/>
      <c r="Z145" s="108"/>
    </row>
    <row r="146" ht="12.75" customHeight="1">
      <c r="A146" s="108"/>
      <c r="B146" s="108"/>
      <c r="C146" s="108"/>
      <c r="D146" s="108"/>
      <c r="E146" s="108"/>
      <c r="F146" s="63"/>
      <c r="G146" s="63"/>
      <c r="H146" s="108"/>
      <c r="I146" s="108"/>
      <c r="J146" s="108"/>
      <c r="K146" s="108"/>
      <c r="L146" s="108"/>
      <c r="M146" s="108"/>
      <c r="N146" s="108"/>
      <c r="O146" s="108"/>
      <c r="P146" s="108"/>
      <c r="Q146" s="108"/>
      <c r="R146" s="108"/>
      <c r="S146" s="108"/>
      <c r="T146" s="108"/>
      <c r="U146" s="108"/>
      <c r="V146" s="108"/>
      <c r="W146" s="108"/>
      <c r="X146" s="108"/>
      <c r="Y146" s="108"/>
      <c r="Z146" s="108"/>
    </row>
    <row r="147" ht="12.75" customHeight="1">
      <c r="A147" s="108"/>
      <c r="B147" s="108"/>
      <c r="C147" s="108"/>
      <c r="D147" s="108"/>
      <c r="E147" s="108"/>
      <c r="F147" s="63"/>
      <c r="G147" s="63"/>
      <c r="H147" s="108"/>
      <c r="I147" s="108"/>
      <c r="J147" s="108"/>
      <c r="K147" s="108"/>
      <c r="L147" s="108"/>
      <c r="M147" s="108"/>
      <c r="N147" s="108"/>
      <c r="O147" s="108"/>
      <c r="P147" s="108"/>
      <c r="Q147" s="108"/>
      <c r="R147" s="108"/>
      <c r="S147" s="108"/>
      <c r="T147" s="108"/>
      <c r="U147" s="108"/>
      <c r="V147" s="108"/>
      <c r="W147" s="108"/>
      <c r="X147" s="108"/>
      <c r="Y147" s="108"/>
      <c r="Z147" s="108"/>
    </row>
    <row r="148" ht="12.75" customHeight="1">
      <c r="A148" s="108"/>
      <c r="B148" s="108"/>
      <c r="C148" s="108"/>
      <c r="D148" s="108"/>
      <c r="E148" s="108"/>
      <c r="F148" s="63"/>
      <c r="G148" s="63"/>
      <c r="H148" s="108"/>
      <c r="I148" s="108"/>
      <c r="J148" s="108"/>
      <c r="K148" s="108"/>
      <c r="L148" s="108"/>
      <c r="M148" s="108"/>
      <c r="N148" s="108"/>
      <c r="O148" s="108"/>
      <c r="P148" s="108"/>
      <c r="Q148" s="108"/>
      <c r="R148" s="108"/>
      <c r="S148" s="108"/>
      <c r="T148" s="108"/>
      <c r="U148" s="108"/>
      <c r="V148" s="108"/>
      <c r="W148" s="108"/>
      <c r="X148" s="108"/>
      <c r="Y148" s="108"/>
      <c r="Z148" s="108"/>
    </row>
    <row r="149" ht="12.75" customHeight="1">
      <c r="A149" s="108"/>
      <c r="B149" s="108"/>
      <c r="C149" s="108"/>
      <c r="D149" s="108"/>
      <c r="E149" s="108"/>
      <c r="F149" s="63"/>
      <c r="G149" s="63"/>
      <c r="H149" s="108"/>
      <c r="I149" s="108"/>
      <c r="J149" s="108"/>
      <c r="K149" s="108"/>
      <c r="L149" s="108"/>
      <c r="M149" s="108"/>
      <c r="N149" s="108"/>
      <c r="O149" s="108"/>
      <c r="P149" s="108"/>
      <c r="Q149" s="108"/>
      <c r="R149" s="108"/>
      <c r="S149" s="108"/>
      <c r="T149" s="108"/>
      <c r="U149" s="108"/>
      <c r="V149" s="108"/>
      <c r="W149" s="108"/>
      <c r="X149" s="108"/>
      <c r="Y149" s="108"/>
      <c r="Z149" s="108"/>
    </row>
    <row r="150" ht="12.75" customHeight="1">
      <c r="A150" s="108"/>
      <c r="B150" s="108"/>
      <c r="C150" s="108"/>
      <c r="D150" s="108"/>
      <c r="E150" s="108"/>
      <c r="F150" s="63"/>
      <c r="G150" s="63"/>
      <c r="H150" s="108"/>
      <c r="I150" s="108"/>
      <c r="J150" s="108"/>
      <c r="K150" s="108"/>
      <c r="L150" s="108"/>
      <c r="M150" s="108"/>
      <c r="N150" s="108"/>
      <c r="O150" s="108"/>
      <c r="P150" s="108"/>
      <c r="Q150" s="108"/>
      <c r="R150" s="108"/>
      <c r="S150" s="108"/>
      <c r="T150" s="108"/>
      <c r="U150" s="108"/>
      <c r="V150" s="108"/>
      <c r="W150" s="108"/>
      <c r="X150" s="108"/>
      <c r="Y150" s="108"/>
      <c r="Z150" s="108"/>
    </row>
    <row r="151" ht="12.75" customHeight="1">
      <c r="A151" s="108"/>
      <c r="B151" s="108"/>
      <c r="C151" s="108"/>
      <c r="D151" s="108"/>
      <c r="E151" s="108"/>
      <c r="F151" s="63"/>
      <c r="G151" s="63"/>
      <c r="H151" s="108"/>
      <c r="I151" s="108"/>
      <c r="J151" s="108"/>
      <c r="K151" s="108"/>
      <c r="L151" s="108"/>
      <c r="M151" s="108"/>
      <c r="N151" s="108"/>
      <c r="O151" s="108"/>
      <c r="P151" s="108"/>
      <c r="Q151" s="108"/>
      <c r="R151" s="108"/>
      <c r="S151" s="108"/>
      <c r="T151" s="108"/>
      <c r="U151" s="108"/>
      <c r="V151" s="108"/>
      <c r="W151" s="108"/>
      <c r="X151" s="108"/>
      <c r="Y151" s="108"/>
      <c r="Z151" s="108"/>
    </row>
    <row r="152" ht="12.75" customHeight="1">
      <c r="A152" s="108"/>
      <c r="B152" s="108"/>
      <c r="C152" s="108"/>
      <c r="D152" s="108"/>
      <c r="E152" s="108"/>
      <c r="F152" s="63"/>
      <c r="G152" s="63"/>
      <c r="H152" s="108"/>
      <c r="I152" s="108"/>
      <c r="J152" s="108"/>
      <c r="K152" s="108"/>
      <c r="L152" s="108"/>
      <c r="M152" s="108"/>
      <c r="N152" s="108"/>
      <c r="O152" s="108"/>
      <c r="P152" s="108"/>
      <c r="Q152" s="108"/>
      <c r="R152" s="108"/>
      <c r="S152" s="108"/>
      <c r="T152" s="108"/>
      <c r="U152" s="108"/>
      <c r="V152" s="108"/>
      <c r="W152" s="108"/>
      <c r="X152" s="108"/>
      <c r="Y152" s="108"/>
      <c r="Z152" s="108"/>
    </row>
    <row r="153" ht="12.75" customHeight="1">
      <c r="A153" s="108"/>
      <c r="B153" s="108"/>
      <c r="C153" s="108"/>
      <c r="D153" s="108"/>
      <c r="E153" s="108"/>
      <c r="F153" s="63"/>
      <c r="G153" s="63"/>
      <c r="H153" s="108"/>
      <c r="I153" s="108"/>
      <c r="J153" s="108"/>
      <c r="K153" s="108"/>
      <c r="L153" s="108"/>
      <c r="M153" s="108"/>
      <c r="N153" s="108"/>
      <c r="O153" s="108"/>
      <c r="P153" s="108"/>
      <c r="Q153" s="108"/>
      <c r="R153" s="108"/>
      <c r="S153" s="108"/>
      <c r="T153" s="108"/>
      <c r="U153" s="108"/>
      <c r="V153" s="108"/>
      <c r="W153" s="108"/>
      <c r="X153" s="108"/>
      <c r="Y153" s="108"/>
      <c r="Z153" s="108"/>
    </row>
    <row r="154" ht="12.75" customHeight="1">
      <c r="A154" s="108"/>
      <c r="B154" s="108"/>
      <c r="C154" s="108"/>
      <c r="D154" s="108"/>
      <c r="E154" s="108"/>
      <c r="F154" s="63"/>
      <c r="G154" s="63"/>
      <c r="H154" s="108"/>
      <c r="I154" s="108"/>
      <c r="J154" s="108"/>
      <c r="K154" s="108"/>
      <c r="L154" s="108"/>
      <c r="M154" s="108"/>
      <c r="N154" s="108"/>
      <c r="O154" s="108"/>
      <c r="P154" s="108"/>
      <c r="Q154" s="108"/>
      <c r="R154" s="108"/>
      <c r="S154" s="108"/>
      <c r="T154" s="108"/>
      <c r="U154" s="108"/>
      <c r="V154" s="108"/>
      <c r="W154" s="108"/>
      <c r="X154" s="108"/>
      <c r="Y154" s="108"/>
      <c r="Z154" s="108"/>
    </row>
    <row r="155" ht="12.75" customHeight="1">
      <c r="A155" s="108"/>
      <c r="B155" s="108"/>
      <c r="C155" s="108"/>
      <c r="D155" s="108"/>
      <c r="E155" s="108"/>
      <c r="F155" s="63"/>
      <c r="G155" s="63"/>
      <c r="H155" s="108"/>
      <c r="I155" s="108"/>
      <c r="J155" s="108"/>
      <c r="K155" s="108"/>
      <c r="L155" s="108"/>
      <c r="M155" s="108"/>
      <c r="N155" s="108"/>
      <c r="O155" s="108"/>
      <c r="P155" s="108"/>
      <c r="Q155" s="108"/>
      <c r="R155" s="108"/>
      <c r="S155" s="108"/>
      <c r="T155" s="108"/>
      <c r="U155" s="108"/>
      <c r="V155" s="108"/>
      <c r="W155" s="108"/>
      <c r="X155" s="108"/>
      <c r="Y155" s="108"/>
      <c r="Z155" s="108"/>
    </row>
    <row r="156" ht="12.75" customHeight="1">
      <c r="A156" s="108"/>
      <c r="B156" s="108"/>
      <c r="C156" s="108"/>
      <c r="D156" s="108"/>
      <c r="E156" s="108"/>
      <c r="F156" s="63"/>
      <c r="G156" s="63"/>
      <c r="H156" s="108"/>
      <c r="I156" s="108"/>
      <c r="J156" s="108"/>
      <c r="K156" s="108"/>
      <c r="L156" s="108"/>
      <c r="M156" s="108"/>
      <c r="N156" s="108"/>
      <c r="O156" s="108"/>
      <c r="P156" s="108"/>
      <c r="Q156" s="108"/>
      <c r="R156" s="108"/>
      <c r="S156" s="108"/>
      <c r="T156" s="108"/>
      <c r="U156" s="108"/>
      <c r="V156" s="108"/>
      <c r="W156" s="108"/>
      <c r="X156" s="108"/>
      <c r="Y156" s="108"/>
      <c r="Z156" s="108"/>
    </row>
    <row r="157" ht="12.75" customHeight="1">
      <c r="A157" s="108"/>
      <c r="B157" s="108"/>
      <c r="C157" s="108"/>
      <c r="D157" s="108"/>
      <c r="E157" s="108"/>
      <c r="F157" s="63"/>
      <c r="G157" s="63"/>
      <c r="H157" s="108"/>
      <c r="I157" s="108"/>
      <c r="J157" s="108"/>
      <c r="K157" s="108"/>
      <c r="L157" s="108"/>
      <c r="M157" s="108"/>
      <c r="N157" s="108"/>
      <c r="O157" s="108"/>
      <c r="P157" s="108"/>
      <c r="Q157" s="108"/>
      <c r="R157" s="108"/>
      <c r="S157" s="108"/>
      <c r="T157" s="108"/>
      <c r="U157" s="108"/>
      <c r="V157" s="108"/>
      <c r="W157" s="108"/>
      <c r="X157" s="108"/>
      <c r="Y157" s="108"/>
      <c r="Z157" s="108"/>
    </row>
    <row r="158" ht="12.75" customHeight="1">
      <c r="A158" s="108"/>
      <c r="B158" s="108"/>
      <c r="C158" s="108"/>
      <c r="D158" s="108"/>
      <c r="E158" s="108"/>
      <c r="F158" s="63"/>
      <c r="G158" s="63"/>
      <c r="H158" s="108"/>
      <c r="I158" s="108"/>
      <c r="J158" s="108"/>
      <c r="K158" s="108"/>
      <c r="L158" s="108"/>
      <c r="M158" s="108"/>
      <c r="N158" s="108"/>
      <c r="O158" s="108"/>
      <c r="P158" s="108"/>
      <c r="Q158" s="108"/>
      <c r="R158" s="108"/>
      <c r="S158" s="108"/>
      <c r="T158" s="108"/>
      <c r="U158" s="108"/>
      <c r="V158" s="108"/>
      <c r="W158" s="108"/>
      <c r="X158" s="108"/>
      <c r="Y158" s="108"/>
      <c r="Z158" s="108"/>
    </row>
    <row r="159" ht="12.75" customHeight="1">
      <c r="A159" s="108"/>
      <c r="B159" s="108"/>
      <c r="C159" s="108"/>
      <c r="D159" s="108"/>
      <c r="E159" s="108"/>
      <c r="F159" s="63"/>
      <c r="G159" s="63"/>
      <c r="H159" s="108"/>
      <c r="I159" s="108"/>
      <c r="J159" s="108"/>
      <c r="K159" s="108"/>
      <c r="L159" s="108"/>
      <c r="M159" s="108"/>
      <c r="N159" s="108"/>
      <c r="O159" s="108"/>
      <c r="P159" s="108"/>
      <c r="Q159" s="108"/>
      <c r="R159" s="108"/>
      <c r="S159" s="108"/>
      <c r="T159" s="108"/>
      <c r="U159" s="108"/>
      <c r="V159" s="108"/>
      <c r="W159" s="108"/>
      <c r="X159" s="108"/>
      <c r="Y159" s="108"/>
      <c r="Z159" s="108"/>
    </row>
    <row r="160" ht="12.75" customHeight="1">
      <c r="A160" s="108"/>
      <c r="B160" s="108"/>
      <c r="C160" s="108"/>
      <c r="D160" s="108"/>
      <c r="E160" s="108"/>
      <c r="F160" s="63"/>
      <c r="G160" s="63"/>
      <c r="H160" s="108"/>
      <c r="I160" s="108"/>
      <c r="J160" s="108"/>
      <c r="K160" s="108"/>
      <c r="L160" s="108"/>
      <c r="M160" s="108"/>
      <c r="N160" s="108"/>
      <c r="O160" s="108"/>
      <c r="P160" s="108"/>
      <c r="Q160" s="108"/>
      <c r="R160" s="108"/>
      <c r="S160" s="108"/>
      <c r="T160" s="108"/>
      <c r="U160" s="108"/>
      <c r="V160" s="108"/>
      <c r="W160" s="108"/>
      <c r="X160" s="108"/>
      <c r="Y160" s="108"/>
      <c r="Z160" s="108"/>
    </row>
    <row r="161" ht="12.75" customHeight="1">
      <c r="A161" s="108"/>
      <c r="B161" s="108"/>
      <c r="C161" s="108"/>
      <c r="D161" s="108"/>
      <c r="E161" s="108"/>
      <c r="F161" s="63"/>
      <c r="G161" s="63"/>
      <c r="H161" s="108"/>
      <c r="I161" s="108"/>
      <c r="J161" s="108"/>
      <c r="K161" s="108"/>
      <c r="L161" s="108"/>
      <c r="M161" s="108"/>
      <c r="N161" s="108"/>
      <c r="O161" s="108"/>
      <c r="P161" s="108"/>
      <c r="Q161" s="108"/>
      <c r="R161" s="108"/>
      <c r="S161" s="108"/>
      <c r="T161" s="108"/>
      <c r="U161" s="108"/>
      <c r="V161" s="108"/>
      <c r="W161" s="108"/>
      <c r="X161" s="108"/>
      <c r="Y161" s="108"/>
      <c r="Z161" s="108"/>
    </row>
    <row r="162" ht="12.75" customHeight="1">
      <c r="A162" s="108"/>
      <c r="B162" s="108"/>
      <c r="C162" s="108"/>
      <c r="D162" s="108"/>
      <c r="E162" s="108"/>
      <c r="F162" s="63"/>
      <c r="G162" s="63"/>
      <c r="H162" s="108"/>
      <c r="I162" s="108"/>
      <c r="J162" s="108"/>
      <c r="K162" s="108"/>
      <c r="L162" s="108"/>
      <c r="M162" s="108"/>
      <c r="N162" s="108"/>
      <c r="O162" s="108"/>
      <c r="P162" s="108"/>
      <c r="Q162" s="108"/>
      <c r="R162" s="108"/>
      <c r="S162" s="108"/>
      <c r="T162" s="108"/>
      <c r="U162" s="108"/>
      <c r="V162" s="108"/>
      <c r="W162" s="108"/>
      <c r="X162" s="108"/>
      <c r="Y162" s="108"/>
      <c r="Z162" s="108"/>
    </row>
    <row r="163" ht="12.75" customHeight="1">
      <c r="A163" s="108"/>
      <c r="B163" s="108"/>
      <c r="C163" s="108"/>
      <c r="D163" s="108"/>
      <c r="E163" s="108"/>
      <c r="F163" s="63"/>
      <c r="G163" s="63"/>
      <c r="H163" s="108"/>
      <c r="I163" s="108"/>
      <c r="J163" s="108"/>
      <c r="K163" s="108"/>
      <c r="L163" s="108"/>
      <c r="M163" s="108"/>
      <c r="N163" s="108"/>
      <c r="O163" s="108"/>
      <c r="P163" s="108"/>
      <c r="Q163" s="108"/>
      <c r="R163" s="108"/>
      <c r="S163" s="108"/>
      <c r="T163" s="108"/>
      <c r="U163" s="108"/>
      <c r="V163" s="108"/>
      <c r="W163" s="108"/>
      <c r="X163" s="108"/>
      <c r="Y163" s="108"/>
      <c r="Z163" s="108"/>
    </row>
    <row r="164" ht="12.75" customHeight="1">
      <c r="A164" s="108"/>
      <c r="B164" s="108"/>
      <c r="C164" s="108"/>
      <c r="D164" s="108"/>
      <c r="E164" s="108"/>
      <c r="F164" s="63"/>
      <c r="G164" s="63"/>
      <c r="H164" s="108"/>
      <c r="I164" s="108"/>
      <c r="J164" s="108"/>
      <c r="K164" s="108"/>
      <c r="L164" s="108"/>
      <c r="M164" s="108"/>
      <c r="N164" s="108"/>
      <c r="O164" s="108"/>
      <c r="P164" s="108"/>
      <c r="Q164" s="108"/>
      <c r="R164" s="108"/>
      <c r="S164" s="108"/>
      <c r="T164" s="108"/>
      <c r="U164" s="108"/>
      <c r="V164" s="108"/>
      <c r="W164" s="108"/>
      <c r="X164" s="108"/>
      <c r="Y164" s="108"/>
      <c r="Z164" s="108"/>
    </row>
    <row r="165" ht="12.75" customHeight="1">
      <c r="A165" s="108"/>
      <c r="B165" s="108"/>
      <c r="C165" s="108"/>
      <c r="D165" s="108"/>
      <c r="E165" s="108"/>
      <c r="F165" s="63"/>
      <c r="G165" s="63"/>
      <c r="H165" s="108"/>
      <c r="I165" s="108"/>
      <c r="J165" s="108"/>
      <c r="K165" s="108"/>
      <c r="L165" s="108"/>
      <c r="M165" s="108"/>
      <c r="N165" s="108"/>
      <c r="O165" s="108"/>
      <c r="P165" s="108"/>
      <c r="Q165" s="108"/>
      <c r="R165" s="108"/>
      <c r="S165" s="108"/>
      <c r="T165" s="108"/>
      <c r="U165" s="108"/>
      <c r="V165" s="108"/>
      <c r="W165" s="108"/>
      <c r="X165" s="108"/>
      <c r="Y165" s="108"/>
      <c r="Z165" s="108"/>
    </row>
    <row r="166" ht="12.75" customHeight="1">
      <c r="A166" s="108"/>
      <c r="B166" s="108"/>
      <c r="C166" s="108"/>
      <c r="D166" s="108"/>
      <c r="E166" s="108"/>
      <c r="F166" s="63"/>
      <c r="G166" s="63"/>
      <c r="H166" s="108"/>
      <c r="I166" s="108"/>
      <c r="J166" s="108"/>
      <c r="K166" s="108"/>
      <c r="L166" s="108"/>
      <c r="M166" s="108"/>
      <c r="N166" s="108"/>
      <c r="O166" s="108"/>
      <c r="P166" s="108"/>
      <c r="Q166" s="108"/>
      <c r="R166" s="108"/>
      <c r="S166" s="108"/>
      <c r="T166" s="108"/>
      <c r="U166" s="108"/>
      <c r="V166" s="108"/>
      <c r="W166" s="108"/>
      <c r="X166" s="108"/>
      <c r="Y166" s="108"/>
      <c r="Z166" s="108"/>
    </row>
    <row r="167" ht="12.75" customHeight="1">
      <c r="A167" s="108"/>
      <c r="B167" s="108"/>
      <c r="C167" s="108"/>
      <c r="D167" s="108"/>
      <c r="E167" s="108"/>
      <c r="F167" s="63"/>
      <c r="G167" s="63"/>
      <c r="H167" s="108"/>
      <c r="I167" s="108"/>
      <c r="J167" s="108"/>
      <c r="K167" s="108"/>
      <c r="L167" s="108"/>
      <c r="M167" s="108"/>
      <c r="N167" s="108"/>
      <c r="O167" s="108"/>
      <c r="P167" s="108"/>
      <c r="Q167" s="108"/>
      <c r="R167" s="108"/>
      <c r="S167" s="108"/>
      <c r="T167" s="108"/>
      <c r="U167" s="108"/>
      <c r="V167" s="108"/>
      <c r="W167" s="108"/>
      <c r="X167" s="108"/>
      <c r="Y167" s="108"/>
      <c r="Z167" s="108"/>
    </row>
    <row r="168" ht="12.75" customHeight="1">
      <c r="A168" s="108"/>
      <c r="B168" s="108"/>
      <c r="C168" s="108"/>
      <c r="D168" s="108"/>
      <c r="E168" s="108"/>
      <c r="F168" s="63"/>
      <c r="G168" s="63"/>
      <c r="H168" s="108"/>
      <c r="I168" s="108"/>
      <c r="J168" s="108"/>
      <c r="K168" s="108"/>
      <c r="L168" s="108"/>
      <c r="M168" s="108"/>
      <c r="N168" s="108"/>
      <c r="O168" s="108"/>
      <c r="P168" s="108"/>
      <c r="Q168" s="108"/>
      <c r="R168" s="108"/>
      <c r="S168" s="108"/>
      <c r="T168" s="108"/>
      <c r="U168" s="108"/>
      <c r="V168" s="108"/>
      <c r="W168" s="108"/>
      <c r="X168" s="108"/>
      <c r="Y168" s="108"/>
      <c r="Z168" s="108"/>
    </row>
    <row r="169" ht="12.75" customHeight="1">
      <c r="A169" s="108"/>
      <c r="B169" s="108"/>
      <c r="C169" s="108"/>
      <c r="D169" s="108"/>
      <c r="E169" s="108"/>
      <c r="F169" s="63"/>
      <c r="G169" s="63"/>
      <c r="H169" s="108"/>
      <c r="I169" s="108"/>
      <c r="J169" s="108"/>
      <c r="K169" s="108"/>
      <c r="L169" s="108"/>
      <c r="M169" s="108"/>
      <c r="N169" s="108"/>
      <c r="O169" s="108"/>
      <c r="P169" s="108"/>
      <c r="Q169" s="108"/>
      <c r="R169" s="108"/>
      <c r="S169" s="108"/>
      <c r="T169" s="108"/>
      <c r="U169" s="108"/>
      <c r="V169" s="108"/>
      <c r="W169" s="108"/>
      <c r="X169" s="108"/>
      <c r="Y169" s="108"/>
      <c r="Z169" s="108"/>
    </row>
    <row r="170" ht="12.75" customHeight="1">
      <c r="A170" s="108"/>
      <c r="B170" s="108"/>
      <c r="C170" s="108"/>
      <c r="D170" s="108"/>
      <c r="E170" s="108"/>
      <c r="F170" s="63"/>
      <c r="G170" s="63"/>
      <c r="H170" s="108"/>
      <c r="I170" s="108"/>
      <c r="J170" s="108"/>
      <c r="K170" s="108"/>
      <c r="L170" s="108"/>
      <c r="M170" s="108"/>
      <c r="N170" s="108"/>
      <c r="O170" s="108"/>
      <c r="P170" s="108"/>
      <c r="Q170" s="108"/>
      <c r="R170" s="108"/>
      <c r="S170" s="108"/>
      <c r="T170" s="108"/>
      <c r="U170" s="108"/>
      <c r="V170" s="108"/>
      <c r="W170" s="108"/>
      <c r="X170" s="108"/>
      <c r="Y170" s="108"/>
      <c r="Z170" s="108"/>
    </row>
    <row r="171" ht="12.75" customHeight="1">
      <c r="A171" s="108"/>
      <c r="B171" s="108"/>
      <c r="C171" s="108"/>
      <c r="D171" s="108"/>
      <c r="E171" s="108"/>
      <c r="F171" s="63"/>
      <c r="G171" s="63"/>
      <c r="H171" s="108"/>
      <c r="I171" s="108"/>
      <c r="J171" s="108"/>
      <c r="K171" s="108"/>
      <c r="L171" s="108"/>
      <c r="M171" s="108"/>
      <c r="N171" s="108"/>
      <c r="O171" s="108"/>
      <c r="P171" s="108"/>
      <c r="Q171" s="108"/>
      <c r="R171" s="108"/>
      <c r="S171" s="108"/>
      <c r="T171" s="108"/>
      <c r="U171" s="108"/>
      <c r="V171" s="108"/>
      <c r="W171" s="108"/>
      <c r="X171" s="108"/>
      <c r="Y171" s="108"/>
      <c r="Z171" s="108"/>
    </row>
    <row r="172" ht="12.75" customHeight="1">
      <c r="A172" s="108"/>
      <c r="B172" s="108"/>
      <c r="C172" s="108"/>
      <c r="D172" s="108"/>
      <c r="E172" s="108"/>
      <c r="F172" s="63"/>
      <c r="G172" s="63"/>
      <c r="H172" s="108"/>
      <c r="I172" s="108"/>
      <c r="J172" s="108"/>
      <c r="K172" s="108"/>
      <c r="L172" s="108"/>
      <c r="M172" s="108"/>
      <c r="N172" s="108"/>
      <c r="O172" s="108"/>
      <c r="P172" s="108"/>
      <c r="Q172" s="108"/>
      <c r="R172" s="108"/>
      <c r="S172" s="108"/>
      <c r="T172" s="108"/>
      <c r="U172" s="108"/>
      <c r="V172" s="108"/>
      <c r="W172" s="108"/>
      <c r="X172" s="108"/>
      <c r="Y172" s="108"/>
      <c r="Z172" s="108"/>
    </row>
    <row r="173" ht="12.75" customHeight="1">
      <c r="A173" s="108"/>
      <c r="B173" s="108"/>
      <c r="C173" s="108"/>
      <c r="D173" s="108"/>
      <c r="E173" s="108"/>
      <c r="F173" s="63"/>
      <c r="G173" s="63"/>
      <c r="H173" s="108"/>
      <c r="I173" s="108"/>
      <c r="J173" s="108"/>
      <c r="K173" s="108"/>
      <c r="L173" s="108"/>
      <c r="M173" s="108"/>
      <c r="N173" s="108"/>
      <c r="O173" s="108"/>
      <c r="P173" s="108"/>
      <c r="Q173" s="108"/>
      <c r="R173" s="108"/>
      <c r="S173" s="108"/>
      <c r="T173" s="108"/>
      <c r="U173" s="108"/>
      <c r="V173" s="108"/>
      <c r="W173" s="108"/>
      <c r="X173" s="108"/>
      <c r="Y173" s="108"/>
      <c r="Z173" s="108"/>
    </row>
    <row r="174" ht="12.75" customHeight="1">
      <c r="A174" s="108"/>
      <c r="B174" s="108"/>
      <c r="C174" s="108"/>
      <c r="D174" s="108"/>
      <c r="E174" s="108"/>
      <c r="F174" s="63"/>
      <c r="G174" s="63"/>
      <c r="H174" s="108"/>
      <c r="I174" s="108"/>
      <c r="J174" s="108"/>
      <c r="K174" s="108"/>
      <c r="L174" s="108"/>
      <c r="M174" s="108"/>
      <c r="N174" s="108"/>
      <c r="O174" s="108"/>
      <c r="P174" s="108"/>
      <c r="Q174" s="108"/>
      <c r="R174" s="108"/>
      <c r="S174" s="108"/>
      <c r="T174" s="108"/>
      <c r="U174" s="108"/>
      <c r="V174" s="108"/>
      <c r="W174" s="108"/>
      <c r="X174" s="108"/>
      <c r="Y174" s="108"/>
      <c r="Z174" s="108"/>
    </row>
    <row r="175" ht="12.75" customHeight="1">
      <c r="A175" s="108"/>
      <c r="B175" s="108"/>
      <c r="C175" s="108"/>
      <c r="D175" s="108"/>
      <c r="E175" s="108"/>
      <c r="F175" s="63"/>
      <c r="G175" s="63"/>
      <c r="H175" s="108"/>
      <c r="I175" s="108"/>
      <c r="J175" s="108"/>
      <c r="K175" s="108"/>
      <c r="L175" s="108"/>
      <c r="M175" s="108"/>
      <c r="N175" s="108"/>
      <c r="O175" s="108"/>
      <c r="P175" s="108"/>
      <c r="Q175" s="108"/>
      <c r="R175" s="108"/>
      <c r="S175" s="108"/>
      <c r="T175" s="108"/>
      <c r="U175" s="108"/>
      <c r="V175" s="108"/>
      <c r="W175" s="108"/>
      <c r="X175" s="108"/>
      <c r="Y175" s="108"/>
      <c r="Z175" s="108"/>
    </row>
    <row r="176" ht="12.75" customHeight="1">
      <c r="A176" s="108"/>
      <c r="B176" s="108"/>
      <c r="C176" s="108"/>
      <c r="D176" s="108"/>
      <c r="E176" s="108"/>
      <c r="F176" s="63"/>
      <c r="G176" s="63"/>
      <c r="H176" s="108"/>
      <c r="I176" s="108"/>
      <c r="J176" s="108"/>
      <c r="K176" s="108"/>
      <c r="L176" s="108"/>
      <c r="M176" s="108"/>
      <c r="N176" s="108"/>
      <c r="O176" s="108"/>
      <c r="P176" s="108"/>
      <c r="Q176" s="108"/>
      <c r="R176" s="108"/>
      <c r="S176" s="108"/>
      <c r="T176" s="108"/>
      <c r="U176" s="108"/>
      <c r="V176" s="108"/>
      <c r="W176" s="108"/>
      <c r="X176" s="108"/>
      <c r="Y176" s="108"/>
      <c r="Z176" s="108"/>
    </row>
    <row r="177" ht="12.75" customHeight="1">
      <c r="A177" s="108"/>
      <c r="B177" s="108"/>
      <c r="C177" s="108"/>
      <c r="D177" s="108"/>
      <c r="E177" s="108"/>
      <c r="F177" s="63"/>
      <c r="G177" s="63"/>
      <c r="H177" s="108"/>
      <c r="I177" s="108"/>
      <c r="J177" s="108"/>
      <c r="K177" s="108"/>
      <c r="L177" s="108"/>
      <c r="M177" s="108"/>
      <c r="N177" s="108"/>
      <c r="O177" s="108"/>
      <c r="P177" s="108"/>
      <c r="Q177" s="108"/>
      <c r="R177" s="108"/>
      <c r="S177" s="108"/>
      <c r="T177" s="108"/>
      <c r="U177" s="108"/>
      <c r="V177" s="108"/>
      <c r="W177" s="108"/>
      <c r="X177" s="108"/>
      <c r="Y177" s="108"/>
      <c r="Z177" s="108"/>
    </row>
    <row r="178" ht="12.75" customHeight="1">
      <c r="A178" s="108"/>
      <c r="B178" s="108"/>
      <c r="C178" s="108"/>
      <c r="D178" s="108"/>
      <c r="E178" s="108"/>
      <c r="F178" s="63"/>
      <c r="G178" s="63"/>
      <c r="H178" s="108"/>
      <c r="I178" s="108"/>
      <c r="J178" s="108"/>
      <c r="K178" s="108"/>
      <c r="L178" s="108"/>
      <c r="M178" s="108"/>
      <c r="N178" s="108"/>
      <c r="O178" s="108"/>
      <c r="P178" s="108"/>
      <c r="Q178" s="108"/>
      <c r="R178" s="108"/>
      <c r="S178" s="108"/>
      <c r="T178" s="108"/>
      <c r="U178" s="108"/>
      <c r="V178" s="108"/>
      <c r="W178" s="108"/>
      <c r="X178" s="108"/>
      <c r="Y178" s="108"/>
      <c r="Z178" s="108"/>
    </row>
    <row r="179" ht="12.75" customHeight="1">
      <c r="A179" s="108"/>
      <c r="B179" s="108"/>
      <c r="C179" s="108"/>
      <c r="D179" s="108"/>
      <c r="E179" s="108"/>
      <c r="F179" s="63"/>
      <c r="G179" s="63"/>
      <c r="H179" s="108"/>
      <c r="I179" s="108"/>
      <c r="J179" s="108"/>
      <c r="K179" s="108"/>
      <c r="L179" s="108"/>
      <c r="M179" s="108"/>
      <c r="N179" s="108"/>
      <c r="O179" s="108"/>
      <c r="P179" s="108"/>
      <c r="Q179" s="108"/>
      <c r="R179" s="108"/>
      <c r="S179" s="108"/>
      <c r="T179" s="108"/>
      <c r="U179" s="108"/>
      <c r="V179" s="108"/>
      <c r="W179" s="108"/>
      <c r="X179" s="108"/>
      <c r="Y179" s="108"/>
      <c r="Z179" s="108"/>
    </row>
    <row r="180" ht="12.75" customHeight="1">
      <c r="A180" s="108"/>
      <c r="B180" s="108"/>
      <c r="C180" s="108"/>
      <c r="D180" s="108"/>
      <c r="E180" s="108"/>
      <c r="F180" s="63"/>
      <c r="G180" s="63"/>
      <c r="H180" s="108"/>
      <c r="I180" s="108"/>
      <c r="J180" s="108"/>
      <c r="K180" s="108"/>
      <c r="L180" s="108"/>
      <c r="M180" s="108"/>
      <c r="N180" s="108"/>
      <c r="O180" s="108"/>
      <c r="P180" s="108"/>
      <c r="Q180" s="108"/>
      <c r="R180" s="108"/>
      <c r="S180" s="108"/>
      <c r="T180" s="108"/>
      <c r="U180" s="108"/>
      <c r="V180" s="108"/>
      <c r="W180" s="108"/>
      <c r="X180" s="108"/>
      <c r="Y180" s="108"/>
      <c r="Z180" s="108"/>
    </row>
    <row r="181" ht="12.75" customHeight="1">
      <c r="A181" s="108"/>
      <c r="B181" s="108"/>
      <c r="C181" s="108"/>
      <c r="D181" s="108"/>
      <c r="E181" s="108"/>
      <c r="F181" s="63"/>
      <c r="G181" s="63"/>
      <c r="H181" s="108"/>
      <c r="I181" s="108"/>
      <c r="J181" s="108"/>
      <c r="K181" s="108"/>
      <c r="L181" s="108"/>
      <c r="M181" s="108"/>
      <c r="N181" s="108"/>
      <c r="O181" s="108"/>
      <c r="P181" s="108"/>
      <c r="Q181" s="108"/>
      <c r="R181" s="108"/>
      <c r="S181" s="108"/>
      <c r="T181" s="108"/>
      <c r="U181" s="108"/>
      <c r="V181" s="108"/>
      <c r="W181" s="108"/>
      <c r="X181" s="108"/>
      <c r="Y181" s="108"/>
      <c r="Z181" s="108"/>
    </row>
    <row r="182" ht="12.75" customHeight="1">
      <c r="A182" s="108"/>
      <c r="B182" s="108"/>
      <c r="C182" s="108"/>
      <c r="D182" s="108"/>
      <c r="E182" s="108"/>
      <c r="F182" s="63"/>
      <c r="G182" s="63"/>
      <c r="H182" s="108"/>
      <c r="I182" s="108"/>
      <c r="J182" s="108"/>
      <c r="K182" s="108"/>
      <c r="L182" s="108"/>
      <c r="M182" s="108"/>
      <c r="N182" s="108"/>
      <c r="O182" s="108"/>
      <c r="P182" s="108"/>
      <c r="Q182" s="108"/>
      <c r="R182" s="108"/>
      <c r="S182" s="108"/>
      <c r="T182" s="108"/>
      <c r="U182" s="108"/>
      <c r="V182" s="108"/>
      <c r="W182" s="108"/>
      <c r="X182" s="108"/>
      <c r="Y182" s="108"/>
      <c r="Z182" s="108"/>
    </row>
    <row r="183" ht="12.75" customHeight="1">
      <c r="A183" s="108"/>
      <c r="B183" s="108"/>
      <c r="C183" s="108"/>
      <c r="D183" s="108"/>
      <c r="E183" s="108"/>
      <c r="F183" s="63"/>
      <c r="G183" s="63"/>
      <c r="H183" s="108"/>
      <c r="I183" s="108"/>
      <c r="J183" s="108"/>
      <c r="K183" s="108"/>
      <c r="L183" s="108"/>
      <c r="M183" s="108"/>
      <c r="N183" s="108"/>
      <c r="O183" s="108"/>
      <c r="P183" s="108"/>
      <c r="Q183" s="108"/>
      <c r="R183" s="108"/>
      <c r="S183" s="108"/>
      <c r="T183" s="108"/>
      <c r="U183" s="108"/>
      <c r="V183" s="108"/>
      <c r="W183" s="108"/>
      <c r="X183" s="108"/>
      <c r="Y183" s="108"/>
      <c r="Z183" s="108"/>
    </row>
    <row r="184" ht="12.75" customHeight="1">
      <c r="A184" s="108"/>
      <c r="B184" s="108"/>
      <c r="C184" s="108"/>
      <c r="D184" s="108"/>
      <c r="E184" s="108"/>
      <c r="F184" s="63"/>
      <c r="G184" s="63"/>
      <c r="H184" s="108"/>
      <c r="I184" s="108"/>
      <c r="J184" s="108"/>
      <c r="K184" s="108"/>
      <c r="L184" s="108"/>
      <c r="M184" s="108"/>
      <c r="N184" s="108"/>
      <c r="O184" s="108"/>
      <c r="P184" s="108"/>
      <c r="Q184" s="108"/>
      <c r="R184" s="108"/>
      <c r="S184" s="108"/>
      <c r="T184" s="108"/>
      <c r="U184" s="108"/>
      <c r="V184" s="108"/>
      <c r="W184" s="108"/>
      <c r="X184" s="108"/>
      <c r="Y184" s="108"/>
      <c r="Z184" s="108"/>
    </row>
    <row r="185" ht="12.75" customHeight="1">
      <c r="A185" s="108"/>
      <c r="B185" s="108"/>
      <c r="C185" s="108"/>
      <c r="D185" s="108"/>
      <c r="E185" s="108"/>
      <c r="F185" s="63"/>
      <c r="G185" s="63"/>
      <c r="H185" s="108"/>
      <c r="I185" s="108"/>
      <c r="J185" s="108"/>
      <c r="K185" s="108"/>
      <c r="L185" s="108"/>
      <c r="M185" s="108"/>
      <c r="N185" s="108"/>
      <c r="O185" s="108"/>
      <c r="P185" s="108"/>
      <c r="Q185" s="108"/>
      <c r="R185" s="108"/>
      <c r="S185" s="108"/>
      <c r="T185" s="108"/>
      <c r="U185" s="108"/>
      <c r="V185" s="108"/>
      <c r="W185" s="108"/>
      <c r="X185" s="108"/>
      <c r="Y185" s="108"/>
      <c r="Z185" s="108"/>
    </row>
    <row r="186" ht="12.75" customHeight="1">
      <c r="A186" s="108"/>
      <c r="B186" s="108"/>
      <c r="C186" s="108"/>
      <c r="D186" s="108"/>
      <c r="E186" s="108"/>
      <c r="F186" s="63"/>
      <c r="G186" s="63"/>
      <c r="H186" s="108"/>
      <c r="I186" s="108"/>
      <c r="J186" s="108"/>
      <c r="K186" s="108"/>
      <c r="L186" s="108"/>
      <c r="M186" s="108"/>
      <c r="N186" s="108"/>
      <c r="O186" s="108"/>
      <c r="P186" s="108"/>
      <c r="Q186" s="108"/>
      <c r="R186" s="108"/>
      <c r="S186" s="108"/>
      <c r="T186" s="108"/>
      <c r="U186" s="108"/>
      <c r="V186" s="108"/>
      <c r="W186" s="108"/>
      <c r="X186" s="108"/>
      <c r="Y186" s="108"/>
      <c r="Z186" s="108"/>
    </row>
    <row r="187" ht="12.75" customHeight="1">
      <c r="A187" s="108"/>
      <c r="B187" s="108"/>
      <c r="C187" s="108"/>
      <c r="D187" s="108"/>
      <c r="E187" s="108"/>
      <c r="F187" s="63"/>
      <c r="G187" s="63"/>
      <c r="H187" s="108"/>
      <c r="I187" s="108"/>
      <c r="J187" s="108"/>
      <c r="K187" s="108"/>
      <c r="L187" s="108"/>
      <c r="M187" s="108"/>
      <c r="N187" s="108"/>
      <c r="O187" s="108"/>
      <c r="P187" s="108"/>
      <c r="Q187" s="108"/>
      <c r="R187" s="108"/>
      <c r="S187" s="108"/>
      <c r="T187" s="108"/>
      <c r="U187" s="108"/>
      <c r="V187" s="108"/>
      <c r="W187" s="108"/>
      <c r="X187" s="108"/>
      <c r="Y187" s="108"/>
      <c r="Z187" s="108"/>
    </row>
    <row r="188" ht="12.75" customHeight="1">
      <c r="A188" s="108"/>
      <c r="B188" s="108"/>
      <c r="C188" s="108"/>
      <c r="D188" s="108"/>
      <c r="E188" s="108"/>
      <c r="F188" s="63"/>
      <c r="G188" s="63"/>
      <c r="H188" s="108"/>
      <c r="I188" s="108"/>
      <c r="J188" s="108"/>
      <c r="K188" s="108"/>
      <c r="L188" s="108"/>
      <c r="M188" s="108"/>
      <c r="N188" s="108"/>
      <c r="O188" s="108"/>
      <c r="P188" s="108"/>
      <c r="Q188" s="108"/>
      <c r="R188" s="108"/>
      <c r="S188" s="108"/>
      <c r="T188" s="108"/>
      <c r="U188" s="108"/>
      <c r="V188" s="108"/>
      <c r="W188" s="108"/>
      <c r="X188" s="108"/>
      <c r="Y188" s="108"/>
      <c r="Z188" s="108"/>
    </row>
    <row r="189" ht="12.75" customHeight="1">
      <c r="A189" s="108"/>
      <c r="B189" s="108"/>
      <c r="C189" s="108"/>
      <c r="D189" s="108"/>
      <c r="E189" s="108"/>
      <c r="F189" s="63"/>
      <c r="G189" s="63"/>
      <c r="H189" s="108"/>
      <c r="I189" s="108"/>
      <c r="J189" s="108"/>
      <c r="K189" s="108"/>
      <c r="L189" s="108"/>
      <c r="M189" s="108"/>
      <c r="N189" s="108"/>
      <c r="O189" s="108"/>
      <c r="P189" s="108"/>
      <c r="Q189" s="108"/>
      <c r="R189" s="108"/>
      <c r="S189" s="108"/>
      <c r="T189" s="108"/>
      <c r="U189" s="108"/>
      <c r="V189" s="108"/>
      <c r="W189" s="108"/>
      <c r="X189" s="108"/>
      <c r="Y189" s="108"/>
      <c r="Z189" s="108"/>
    </row>
    <row r="190" ht="12.75" customHeight="1">
      <c r="A190" s="108"/>
      <c r="B190" s="108"/>
      <c r="C190" s="108"/>
      <c r="D190" s="108"/>
      <c r="E190" s="108"/>
      <c r="F190" s="63"/>
      <c r="G190" s="63"/>
      <c r="H190" s="108"/>
      <c r="I190" s="108"/>
      <c r="J190" s="108"/>
      <c r="K190" s="108"/>
      <c r="L190" s="108"/>
      <c r="M190" s="108"/>
      <c r="N190" s="108"/>
      <c r="O190" s="108"/>
      <c r="P190" s="108"/>
      <c r="Q190" s="108"/>
      <c r="R190" s="108"/>
      <c r="S190" s="108"/>
      <c r="T190" s="108"/>
      <c r="U190" s="108"/>
      <c r="V190" s="108"/>
      <c r="W190" s="108"/>
      <c r="X190" s="108"/>
      <c r="Y190" s="108"/>
      <c r="Z190" s="108"/>
    </row>
    <row r="191" ht="12.75" customHeight="1">
      <c r="A191" s="108"/>
      <c r="B191" s="108"/>
      <c r="C191" s="108"/>
      <c r="D191" s="108"/>
      <c r="E191" s="108"/>
      <c r="F191" s="63"/>
      <c r="G191" s="63"/>
      <c r="H191" s="108"/>
      <c r="I191" s="108"/>
      <c r="J191" s="108"/>
      <c r="K191" s="108"/>
      <c r="L191" s="108"/>
      <c r="M191" s="108"/>
      <c r="N191" s="108"/>
      <c r="O191" s="108"/>
      <c r="P191" s="108"/>
      <c r="Q191" s="108"/>
      <c r="R191" s="108"/>
      <c r="S191" s="108"/>
      <c r="T191" s="108"/>
      <c r="U191" s="108"/>
      <c r="V191" s="108"/>
      <c r="W191" s="108"/>
      <c r="X191" s="108"/>
      <c r="Y191" s="108"/>
      <c r="Z191" s="108"/>
    </row>
    <row r="192" ht="12.75" customHeight="1">
      <c r="A192" s="108"/>
      <c r="B192" s="108"/>
      <c r="C192" s="108"/>
      <c r="D192" s="108"/>
      <c r="E192" s="108"/>
      <c r="F192" s="63"/>
      <c r="G192" s="63"/>
      <c r="H192" s="108"/>
      <c r="I192" s="108"/>
      <c r="J192" s="108"/>
      <c r="K192" s="108"/>
      <c r="L192" s="108"/>
      <c r="M192" s="108"/>
      <c r="N192" s="108"/>
      <c r="O192" s="108"/>
      <c r="P192" s="108"/>
      <c r="Q192" s="108"/>
      <c r="R192" s="108"/>
      <c r="S192" s="108"/>
      <c r="T192" s="108"/>
      <c r="U192" s="108"/>
      <c r="V192" s="108"/>
      <c r="W192" s="108"/>
      <c r="X192" s="108"/>
      <c r="Y192" s="108"/>
      <c r="Z192" s="108"/>
    </row>
    <row r="193" ht="12.75" customHeight="1">
      <c r="A193" s="108"/>
      <c r="B193" s="108"/>
      <c r="C193" s="108"/>
      <c r="D193" s="108"/>
      <c r="E193" s="108"/>
      <c r="F193" s="63"/>
      <c r="G193" s="63"/>
      <c r="H193" s="108"/>
      <c r="I193" s="108"/>
      <c r="J193" s="108"/>
      <c r="K193" s="108"/>
      <c r="L193" s="108"/>
      <c r="M193" s="108"/>
      <c r="N193" s="108"/>
      <c r="O193" s="108"/>
      <c r="P193" s="108"/>
      <c r="Q193" s="108"/>
      <c r="R193" s="108"/>
      <c r="S193" s="108"/>
      <c r="T193" s="108"/>
      <c r="U193" s="108"/>
      <c r="V193" s="108"/>
      <c r="W193" s="108"/>
      <c r="X193" s="108"/>
      <c r="Y193" s="108"/>
      <c r="Z193" s="108"/>
    </row>
    <row r="194" ht="12.75" customHeight="1">
      <c r="A194" s="108"/>
      <c r="B194" s="108"/>
      <c r="C194" s="108"/>
      <c r="D194" s="108"/>
      <c r="E194" s="108"/>
      <c r="F194" s="63"/>
      <c r="G194" s="63"/>
      <c r="H194" s="108"/>
      <c r="I194" s="108"/>
      <c r="J194" s="108"/>
      <c r="K194" s="108"/>
      <c r="L194" s="108"/>
      <c r="M194" s="108"/>
      <c r="N194" s="108"/>
      <c r="O194" s="108"/>
      <c r="P194" s="108"/>
      <c r="Q194" s="108"/>
      <c r="R194" s="108"/>
      <c r="S194" s="108"/>
      <c r="T194" s="108"/>
      <c r="U194" s="108"/>
      <c r="V194" s="108"/>
      <c r="W194" s="108"/>
      <c r="X194" s="108"/>
      <c r="Y194" s="108"/>
      <c r="Z194" s="108"/>
    </row>
    <row r="195" ht="12.75" customHeight="1">
      <c r="A195" s="108"/>
      <c r="B195" s="108"/>
      <c r="C195" s="108"/>
      <c r="D195" s="108"/>
      <c r="E195" s="108"/>
      <c r="F195" s="63"/>
      <c r="G195" s="63"/>
      <c r="H195" s="108"/>
      <c r="I195" s="108"/>
      <c r="J195" s="108"/>
      <c r="K195" s="108"/>
      <c r="L195" s="108"/>
      <c r="M195" s="108"/>
      <c r="N195" s="108"/>
      <c r="O195" s="108"/>
      <c r="P195" s="108"/>
      <c r="Q195" s="108"/>
      <c r="R195" s="108"/>
      <c r="S195" s="108"/>
      <c r="T195" s="108"/>
      <c r="U195" s="108"/>
      <c r="V195" s="108"/>
      <c r="W195" s="108"/>
      <c r="X195" s="108"/>
      <c r="Y195" s="108"/>
      <c r="Z195" s="108"/>
    </row>
    <row r="196" ht="12.75" customHeight="1">
      <c r="A196" s="108"/>
      <c r="B196" s="108"/>
      <c r="C196" s="108"/>
      <c r="D196" s="108"/>
      <c r="E196" s="108"/>
      <c r="F196" s="63"/>
      <c r="G196" s="63"/>
      <c r="H196" s="108"/>
      <c r="I196" s="108"/>
      <c r="J196" s="108"/>
      <c r="K196" s="108"/>
      <c r="L196" s="108"/>
      <c r="M196" s="108"/>
      <c r="N196" s="108"/>
      <c r="O196" s="108"/>
      <c r="P196" s="108"/>
      <c r="Q196" s="108"/>
      <c r="R196" s="108"/>
      <c r="S196" s="108"/>
      <c r="T196" s="108"/>
      <c r="U196" s="108"/>
      <c r="V196" s="108"/>
      <c r="W196" s="108"/>
      <c r="X196" s="108"/>
      <c r="Y196" s="108"/>
      <c r="Z196" s="108"/>
    </row>
    <row r="197" ht="12.75" customHeight="1">
      <c r="A197" s="108"/>
      <c r="B197" s="108"/>
      <c r="C197" s="108"/>
      <c r="D197" s="108"/>
      <c r="E197" s="108"/>
      <c r="F197" s="63"/>
      <c r="G197" s="63"/>
      <c r="H197" s="108"/>
      <c r="I197" s="108"/>
      <c r="J197" s="108"/>
      <c r="K197" s="108"/>
      <c r="L197" s="108"/>
      <c r="M197" s="108"/>
      <c r="N197" s="108"/>
      <c r="O197" s="108"/>
      <c r="P197" s="108"/>
      <c r="Q197" s="108"/>
      <c r="R197" s="108"/>
      <c r="S197" s="108"/>
      <c r="T197" s="108"/>
      <c r="U197" s="108"/>
      <c r="V197" s="108"/>
      <c r="W197" s="108"/>
      <c r="X197" s="108"/>
      <c r="Y197" s="108"/>
      <c r="Z197" s="108"/>
    </row>
    <row r="198" ht="12.75" customHeight="1">
      <c r="A198" s="108"/>
      <c r="B198" s="108"/>
      <c r="C198" s="108"/>
      <c r="D198" s="108"/>
      <c r="E198" s="108"/>
      <c r="F198" s="63"/>
      <c r="G198" s="63"/>
      <c r="H198" s="108"/>
      <c r="I198" s="108"/>
      <c r="J198" s="108"/>
      <c r="K198" s="108"/>
      <c r="L198" s="108"/>
      <c r="M198" s="108"/>
      <c r="N198" s="108"/>
      <c r="O198" s="108"/>
      <c r="P198" s="108"/>
      <c r="Q198" s="108"/>
      <c r="R198" s="108"/>
      <c r="S198" s="108"/>
      <c r="T198" s="108"/>
      <c r="U198" s="108"/>
      <c r="V198" s="108"/>
      <c r="W198" s="108"/>
      <c r="X198" s="108"/>
      <c r="Y198" s="108"/>
      <c r="Z198" s="108"/>
    </row>
    <row r="199" ht="12.75" customHeight="1">
      <c r="A199" s="108"/>
      <c r="B199" s="108"/>
      <c r="C199" s="108"/>
      <c r="D199" s="108"/>
      <c r="E199" s="108"/>
      <c r="F199" s="63"/>
      <c r="G199" s="63"/>
      <c r="H199" s="108"/>
      <c r="I199" s="108"/>
      <c r="J199" s="108"/>
      <c r="K199" s="108"/>
      <c r="L199" s="108"/>
      <c r="M199" s="108"/>
      <c r="N199" s="108"/>
      <c r="O199" s="108"/>
      <c r="P199" s="108"/>
      <c r="Q199" s="108"/>
      <c r="R199" s="108"/>
      <c r="S199" s="108"/>
      <c r="T199" s="108"/>
      <c r="U199" s="108"/>
      <c r="V199" s="108"/>
      <c r="W199" s="108"/>
      <c r="X199" s="108"/>
      <c r="Y199" s="108"/>
      <c r="Z199" s="108"/>
    </row>
    <row r="200" ht="12.75" customHeight="1">
      <c r="A200" s="108"/>
      <c r="B200" s="108"/>
      <c r="C200" s="108"/>
      <c r="D200" s="108"/>
      <c r="E200" s="108"/>
      <c r="F200" s="63"/>
      <c r="G200" s="63"/>
      <c r="H200" s="108"/>
      <c r="I200" s="108"/>
      <c r="J200" s="108"/>
      <c r="K200" s="108"/>
      <c r="L200" s="108"/>
      <c r="M200" s="108"/>
      <c r="N200" s="108"/>
      <c r="O200" s="108"/>
      <c r="P200" s="108"/>
      <c r="Q200" s="108"/>
      <c r="R200" s="108"/>
      <c r="S200" s="108"/>
      <c r="T200" s="108"/>
      <c r="U200" s="108"/>
      <c r="V200" s="108"/>
      <c r="W200" s="108"/>
      <c r="X200" s="108"/>
      <c r="Y200" s="108"/>
      <c r="Z200" s="108"/>
    </row>
    <row r="201" ht="12.75" customHeight="1">
      <c r="A201" s="108"/>
      <c r="B201" s="108"/>
      <c r="C201" s="108"/>
      <c r="D201" s="108"/>
      <c r="E201" s="108"/>
      <c r="F201" s="63"/>
      <c r="G201" s="63"/>
      <c r="H201" s="108"/>
      <c r="I201" s="108"/>
      <c r="J201" s="108"/>
      <c r="K201" s="108"/>
      <c r="L201" s="108"/>
      <c r="M201" s="108"/>
      <c r="N201" s="108"/>
      <c r="O201" s="108"/>
      <c r="P201" s="108"/>
      <c r="Q201" s="108"/>
      <c r="R201" s="108"/>
      <c r="S201" s="108"/>
      <c r="T201" s="108"/>
      <c r="U201" s="108"/>
      <c r="V201" s="108"/>
      <c r="W201" s="108"/>
      <c r="X201" s="108"/>
      <c r="Y201" s="108"/>
      <c r="Z201" s="108"/>
    </row>
    <row r="202" ht="12.75" customHeight="1">
      <c r="A202" s="108"/>
      <c r="B202" s="108"/>
      <c r="C202" s="108"/>
      <c r="D202" s="108"/>
      <c r="E202" s="108"/>
      <c r="F202" s="63"/>
      <c r="G202" s="63"/>
      <c r="H202" s="108"/>
      <c r="I202" s="108"/>
      <c r="J202" s="108"/>
      <c r="K202" s="108"/>
      <c r="L202" s="108"/>
      <c r="M202" s="108"/>
      <c r="N202" s="108"/>
      <c r="O202" s="108"/>
      <c r="P202" s="108"/>
      <c r="Q202" s="108"/>
      <c r="R202" s="108"/>
      <c r="S202" s="108"/>
      <c r="T202" s="108"/>
      <c r="U202" s="108"/>
      <c r="V202" s="108"/>
      <c r="W202" s="108"/>
      <c r="X202" s="108"/>
      <c r="Y202" s="108"/>
      <c r="Z202" s="108"/>
    </row>
    <row r="203" ht="12.75" customHeight="1">
      <c r="A203" s="108"/>
      <c r="B203" s="108"/>
      <c r="C203" s="108"/>
      <c r="D203" s="108"/>
      <c r="E203" s="108"/>
      <c r="F203" s="63"/>
      <c r="G203" s="63"/>
      <c r="H203" s="108"/>
      <c r="I203" s="108"/>
      <c r="J203" s="108"/>
      <c r="K203" s="108"/>
      <c r="L203" s="108"/>
      <c r="M203" s="108"/>
      <c r="N203" s="108"/>
      <c r="O203" s="108"/>
      <c r="P203" s="108"/>
      <c r="Q203" s="108"/>
      <c r="R203" s="108"/>
      <c r="S203" s="108"/>
      <c r="T203" s="108"/>
      <c r="U203" s="108"/>
      <c r="V203" s="108"/>
      <c r="W203" s="108"/>
      <c r="X203" s="108"/>
      <c r="Y203" s="108"/>
      <c r="Z203" s="108"/>
    </row>
    <row r="204" ht="12.75" customHeight="1">
      <c r="A204" s="108"/>
      <c r="B204" s="108"/>
      <c r="C204" s="108"/>
      <c r="D204" s="108"/>
      <c r="E204" s="108"/>
      <c r="F204" s="63"/>
      <c r="G204" s="63"/>
      <c r="H204" s="108"/>
      <c r="I204" s="108"/>
      <c r="J204" s="108"/>
      <c r="K204" s="108"/>
      <c r="L204" s="108"/>
      <c r="M204" s="108"/>
      <c r="N204" s="108"/>
      <c r="O204" s="108"/>
      <c r="P204" s="108"/>
      <c r="Q204" s="108"/>
      <c r="R204" s="108"/>
      <c r="S204" s="108"/>
      <c r="T204" s="108"/>
      <c r="U204" s="108"/>
      <c r="V204" s="108"/>
      <c r="W204" s="108"/>
      <c r="X204" s="108"/>
      <c r="Y204" s="108"/>
      <c r="Z204" s="108"/>
    </row>
    <row r="205" ht="12.75" customHeight="1">
      <c r="A205" s="108"/>
      <c r="B205" s="108"/>
      <c r="C205" s="108"/>
      <c r="D205" s="108"/>
      <c r="E205" s="108"/>
      <c r="F205" s="63"/>
      <c r="G205" s="63"/>
      <c r="H205" s="108"/>
      <c r="I205" s="108"/>
      <c r="J205" s="108"/>
      <c r="K205" s="108"/>
      <c r="L205" s="108"/>
      <c r="M205" s="108"/>
      <c r="N205" s="108"/>
      <c r="O205" s="108"/>
      <c r="P205" s="108"/>
      <c r="Q205" s="108"/>
      <c r="R205" s="108"/>
      <c r="S205" s="108"/>
      <c r="T205" s="108"/>
      <c r="U205" s="108"/>
      <c r="V205" s="108"/>
      <c r="W205" s="108"/>
      <c r="X205" s="108"/>
      <c r="Y205" s="108"/>
      <c r="Z205" s="108"/>
    </row>
    <row r="206" ht="12.75" customHeight="1">
      <c r="A206" s="108"/>
      <c r="B206" s="108"/>
      <c r="C206" s="108"/>
      <c r="D206" s="108"/>
      <c r="E206" s="108"/>
      <c r="F206" s="63"/>
      <c r="G206" s="63"/>
      <c r="H206" s="108"/>
      <c r="I206" s="108"/>
      <c r="J206" s="108"/>
      <c r="K206" s="108"/>
      <c r="L206" s="108"/>
      <c r="M206" s="108"/>
      <c r="N206" s="108"/>
      <c r="O206" s="108"/>
      <c r="P206" s="108"/>
      <c r="Q206" s="108"/>
      <c r="R206" s="108"/>
      <c r="S206" s="108"/>
      <c r="T206" s="108"/>
      <c r="U206" s="108"/>
      <c r="V206" s="108"/>
      <c r="W206" s="108"/>
      <c r="X206" s="108"/>
      <c r="Y206" s="108"/>
      <c r="Z206" s="108"/>
    </row>
    <row r="207" ht="12.75" customHeight="1">
      <c r="A207" s="108"/>
      <c r="B207" s="108"/>
      <c r="C207" s="108"/>
      <c r="D207" s="108"/>
      <c r="E207" s="108"/>
      <c r="F207" s="63"/>
      <c r="G207" s="63"/>
      <c r="H207" s="108"/>
      <c r="I207" s="108"/>
      <c r="J207" s="108"/>
      <c r="K207" s="108"/>
      <c r="L207" s="108"/>
      <c r="M207" s="108"/>
      <c r="N207" s="108"/>
      <c r="O207" s="108"/>
      <c r="P207" s="108"/>
      <c r="Q207" s="108"/>
      <c r="R207" s="108"/>
      <c r="S207" s="108"/>
      <c r="T207" s="108"/>
      <c r="U207" s="108"/>
      <c r="V207" s="108"/>
      <c r="W207" s="108"/>
      <c r="X207" s="108"/>
      <c r="Y207" s="108"/>
      <c r="Z207" s="108"/>
    </row>
    <row r="208" ht="12.75" customHeight="1">
      <c r="A208" s="108"/>
      <c r="B208" s="108"/>
      <c r="C208" s="108"/>
      <c r="D208" s="108"/>
      <c r="E208" s="108"/>
      <c r="F208" s="63"/>
      <c r="G208" s="63"/>
      <c r="H208" s="108"/>
      <c r="I208" s="108"/>
      <c r="J208" s="108"/>
      <c r="K208" s="108"/>
      <c r="L208" s="108"/>
      <c r="M208" s="108"/>
      <c r="N208" s="108"/>
      <c r="O208" s="108"/>
      <c r="P208" s="108"/>
      <c r="Q208" s="108"/>
      <c r="R208" s="108"/>
      <c r="S208" s="108"/>
      <c r="T208" s="108"/>
      <c r="U208" s="108"/>
      <c r="V208" s="108"/>
      <c r="W208" s="108"/>
      <c r="X208" s="108"/>
      <c r="Y208" s="108"/>
      <c r="Z208" s="108"/>
    </row>
    <row r="209" ht="12.75" customHeight="1">
      <c r="A209" s="108"/>
      <c r="B209" s="108"/>
      <c r="C209" s="108"/>
      <c r="D209" s="108"/>
      <c r="E209" s="108"/>
      <c r="F209" s="63"/>
      <c r="G209" s="63"/>
      <c r="H209" s="108"/>
      <c r="I209" s="108"/>
      <c r="J209" s="108"/>
      <c r="K209" s="108"/>
      <c r="L209" s="108"/>
      <c r="M209" s="108"/>
      <c r="N209" s="108"/>
      <c r="O209" s="108"/>
      <c r="P209" s="108"/>
      <c r="Q209" s="108"/>
      <c r="R209" s="108"/>
      <c r="S209" s="108"/>
      <c r="T209" s="108"/>
      <c r="U209" s="108"/>
      <c r="V209" s="108"/>
      <c r="W209" s="108"/>
      <c r="X209" s="108"/>
      <c r="Y209" s="108"/>
      <c r="Z209" s="108"/>
    </row>
    <row r="210" ht="12.75" customHeight="1">
      <c r="A210" s="108"/>
      <c r="B210" s="108"/>
      <c r="C210" s="108"/>
      <c r="D210" s="108"/>
      <c r="E210" s="108"/>
      <c r="F210" s="63"/>
      <c r="G210" s="63"/>
      <c r="H210" s="108"/>
      <c r="I210" s="108"/>
      <c r="J210" s="108"/>
      <c r="K210" s="108"/>
      <c r="L210" s="108"/>
      <c r="M210" s="108"/>
      <c r="N210" s="108"/>
      <c r="O210" s="108"/>
      <c r="P210" s="108"/>
      <c r="Q210" s="108"/>
      <c r="R210" s="108"/>
      <c r="S210" s="108"/>
      <c r="T210" s="108"/>
      <c r="U210" s="108"/>
      <c r="V210" s="108"/>
      <c r="W210" s="108"/>
      <c r="X210" s="108"/>
      <c r="Y210" s="108"/>
      <c r="Z210" s="108"/>
    </row>
    <row r="211" ht="12.75" customHeight="1">
      <c r="A211" s="108"/>
      <c r="B211" s="108"/>
      <c r="C211" s="108"/>
      <c r="D211" s="108"/>
      <c r="E211" s="108"/>
      <c r="F211" s="63"/>
      <c r="G211" s="63"/>
      <c r="H211" s="108"/>
      <c r="I211" s="108"/>
      <c r="J211" s="108"/>
      <c r="K211" s="108"/>
      <c r="L211" s="108"/>
      <c r="M211" s="108"/>
      <c r="N211" s="108"/>
      <c r="O211" s="108"/>
      <c r="P211" s="108"/>
      <c r="Q211" s="108"/>
      <c r="R211" s="108"/>
      <c r="S211" s="108"/>
      <c r="T211" s="108"/>
      <c r="U211" s="108"/>
      <c r="V211" s="108"/>
      <c r="W211" s="108"/>
      <c r="X211" s="108"/>
      <c r="Y211" s="108"/>
      <c r="Z211" s="108"/>
    </row>
    <row r="212" ht="12.75" customHeight="1">
      <c r="A212" s="108"/>
      <c r="B212" s="108"/>
      <c r="C212" s="108"/>
      <c r="D212" s="108"/>
      <c r="E212" s="108"/>
      <c r="F212" s="63"/>
      <c r="G212" s="63"/>
      <c r="H212" s="108"/>
      <c r="I212" s="108"/>
      <c r="J212" s="108"/>
      <c r="K212" s="108"/>
      <c r="L212" s="108"/>
      <c r="M212" s="108"/>
      <c r="N212" s="108"/>
      <c r="O212" s="108"/>
      <c r="P212" s="108"/>
      <c r="Q212" s="108"/>
      <c r="R212" s="108"/>
      <c r="S212" s="108"/>
      <c r="T212" s="108"/>
      <c r="U212" s="108"/>
      <c r="V212" s="108"/>
      <c r="W212" s="108"/>
      <c r="X212" s="108"/>
      <c r="Y212" s="108"/>
      <c r="Z212" s="108"/>
    </row>
    <row r="213" ht="12.75" customHeight="1">
      <c r="A213" s="108"/>
      <c r="B213" s="108"/>
      <c r="C213" s="108"/>
      <c r="D213" s="108"/>
      <c r="E213" s="108"/>
      <c r="F213" s="63"/>
      <c r="G213" s="63"/>
      <c r="H213" s="108"/>
      <c r="I213" s="108"/>
      <c r="J213" s="108"/>
      <c r="K213" s="108"/>
      <c r="L213" s="108"/>
      <c r="M213" s="108"/>
      <c r="N213" s="108"/>
      <c r="O213" s="108"/>
      <c r="P213" s="108"/>
      <c r="Q213" s="108"/>
      <c r="R213" s="108"/>
      <c r="S213" s="108"/>
      <c r="T213" s="108"/>
      <c r="U213" s="108"/>
      <c r="V213" s="108"/>
      <c r="W213" s="108"/>
      <c r="X213" s="108"/>
      <c r="Y213" s="108"/>
      <c r="Z213" s="108"/>
    </row>
    <row r="214" ht="12.75" customHeight="1">
      <c r="A214" s="108"/>
      <c r="B214" s="108"/>
      <c r="C214" s="108"/>
      <c r="D214" s="108"/>
      <c r="E214" s="108"/>
      <c r="F214" s="63"/>
      <c r="G214" s="63"/>
      <c r="H214" s="108"/>
      <c r="I214" s="108"/>
      <c r="J214" s="108"/>
      <c r="K214" s="108"/>
      <c r="L214" s="108"/>
      <c r="M214" s="108"/>
      <c r="N214" s="108"/>
      <c r="O214" s="108"/>
      <c r="P214" s="108"/>
      <c r="Q214" s="108"/>
      <c r="R214" s="108"/>
      <c r="S214" s="108"/>
      <c r="T214" s="108"/>
      <c r="U214" s="108"/>
      <c r="V214" s="108"/>
      <c r="W214" s="108"/>
      <c r="X214" s="108"/>
      <c r="Y214" s="108"/>
      <c r="Z214" s="108"/>
    </row>
    <row r="215" ht="12.75" customHeight="1">
      <c r="A215" s="108"/>
      <c r="B215" s="108"/>
      <c r="C215" s="108"/>
      <c r="D215" s="108"/>
      <c r="E215" s="108"/>
      <c r="F215" s="63"/>
      <c r="G215" s="63"/>
      <c r="H215" s="108"/>
      <c r="I215" s="108"/>
      <c r="J215" s="108"/>
      <c r="K215" s="108"/>
      <c r="L215" s="108"/>
      <c r="M215" s="108"/>
      <c r="N215" s="108"/>
      <c r="O215" s="108"/>
      <c r="P215" s="108"/>
      <c r="Q215" s="108"/>
      <c r="R215" s="108"/>
      <c r="S215" s="108"/>
      <c r="T215" s="108"/>
      <c r="U215" s="108"/>
      <c r="V215" s="108"/>
      <c r="W215" s="108"/>
      <c r="X215" s="108"/>
      <c r="Y215" s="108"/>
      <c r="Z215" s="108"/>
    </row>
    <row r="216" ht="12.75" customHeight="1">
      <c r="A216" s="108"/>
      <c r="B216" s="108"/>
      <c r="C216" s="108"/>
      <c r="D216" s="108"/>
      <c r="E216" s="108"/>
      <c r="F216" s="63"/>
      <c r="G216" s="63"/>
      <c r="H216" s="108"/>
      <c r="I216" s="108"/>
      <c r="J216" s="108"/>
      <c r="K216" s="108"/>
      <c r="L216" s="108"/>
      <c r="M216" s="108"/>
      <c r="N216" s="108"/>
      <c r="O216" s="108"/>
      <c r="P216" s="108"/>
      <c r="Q216" s="108"/>
      <c r="R216" s="108"/>
      <c r="S216" s="108"/>
      <c r="T216" s="108"/>
      <c r="U216" s="108"/>
      <c r="V216" s="108"/>
      <c r="W216" s="108"/>
      <c r="X216" s="108"/>
      <c r="Y216" s="108"/>
      <c r="Z216" s="108"/>
    </row>
    <row r="217" ht="12.75" customHeight="1">
      <c r="A217" s="108"/>
      <c r="B217" s="108"/>
      <c r="C217" s="108"/>
      <c r="D217" s="108"/>
      <c r="E217" s="108"/>
      <c r="F217" s="63"/>
      <c r="G217" s="63"/>
      <c r="H217" s="108"/>
      <c r="I217" s="108"/>
      <c r="J217" s="108"/>
      <c r="K217" s="108"/>
      <c r="L217" s="108"/>
      <c r="M217" s="108"/>
      <c r="N217" s="108"/>
      <c r="O217" s="108"/>
      <c r="P217" s="108"/>
      <c r="Q217" s="108"/>
      <c r="R217" s="108"/>
      <c r="S217" s="108"/>
      <c r="T217" s="108"/>
      <c r="U217" s="108"/>
      <c r="V217" s="108"/>
      <c r="W217" s="108"/>
      <c r="X217" s="108"/>
      <c r="Y217" s="108"/>
      <c r="Z217" s="108"/>
    </row>
    <row r="218" ht="12.75" customHeight="1">
      <c r="A218" s="108"/>
      <c r="B218" s="108"/>
      <c r="C218" s="108"/>
      <c r="D218" s="108"/>
      <c r="E218" s="108"/>
      <c r="F218" s="63"/>
      <c r="G218" s="63"/>
      <c r="H218" s="108"/>
      <c r="I218" s="108"/>
      <c r="J218" s="108"/>
      <c r="K218" s="108"/>
      <c r="L218" s="108"/>
      <c r="M218" s="108"/>
      <c r="N218" s="108"/>
      <c r="O218" s="108"/>
      <c r="P218" s="108"/>
      <c r="Q218" s="108"/>
      <c r="R218" s="108"/>
      <c r="S218" s="108"/>
      <c r="T218" s="108"/>
      <c r="U218" s="108"/>
      <c r="V218" s="108"/>
      <c r="W218" s="108"/>
      <c r="X218" s="108"/>
      <c r="Y218" s="108"/>
      <c r="Z218" s="108"/>
    </row>
    <row r="219" ht="12.75" customHeight="1">
      <c r="A219" s="108"/>
      <c r="B219" s="108"/>
      <c r="C219" s="108"/>
      <c r="D219" s="108"/>
      <c r="E219" s="108"/>
      <c r="F219" s="63"/>
      <c r="G219" s="63"/>
      <c r="H219" s="108"/>
      <c r="I219" s="108"/>
      <c r="J219" s="108"/>
      <c r="K219" s="108"/>
      <c r="L219" s="108"/>
      <c r="M219" s="108"/>
      <c r="N219" s="108"/>
      <c r="O219" s="108"/>
      <c r="P219" s="108"/>
      <c r="Q219" s="108"/>
      <c r="R219" s="108"/>
      <c r="S219" s="108"/>
      <c r="T219" s="108"/>
      <c r="U219" s="108"/>
      <c r="V219" s="108"/>
      <c r="W219" s="108"/>
      <c r="X219" s="108"/>
      <c r="Y219" s="108"/>
      <c r="Z219" s="108"/>
    </row>
    <row r="220" ht="12.75" customHeight="1">
      <c r="A220" s="108"/>
      <c r="B220" s="108"/>
      <c r="C220" s="108"/>
      <c r="D220" s="108"/>
      <c r="E220" s="108"/>
      <c r="F220" s="63"/>
      <c r="G220" s="63"/>
      <c r="H220" s="108"/>
      <c r="I220" s="108"/>
      <c r="J220" s="108"/>
      <c r="K220" s="108"/>
      <c r="L220" s="108"/>
      <c r="M220" s="108"/>
      <c r="N220" s="108"/>
      <c r="O220" s="108"/>
      <c r="P220" s="108"/>
      <c r="Q220" s="108"/>
      <c r="R220" s="108"/>
      <c r="S220" s="108"/>
      <c r="T220" s="108"/>
      <c r="U220" s="108"/>
      <c r="V220" s="108"/>
      <c r="W220" s="108"/>
      <c r="X220" s="108"/>
      <c r="Y220" s="108"/>
      <c r="Z220" s="108"/>
    </row>
    <row r="221" ht="12.75" customHeight="1">
      <c r="A221" s="108"/>
      <c r="B221" s="108"/>
      <c r="C221" s="108"/>
      <c r="D221" s="108"/>
      <c r="E221" s="108"/>
      <c r="F221" s="63"/>
      <c r="G221" s="63"/>
      <c r="H221" s="108"/>
      <c r="I221" s="108"/>
      <c r="J221" s="108"/>
      <c r="K221" s="108"/>
      <c r="L221" s="108"/>
      <c r="M221" s="108"/>
      <c r="N221" s="108"/>
      <c r="O221" s="108"/>
      <c r="P221" s="108"/>
      <c r="Q221" s="108"/>
      <c r="R221" s="108"/>
      <c r="S221" s="108"/>
      <c r="T221" s="108"/>
      <c r="U221" s="108"/>
      <c r="V221" s="108"/>
      <c r="W221" s="108"/>
      <c r="X221" s="108"/>
      <c r="Y221" s="108"/>
      <c r="Z221" s="108"/>
    </row>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mergeCells count="10">
    <mergeCell ref="C19:D19"/>
    <mergeCell ref="C20:D20"/>
    <mergeCell ref="C21:D21"/>
    <mergeCell ref="C12:D12"/>
    <mergeCell ref="C13:D13"/>
    <mergeCell ref="C14:D14"/>
    <mergeCell ref="C15:D15"/>
    <mergeCell ref="C16:D16"/>
    <mergeCell ref="C17:D17"/>
    <mergeCell ref="C18:D18"/>
  </mergeCells>
  <dataValidations>
    <dataValidation type="decimal" allowBlank="1" showErrorMessage="1" sqref="F13:F20">
      <formula1>0.0</formula1>
      <formula2>50.0</formula2>
    </dataValidation>
  </dataValidation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4A3B8"/>
    <pageSetUpPr/>
  </sheetPr>
  <sheetViews>
    <sheetView showGridLines="0" workbookViewId="0"/>
  </sheetViews>
  <sheetFormatPr customHeight="1" defaultColWidth="12.63" defaultRowHeight="15.0"/>
  <cols>
    <col customWidth="1" min="1" max="1" width="17.38"/>
    <col customWidth="1" min="2" max="2" width="49.0"/>
    <col customWidth="1" min="3" max="3" width="27.38"/>
    <col customWidth="1" min="4" max="4" width="15.0"/>
    <col customWidth="1" min="5" max="5" width="26.5"/>
    <col customWidth="1" min="6" max="7" width="15.0"/>
    <col customWidth="1" min="8" max="26" width="9.13"/>
  </cols>
  <sheetData>
    <row r="1" ht="12.75" customHeight="1">
      <c r="A1" s="105" t="s">
        <v>260</v>
      </c>
      <c r="B1" s="77" t="s">
        <v>30</v>
      </c>
      <c r="C1" s="78"/>
      <c r="D1" s="78"/>
      <c r="E1" s="64"/>
      <c r="F1" s="63"/>
      <c r="G1" s="63"/>
      <c r="H1" s="64"/>
      <c r="I1" s="64"/>
      <c r="J1" s="64"/>
      <c r="K1" s="64"/>
      <c r="L1" s="64"/>
      <c r="M1" s="64"/>
      <c r="N1" s="64"/>
      <c r="O1" s="64"/>
      <c r="P1" s="64"/>
      <c r="Q1" s="64"/>
      <c r="R1" s="64"/>
      <c r="S1" s="64"/>
      <c r="T1" s="64"/>
      <c r="U1" s="64"/>
      <c r="V1" s="64"/>
      <c r="W1" s="64"/>
      <c r="X1" s="64"/>
      <c r="Y1" s="64"/>
      <c r="Z1" s="64"/>
    </row>
    <row r="2" ht="12.75" customHeight="1">
      <c r="A2" s="110" t="s">
        <v>5</v>
      </c>
      <c r="B2" s="62" t="str">
        <f t="array" ref="B2">IFERROR(INDEX(Sessions!$C$2:$C$173,MATCH($B$1,Sessions!$B$2:$B$173,0))&amp;"","")</f>
        <v>Natural Language, Computer Vision, and Multimodal AI</v>
      </c>
      <c r="C2" s="64"/>
      <c r="D2" s="64"/>
      <c r="E2" s="64"/>
      <c r="F2" s="63"/>
      <c r="G2" s="63"/>
      <c r="H2" s="64"/>
      <c r="I2" s="64"/>
      <c r="J2" s="64"/>
      <c r="K2" s="64"/>
      <c r="L2" s="64"/>
      <c r="M2" s="64"/>
      <c r="N2" s="64"/>
      <c r="O2" s="64"/>
      <c r="P2" s="64"/>
      <c r="Q2" s="64"/>
      <c r="R2" s="64"/>
      <c r="S2" s="64"/>
      <c r="T2" s="64"/>
      <c r="U2" s="64"/>
      <c r="V2" s="64"/>
      <c r="W2" s="64"/>
      <c r="X2" s="64"/>
      <c r="Y2" s="64"/>
      <c r="Z2" s="64"/>
    </row>
    <row r="3" ht="12.75" customHeight="1">
      <c r="A3" s="112" t="s">
        <v>704</v>
      </c>
      <c r="B3" s="86" t="str">
        <f>IF(LEFT($B$1,2)="T1",Schedule!$A$4&amp;", "&amp;Schedule!$A$10,IF(LEFT($B$1,2)="T2",Schedule!$A$4&amp;", "&amp;Schedule!$A$12,IF(LEFT($B$1,2)="T3",Schedule!$A$4&amp;", "&amp;#REF!,IF(LEFT($B$1,2)="T4",Schedule!$A$16&amp;", "&amp;Schedule!$A$18,IF($B$1="Keynote 1",Schedule!$A$4&amp;", "&amp;Schedule!$A$8,IF($B$1="Keynote 2",Schedule!$A$4&amp;", "&amp;Schedule!$A$13,IF($B$1="Keynote 3",Schedule!$A$16&amp;", "&amp;Schedule!$A$19,IF($B$1="IEEE Workshop",Schedule!$A$16&amp;", "&amp;#REF!,""))))))))</f>
        <v>Day 1, 11:40-12:40</v>
      </c>
      <c r="C3" s="80"/>
      <c r="D3" s="80"/>
      <c r="E3" s="64"/>
      <c r="F3" s="63"/>
      <c r="G3" s="63"/>
      <c r="H3" s="64"/>
      <c r="I3" s="64"/>
      <c r="J3" s="64"/>
      <c r="K3" s="64"/>
      <c r="L3" s="64"/>
      <c r="M3" s="64"/>
      <c r="N3" s="64"/>
      <c r="O3" s="64"/>
      <c r="P3" s="64"/>
      <c r="Q3" s="64"/>
      <c r="R3" s="64"/>
      <c r="S3" s="64"/>
      <c r="T3" s="64"/>
      <c r="U3" s="64"/>
      <c r="V3" s="64"/>
      <c r="W3" s="64"/>
      <c r="X3" s="64"/>
      <c r="Y3" s="64"/>
      <c r="Z3" s="64"/>
    </row>
    <row r="4" ht="12.75" customHeight="1">
      <c r="A4" s="112" t="s">
        <v>11</v>
      </c>
      <c r="B4" s="115" t="s">
        <v>32</v>
      </c>
      <c r="C4" s="80"/>
      <c r="D4" s="80"/>
      <c r="E4" s="64"/>
      <c r="F4" s="63"/>
      <c r="G4" s="63"/>
      <c r="H4" s="64"/>
      <c r="I4" s="64"/>
      <c r="J4" s="64"/>
      <c r="K4" s="64"/>
      <c r="L4" s="64"/>
      <c r="M4" s="64"/>
      <c r="N4" s="64"/>
      <c r="O4" s="64"/>
      <c r="P4" s="64"/>
      <c r="Q4" s="64"/>
      <c r="R4" s="64"/>
      <c r="S4" s="64"/>
      <c r="T4" s="64"/>
      <c r="U4" s="64"/>
      <c r="V4" s="64"/>
      <c r="W4" s="64"/>
      <c r="X4" s="64"/>
      <c r="Y4" s="64"/>
      <c r="Z4" s="64"/>
    </row>
    <row r="5" ht="12.75" customHeight="1">
      <c r="A5" s="112" t="s">
        <v>707</v>
      </c>
      <c r="B5" s="86" t="str">
        <f t="array" ref="B5">IFERROR(INDEX(Chairs!$J$2:$J$359,MATCH(1,INDEX((Chairs!$K$2:$K$359=$B$1)*(Chairs!$N$2:$N$359=1),0),0)),"")</f>
        <v>Prof. Dr. Kamruddin Nur</v>
      </c>
      <c r="C5" s="86" t="str">
        <f t="array" ref="C5">IFERROR(INDEX(Chairs!$L$2:$L$359,MATCH(1,INDEX((Chairs!$K$2:$K$359=$B$1)*(Chairs!$N$2:$N$359=1),0),0))&amp;"","")</f>
        <v>kamruddin.nur@gmail.com</v>
      </c>
      <c r="D5" s="86" t="str">
        <f t="array" ref="D5">IFERROR(INDEX(Chairs!$M$2:$M$359,MATCH(1,INDEX((Chairs!$K$2:$K$359=$B$1)*(Chairs!$N$2:$N$359=1),0),0))&amp;"","")</f>
        <v>01777354323</v>
      </c>
      <c r="E5" s="64"/>
      <c r="F5" s="63"/>
      <c r="G5" s="63"/>
      <c r="H5" s="64"/>
      <c r="I5" s="64"/>
      <c r="J5" s="64"/>
      <c r="K5" s="64"/>
      <c r="L5" s="64"/>
      <c r="M5" s="64"/>
      <c r="N5" s="64"/>
      <c r="O5" s="64"/>
      <c r="P5" s="64"/>
      <c r="Q5" s="64"/>
      <c r="R5" s="64"/>
      <c r="S5" s="64"/>
      <c r="T5" s="64"/>
      <c r="U5" s="64"/>
      <c r="V5" s="64"/>
      <c r="W5" s="64"/>
      <c r="X5" s="64"/>
      <c r="Y5" s="64"/>
      <c r="Z5" s="64"/>
    </row>
    <row r="6" ht="12.75" customHeight="1">
      <c r="A6" s="114" t="s">
        <v>726</v>
      </c>
      <c r="B6" s="118" t="s">
        <v>298</v>
      </c>
      <c r="C6" s="118" t="s">
        <v>299</v>
      </c>
      <c r="D6" s="116">
        <v>1.815657346E9</v>
      </c>
      <c r="E6" s="64"/>
      <c r="F6" s="63"/>
      <c r="G6" s="63"/>
      <c r="H6" s="64"/>
      <c r="I6" s="64"/>
      <c r="J6" s="64"/>
      <c r="K6" s="64"/>
      <c r="L6" s="64"/>
      <c r="M6" s="64"/>
      <c r="N6" s="64"/>
      <c r="O6" s="64"/>
      <c r="P6" s="64"/>
      <c r="Q6" s="64"/>
      <c r="R6" s="64"/>
      <c r="S6" s="64"/>
      <c r="T6" s="64"/>
      <c r="U6" s="64"/>
      <c r="V6" s="64"/>
      <c r="W6" s="64"/>
      <c r="X6" s="64"/>
      <c r="Y6" s="64"/>
      <c r="Z6" s="64"/>
    </row>
    <row r="7" ht="12.75" customHeight="1">
      <c r="A7" s="112" t="s">
        <v>709</v>
      </c>
      <c r="B7" s="86" t="str">
        <f t="array" ref="B7">IFERROR(INDEX('Senior Faculty'!$J$2:$J$401,MATCH(1,INDEX(('Senior Faculty'!$K$2:$K$401=$B$1)*('Senior Faculty'!$N$2:$N$401=1),0),0)),"")</f>
        <v>Dr. Al Amin Sheikh</v>
      </c>
      <c r="C7" s="86" t="str">
        <f t="array" ref="C7">IFERROR(INDEX('Senior Faculty'!$L$2:$L$401,MATCH(1,INDEX(('Senior Faculty'!$K$2:$K$401=$B$1)*('Senior Faculty'!$N$2:$N$401=1),0),0))&amp;"","")</f>
        <v>taskia.khatun@ulab.edu.bd</v>
      </c>
      <c r="D7" s="86" t="str">
        <f t="array" ref="D7">IFERROR(INDEX('Senior Faculty'!$M$2:$M$401,MATCH(1,INDEX(('Senior Faculty'!$K$2:$K$401=$B$1)*('Senior Faculty'!$N$2:$N$401=1),0),0))&amp;"","")</f>
        <v>01701564663</v>
      </c>
      <c r="E7" s="64"/>
      <c r="F7" s="63"/>
      <c r="G7" s="63"/>
      <c r="H7" s="64"/>
      <c r="I7" s="64"/>
      <c r="J7" s="64"/>
      <c r="K7" s="64"/>
      <c r="L7" s="64"/>
      <c r="M7" s="64"/>
      <c r="N7" s="64"/>
      <c r="O7" s="64"/>
      <c r="P7" s="64"/>
      <c r="Q7" s="64"/>
      <c r="R7" s="64"/>
      <c r="S7" s="64"/>
      <c r="T7" s="64"/>
      <c r="U7" s="64"/>
      <c r="V7" s="64"/>
      <c r="W7" s="64"/>
      <c r="X7" s="64"/>
      <c r="Y7" s="64"/>
      <c r="Z7" s="64"/>
    </row>
    <row r="8" ht="12.75" customHeight="1">
      <c r="A8" s="112" t="s">
        <v>713</v>
      </c>
      <c r="B8" s="86" t="str">
        <f t="array" ref="B8">IFERROR(INDEX('Junior Faculty'!$J$2:$J$401,MATCH(1,INDEX(('Junior Faculty'!$K$2:$K$401=$B$1)*('Junior Faculty'!$N$2:$N$401=1),0),0)),"")</f>
        <v>Nazmul Abdal</v>
      </c>
      <c r="C8" s="86" t="str">
        <f t="array" ref="C8">IFERROR(INDEX('Junior Faculty'!$L$2:$L$401,MATCH(1,INDEX(('Junior Faculty'!$K$2:$K$401=$B$1)*('Junior Faculty'!$N$2:$N$401=1),0),0))&amp;"","")</f>
        <v>nazmul.abdal@ulab.edu.bd</v>
      </c>
      <c r="D8" s="86" t="str">
        <f t="array" ref="D8">IFERROR(INDEX('Junior Faculty'!$M$2:$M$401,MATCH(1,INDEX(('Junior Faculty'!$K$2:$K$401=$B$1)*('Junior Faculty'!$N$2:$N$401=1),0),0))&amp;"","")</f>
        <v>01752813855</v>
      </c>
      <c r="E8" s="64"/>
      <c r="F8" s="63"/>
      <c r="G8" s="63"/>
      <c r="H8" s="64"/>
      <c r="I8" s="64"/>
      <c r="J8" s="64"/>
      <c r="K8" s="64"/>
      <c r="L8" s="64"/>
      <c r="M8" s="64"/>
      <c r="N8" s="64"/>
      <c r="O8" s="64"/>
      <c r="P8" s="64"/>
      <c r="Q8" s="64"/>
      <c r="R8" s="64"/>
      <c r="S8" s="64"/>
      <c r="T8" s="64"/>
      <c r="U8" s="64"/>
      <c r="V8" s="64"/>
      <c r="W8" s="64"/>
      <c r="X8" s="64"/>
      <c r="Y8" s="64"/>
      <c r="Z8" s="64"/>
    </row>
    <row r="9" ht="12.75" customHeight="1">
      <c r="A9" s="119" t="s">
        <v>714</v>
      </c>
      <c r="B9" s="95" t="str">
        <f t="array" ref="B9">IFERROR(INDEX('Junior Faculty'!$J$2:$J$401,MATCH(1,INDEX(('Junior Faculty'!$K$2:$K$401=$B$1)*('Junior Faculty'!$N$2:$N$401=2),0),0)),"")</f>
        <v>Foysal Ahmed</v>
      </c>
      <c r="C9" s="95" t="str">
        <f t="array" ref="C9">IFERROR(INDEX('Junior Faculty'!$L$2:$L$401,MATCH(1,INDEX(('Junior Faculty'!$K$2:$K$401=$B$1)*('Junior Faculty'!$N$2:$N$401=2),0),0))&amp;"","")</f>
        <v>foysal.ahmed@ulab.edu.bd</v>
      </c>
      <c r="D9" s="95" t="str">
        <f t="array" ref="D9">IFERROR(INDEX('Junior Faculty'!$M$2:$M$401,MATCH(1,INDEX(('Junior Faculty'!$K$2:$K$401=$B$1)*('Junior Faculty'!$N$2:$N$401=2),0),0))&amp;"","")</f>
        <v>01632917360</v>
      </c>
      <c r="E9" s="64"/>
      <c r="F9" s="63"/>
      <c r="G9" s="63"/>
      <c r="H9" s="64"/>
      <c r="I9" s="64"/>
      <c r="J9" s="64"/>
      <c r="K9" s="64"/>
      <c r="L9" s="64"/>
      <c r="M9" s="64"/>
      <c r="N9" s="64"/>
      <c r="O9" s="64"/>
      <c r="P9" s="64"/>
      <c r="Q9" s="64"/>
      <c r="R9" s="64"/>
      <c r="S9" s="64"/>
      <c r="T9" s="64"/>
      <c r="U9" s="64"/>
      <c r="V9" s="64"/>
      <c r="W9" s="64"/>
      <c r="X9" s="64"/>
      <c r="Y9" s="64"/>
      <c r="Z9" s="64"/>
    </row>
    <row r="10" ht="12.75" customHeight="1">
      <c r="A10" s="108"/>
      <c r="B10" s="64"/>
      <c r="C10" s="64"/>
      <c r="D10" s="64"/>
      <c r="E10" s="64"/>
      <c r="F10" s="63"/>
      <c r="G10" s="63"/>
      <c r="H10" s="64"/>
      <c r="I10" s="64"/>
      <c r="J10" s="64"/>
      <c r="K10" s="64"/>
      <c r="L10" s="64"/>
      <c r="M10" s="64"/>
      <c r="N10" s="64"/>
      <c r="O10" s="64"/>
      <c r="P10" s="64"/>
      <c r="Q10" s="64"/>
      <c r="R10" s="64"/>
      <c r="S10" s="64"/>
      <c r="T10" s="64"/>
      <c r="U10" s="64"/>
      <c r="V10" s="64"/>
      <c r="W10" s="64"/>
      <c r="X10" s="64"/>
      <c r="Y10" s="64"/>
      <c r="Z10" s="64"/>
    </row>
    <row r="11" ht="12.75" customHeight="1">
      <c r="A11" s="121" t="s">
        <v>727</v>
      </c>
      <c r="B11" s="86"/>
      <c r="C11" s="86"/>
      <c r="D11" s="86"/>
      <c r="E11" s="64"/>
      <c r="F11" s="63"/>
      <c r="G11" s="63"/>
      <c r="H11" s="64"/>
      <c r="I11" s="64"/>
      <c r="J11" s="64"/>
      <c r="K11" s="64"/>
      <c r="L11" s="64"/>
      <c r="M11" s="64"/>
      <c r="N11" s="64"/>
      <c r="O11" s="64"/>
      <c r="P11" s="64"/>
      <c r="Q11" s="64"/>
      <c r="R11" s="64"/>
      <c r="S11" s="64"/>
      <c r="T11" s="64"/>
      <c r="U11" s="64"/>
      <c r="V11" s="64"/>
      <c r="W11" s="64"/>
      <c r="X11" s="64"/>
      <c r="Y11" s="64"/>
      <c r="Z11" s="64"/>
    </row>
    <row r="12" ht="15.0" customHeight="1">
      <c r="A12" s="122" t="s">
        <v>174</v>
      </c>
      <c r="B12" s="122" t="s">
        <v>256</v>
      </c>
      <c r="C12" s="123" t="s">
        <v>257</v>
      </c>
      <c r="D12" s="124"/>
      <c r="E12" s="61" t="s">
        <v>258</v>
      </c>
      <c r="F12" s="60" t="s">
        <v>265</v>
      </c>
      <c r="G12" s="64"/>
      <c r="H12" s="64"/>
      <c r="I12" s="64"/>
      <c r="J12" s="64"/>
      <c r="K12" s="64"/>
      <c r="L12" s="64"/>
      <c r="M12" s="64"/>
      <c r="N12" s="64"/>
      <c r="O12" s="64"/>
      <c r="P12" s="64"/>
      <c r="Q12" s="64"/>
      <c r="R12" s="64"/>
      <c r="S12" s="64"/>
      <c r="T12" s="64"/>
      <c r="U12" s="64"/>
      <c r="V12" s="64"/>
      <c r="W12" s="64"/>
      <c r="X12" s="64"/>
      <c r="Y12" s="64"/>
      <c r="Z12" s="64"/>
    </row>
    <row r="13" ht="12.75" customHeight="1">
      <c r="A13" s="113">
        <f t="array" ref="A13">IFERROR(INDEX(Papers!$A$2:$A$201,MATCH(1,INDEX((Papers!$G$2:$G$201=$B$1)*(Papers!$I$2:$I$201=1),0),0)),"")</f>
        <v>94</v>
      </c>
      <c r="B13" s="113" t="str">
        <f t="array" ref="B13">IFERROR(INDEX(Papers!$C$2:$C$201,MATCH(1,INDEX((Papers!$G$2:$G$201=$B$1)*(Papers!$I$2:$I$201=1),0),0)),"")</f>
        <v>TaxNet-Bangladesh: Building a Domain-Specific Tax Question-Answering System for Businesses in Bangladesh</v>
      </c>
      <c r="C13" s="113" t="str">
        <f t="array" ref="C13">IFERROR(INDEX(Papers!$D$2:$D$201,MATCH(1,INDEX((Papers!$G$2:$G$201=$B$1)*(Papers!$I$2:$I$201=1),0),0)),"")</f>
        <v>Raihan  Kibria (University of Liberal Arts Bangladesh)*; Noshin  Tabassum (University of Liberal Arts Bangladesh); Md. Nadimul Islam (University of Liberal Arts Bangladesh); Jannatul Ferdous Badhon (University of Liberal Arts Bangladesh); Monira Akter (University of Liberal Arts Bangladesh); MD KAVIUL HOSSAIN (University of Liberal Arts Bangladesh)</v>
      </c>
      <c r="D13" s="125"/>
      <c r="E13" s="86" t="str">
        <f t="array" ref="E13">IFERROR(INDEX(Papers!$E$2:$E$201,MATCH(1,INDEX((Papers!$G$2:$G$201=$B$1)*(Papers!$I$2:$I$201=1),0),0)),"")</f>
        <v>raihan.kibria@ulab.edu.bd; noshin.tabassum.cse@ulab.edu.bd; nadimul.islam.cse@ulab.edu.bd; jannatul.ferdous3.cse@ulab.edu.bd; monira.akter.cse@ulab.edu.bd; kaviul.hossain@ulab.edu.bd</v>
      </c>
      <c r="F13" s="67"/>
      <c r="G13" s="64"/>
      <c r="H13" s="64"/>
      <c r="I13" s="64"/>
      <c r="J13" s="64"/>
      <c r="K13" s="64"/>
      <c r="L13" s="64"/>
      <c r="M13" s="64"/>
      <c r="N13" s="64"/>
      <c r="O13" s="64"/>
      <c r="P13" s="64"/>
      <c r="Q13" s="64"/>
      <c r="R13" s="64"/>
      <c r="S13" s="64"/>
      <c r="T13" s="64"/>
      <c r="U13" s="64"/>
      <c r="V13" s="64"/>
      <c r="W13" s="64"/>
      <c r="X13" s="64"/>
      <c r="Y13" s="64"/>
      <c r="Z13" s="64"/>
    </row>
    <row r="14" ht="12.75" customHeight="1">
      <c r="A14" s="113">
        <f t="array" ref="A14">IFERROR(INDEX(Papers!$A$2:$A$201,MATCH(1,INDEX((Papers!$G$2:$G$201=$B$1)*(Papers!$I$2:$I$201=2),0),0)),"")</f>
        <v>162</v>
      </c>
      <c r="B14" s="113" t="str">
        <f t="array" ref="B14">IFERROR(INDEX(Papers!$C$2:$C$201,MATCH(1,INDEX((Papers!$G$2:$G$201=$B$1)*(Papers!$I$2:$I$201=2),0),0)),"")</f>
        <v>Distributed Transformer Inference for Sentiment Analysis: An HTCondor and DAGMan-Based Workflow Approach on AWS</v>
      </c>
      <c r="C14" s="113" t="str">
        <f t="array" ref="C14">IFERROR(INDEX(Papers!$D$2:$D$201,MATCH(1,INDEX((Papers!$G$2:$G$201=$B$1)*(Papers!$I$2:$I$201=2),0),0)),"")</f>
        <v>MD KAVIUL HOSSAIN (University of Liberal Arts Bangladesh); Nasir Uddin Ahmed (University of Liberal Arts Bangladesh)*; Fatema  Khan (University of Liberal Arts Bangladesh)</v>
      </c>
      <c r="D14" s="125"/>
      <c r="E14" s="86" t="str">
        <f t="array" ref="E14">IFERROR(INDEX(Papers!$E$2:$E$201,MATCH(1,INDEX((Papers!$G$2:$G$201=$B$1)*(Papers!$I$2:$I$201=2),0),0)),"")</f>
        <v>kaviul.hossain@ulab.edu.bd; nasir.uddin1@ulab.edu.bd; fatema.khan@ulab.edu.bd</v>
      </c>
      <c r="F14" s="67"/>
      <c r="G14" s="64"/>
      <c r="H14" s="64"/>
      <c r="I14" s="64"/>
      <c r="J14" s="64"/>
      <c r="K14" s="64"/>
      <c r="L14" s="64"/>
      <c r="M14" s="64"/>
      <c r="N14" s="64"/>
      <c r="O14" s="64"/>
      <c r="P14" s="64"/>
      <c r="Q14" s="64"/>
      <c r="R14" s="64"/>
      <c r="S14" s="64"/>
      <c r="T14" s="64"/>
      <c r="U14" s="64"/>
      <c r="V14" s="64"/>
      <c r="W14" s="64"/>
      <c r="X14" s="64"/>
      <c r="Y14" s="64"/>
      <c r="Z14" s="64"/>
    </row>
    <row r="15" ht="12.75" customHeight="1">
      <c r="A15" s="113">
        <f t="array" ref="A15">IFERROR(INDEX(Papers!$A$2:$A$201,MATCH(1,INDEX((Papers!$G$2:$G$201=$B$1)*(Papers!$I$2:$I$201=3),0),0)),"")</f>
        <v>217</v>
      </c>
      <c r="B15" s="113" t="str">
        <f t="array" ref="B15">IFERROR(INDEX(Papers!$C$2:$C$201,MATCH(1,INDEX((Papers!$G$2:$G$201=$B$1)*(Papers!$I$2:$I$201=3),0),0)),"")</f>
        <v>AFDM-Aided PD-NOMA with Dynamic Power Allocation for High-Mobility THz Communications</v>
      </c>
      <c r="C15" s="113" t="str">
        <f t="array" ref="C15">IFERROR(INDEX(Papers!$D$2:$D$201,MATCH(1,INDEX((Papers!$G$2:$G$201=$B$1)*(Papers!$I$2:$I$201=3),0),0)),"")</f>
        <v>Md. Maharaj Kabir (Khulna University); Mohammad Ismat Kadir (Khulna University)*</v>
      </c>
      <c r="D15" s="125"/>
      <c r="E15" s="86" t="str">
        <f t="array" ref="E15">IFERROR(INDEX(Papers!$E$2:$E$201,MATCH(1,INDEX((Papers!$G$2:$G$201=$B$1)*(Papers!$I$2:$I$201=3),0),0)),"")</f>
        <v>msc250909@ku.ac.bd; ismat.kadir@ece.ku.ac.bd</v>
      </c>
      <c r="F15" s="67"/>
      <c r="G15" s="64"/>
      <c r="H15" s="64"/>
      <c r="I15" s="64"/>
      <c r="J15" s="64"/>
      <c r="K15" s="64"/>
      <c r="L15" s="64"/>
      <c r="M15" s="64"/>
      <c r="N15" s="64"/>
      <c r="O15" s="64"/>
      <c r="P15" s="64"/>
      <c r="Q15" s="64"/>
      <c r="R15" s="64"/>
      <c r="S15" s="64"/>
      <c r="T15" s="64"/>
      <c r="U15" s="64"/>
      <c r="V15" s="64"/>
      <c r="W15" s="64"/>
      <c r="X15" s="64"/>
      <c r="Y15" s="64"/>
      <c r="Z15" s="64"/>
    </row>
    <row r="16" ht="12.75" customHeight="1">
      <c r="A16" s="113" t="str">
        <f t="array" ref="A16">IFERROR(INDEX(Papers!$A$2:$A$201,MATCH(1,INDEX((Papers!$G$2:$G$201=$B$1)*(Papers!$I$2:$I$201=4),0),0)),"")</f>
        <v/>
      </c>
      <c r="B16" s="113" t="str">
        <f t="array" ref="B16">IFERROR(INDEX(Papers!$C$2:$C$201,MATCH(1,INDEX((Papers!$G$2:$G$201=$B$1)*(Papers!$I$2:$I$201=4),0),0)),"")</f>
        <v/>
      </c>
      <c r="C16" s="113" t="str">
        <f t="array" ref="C16">IFERROR(INDEX(Papers!$D$2:$D$201,MATCH(1,INDEX((Papers!$G$2:$G$201=$B$1)*(Papers!$I$2:$I$201=4),0),0)),"")</f>
        <v/>
      </c>
      <c r="D16" s="125"/>
      <c r="E16" s="86" t="str">
        <f t="array" ref="E16">IFERROR(INDEX(Papers!$E$2:$E$201,MATCH(1,INDEX((Papers!$G$2:$G$201=$B$1)*(Papers!$I$2:$I$201=4),0),0)),"")</f>
        <v/>
      </c>
      <c r="F16" s="67"/>
      <c r="G16" s="64"/>
      <c r="H16" s="64"/>
      <c r="I16" s="64"/>
      <c r="J16" s="64"/>
      <c r="K16" s="64"/>
      <c r="L16" s="64"/>
      <c r="M16" s="64"/>
      <c r="N16" s="64"/>
      <c r="O16" s="64"/>
      <c r="P16" s="64"/>
      <c r="Q16" s="64"/>
      <c r="R16" s="64"/>
      <c r="S16" s="64"/>
      <c r="T16" s="64"/>
      <c r="U16" s="64"/>
      <c r="V16" s="64"/>
      <c r="W16" s="64"/>
      <c r="X16" s="64"/>
      <c r="Y16" s="64"/>
      <c r="Z16" s="64"/>
    </row>
    <row r="17" ht="12.75" customHeight="1">
      <c r="A17" s="113" t="str">
        <f t="array" ref="A17">IFERROR(INDEX(Papers!$A$2:$A$201,MATCH(1,INDEX((Papers!$G$2:$G$201=$B$1)*(Papers!$I$2:$I$201=5),0),0)),"")</f>
        <v/>
      </c>
      <c r="B17" s="113" t="str">
        <f t="array" ref="B17">IFERROR(INDEX(Papers!$C$2:$C$201,MATCH(1,INDEX((Papers!$G$2:$G$201=$B$1)*(Papers!$I$2:$I$201=5),0),0)),"")</f>
        <v/>
      </c>
      <c r="C17" s="113" t="str">
        <f t="array" ref="C17">IFERROR(INDEX(Papers!$D$2:$D$201,MATCH(1,INDEX((Papers!$G$2:$G$201=$B$1)*(Papers!$I$2:$I$201=5),0),0)),"")</f>
        <v/>
      </c>
      <c r="D17" s="125"/>
      <c r="E17" s="86" t="str">
        <f t="array" ref="E17">IFERROR(INDEX(Papers!$E$2:$E$201,MATCH(1,INDEX((Papers!$G$2:$G$201=$B$1)*(Papers!$I$2:$I$201=5),0),0)),"")</f>
        <v/>
      </c>
      <c r="F17" s="67"/>
      <c r="G17" s="64"/>
      <c r="H17" s="64"/>
      <c r="I17" s="64"/>
      <c r="J17" s="64"/>
      <c r="K17" s="64"/>
      <c r="L17" s="64"/>
      <c r="M17" s="64"/>
      <c r="N17" s="64"/>
      <c r="O17" s="64"/>
      <c r="P17" s="64"/>
      <c r="Q17" s="64"/>
      <c r="R17" s="64"/>
      <c r="S17" s="64"/>
      <c r="T17" s="64"/>
      <c r="U17" s="64"/>
      <c r="V17" s="64"/>
      <c r="W17" s="64"/>
      <c r="X17" s="64"/>
      <c r="Y17" s="64"/>
      <c r="Z17" s="64"/>
    </row>
    <row r="18" ht="12.75" customHeight="1">
      <c r="A18" s="113" t="str">
        <f t="array" ref="A18">IFERROR(INDEX(Papers!$A$2:$A$201,MATCH(1,INDEX((Papers!$G$2:$G$201=$B$1)*(Papers!$I$2:$I$201=6),0),0)),"")</f>
        <v/>
      </c>
      <c r="B18" s="113" t="str">
        <f t="array" ref="B18">IFERROR(INDEX(Papers!$C$2:$C$201,MATCH(1,INDEX((Papers!$G$2:$G$201=$B$1)*(Papers!$I$2:$I$201=6),0),0)),"")</f>
        <v/>
      </c>
      <c r="C18" s="113" t="str">
        <f t="array" ref="C18">IFERROR(INDEX(Papers!$D$2:$D$201,MATCH(1,INDEX((Papers!$G$2:$G$201=$B$1)*(Papers!$I$2:$I$201=6),0),0)),"")</f>
        <v/>
      </c>
      <c r="D18" s="125"/>
      <c r="E18" s="86" t="str">
        <f t="array" ref="E18">IFERROR(INDEX(Papers!$E$2:$E$201,MATCH(1,INDEX((Papers!$G$2:$G$201=$B$1)*(Papers!$I$2:$I$201=6),0),0)),"")</f>
        <v/>
      </c>
      <c r="F18" s="67"/>
      <c r="G18" s="64"/>
      <c r="H18" s="64"/>
      <c r="I18" s="64"/>
      <c r="J18" s="64"/>
      <c r="K18" s="64"/>
      <c r="L18" s="64"/>
      <c r="M18" s="64"/>
      <c r="N18" s="64"/>
      <c r="O18" s="64"/>
      <c r="P18" s="64"/>
      <c r="Q18" s="64"/>
      <c r="R18" s="64"/>
      <c r="S18" s="64"/>
      <c r="T18" s="64"/>
      <c r="U18" s="64"/>
      <c r="V18" s="64"/>
      <c r="W18" s="64"/>
      <c r="X18" s="64"/>
      <c r="Y18" s="64"/>
      <c r="Z18" s="64"/>
    </row>
    <row r="19" ht="12.75" customHeight="1">
      <c r="A19" s="113" t="str">
        <f t="array" ref="A19">IFERROR(INDEX(Papers!$A$2:$A$201,MATCH(1,INDEX((Papers!$G$2:$G$201=$B$1)*(Papers!$I$2:$I$201=7),0),0)),"")</f>
        <v/>
      </c>
      <c r="B19" s="113" t="str">
        <f t="array" ref="B19">IFERROR(INDEX(Papers!$C$2:$C$201,MATCH(1,INDEX((Papers!$G$2:$G$201=$B$1)*(Papers!$I$2:$I$201=7),0),0)),"")</f>
        <v/>
      </c>
      <c r="C19" s="113" t="str">
        <f t="array" ref="C19">IFERROR(INDEX(Papers!$D$2:$D$201,MATCH(1,INDEX((Papers!$G$2:$G$201=$B$1)*(Papers!$I$2:$I$201=7),0),0)),"")</f>
        <v/>
      </c>
      <c r="D19" s="125"/>
      <c r="E19" s="86" t="str">
        <f t="array" ref="E19">IFERROR(INDEX(Papers!$E$2:$E$201,MATCH(1,INDEX((Papers!$G$2:$G$201=$B$1)*(Papers!$I$2:$I$201=7),0),0)),"")</f>
        <v/>
      </c>
      <c r="F19" s="67"/>
      <c r="G19" s="64"/>
      <c r="H19" s="64"/>
      <c r="I19" s="64"/>
      <c r="J19" s="64"/>
      <c r="K19" s="64"/>
      <c r="L19" s="64"/>
      <c r="M19" s="64"/>
      <c r="N19" s="64"/>
      <c r="O19" s="64"/>
      <c r="P19" s="64"/>
      <c r="Q19" s="64"/>
      <c r="R19" s="64"/>
      <c r="S19" s="64"/>
      <c r="T19" s="64"/>
      <c r="U19" s="64"/>
      <c r="V19" s="64"/>
      <c r="W19" s="64"/>
      <c r="X19" s="64"/>
      <c r="Y19" s="64"/>
      <c r="Z19" s="64"/>
    </row>
    <row r="20" ht="12.75" customHeight="1">
      <c r="A20" s="113" t="str">
        <f t="array" ref="A20">IFERROR(INDEX(Papers!$A$2:$A$201,MATCH(1,INDEX((Papers!$G$2:$G$201=$B$1)*(Papers!$I$2:$I$201=8),0),0)),"")</f>
        <v/>
      </c>
      <c r="B20" s="113" t="str">
        <f t="array" ref="B20">IFERROR(INDEX(Papers!$C$2:$C$201,MATCH(1,INDEX((Papers!$G$2:$G$201=$B$1)*(Papers!$I$2:$I$201=8),0),0)),"")</f>
        <v/>
      </c>
      <c r="C20" s="113" t="str">
        <f t="array" ref="C20">IFERROR(INDEX(Papers!$D$2:$D$201,MATCH(1,INDEX((Papers!$G$2:$G$201=$B$1)*(Papers!$I$2:$I$201=8),0),0)),"")</f>
        <v/>
      </c>
      <c r="D20" s="125"/>
      <c r="E20" s="86" t="str">
        <f t="array" ref="E20">IFERROR(INDEX(Papers!$E$2:$E$201,MATCH(1,INDEX((Papers!$G$2:$G$201=$B$1)*(Papers!$I$2:$I$201=8),0),0)),"")</f>
        <v/>
      </c>
      <c r="F20" s="67"/>
      <c r="G20" s="64"/>
      <c r="H20" s="64"/>
      <c r="I20" s="64"/>
      <c r="J20" s="64"/>
      <c r="K20" s="64"/>
      <c r="L20" s="64"/>
      <c r="M20" s="64"/>
      <c r="N20" s="64"/>
      <c r="O20" s="64"/>
      <c r="P20" s="64"/>
      <c r="Q20" s="64"/>
      <c r="R20" s="64"/>
      <c r="S20" s="64"/>
      <c r="T20" s="64"/>
      <c r="U20" s="64"/>
      <c r="V20" s="64"/>
      <c r="W20" s="64"/>
      <c r="X20" s="64"/>
      <c r="Y20" s="64"/>
      <c r="Z20" s="64"/>
    </row>
    <row r="21" ht="12.75" customHeight="1">
      <c r="A21" s="108"/>
      <c r="B21" s="64"/>
      <c r="C21" s="64"/>
      <c r="E21" s="64"/>
      <c r="F21" s="63"/>
      <c r="G21" s="64"/>
      <c r="H21" s="64"/>
      <c r="I21" s="64"/>
      <c r="J21" s="64"/>
      <c r="K21" s="64"/>
      <c r="L21" s="64"/>
      <c r="M21" s="64"/>
      <c r="N21" s="64"/>
      <c r="O21" s="64"/>
      <c r="P21" s="64"/>
      <c r="Q21" s="64"/>
      <c r="R21" s="64"/>
      <c r="S21" s="64"/>
      <c r="T21" s="64"/>
      <c r="U21" s="64"/>
      <c r="V21" s="64"/>
      <c r="W21" s="64"/>
      <c r="X21" s="64"/>
      <c r="Y21" s="64"/>
      <c r="Z21" s="64"/>
    </row>
    <row r="22" ht="12.75" customHeight="1">
      <c r="A22" s="108"/>
      <c r="B22" s="64"/>
      <c r="C22" s="64"/>
      <c r="D22" s="64"/>
      <c r="E22" s="64"/>
      <c r="F22" s="63"/>
      <c r="G22" s="63"/>
      <c r="H22" s="64"/>
      <c r="I22" s="64"/>
      <c r="J22" s="64"/>
      <c r="K22" s="64"/>
      <c r="L22" s="64"/>
      <c r="M22" s="64"/>
      <c r="N22" s="64"/>
      <c r="O22" s="64"/>
      <c r="P22" s="64"/>
      <c r="Q22" s="64"/>
      <c r="R22" s="64"/>
      <c r="S22" s="64"/>
      <c r="T22" s="64"/>
      <c r="U22" s="64"/>
      <c r="V22" s="64"/>
      <c r="W22" s="64"/>
      <c r="X22" s="64"/>
      <c r="Y22" s="64"/>
      <c r="Z22" s="64"/>
    </row>
    <row r="23" ht="12.75" customHeight="1">
      <c r="A23" s="108"/>
      <c r="B23" s="64"/>
      <c r="C23" s="64"/>
      <c r="D23" s="64"/>
      <c r="E23" s="64"/>
      <c r="F23" s="63"/>
      <c r="G23" s="63"/>
      <c r="H23" s="64"/>
      <c r="I23" s="64"/>
      <c r="J23" s="64"/>
      <c r="K23" s="64"/>
      <c r="L23" s="64"/>
      <c r="M23" s="64"/>
      <c r="N23" s="64"/>
      <c r="O23" s="64"/>
      <c r="P23" s="64"/>
      <c r="Q23" s="64"/>
      <c r="R23" s="64"/>
      <c r="S23" s="64"/>
      <c r="T23" s="64"/>
      <c r="U23" s="64"/>
      <c r="V23" s="64"/>
      <c r="W23" s="64"/>
      <c r="X23" s="64"/>
      <c r="Y23" s="64"/>
      <c r="Z23" s="64"/>
    </row>
    <row r="24" ht="12.75" customHeight="1">
      <c r="A24" s="108"/>
      <c r="B24" s="64"/>
      <c r="C24" s="64"/>
      <c r="D24" s="64"/>
      <c r="E24" s="64"/>
      <c r="F24" s="63"/>
      <c r="G24" s="63"/>
      <c r="H24" s="64"/>
      <c r="I24" s="64"/>
      <c r="J24" s="64"/>
      <c r="K24" s="64"/>
      <c r="L24" s="64"/>
      <c r="M24" s="64"/>
      <c r="N24" s="64"/>
      <c r="O24" s="64"/>
      <c r="P24" s="64"/>
      <c r="Q24" s="64"/>
      <c r="R24" s="64"/>
      <c r="S24" s="64"/>
      <c r="T24" s="64"/>
      <c r="U24" s="64"/>
      <c r="V24" s="64"/>
      <c r="W24" s="64"/>
      <c r="X24" s="64"/>
      <c r="Y24" s="64"/>
      <c r="Z24" s="64"/>
    </row>
    <row r="25" ht="12.75" customHeight="1">
      <c r="A25" s="108"/>
      <c r="B25" s="64"/>
      <c r="C25" s="64"/>
      <c r="D25" s="64"/>
      <c r="E25" s="64"/>
      <c r="F25" s="63"/>
      <c r="G25" s="63"/>
      <c r="H25" s="64"/>
      <c r="I25" s="64"/>
      <c r="J25" s="64"/>
      <c r="K25" s="64"/>
      <c r="L25" s="64"/>
      <c r="M25" s="64"/>
      <c r="N25" s="64"/>
      <c r="O25" s="64"/>
      <c r="P25" s="64"/>
      <c r="Q25" s="64"/>
      <c r="R25" s="64"/>
      <c r="S25" s="64"/>
      <c r="T25" s="64"/>
      <c r="U25" s="64"/>
      <c r="V25" s="64"/>
      <c r="W25" s="64"/>
      <c r="X25" s="64"/>
      <c r="Y25" s="64"/>
      <c r="Z25" s="64"/>
    </row>
    <row r="26" ht="12.75" customHeight="1">
      <c r="A26" s="108"/>
      <c r="B26" s="64"/>
      <c r="C26" s="64"/>
      <c r="D26" s="64"/>
      <c r="E26" s="64"/>
      <c r="F26" s="63"/>
      <c r="G26" s="63"/>
      <c r="H26" s="64"/>
      <c r="I26" s="64"/>
      <c r="J26" s="64"/>
      <c r="K26" s="64"/>
      <c r="L26" s="64"/>
      <c r="M26" s="64"/>
      <c r="N26" s="64"/>
      <c r="O26" s="64"/>
      <c r="P26" s="64"/>
      <c r="Q26" s="64"/>
      <c r="R26" s="64"/>
      <c r="S26" s="64"/>
      <c r="T26" s="64"/>
      <c r="U26" s="64"/>
      <c r="V26" s="64"/>
      <c r="W26" s="64"/>
      <c r="X26" s="64"/>
      <c r="Y26" s="64"/>
      <c r="Z26" s="64"/>
    </row>
    <row r="27" ht="12.75" customHeight="1">
      <c r="A27" s="108"/>
      <c r="B27" s="64"/>
      <c r="C27" s="64"/>
      <c r="D27" s="64"/>
      <c r="E27" s="64"/>
      <c r="F27" s="63"/>
      <c r="G27" s="63"/>
      <c r="H27" s="64"/>
      <c r="I27" s="64"/>
      <c r="J27" s="64"/>
      <c r="K27" s="64"/>
      <c r="L27" s="64"/>
      <c r="M27" s="64"/>
      <c r="N27" s="64"/>
      <c r="O27" s="64"/>
      <c r="P27" s="64"/>
      <c r="Q27" s="64"/>
      <c r="R27" s="64"/>
      <c r="S27" s="64"/>
      <c r="T27" s="64"/>
      <c r="U27" s="64"/>
      <c r="V27" s="64"/>
      <c r="W27" s="64"/>
      <c r="X27" s="64"/>
      <c r="Y27" s="64"/>
      <c r="Z27" s="64"/>
    </row>
    <row r="28" ht="12.75" customHeight="1">
      <c r="A28" s="108"/>
      <c r="B28" s="64"/>
      <c r="C28" s="64"/>
      <c r="D28" s="64"/>
      <c r="E28" s="64"/>
      <c r="F28" s="63"/>
      <c r="G28" s="63"/>
      <c r="H28" s="64"/>
      <c r="I28" s="64"/>
      <c r="J28" s="64"/>
      <c r="K28" s="64"/>
      <c r="L28" s="64"/>
      <c r="M28" s="64"/>
      <c r="N28" s="64"/>
      <c r="O28" s="64"/>
      <c r="P28" s="64"/>
      <c r="Q28" s="64"/>
      <c r="R28" s="64"/>
      <c r="S28" s="64"/>
      <c r="T28" s="64"/>
      <c r="U28" s="64"/>
      <c r="V28" s="64"/>
      <c r="W28" s="64"/>
      <c r="X28" s="64"/>
      <c r="Y28" s="64"/>
      <c r="Z28" s="64"/>
    </row>
    <row r="29" ht="12.75" customHeight="1">
      <c r="A29" s="108"/>
      <c r="B29" s="64"/>
      <c r="C29" s="64"/>
      <c r="D29" s="64"/>
      <c r="E29" s="64"/>
      <c r="F29" s="63"/>
      <c r="G29" s="63"/>
      <c r="H29" s="64"/>
      <c r="I29" s="64"/>
      <c r="J29" s="64"/>
      <c r="K29" s="64"/>
      <c r="L29" s="64"/>
      <c r="M29" s="64"/>
      <c r="N29" s="64"/>
      <c r="O29" s="64"/>
      <c r="P29" s="64"/>
      <c r="Q29" s="64"/>
      <c r="R29" s="64"/>
      <c r="S29" s="64"/>
      <c r="T29" s="64"/>
      <c r="U29" s="64"/>
      <c r="V29" s="64"/>
      <c r="W29" s="64"/>
      <c r="X29" s="64"/>
      <c r="Y29" s="64"/>
      <c r="Z29" s="64"/>
    </row>
    <row r="30" ht="12.75" customHeight="1">
      <c r="A30" s="108"/>
      <c r="B30" s="64"/>
      <c r="C30" s="64"/>
      <c r="D30" s="64"/>
      <c r="E30" s="64"/>
      <c r="F30" s="63"/>
      <c r="G30" s="63"/>
      <c r="H30" s="64"/>
      <c r="I30" s="64"/>
      <c r="J30" s="64"/>
      <c r="K30" s="64"/>
      <c r="L30" s="64"/>
      <c r="M30" s="64"/>
      <c r="N30" s="64"/>
      <c r="O30" s="64"/>
      <c r="P30" s="64"/>
      <c r="Q30" s="64"/>
      <c r="R30" s="64"/>
      <c r="S30" s="64"/>
      <c r="T30" s="64"/>
      <c r="U30" s="64"/>
      <c r="V30" s="64"/>
      <c r="W30" s="64"/>
      <c r="X30" s="64"/>
      <c r="Y30" s="64"/>
      <c r="Z30" s="64"/>
    </row>
    <row r="31" ht="12.75" customHeight="1">
      <c r="A31" s="108"/>
      <c r="B31" s="64"/>
      <c r="C31" s="64"/>
      <c r="D31" s="64"/>
      <c r="E31" s="64"/>
      <c r="F31" s="63"/>
      <c r="G31" s="63"/>
      <c r="H31" s="64"/>
      <c r="I31" s="64"/>
      <c r="J31" s="64"/>
      <c r="K31" s="64"/>
      <c r="L31" s="64"/>
      <c r="M31" s="64"/>
      <c r="N31" s="64"/>
      <c r="O31" s="64"/>
      <c r="P31" s="64"/>
      <c r="Q31" s="64"/>
      <c r="R31" s="64"/>
      <c r="S31" s="64"/>
      <c r="T31" s="64"/>
      <c r="U31" s="64"/>
      <c r="V31" s="64"/>
      <c r="W31" s="64"/>
      <c r="X31" s="64"/>
      <c r="Y31" s="64"/>
      <c r="Z31" s="64"/>
    </row>
    <row r="32" ht="12.75" customHeight="1">
      <c r="A32" s="108"/>
      <c r="B32" s="64"/>
      <c r="C32" s="64"/>
      <c r="D32" s="64"/>
      <c r="E32" s="64"/>
      <c r="F32" s="63"/>
      <c r="G32" s="63"/>
      <c r="H32" s="64"/>
      <c r="I32" s="64"/>
      <c r="J32" s="64"/>
      <c r="K32" s="64"/>
      <c r="L32" s="64"/>
      <c r="M32" s="64"/>
      <c r="N32" s="64"/>
      <c r="O32" s="64"/>
      <c r="P32" s="64"/>
      <c r="Q32" s="64"/>
      <c r="R32" s="64"/>
      <c r="S32" s="64"/>
      <c r="T32" s="64"/>
      <c r="U32" s="64"/>
      <c r="V32" s="64"/>
      <c r="W32" s="64"/>
      <c r="X32" s="64"/>
      <c r="Y32" s="64"/>
      <c r="Z32" s="64"/>
    </row>
    <row r="33" ht="12.75" customHeight="1">
      <c r="A33" s="108"/>
      <c r="B33" s="64"/>
      <c r="C33" s="64"/>
      <c r="D33" s="64"/>
      <c r="E33" s="64"/>
      <c r="F33" s="63"/>
      <c r="G33" s="63"/>
      <c r="H33" s="64"/>
      <c r="I33" s="64"/>
      <c r="J33" s="64"/>
      <c r="K33" s="64"/>
      <c r="L33" s="64"/>
      <c r="M33" s="64"/>
      <c r="N33" s="64"/>
      <c r="O33" s="64"/>
      <c r="P33" s="64"/>
      <c r="Q33" s="64"/>
      <c r="R33" s="64"/>
      <c r="S33" s="64"/>
      <c r="T33" s="64"/>
      <c r="U33" s="64"/>
      <c r="V33" s="64"/>
      <c r="W33" s="64"/>
      <c r="X33" s="64"/>
      <c r="Y33" s="64"/>
      <c r="Z33" s="64"/>
    </row>
    <row r="34" ht="12.75" customHeight="1">
      <c r="A34" s="108"/>
      <c r="B34" s="64"/>
      <c r="C34" s="64"/>
      <c r="D34" s="64"/>
      <c r="E34" s="64"/>
      <c r="F34" s="63"/>
      <c r="G34" s="63"/>
      <c r="H34" s="64"/>
      <c r="I34" s="64"/>
      <c r="J34" s="64"/>
      <c r="K34" s="64"/>
      <c r="L34" s="64"/>
      <c r="M34" s="64"/>
      <c r="N34" s="64"/>
      <c r="O34" s="64"/>
      <c r="P34" s="64"/>
      <c r="Q34" s="64"/>
      <c r="R34" s="64"/>
      <c r="S34" s="64"/>
      <c r="T34" s="64"/>
      <c r="U34" s="64"/>
      <c r="V34" s="64"/>
      <c r="W34" s="64"/>
      <c r="X34" s="64"/>
      <c r="Y34" s="64"/>
      <c r="Z34" s="64"/>
    </row>
    <row r="35" ht="12.75" customHeight="1">
      <c r="A35" s="108"/>
      <c r="B35" s="64"/>
      <c r="C35" s="64"/>
      <c r="D35" s="64"/>
      <c r="E35" s="64"/>
      <c r="F35" s="63"/>
      <c r="G35" s="63"/>
      <c r="H35" s="64"/>
      <c r="I35" s="64"/>
      <c r="J35" s="64"/>
      <c r="K35" s="64"/>
      <c r="L35" s="64"/>
      <c r="M35" s="64"/>
      <c r="N35" s="64"/>
      <c r="O35" s="64"/>
      <c r="P35" s="64"/>
      <c r="Q35" s="64"/>
      <c r="R35" s="64"/>
      <c r="S35" s="64"/>
      <c r="T35" s="64"/>
      <c r="U35" s="64"/>
      <c r="V35" s="64"/>
      <c r="W35" s="64"/>
      <c r="X35" s="64"/>
      <c r="Y35" s="64"/>
      <c r="Z35" s="64"/>
    </row>
    <row r="36" ht="12.75" customHeight="1">
      <c r="A36" s="108"/>
      <c r="B36" s="64"/>
      <c r="C36" s="64"/>
      <c r="D36" s="64"/>
      <c r="E36" s="64"/>
      <c r="F36" s="63"/>
      <c r="G36" s="63"/>
      <c r="H36" s="64"/>
      <c r="I36" s="64"/>
      <c r="J36" s="64"/>
      <c r="K36" s="64"/>
      <c r="L36" s="64"/>
      <c r="M36" s="64"/>
      <c r="N36" s="64"/>
      <c r="O36" s="64"/>
      <c r="P36" s="64"/>
      <c r="Q36" s="64"/>
      <c r="R36" s="64"/>
      <c r="S36" s="64"/>
      <c r="T36" s="64"/>
      <c r="U36" s="64"/>
      <c r="V36" s="64"/>
      <c r="W36" s="64"/>
      <c r="X36" s="64"/>
      <c r="Y36" s="64"/>
      <c r="Z36" s="64"/>
    </row>
    <row r="37" ht="12.75" customHeight="1">
      <c r="A37" s="108"/>
      <c r="B37" s="64"/>
      <c r="C37" s="64"/>
      <c r="D37" s="64"/>
      <c r="E37" s="64"/>
      <c r="F37" s="63"/>
      <c r="G37" s="63"/>
      <c r="H37" s="64"/>
      <c r="I37" s="64"/>
      <c r="J37" s="64"/>
      <c r="K37" s="64"/>
      <c r="L37" s="64"/>
      <c r="M37" s="64"/>
      <c r="N37" s="64"/>
      <c r="O37" s="64"/>
      <c r="P37" s="64"/>
      <c r="Q37" s="64"/>
      <c r="R37" s="64"/>
      <c r="S37" s="64"/>
      <c r="T37" s="64"/>
      <c r="U37" s="64"/>
      <c r="V37" s="64"/>
      <c r="W37" s="64"/>
      <c r="X37" s="64"/>
      <c r="Y37" s="64"/>
      <c r="Z37" s="64"/>
    </row>
    <row r="38" ht="12.75" customHeight="1">
      <c r="A38" s="108"/>
      <c r="B38" s="64"/>
      <c r="C38" s="64"/>
      <c r="D38" s="64"/>
      <c r="E38" s="64"/>
      <c r="F38" s="63"/>
      <c r="G38" s="63"/>
      <c r="H38" s="64"/>
      <c r="I38" s="64"/>
      <c r="J38" s="64"/>
      <c r="K38" s="64"/>
      <c r="L38" s="64"/>
      <c r="M38" s="64"/>
      <c r="N38" s="64"/>
      <c r="O38" s="64"/>
      <c r="P38" s="64"/>
      <c r="Q38" s="64"/>
      <c r="R38" s="64"/>
      <c r="S38" s="64"/>
      <c r="T38" s="64"/>
      <c r="U38" s="64"/>
      <c r="V38" s="64"/>
      <c r="W38" s="64"/>
      <c r="X38" s="64"/>
      <c r="Y38" s="64"/>
      <c r="Z38" s="64"/>
    </row>
    <row r="39" ht="12.75" customHeight="1">
      <c r="A39" s="108"/>
      <c r="B39" s="64"/>
      <c r="C39" s="64"/>
      <c r="D39" s="64"/>
      <c r="E39" s="64"/>
      <c r="F39" s="63"/>
      <c r="G39" s="63"/>
      <c r="H39" s="64"/>
      <c r="I39" s="64"/>
      <c r="J39" s="64"/>
      <c r="K39" s="64"/>
      <c r="L39" s="64"/>
      <c r="M39" s="64"/>
      <c r="N39" s="64"/>
      <c r="O39" s="64"/>
      <c r="P39" s="64"/>
      <c r="Q39" s="64"/>
      <c r="R39" s="64"/>
      <c r="S39" s="64"/>
      <c r="T39" s="64"/>
      <c r="U39" s="64"/>
      <c r="V39" s="64"/>
      <c r="W39" s="64"/>
      <c r="X39" s="64"/>
      <c r="Y39" s="64"/>
      <c r="Z39" s="64"/>
    </row>
    <row r="40" ht="12.75" customHeight="1">
      <c r="A40" s="108"/>
      <c r="B40" s="64"/>
      <c r="C40" s="64"/>
      <c r="D40" s="64"/>
      <c r="E40" s="64"/>
      <c r="F40" s="63"/>
      <c r="G40" s="63"/>
      <c r="H40" s="64"/>
      <c r="I40" s="64"/>
      <c r="J40" s="64"/>
      <c r="K40" s="64"/>
      <c r="L40" s="64"/>
      <c r="M40" s="64"/>
      <c r="N40" s="64"/>
      <c r="O40" s="64"/>
      <c r="P40" s="64"/>
      <c r="Q40" s="64"/>
      <c r="R40" s="64"/>
      <c r="S40" s="64"/>
      <c r="T40" s="64"/>
      <c r="U40" s="64"/>
      <c r="V40" s="64"/>
      <c r="W40" s="64"/>
      <c r="X40" s="64"/>
      <c r="Y40" s="64"/>
      <c r="Z40" s="64"/>
    </row>
    <row r="41" ht="12.75" customHeight="1">
      <c r="A41" s="108"/>
      <c r="B41" s="64"/>
      <c r="C41" s="64"/>
      <c r="D41" s="64"/>
      <c r="E41" s="64"/>
      <c r="F41" s="63"/>
      <c r="G41" s="63"/>
      <c r="H41" s="64"/>
      <c r="I41" s="64"/>
      <c r="J41" s="64"/>
      <c r="K41" s="64"/>
      <c r="L41" s="64"/>
      <c r="M41" s="64"/>
      <c r="N41" s="64"/>
      <c r="O41" s="64"/>
      <c r="P41" s="64"/>
      <c r="Q41" s="64"/>
      <c r="R41" s="64"/>
      <c r="S41" s="64"/>
      <c r="T41" s="64"/>
      <c r="U41" s="64"/>
      <c r="V41" s="64"/>
      <c r="W41" s="64"/>
      <c r="X41" s="64"/>
      <c r="Y41" s="64"/>
      <c r="Z41" s="64"/>
    </row>
    <row r="42" ht="12.75" customHeight="1">
      <c r="A42" s="108"/>
      <c r="B42" s="64"/>
      <c r="C42" s="64"/>
      <c r="D42" s="64"/>
      <c r="E42" s="64"/>
      <c r="F42" s="63"/>
      <c r="G42" s="63"/>
      <c r="H42" s="64"/>
      <c r="I42" s="64"/>
      <c r="J42" s="64"/>
      <c r="K42" s="64"/>
      <c r="L42" s="64"/>
      <c r="M42" s="64"/>
      <c r="N42" s="64"/>
      <c r="O42" s="64"/>
      <c r="P42" s="64"/>
      <c r="Q42" s="64"/>
      <c r="R42" s="64"/>
      <c r="S42" s="64"/>
      <c r="T42" s="64"/>
      <c r="U42" s="64"/>
      <c r="V42" s="64"/>
      <c r="W42" s="64"/>
      <c r="X42" s="64"/>
      <c r="Y42" s="64"/>
      <c r="Z42" s="64"/>
    </row>
    <row r="43" ht="12.75" customHeight="1">
      <c r="A43" s="108"/>
      <c r="B43" s="64"/>
      <c r="C43" s="64"/>
      <c r="D43" s="64"/>
      <c r="E43" s="64"/>
      <c r="F43" s="63"/>
      <c r="G43" s="63"/>
      <c r="H43" s="64"/>
      <c r="I43" s="64"/>
      <c r="J43" s="64"/>
      <c r="K43" s="64"/>
      <c r="L43" s="64"/>
      <c r="M43" s="64"/>
      <c r="N43" s="64"/>
      <c r="O43" s="64"/>
      <c r="P43" s="64"/>
      <c r="Q43" s="64"/>
      <c r="R43" s="64"/>
      <c r="S43" s="64"/>
      <c r="T43" s="64"/>
      <c r="U43" s="64"/>
      <c r="V43" s="64"/>
      <c r="W43" s="64"/>
      <c r="X43" s="64"/>
      <c r="Y43" s="64"/>
      <c r="Z43" s="64"/>
    </row>
    <row r="44" ht="12.75" customHeight="1">
      <c r="A44" s="108"/>
      <c r="B44" s="64"/>
      <c r="C44" s="64"/>
      <c r="D44" s="64"/>
      <c r="E44" s="64"/>
      <c r="F44" s="63"/>
      <c r="G44" s="63"/>
      <c r="H44" s="64"/>
      <c r="I44" s="64"/>
      <c r="J44" s="64"/>
      <c r="K44" s="64"/>
      <c r="L44" s="64"/>
      <c r="M44" s="64"/>
      <c r="N44" s="64"/>
      <c r="O44" s="64"/>
      <c r="P44" s="64"/>
      <c r="Q44" s="64"/>
      <c r="R44" s="64"/>
      <c r="S44" s="64"/>
      <c r="T44" s="64"/>
      <c r="U44" s="64"/>
      <c r="V44" s="64"/>
      <c r="W44" s="64"/>
      <c r="X44" s="64"/>
      <c r="Y44" s="64"/>
      <c r="Z44" s="64"/>
    </row>
    <row r="45" ht="12.75" customHeight="1">
      <c r="A45" s="108"/>
      <c r="B45" s="64"/>
      <c r="C45" s="64"/>
      <c r="D45" s="64"/>
      <c r="E45" s="64"/>
      <c r="F45" s="63"/>
      <c r="G45" s="63"/>
      <c r="H45" s="64"/>
      <c r="I45" s="64"/>
      <c r="J45" s="64"/>
      <c r="K45" s="64"/>
      <c r="L45" s="64"/>
      <c r="M45" s="64"/>
      <c r="N45" s="64"/>
      <c r="O45" s="64"/>
      <c r="P45" s="64"/>
      <c r="Q45" s="64"/>
      <c r="R45" s="64"/>
      <c r="S45" s="64"/>
      <c r="T45" s="64"/>
      <c r="U45" s="64"/>
      <c r="V45" s="64"/>
      <c r="W45" s="64"/>
      <c r="X45" s="64"/>
      <c r="Y45" s="64"/>
      <c r="Z45" s="64"/>
    </row>
    <row r="46" ht="12.75" customHeight="1">
      <c r="A46" s="108"/>
      <c r="B46" s="64"/>
      <c r="C46" s="64"/>
      <c r="D46" s="64"/>
      <c r="E46" s="64"/>
      <c r="F46" s="63"/>
      <c r="G46" s="63"/>
      <c r="H46" s="64"/>
      <c r="I46" s="64"/>
      <c r="J46" s="64"/>
      <c r="K46" s="64"/>
      <c r="L46" s="64"/>
      <c r="M46" s="64"/>
      <c r="N46" s="64"/>
      <c r="O46" s="64"/>
      <c r="P46" s="64"/>
      <c r="Q46" s="64"/>
      <c r="R46" s="64"/>
      <c r="S46" s="64"/>
      <c r="T46" s="64"/>
      <c r="U46" s="64"/>
      <c r="V46" s="64"/>
      <c r="W46" s="64"/>
      <c r="X46" s="64"/>
      <c r="Y46" s="64"/>
      <c r="Z46" s="64"/>
    </row>
    <row r="47" ht="12.75" customHeight="1">
      <c r="A47" s="108"/>
      <c r="B47" s="64"/>
      <c r="C47" s="64"/>
      <c r="D47" s="64"/>
      <c r="E47" s="64"/>
      <c r="F47" s="63"/>
      <c r="G47" s="63"/>
      <c r="H47" s="64"/>
      <c r="I47" s="64"/>
      <c r="J47" s="64"/>
      <c r="K47" s="64"/>
      <c r="L47" s="64"/>
      <c r="M47" s="64"/>
      <c r="N47" s="64"/>
      <c r="O47" s="64"/>
      <c r="P47" s="64"/>
      <c r="Q47" s="64"/>
      <c r="R47" s="64"/>
      <c r="S47" s="64"/>
      <c r="T47" s="64"/>
      <c r="U47" s="64"/>
      <c r="V47" s="64"/>
      <c r="W47" s="64"/>
      <c r="X47" s="64"/>
      <c r="Y47" s="64"/>
      <c r="Z47" s="64"/>
    </row>
    <row r="48" ht="12.75" customHeight="1">
      <c r="A48" s="108"/>
      <c r="B48" s="64"/>
      <c r="C48" s="64"/>
      <c r="D48" s="64"/>
      <c r="E48" s="64"/>
      <c r="F48" s="63"/>
      <c r="G48" s="63"/>
      <c r="H48" s="64"/>
      <c r="I48" s="64"/>
      <c r="J48" s="64"/>
      <c r="K48" s="64"/>
      <c r="L48" s="64"/>
      <c r="M48" s="64"/>
      <c r="N48" s="64"/>
      <c r="O48" s="64"/>
      <c r="P48" s="64"/>
      <c r="Q48" s="64"/>
      <c r="R48" s="64"/>
      <c r="S48" s="64"/>
      <c r="T48" s="64"/>
      <c r="U48" s="64"/>
      <c r="V48" s="64"/>
      <c r="W48" s="64"/>
      <c r="X48" s="64"/>
      <c r="Y48" s="64"/>
      <c r="Z48" s="64"/>
    </row>
    <row r="49" ht="12.75" customHeight="1">
      <c r="A49" s="108"/>
      <c r="B49" s="64"/>
      <c r="C49" s="64"/>
      <c r="D49" s="64"/>
      <c r="E49" s="64"/>
      <c r="F49" s="63"/>
      <c r="G49" s="63"/>
      <c r="H49" s="64"/>
      <c r="I49" s="64"/>
      <c r="J49" s="64"/>
      <c r="K49" s="64"/>
      <c r="L49" s="64"/>
      <c r="M49" s="64"/>
      <c r="N49" s="64"/>
      <c r="O49" s="64"/>
      <c r="P49" s="64"/>
      <c r="Q49" s="64"/>
      <c r="R49" s="64"/>
      <c r="S49" s="64"/>
      <c r="T49" s="64"/>
      <c r="U49" s="64"/>
      <c r="V49" s="64"/>
      <c r="W49" s="64"/>
      <c r="X49" s="64"/>
      <c r="Y49" s="64"/>
      <c r="Z49" s="64"/>
    </row>
    <row r="50" ht="12.75" customHeight="1">
      <c r="A50" s="108"/>
      <c r="B50" s="64"/>
      <c r="C50" s="64"/>
      <c r="D50" s="64"/>
      <c r="E50" s="64"/>
      <c r="F50" s="63"/>
      <c r="G50" s="63"/>
      <c r="H50" s="64"/>
      <c r="I50" s="64"/>
      <c r="J50" s="64"/>
      <c r="K50" s="64"/>
      <c r="L50" s="64"/>
      <c r="M50" s="64"/>
      <c r="N50" s="64"/>
      <c r="O50" s="64"/>
      <c r="P50" s="64"/>
      <c r="Q50" s="64"/>
      <c r="R50" s="64"/>
      <c r="S50" s="64"/>
      <c r="T50" s="64"/>
      <c r="U50" s="64"/>
      <c r="V50" s="64"/>
      <c r="W50" s="64"/>
      <c r="X50" s="64"/>
      <c r="Y50" s="64"/>
      <c r="Z50" s="64"/>
    </row>
    <row r="51" ht="12.75" customHeight="1">
      <c r="A51" s="108"/>
      <c r="B51" s="64"/>
      <c r="C51" s="64"/>
      <c r="D51" s="64"/>
      <c r="E51" s="64"/>
      <c r="F51" s="63"/>
      <c r="G51" s="63"/>
      <c r="H51" s="64"/>
      <c r="I51" s="64"/>
      <c r="J51" s="64"/>
      <c r="K51" s="64"/>
      <c r="L51" s="64"/>
      <c r="M51" s="64"/>
      <c r="N51" s="64"/>
      <c r="O51" s="64"/>
      <c r="P51" s="64"/>
      <c r="Q51" s="64"/>
      <c r="R51" s="64"/>
      <c r="S51" s="64"/>
      <c r="T51" s="64"/>
      <c r="U51" s="64"/>
      <c r="V51" s="64"/>
      <c r="W51" s="64"/>
      <c r="X51" s="64"/>
      <c r="Y51" s="64"/>
      <c r="Z51" s="64"/>
    </row>
    <row r="52" ht="12.75" customHeight="1">
      <c r="A52" s="108"/>
      <c r="B52" s="64"/>
      <c r="C52" s="64"/>
      <c r="D52" s="64"/>
      <c r="E52" s="64"/>
      <c r="F52" s="63"/>
      <c r="G52" s="63"/>
      <c r="H52" s="64"/>
      <c r="I52" s="64"/>
      <c r="J52" s="64"/>
      <c r="K52" s="64"/>
      <c r="L52" s="64"/>
      <c r="M52" s="64"/>
      <c r="N52" s="64"/>
      <c r="O52" s="64"/>
      <c r="P52" s="64"/>
      <c r="Q52" s="64"/>
      <c r="R52" s="64"/>
      <c r="S52" s="64"/>
      <c r="T52" s="64"/>
      <c r="U52" s="64"/>
      <c r="V52" s="64"/>
      <c r="W52" s="64"/>
      <c r="X52" s="64"/>
      <c r="Y52" s="64"/>
      <c r="Z52" s="64"/>
    </row>
    <row r="53" ht="12.75" customHeight="1">
      <c r="A53" s="108"/>
      <c r="B53" s="64"/>
      <c r="C53" s="64"/>
      <c r="D53" s="64"/>
      <c r="E53" s="64"/>
      <c r="F53" s="63"/>
      <c r="G53" s="63"/>
      <c r="H53" s="64"/>
      <c r="I53" s="64"/>
      <c r="J53" s="64"/>
      <c r="K53" s="64"/>
      <c r="L53" s="64"/>
      <c r="M53" s="64"/>
      <c r="N53" s="64"/>
      <c r="O53" s="64"/>
      <c r="P53" s="64"/>
      <c r="Q53" s="64"/>
      <c r="R53" s="64"/>
      <c r="S53" s="64"/>
      <c r="T53" s="64"/>
      <c r="U53" s="64"/>
      <c r="V53" s="64"/>
      <c r="W53" s="64"/>
      <c r="X53" s="64"/>
      <c r="Y53" s="64"/>
      <c r="Z53" s="64"/>
    </row>
    <row r="54" ht="12.75" customHeight="1">
      <c r="A54" s="108"/>
      <c r="B54" s="64"/>
      <c r="C54" s="64"/>
      <c r="D54" s="64"/>
      <c r="E54" s="64"/>
      <c r="F54" s="63"/>
      <c r="G54" s="63"/>
      <c r="H54" s="64"/>
      <c r="I54" s="64"/>
      <c r="J54" s="64"/>
      <c r="K54" s="64"/>
      <c r="L54" s="64"/>
      <c r="M54" s="64"/>
      <c r="N54" s="64"/>
      <c r="O54" s="64"/>
      <c r="P54" s="64"/>
      <c r="Q54" s="64"/>
      <c r="R54" s="64"/>
      <c r="S54" s="64"/>
      <c r="T54" s="64"/>
      <c r="U54" s="64"/>
      <c r="V54" s="64"/>
      <c r="W54" s="64"/>
      <c r="X54" s="64"/>
      <c r="Y54" s="64"/>
      <c r="Z54" s="64"/>
    </row>
    <row r="55" ht="12.75" customHeight="1">
      <c r="A55" s="108"/>
      <c r="B55" s="64"/>
      <c r="C55" s="64"/>
      <c r="D55" s="64"/>
      <c r="E55" s="64"/>
      <c r="F55" s="63"/>
      <c r="G55" s="63"/>
      <c r="H55" s="64"/>
      <c r="I55" s="64"/>
      <c r="J55" s="64"/>
      <c r="K55" s="64"/>
      <c r="L55" s="64"/>
      <c r="M55" s="64"/>
      <c r="N55" s="64"/>
      <c r="O55" s="64"/>
      <c r="P55" s="64"/>
      <c r="Q55" s="64"/>
      <c r="R55" s="64"/>
      <c r="S55" s="64"/>
      <c r="T55" s="64"/>
      <c r="U55" s="64"/>
      <c r="V55" s="64"/>
      <c r="W55" s="64"/>
      <c r="X55" s="64"/>
      <c r="Y55" s="64"/>
      <c r="Z55" s="64"/>
    </row>
    <row r="56" ht="12.75" customHeight="1">
      <c r="A56" s="108"/>
      <c r="B56" s="64"/>
      <c r="C56" s="64"/>
      <c r="D56" s="64"/>
      <c r="E56" s="64"/>
      <c r="F56" s="63"/>
      <c r="G56" s="63"/>
      <c r="H56" s="64"/>
      <c r="I56" s="64"/>
      <c r="J56" s="64"/>
      <c r="K56" s="64"/>
      <c r="L56" s="64"/>
      <c r="M56" s="64"/>
      <c r="N56" s="64"/>
      <c r="O56" s="64"/>
      <c r="P56" s="64"/>
      <c r="Q56" s="64"/>
      <c r="R56" s="64"/>
      <c r="S56" s="64"/>
      <c r="T56" s="64"/>
      <c r="U56" s="64"/>
      <c r="V56" s="64"/>
      <c r="W56" s="64"/>
      <c r="X56" s="64"/>
      <c r="Y56" s="64"/>
      <c r="Z56" s="64"/>
    </row>
    <row r="57" ht="12.75" customHeight="1">
      <c r="A57" s="108"/>
      <c r="B57" s="64"/>
      <c r="C57" s="64"/>
      <c r="D57" s="64"/>
      <c r="E57" s="64"/>
      <c r="F57" s="63"/>
      <c r="G57" s="63"/>
      <c r="H57" s="64"/>
      <c r="I57" s="64"/>
      <c r="J57" s="64"/>
      <c r="K57" s="64"/>
      <c r="L57" s="64"/>
      <c r="M57" s="64"/>
      <c r="N57" s="64"/>
      <c r="O57" s="64"/>
      <c r="P57" s="64"/>
      <c r="Q57" s="64"/>
      <c r="R57" s="64"/>
      <c r="S57" s="64"/>
      <c r="T57" s="64"/>
      <c r="U57" s="64"/>
      <c r="V57" s="64"/>
      <c r="W57" s="64"/>
      <c r="X57" s="64"/>
      <c r="Y57" s="64"/>
      <c r="Z57" s="64"/>
    </row>
    <row r="58" ht="12.75" customHeight="1">
      <c r="A58" s="108"/>
      <c r="B58" s="64"/>
      <c r="C58" s="64"/>
      <c r="D58" s="64"/>
      <c r="E58" s="64"/>
      <c r="F58" s="63"/>
      <c r="G58" s="63"/>
      <c r="H58" s="64"/>
      <c r="I58" s="64"/>
      <c r="J58" s="64"/>
      <c r="K58" s="64"/>
      <c r="L58" s="64"/>
      <c r="M58" s="64"/>
      <c r="N58" s="64"/>
      <c r="O58" s="64"/>
      <c r="P58" s="64"/>
      <c r="Q58" s="64"/>
      <c r="R58" s="64"/>
      <c r="S58" s="64"/>
      <c r="T58" s="64"/>
      <c r="U58" s="64"/>
      <c r="V58" s="64"/>
      <c r="W58" s="64"/>
      <c r="X58" s="64"/>
      <c r="Y58" s="64"/>
      <c r="Z58" s="64"/>
    </row>
    <row r="59" ht="12.75" customHeight="1">
      <c r="A59" s="108"/>
      <c r="B59" s="64"/>
      <c r="C59" s="64"/>
      <c r="D59" s="64"/>
      <c r="E59" s="64"/>
      <c r="F59" s="63"/>
      <c r="G59" s="63"/>
      <c r="H59" s="64"/>
      <c r="I59" s="64"/>
      <c r="J59" s="64"/>
      <c r="K59" s="64"/>
      <c r="L59" s="64"/>
      <c r="M59" s="64"/>
      <c r="N59" s="64"/>
      <c r="O59" s="64"/>
      <c r="P59" s="64"/>
      <c r="Q59" s="64"/>
      <c r="R59" s="64"/>
      <c r="S59" s="64"/>
      <c r="T59" s="64"/>
      <c r="U59" s="64"/>
      <c r="V59" s="64"/>
      <c r="W59" s="64"/>
      <c r="X59" s="64"/>
      <c r="Y59" s="64"/>
      <c r="Z59" s="64"/>
    </row>
    <row r="60" ht="12.75" customHeight="1">
      <c r="A60" s="108"/>
      <c r="B60" s="64"/>
      <c r="C60" s="64"/>
      <c r="D60" s="64"/>
      <c r="E60" s="64"/>
      <c r="F60" s="63"/>
      <c r="G60" s="63"/>
      <c r="H60" s="64"/>
      <c r="I60" s="64"/>
      <c r="J60" s="64"/>
      <c r="K60" s="64"/>
      <c r="L60" s="64"/>
      <c r="M60" s="64"/>
      <c r="N60" s="64"/>
      <c r="O60" s="64"/>
      <c r="P60" s="64"/>
      <c r="Q60" s="64"/>
      <c r="R60" s="64"/>
      <c r="S60" s="64"/>
      <c r="T60" s="64"/>
      <c r="U60" s="64"/>
      <c r="V60" s="64"/>
      <c r="W60" s="64"/>
      <c r="X60" s="64"/>
      <c r="Y60" s="64"/>
      <c r="Z60" s="64"/>
    </row>
    <row r="61" ht="12.75" customHeight="1">
      <c r="A61" s="108"/>
      <c r="B61" s="64"/>
      <c r="C61" s="64"/>
      <c r="D61" s="64"/>
      <c r="E61" s="64"/>
      <c r="F61" s="63"/>
      <c r="G61" s="63"/>
      <c r="H61" s="64"/>
      <c r="I61" s="64"/>
      <c r="J61" s="64"/>
      <c r="K61" s="64"/>
      <c r="L61" s="64"/>
      <c r="M61" s="64"/>
      <c r="N61" s="64"/>
      <c r="O61" s="64"/>
      <c r="P61" s="64"/>
      <c r="Q61" s="64"/>
      <c r="R61" s="64"/>
      <c r="S61" s="64"/>
      <c r="T61" s="64"/>
      <c r="U61" s="64"/>
      <c r="V61" s="64"/>
      <c r="W61" s="64"/>
      <c r="X61" s="64"/>
      <c r="Y61" s="64"/>
      <c r="Z61" s="64"/>
    </row>
    <row r="62" ht="12.75" customHeight="1">
      <c r="A62" s="108"/>
      <c r="B62" s="64"/>
      <c r="C62" s="64"/>
      <c r="D62" s="64"/>
      <c r="E62" s="64"/>
      <c r="F62" s="63"/>
      <c r="G62" s="63"/>
      <c r="H62" s="64"/>
      <c r="I62" s="64"/>
      <c r="J62" s="64"/>
      <c r="K62" s="64"/>
      <c r="L62" s="64"/>
      <c r="M62" s="64"/>
      <c r="N62" s="64"/>
      <c r="O62" s="64"/>
      <c r="P62" s="64"/>
      <c r="Q62" s="64"/>
      <c r="R62" s="64"/>
      <c r="S62" s="64"/>
      <c r="T62" s="64"/>
      <c r="U62" s="64"/>
      <c r="V62" s="64"/>
      <c r="W62" s="64"/>
      <c r="X62" s="64"/>
      <c r="Y62" s="64"/>
      <c r="Z62" s="64"/>
    </row>
    <row r="63" ht="12.75" customHeight="1">
      <c r="A63" s="108"/>
      <c r="B63" s="64"/>
      <c r="C63" s="64"/>
      <c r="D63" s="64"/>
      <c r="E63" s="64"/>
      <c r="F63" s="63"/>
      <c r="G63" s="63"/>
      <c r="H63" s="64"/>
      <c r="I63" s="64"/>
      <c r="J63" s="64"/>
      <c r="K63" s="64"/>
      <c r="L63" s="64"/>
      <c r="M63" s="64"/>
      <c r="N63" s="64"/>
      <c r="O63" s="64"/>
      <c r="P63" s="64"/>
      <c r="Q63" s="64"/>
      <c r="R63" s="64"/>
      <c r="S63" s="64"/>
      <c r="T63" s="64"/>
      <c r="U63" s="64"/>
      <c r="V63" s="64"/>
      <c r="W63" s="64"/>
      <c r="X63" s="64"/>
      <c r="Y63" s="64"/>
      <c r="Z63" s="64"/>
    </row>
    <row r="64" ht="12.75" customHeight="1">
      <c r="A64" s="108"/>
      <c r="B64" s="64"/>
      <c r="C64" s="64"/>
      <c r="D64" s="64"/>
      <c r="E64" s="64"/>
      <c r="F64" s="63"/>
      <c r="G64" s="63"/>
      <c r="H64" s="64"/>
      <c r="I64" s="64"/>
      <c r="J64" s="64"/>
      <c r="K64" s="64"/>
      <c r="L64" s="64"/>
      <c r="M64" s="64"/>
      <c r="N64" s="64"/>
      <c r="O64" s="64"/>
      <c r="P64" s="64"/>
      <c r="Q64" s="64"/>
      <c r="R64" s="64"/>
      <c r="S64" s="64"/>
      <c r="T64" s="64"/>
      <c r="U64" s="64"/>
      <c r="V64" s="64"/>
      <c r="W64" s="64"/>
      <c r="X64" s="64"/>
      <c r="Y64" s="64"/>
      <c r="Z64" s="64"/>
    </row>
    <row r="65" ht="12.75" customHeight="1">
      <c r="A65" s="108"/>
      <c r="B65" s="64"/>
      <c r="C65" s="64"/>
      <c r="D65" s="64"/>
      <c r="E65" s="64"/>
      <c r="F65" s="63"/>
      <c r="G65" s="63"/>
      <c r="H65" s="64"/>
      <c r="I65" s="64"/>
      <c r="J65" s="64"/>
      <c r="K65" s="64"/>
      <c r="L65" s="64"/>
      <c r="M65" s="64"/>
      <c r="N65" s="64"/>
      <c r="O65" s="64"/>
      <c r="P65" s="64"/>
      <c r="Q65" s="64"/>
      <c r="R65" s="64"/>
      <c r="S65" s="64"/>
      <c r="T65" s="64"/>
      <c r="U65" s="64"/>
      <c r="V65" s="64"/>
      <c r="W65" s="64"/>
      <c r="X65" s="64"/>
      <c r="Y65" s="64"/>
      <c r="Z65" s="64"/>
    </row>
    <row r="66" ht="12.75" customHeight="1">
      <c r="A66" s="108"/>
      <c r="B66" s="64"/>
      <c r="C66" s="64"/>
      <c r="D66" s="64"/>
      <c r="E66" s="64"/>
      <c r="F66" s="63"/>
      <c r="G66" s="63"/>
      <c r="H66" s="64"/>
      <c r="I66" s="64"/>
      <c r="J66" s="64"/>
      <c r="K66" s="64"/>
      <c r="L66" s="64"/>
      <c r="M66" s="64"/>
      <c r="N66" s="64"/>
      <c r="O66" s="64"/>
      <c r="P66" s="64"/>
      <c r="Q66" s="64"/>
      <c r="R66" s="64"/>
      <c r="S66" s="64"/>
      <c r="T66" s="64"/>
      <c r="U66" s="64"/>
      <c r="V66" s="64"/>
      <c r="W66" s="64"/>
      <c r="X66" s="64"/>
      <c r="Y66" s="64"/>
      <c r="Z66" s="64"/>
    </row>
    <row r="67" ht="12.75" customHeight="1">
      <c r="A67" s="108"/>
      <c r="B67" s="64"/>
      <c r="C67" s="64"/>
      <c r="D67" s="64"/>
      <c r="E67" s="64"/>
      <c r="F67" s="63"/>
      <c r="G67" s="63"/>
      <c r="H67" s="64"/>
      <c r="I67" s="64"/>
      <c r="J67" s="64"/>
      <c r="K67" s="64"/>
      <c r="L67" s="64"/>
      <c r="M67" s="64"/>
      <c r="N67" s="64"/>
      <c r="O67" s="64"/>
      <c r="P67" s="64"/>
      <c r="Q67" s="64"/>
      <c r="R67" s="64"/>
      <c r="S67" s="64"/>
      <c r="T67" s="64"/>
      <c r="U67" s="64"/>
      <c r="V67" s="64"/>
      <c r="W67" s="64"/>
      <c r="X67" s="64"/>
      <c r="Y67" s="64"/>
      <c r="Z67" s="64"/>
    </row>
    <row r="68" ht="12.75" customHeight="1">
      <c r="A68" s="108"/>
      <c r="B68" s="64"/>
      <c r="C68" s="64"/>
      <c r="D68" s="64"/>
      <c r="E68" s="64"/>
      <c r="F68" s="63"/>
      <c r="G68" s="63"/>
      <c r="H68" s="64"/>
      <c r="I68" s="64"/>
      <c r="J68" s="64"/>
      <c r="K68" s="64"/>
      <c r="L68" s="64"/>
      <c r="M68" s="64"/>
      <c r="N68" s="64"/>
      <c r="O68" s="64"/>
      <c r="P68" s="64"/>
      <c r="Q68" s="64"/>
      <c r="R68" s="64"/>
      <c r="S68" s="64"/>
      <c r="T68" s="64"/>
      <c r="U68" s="64"/>
      <c r="V68" s="64"/>
      <c r="W68" s="64"/>
      <c r="X68" s="64"/>
      <c r="Y68" s="64"/>
      <c r="Z68" s="64"/>
    </row>
    <row r="69" ht="12.75" customHeight="1">
      <c r="A69" s="108"/>
      <c r="B69" s="64"/>
      <c r="C69" s="64"/>
      <c r="D69" s="64"/>
      <c r="E69" s="64"/>
      <c r="F69" s="63"/>
      <c r="G69" s="63"/>
      <c r="H69" s="64"/>
      <c r="I69" s="64"/>
      <c r="J69" s="64"/>
      <c r="K69" s="64"/>
      <c r="L69" s="64"/>
      <c r="M69" s="64"/>
      <c r="N69" s="64"/>
      <c r="O69" s="64"/>
      <c r="P69" s="64"/>
      <c r="Q69" s="64"/>
      <c r="R69" s="64"/>
      <c r="S69" s="64"/>
      <c r="T69" s="64"/>
      <c r="U69" s="64"/>
      <c r="V69" s="64"/>
      <c r="W69" s="64"/>
      <c r="X69" s="64"/>
      <c r="Y69" s="64"/>
      <c r="Z69" s="64"/>
    </row>
    <row r="70" ht="12.75" customHeight="1">
      <c r="A70" s="108"/>
      <c r="B70" s="64"/>
      <c r="C70" s="64"/>
      <c r="D70" s="64"/>
      <c r="E70" s="64"/>
      <c r="F70" s="63"/>
      <c r="G70" s="63"/>
      <c r="H70" s="64"/>
      <c r="I70" s="64"/>
      <c r="J70" s="64"/>
      <c r="K70" s="64"/>
      <c r="L70" s="64"/>
      <c r="M70" s="64"/>
      <c r="N70" s="64"/>
      <c r="O70" s="64"/>
      <c r="P70" s="64"/>
      <c r="Q70" s="64"/>
      <c r="R70" s="64"/>
      <c r="S70" s="64"/>
      <c r="T70" s="64"/>
      <c r="U70" s="64"/>
      <c r="V70" s="64"/>
      <c r="W70" s="64"/>
      <c r="X70" s="64"/>
      <c r="Y70" s="64"/>
      <c r="Z70" s="64"/>
    </row>
    <row r="71" ht="12.75" customHeight="1">
      <c r="A71" s="108"/>
      <c r="B71" s="64"/>
      <c r="C71" s="64"/>
      <c r="D71" s="64"/>
      <c r="E71" s="64"/>
      <c r="F71" s="63"/>
      <c r="G71" s="63"/>
      <c r="H71" s="64"/>
      <c r="I71" s="64"/>
      <c r="J71" s="64"/>
      <c r="K71" s="64"/>
      <c r="L71" s="64"/>
      <c r="M71" s="64"/>
      <c r="N71" s="64"/>
      <c r="O71" s="64"/>
      <c r="P71" s="64"/>
      <c r="Q71" s="64"/>
      <c r="R71" s="64"/>
      <c r="S71" s="64"/>
      <c r="T71" s="64"/>
      <c r="U71" s="64"/>
      <c r="V71" s="64"/>
      <c r="W71" s="64"/>
      <c r="X71" s="64"/>
      <c r="Y71" s="64"/>
      <c r="Z71" s="64"/>
    </row>
    <row r="72" ht="12.75" customHeight="1">
      <c r="A72" s="108"/>
      <c r="B72" s="64"/>
      <c r="C72" s="64"/>
      <c r="D72" s="64"/>
      <c r="E72" s="64"/>
      <c r="F72" s="63"/>
      <c r="G72" s="63"/>
      <c r="H72" s="64"/>
      <c r="I72" s="64"/>
      <c r="J72" s="64"/>
      <c r="K72" s="64"/>
      <c r="L72" s="64"/>
      <c r="M72" s="64"/>
      <c r="N72" s="64"/>
      <c r="O72" s="64"/>
      <c r="P72" s="64"/>
      <c r="Q72" s="64"/>
      <c r="R72" s="64"/>
      <c r="S72" s="64"/>
      <c r="T72" s="64"/>
      <c r="U72" s="64"/>
      <c r="V72" s="64"/>
      <c r="W72" s="64"/>
      <c r="X72" s="64"/>
      <c r="Y72" s="64"/>
      <c r="Z72" s="64"/>
    </row>
    <row r="73" ht="12.75" customHeight="1">
      <c r="A73" s="108"/>
      <c r="B73" s="64"/>
      <c r="C73" s="64"/>
      <c r="D73" s="64"/>
      <c r="E73" s="64"/>
      <c r="F73" s="63"/>
      <c r="G73" s="63"/>
      <c r="H73" s="64"/>
      <c r="I73" s="64"/>
      <c r="J73" s="64"/>
      <c r="K73" s="64"/>
      <c r="L73" s="64"/>
      <c r="M73" s="64"/>
      <c r="N73" s="64"/>
      <c r="O73" s="64"/>
      <c r="P73" s="64"/>
      <c r="Q73" s="64"/>
      <c r="R73" s="64"/>
      <c r="S73" s="64"/>
      <c r="T73" s="64"/>
      <c r="U73" s="64"/>
      <c r="V73" s="64"/>
      <c r="W73" s="64"/>
      <c r="X73" s="64"/>
      <c r="Y73" s="64"/>
      <c r="Z73" s="64"/>
    </row>
    <row r="74" ht="12.75" customHeight="1">
      <c r="A74" s="108"/>
      <c r="B74" s="64"/>
      <c r="C74" s="64"/>
      <c r="D74" s="64"/>
      <c r="E74" s="64"/>
      <c r="F74" s="63"/>
      <c r="G74" s="63"/>
      <c r="H74" s="64"/>
      <c r="I74" s="64"/>
      <c r="J74" s="64"/>
      <c r="K74" s="64"/>
      <c r="L74" s="64"/>
      <c r="M74" s="64"/>
      <c r="N74" s="64"/>
      <c r="O74" s="64"/>
      <c r="P74" s="64"/>
      <c r="Q74" s="64"/>
      <c r="R74" s="64"/>
      <c r="S74" s="64"/>
      <c r="T74" s="64"/>
      <c r="U74" s="64"/>
      <c r="V74" s="64"/>
      <c r="W74" s="64"/>
      <c r="X74" s="64"/>
      <c r="Y74" s="64"/>
      <c r="Z74" s="64"/>
    </row>
    <row r="75" ht="12.75" customHeight="1">
      <c r="A75" s="108"/>
      <c r="B75" s="64"/>
      <c r="C75" s="64"/>
      <c r="D75" s="64"/>
      <c r="E75" s="64"/>
      <c r="F75" s="63"/>
      <c r="G75" s="63"/>
      <c r="H75" s="64"/>
      <c r="I75" s="64"/>
      <c r="J75" s="64"/>
      <c r="K75" s="64"/>
      <c r="L75" s="64"/>
      <c r="M75" s="64"/>
      <c r="N75" s="64"/>
      <c r="O75" s="64"/>
      <c r="P75" s="64"/>
      <c r="Q75" s="64"/>
      <c r="R75" s="64"/>
      <c r="S75" s="64"/>
      <c r="T75" s="64"/>
      <c r="U75" s="64"/>
      <c r="V75" s="64"/>
      <c r="W75" s="64"/>
      <c r="X75" s="64"/>
      <c r="Y75" s="64"/>
      <c r="Z75" s="64"/>
    </row>
    <row r="76" ht="12.75" customHeight="1">
      <c r="A76" s="108"/>
      <c r="B76" s="64"/>
      <c r="C76" s="64"/>
      <c r="D76" s="64"/>
      <c r="E76" s="64"/>
      <c r="F76" s="63"/>
      <c r="G76" s="63"/>
      <c r="H76" s="64"/>
      <c r="I76" s="64"/>
      <c r="J76" s="64"/>
      <c r="K76" s="64"/>
      <c r="L76" s="64"/>
      <c r="M76" s="64"/>
      <c r="N76" s="64"/>
      <c r="O76" s="64"/>
      <c r="P76" s="64"/>
      <c r="Q76" s="64"/>
      <c r="R76" s="64"/>
      <c r="S76" s="64"/>
      <c r="T76" s="64"/>
      <c r="U76" s="64"/>
      <c r="V76" s="64"/>
      <c r="W76" s="64"/>
      <c r="X76" s="64"/>
      <c r="Y76" s="64"/>
      <c r="Z76" s="64"/>
    </row>
    <row r="77" ht="12.75" customHeight="1">
      <c r="A77" s="108"/>
      <c r="B77" s="64"/>
      <c r="C77" s="64"/>
      <c r="D77" s="64"/>
      <c r="E77" s="64"/>
      <c r="F77" s="63"/>
      <c r="G77" s="63"/>
      <c r="H77" s="64"/>
      <c r="I77" s="64"/>
      <c r="J77" s="64"/>
      <c r="K77" s="64"/>
      <c r="L77" s="64"/>
      <c r="M77" s="64"/>
      <c r="N77" s="64"/>
      <c r="O77" s="64"/>
      <c r="P77" s="64"/>
      <c r="Q77" s="64"/>
      <c r="R77" s="64"/>
      <c r="S77" s="64"/>
      <c r="T77" s="64"/>
      <c r="U77" s="64"/>
      <c r="V77" s="64"/>
      <c r="W77" s="64"/>
      <c r="X77" s="64"/>
      <c r="Y77" s="64"/>
      <c r="Z77" s="64"/>
    </row>
    <row r="78" ht="12.75" customHeight="1">
      <c r="A78" s="108"/>
      <c r="B78" s="64"/>
      <c r="C78" s="64"/>
      <c r="D78" s="64"/>
      <c r="E78" s="64"/>
      <c r="F78" s="63"/>
      <c r="G78" s="63"/>
      <c r="H78" s="64"/>
      <c r="I78" s="64"/>
      <c r="J78" s="64"/>
      <c r="K78" s="64"/>
      <c r="L78" s="64"/>
      <c r="M78" s="64"/>
      <c r="N78" s="64"/>
      <c r="O78" s="64"/>
      <c r="P78" s="64"/>
      <c r="Q78" s="64"/>
      <c r="R78" s="64"/>
      <c r="S78" s="64"/>
      <c r="T78" s="64"/>
      <c r="U78" s="64"/>
      <c r="V78" s="64"/>
      <c r="W78" s="64"/>
      <c r="X78" s="64"/>
      <c r="Y78" s="64"/>
      <c r="Z78" s="64"/>
    </row>
    <row r="79" ht="12.75" customHeight="1">
      <c r="A79" s="108"/>
      <c r="B79" s="64"/>
      <c r="C79" s="64"/>
      <c r="D79" s="64"/>
      <c r="E79" s="64"/>
      <c r="F79" s="63"/>
      <c r="G79" s="63"/>
      <c r="H79" s="64"/>
      <c r="I79" s="64"/>
      <c r="J79" s="64"/>
      <c r="K79" s="64"/>
      <c r="L79" s="64"/>
      <c r="M79" s="64"/>
      <c r="N79" s="64"/>
      <c r="O79" s="64"/>
      <c r="P79" s="64"/>
      <c r="Q79" s="64"/>
      <c r="R79" s="64"/>
      <c r="S79" s="64"/>
      <c r="T79" s="64"/>
      <c r="U79" s="64"/>
      <c r="V79" s="64"/>
      <c r="W79" s="64"/>
      <c r="X79" s="64"/>
      <c r="Y79" s="64"/>
      <c r="Z79" s="64"/>
    </row>
    <row r="80" ht="12.75" customHeight="1">
      <c r="A80" s="108"/>
      <c r="B80" s="64"/>
      <c r="C80" s="64"/>
      <c r="D80" s="64"/>
      <c r="E80" s="64"/>
      <c r="F80" s="63"/>
      <c r="G80" s="63"/>
      <c r="H80" s="64"/>
      <c r="I80" s="64"/>
      <c r="J80" s="64"/>
      <c r="K80" s="64"/>
      <c r="L80" s="64"/>
      <c r="M80" s="64"/>
      <c r="N80" s="64"/>
      <c r="O80" s="64"/>
      <c r="P80" s="64"/>
      <c r="Q80" s="64"/>
      <c r="R80" s="64"/>
      <c r="S80" s="64"/>
      <c r="T80" s="64"/>
      <c r="U80" s="64"/>
      <c r="V80" s="64"/>
      <c r="W80" s="64"/>
      <c r="X80" s="64"/>
      <c r="Y80" s="64"/>
      <c r="Z80" s="64"/>
    </row>
    <row r="81" ht="12.75" customHeight="1">
      <c r="A81" s="108"/>
      <c r="B81" s="64"/>
      <c r="C81" s="64"/>
      <c r="D81" s="64"/>
      <c r="E81" s="64"/>
      <c r="F81" s="63"/>
      <c r="G81" s="63"/>
      <c r="H81" s="64"/>
      <c r="I81" s="64"/>
      <c r="J81" s="64"/>
      <c r="K81" s="64"/>
      <c r="L81" s="64"/>
      <c r="M81" s="64"/>
      <c r="N81" s="64"/>
      <c r="O81" s="64"/>
      <c r="P81" s="64"/>
      <c r="Q81" s="64"/>
      <c r="R81" s="64"/>
      <c r="S81" s="64"/>
      <c r="T81" s="64"/>
      <c r="U81" s="64"/>
      <c r="V81" s="64"/>
      <c r="W81" s="64"/>
      <c r="X81" s="64"/>
      <c r="Y81" s="64"/>
      <c r="Z81" s="64"/>
    </row>
    <row r="82" ht="12.75" customHeight="1">
      <c r="A82" s="108"/>
      <c r="B82" s="64"/>
      <c r="C82" s="64"/>
      <c r="D82" s="64"/>
      <c r="E82" s="64"/>
      <c r="F82" s="63"/>
      <c r="G82" s="63"/>
      <c r="H82" s="64"/>
      <c r="I82" s="64"/>
      <c r="J82" s="64"/>
      <c r="K82" s="64"/>
      <c r="L82" s="64"/>
      <c r="M82" s="64"/>
      <c r="N82" s="64"/>
      <c r="O82" s="64"/>
      <c r="P82" s="64"/>
      <c r="Q82" s="64"/>
      <c r="R82" s="64"/>
      <c r="S82" s="64"/>
      <c r="T82" s="64"/>
      <c r="U82" s="64"/>
      <c r="V82" s="64"/>
      <c r="W82" s="64"/>
      <c r="X82" s="64"/>
      <c r="Y82" s="64"/>
      <c r="Z82" s="64"/>
    </row>
    <row r="83" ht="12.75" customHeight="1">
      <c r="A83" s="108"/>
      <c r="B83" s="64"/>
      <c r="C83" s="64"/>
      <c r="D83" s="64"/>
      <c r="E83" s="64"/>
      <c r="F83" s="63"/>
      <c r="G83" s="63"/>
      <c r="H83" s="64"/>
      <c r="I83" s="64"/>
      <c r="J83" s="64"/>
      <c r="K83" s="64"/>
      <c r="L83" s="64"/>
      <c r="M83" s="64"/>
      <c r="N83" s="64"/>
      <c r="O83" s="64"/>
      <c r="P83" s="64"/>
      <c r="Q83" s="64"/>
      <c r="R83" s="64"/>
      <c r="S83" s="64"/>
      <c r="T83" s="64"/>
      <c r="U83" s="64"/>
      <c r="V83" s="64"/>
      <c r="W83" s="64"/>
      <c r="X83" s="64"/>
      <c r="Y83" s="64"/>
      <c r="Z83" s="64"/>
    </row>
    <row r="84" ht="12.75" customHeight="1">
      <c r="A84" s="108"/>
      <c r="B84" s="64"/>
      <c r="C84" s="64"/>
      <c r="D84" s="64"/>
      <c r="E84" s="64"/>
      <c r="F84" s="63"/>
      <c r="G84" s="63"/>
      <c r="H84" s="64"/>
      <c r="I84" s="64"/>
      <c r="J84" s="64"/>
      <c r="K84" s="64"/>
      <c r="L84" s="64"/>
      <c r="M84" s="64"/>
      <c r="N84" s="64"/>
      <c r="O84" s="64"/>
      <c r="P84" s="64"/>
      <c r="Q84" s="64"/>
      <c r="R84" s="64"/>
      <c r="S84" s="64"/>
      <c r="T84" s="64"/>
      <c r="U84" s="64"/>
      <c r="V84" s="64"/>
      <c r="W84" s="64"/>
      <c r="X84" s="64"/>
      <c r="Y84" s="64"/>
      <c r="Z84" s="64"/>
    </row>
    <row r="85" ht="12.75" customHeight="1">
      <c r="A85" s="108"/>
      <c r="B85" s="64"/>
      <c r="C85" s="64"/>
      <c r="D85" s="64"/>
      <c r="E85" s="64"/>
      <c r="F85" s="63"/>
      <c r="G85" s="63"/>
      <c r="H85" s="64"/>
      <c r="I85" s="64"/>
      <c r="J85" s="64"/>
      <c r="K85" s="64"/>
      <c r="L85" s="64"/>
      <c r="M85" s="64"/>
      <c r="N85" s="64"/>
      <c r="O85" s="64"/>
      <c r="P85" s="64"/>
      <c r="Q85" s="64"/>
      <c r="R85" s="64"/>
      <c r="S85" s="64"/>
      <c r="T85" s="64"/>
      <c r="U85" s="64"/>
      <c r="V85" s="64"/>
      <c r="W85" s="64"/>
      <c r="X85" s="64"/>
      <c r="Y85" s="64"/>
      <c r="Z85" s="64"/>
    </row>
    <row r="86" ht="12.75" customHeight="1">
      <c r="A86" s="108"/>
      <c r="B86" s="64"/>
      <c r="C86" s="64"/>
      <c r="D86" s="64"/>
      <c r="E86" s="64"/>
      <c r="F86" s="63"/>
      <c r="G86" s="63"/>
      <c r="H86" s="64"/>
      <c r="I86" s="64"/>
      <c r="J86" s="64"/>
      <c r="K86" s="64"/>
      <c r="L86" s="64"/>
      <c r="M86" s="64"/>
      <c r="N86" s="64"/>
      <c r="O86" s="64"/>
      <c r="P86" s="64"/>
      <c r="Q86" s="64"/>
      <c r="R86" s="64"/>
      <c r="S86" s="64"/>
      <c r="T86" s="64"/>
      <c r="U86" s="64"/>
      <c r="V86" s="64"/>
      <c r="W86" s="64"/>
      <c r="X86" s="64"/>
      <c r="Y86" s="64"/>
      <c r="Z86" s="64"/>
    </row>
    <row r="87" ht="12.75" customHeight="1">
      <c r="A87" s="108"/>
      <c r="B87" s="64"/>
      <c r="C87" s="64"/>
      <c r="D87" s="64"/>
      <c r="E87" s="64"/>
      <c r="F87" s="63"/>
      <c r="G87" s="63"/>
      <c r="H87" s="64"/>
      <c r="I87" s="64"/>
      <c r="J87" s="64"/>
      <c r="K87" s="64"/>
      <c r="L87" s="64"/>
      <c r="M87" s="64"/>
      <c r="N87" s="64"/>
      <c r="O87" s="64"/>
      <c r="P87" s="64"/>
      <c r="Q87" s="64"/>
      <c r="R87" s="64"/>
      <c r="S87" s="64"/>
      <c r="T87" s="64"/>
      <c r="U87" s="64"/>
      <c r="V87" s="64"/>
      <c r="W87" s="64"/>
      <c r="X87" s="64"/>
      <c r="Y87" s="64"/>
      <c r="Z87" s="64"/>
    </row>
    <row r="88" ht="12.75" customHeight="1">
      <c r="A88" s="108"/>
      <c r="B88" s="64"/>
      <c r="C88" s="64"/>
      <c r="D88" s="64"/>
      <c r="E88" s="64"/>
      <c r="F88" s="63"/>
      <c r="G88" s="63"/>
      <c r="H88" s="64"/>
      <c r="I88" s="64"/>
      <c r="J88" s="64"/>
      <c r="K88" s="64"/>
      <c r="L88" s="64"/>
      <c r="M88" s="64"/>
      <c r="N88" s="64"/>
      <c r="O88" s="64"/>
      <c r="P88" s="64"/>
      <c r="Q88" s="64"/>
      <c r="R88" s="64"/>
      <c r="S88" s="64"/>
      <c r="T88" s="64"/>
      <c r="U88" s="64"/>
      <c r="V88" s="64"/>
      <c r="W88" s="64"/>
      <c r="X88" s="64"/>
      <c r="Y88" s="64"/>
      <c r="Z88" s="64"/>
    </row>
    <row r="89" ht="12.75" customHeight="1">
      <c r="A89" s="108"/>
      <c r="B89" s="64"/>
      <c r="C89" s="64"/>
      <c r="D89" s="64"/>
      <c r="E89" s="64"/>
      <c r="F89" s="63"/>
      <c r="G89" s="63"/>
      <c r="H89" s="64"/>
      <c r="I89" s="64"/>
      <c r="J89" s="64"/>
      <c r="K89" s="64"/>
      <c r="L89" s="64"/>
      <c r="M89" s="64"/>
      <c r="N89" s="64"/>
      <c r="O89" s="64"/>
      <c r="P89" s="64"/>
      <c r="Q89" s="64"/>
      <c r="R89" s="64"/>
      <c r="S89" s="64"/>
      <c r="T89" s="64"/>
      <c r="U89" s="64"/>
      <c r="V89" s="64"/>
      <c r="W89" s="64"/>
      <c r="X89" s="64"/>
      <c r="Y89" s="64"/>
      <c r="Z89" s="64"/>
    </row>
    <row r="90" ht="12.75" customHeight="1">
      <c r="A90" s="108"/>
      <c r="B90" s="64"/>
      <c r="C90" s="64"/>
      <c r="D90" s="64"/>
      <c r="E90" s="64"/>
      <c r="F90" s="63"/>
      <c r="G90" s="63"/>
      <c r="H90" s="64"/>
      <c r="I90" s="64"/>
      <c r="J90" s="64"/>
      <c r="K90" s="64"/>
      <c r="L90" s="64"/>
      <c r="M90" s="64"/>
      <c r="N90" s="64"/>
      <c r="O90" s="64"/>
      <c r="P90" s="64"/>
      <c r="Q90" s="64"/>
      <c r="R90" s="64"/>
      <c r="S90" s="64"/>
      <c r="T90" s="64"/>
      <c r="U90" s="64"/>
      <c r="V90" s="64"/>
      <c r="W90" s="64"/>
      <c r="X90" s="64"/>
      <c r="Y90" s="64"/>
      <c r="Z90" s="64"/>
    </row>
    <row r="91" ht="12.75" customHeight="1">
      <c r="A91" s="108"/>
      <c r="B91" s="64"/>
      <c r="C91" s="64"/>
      <c r="D91" s="64"/>
      <c r="E91" s="64"/>
      <c r="F91" s="63"/>
      <c r="G91" s="63"/>
      <c r="H91" s="64"/>
      <c r="I91" s="64"/>
      <c r="J91" s="64"/>
      <c r="K91" s="64"/>
      <c r="L91" s="64"/>
      <c r="M91" s="64"/>
      <c r="N91" s="64"/>
      <c r="O91" s="64"/>
      <c r="P91" s="64"/>
      <c r="Q91" s="64"/>
      <c r="R91" s="64"/>
      <c r="S91" s="64"/>
      <c r="T91" s="64"/>
      <c r="U91" s="64"/>
      <c r="V91" s="64"/>
      <c r="W91" s="64"/>
      <c r="X91" s="64"/>
      <c r="Y91" s="64"/>
      <c r="Z91" s="64"/>
    </row>
    <row r="92" ht="12.75" customHeight="1">
      <c r="A92" s="108"/>
      <c r="B92" s="64"/>
      <c r="C92" s="64"/>
      <c r="D92" s="64"/>
      <c r="E92" s="64"/>
      <c r="F92" s="63"/>
      <c r="G92" s="63"/>
      <c r="H92" s="64"/>
      <c r="I92" s="64"/>
      <c r="J92" s="64"/>
      <c r="K92" s="64"/>
      <c r="L92" s="64"/>
      <c r="M92" s="64"/>
      <c r="N92" s="64"/>
      <c r="O92" s="64"/>
      <c r="P92" s="64"/>
      <c r="Q92" s="64"/>
      <c r="R92" s="64"/>
      <c r="S92" s="64"/>
      <c r="T92" s="64"/>
      <c r="U92" s="64"/>
      <c r="V92" s="64"/>
      <c r="W92" s="64"/>
      <c r="X92" s="64"/>
      <c r="Y92" s="64"/>
      <c r="Z92" s="64"/>
    </row>
    <row r="93" ht="12.75" customHeight="1">
      <c r="A93" s="108"/>
      <c r="B93" s="64"/>
      <c r="C93" s="64"/>
      <c r="D93" s="64"/>
      <c r="E93" s="64"/>
      <c r="F93" s="63"/>
      <c r="G93" s="63"/>
      <c r="H93" s="64"/>
      <c r="I93" s="64"/>
      <c r="J93" s="64"/>
      <c r="K93" s="64"/>
      <c r="L93" s="64"/>
      <c r="M93" s="64"/>
      <c r="N93" s="64"/>
      <c r="O93" s="64"/>
      <c r="P93" s="64"/>
      <c r="Q93" s="64"/>
      <c r="R93" s="64"/>
      <c r="S93" s="64"/>
      <c r="T93" s="64"/>
      <c r="U93" s="64"/>
      <c r="V93" s="64"/>
      <c r="W93" s="64"/>
      <c r="X93" s="64"/>
      <c r="Y93" s="64"/>
      <c r="Z93" s="64"/>
    </row>
    <row r="94" ht="12.75" customHeight="1">
      <c r="A94" s="108"/>
      <c r="B94" s="64"/>
      <c r="C94" s="64"/>
      <c r="D94" s="64"/>
      <c r="E94" s="64"/>
      <c r="F94" s="63"/>
      <c r="G94" s="63"/>
      <c r="H94" s="64"/>
      <c r="I94" s="64"/>
      <c r="J94" s="64"/>
      <c r="K94" s="64"/>
      <c r="L94" s="64"/>
      <c r="M94" s="64"/>
      <c r="N94" s="64"/>
      <c r="O94" s="64"/>
      <c r="P94" s="64"/>
      <c r="Q94" s="64"/>
      <c r="R94" s="64"/>
      <c r="S94" s="64"/>
      <c r="T94" s="64"/>
      <c r="U94" s="64"/>
      <c r="V94" s="64"/>
      <c r="W94" s="64"/>
      <c r="X94" s="64"/>
      <c r="Y94" s="64"/>
      <c r="Z94" s="64"/>
    </row>
    <row r="95" ht="12.75" customHeight="1">
      <c r="A95" s="108"/>
      <c r="B95" s="64"/>
      <c r="C95" s="64"/>
      <c r="D95" s="64"/>
      <c r="E95" s="64"/>
      <c r="F95" s="63"/>
      <c r="G95" s="63"/>
      <c r="H95" s="64"/>
      <c r="I95" s="64"/>
      <c r="J95" s="64"/>
      <c r="K95" s="64"/>
      <c r="L95" s="64"/>
      <c r="M95" s="64"/>
      <c r="N95" s="64"/>
      <c r="O95" s="64"/>
      <c r="P95" s="64"/>
      <c r="Q95" s="64"/>
      <c r="R95" s="64"/>
      <c r="S95" s="64"/>
      <c r="T95" s="64"/>
      <c r="U95" s="64"/>
      <c r="V95" s="64"/>
      <c r="W95" s="64"/>
      <c r="X95" s="64"/>
      <c r="Y95" s="64"/>
      <c r="Z95" s="64"/>
    </row>
    <row r="96" ht="12.75" customHeight="1">
      <c r="A96" s="108"/>
      <c r="B96" s="64"/>
      <c r="C96" s="64"/>
      <c r="D96" s="64"/>
      <c r="E96" s="64"/>
      <c r="F96" s="63"/>
      <c r="G96" s="63"/>
      <c r="H96" s="64"/>
      <c r="I96" s="64"/>
      <c r="J96" s="64"/>
      <c r="K96" s="64"/>
      <c r="L96" s="64"/>
      <c r="M96" s="64"/>
      <c r="N96" s="64"/>
      <c r="O96" s="64"/>
      <c r="P96" s="64"/>
      <c r="Q96" s="64"/>
      <c r="R96" s="64"/>
      <c r="S96" s="64"/>
      <c r="T96" s="64"/>
      <c r="U96" s="64"/>
      <c r="V96" s="64"/>
      <c r="W96" s="64"/>
      <c r="X96" s="64"/>
      <c r="Y96" s="64"/>
      <c r="Z96" s="64"/>
    </row>
    <row r="97" ht="12.75" customHeight="1">
      <c r="A97" s="108"/>
      <c r="B97" s="64"/>
      <c r="C97" s="64"/>
      <c r="D97" s="64"/>
      <c r="E97" s="64"/>
      <c r="F97" s="63"/>
      <c r="G97" s="63"/>
      <c r="H97" s="64"/>
      <c r="I97" s="64"/>
      <c r="J97" s="64"/>
      <c r="K97" s="64"/>
      <c r="L97" s="64"/>
      <c r="M97" s="64"/>
      <c r="N97" s="64"/>
      <c r="O97" s="64"/>
      <c r="P97" s="64"/>
      <c r="Q97" s="64"/>
      <c r="R97" s="64"/>
      <c r="S97" s="64"/>
      <c r="T97" s="64"/>
      <c r="U97" s="64"/>
      <c r="V97" s="64"/>
      <c r="W97" s="64"/>
      <c r="X97" s="64"/>
      <c r="Y97" s="64"/>
      <c r="Z97" s="64"/>
    </row>
    <row r="98" ht="12.75" customHeight="1">
      <c r="A98" s="108"/>
      <c r="B98" s="64"/>
      <c r="C98" s="64"/>
      <c r="D98" s="64"/>
      <c r="E98" s="64"/>
      <c r="F98" s="63"/>
      <c r="G98" s="63"/>
      <c r="H98" s="64"/>
      <c r="I98" s="64"/>
      <c r="J98" s="64"/>
      <c r="K98" s="64"/>
      <c r="L98" s="64"/>
      <c r="M98" s="64"/>
      <c r="N98" s="64"/>
      <c r="O98" s="64"/>
      <c r="P98" s="64"/>
      <c r="Q98" s="64"/>
      <c r="R98" s="64"/>
      <c r="S98" s="64"/>
      <c r="T98" s="64"/>
      <c r="U98" s="64"/>
      <c r="V98" s="64"/>
      <c r="W98" s="64"/>
      <c r="X98" s="64"/>
      <c r="Y98" s="64"/>
      <c r="Z98" s="64"/>
    </row>
    <row r="99" ht="12.75" customHeight="1">
      <c r="A99" s="108"/>
      <c r="B99" s="64"/>
      <c r="C99" s="64"/>
      <c r="D99" s="64"/>
      <c r="E99" s="64"/>
      <c r="F99" s="63"/>
      <c r="G99" s="63"/>
      <c r="H99" s="64"/>
      <c r="I99" s="64"/>
      <c r="J99" s="64"/>
      <c r="K99" s="64"/>
      <c r="L99" s="64"/>
      <c r="M99" s="64"/>
      <c r="N99" s="64"/>
      <c r="O99" s="64"/>
      <c r="P99" s="64"/>
      <c r="Q99" s="64"/>
      <c r="R99" s="64"/>
      <c r="S99" s="64"/>
      <c r="T99" s="64"/>
      <c r="U99" s="64"/>
      <c r="V99" s="64"/>
      <c r="W99" s="64"/>
      <c r="X99" s="64"/>
      <c r="Y99" s="64"/>
      <c r="Z99" s="64"/>
    </row>
    <row r="100" ht="12.75" customHeight="1">
      <c r="A100" s="108"/>
      <c r="B100" s="64"/>
      <c r="C100" s="64"/>
      <c r="D100" s="64"/>
      <c r="E100" s="64"/>
      <c r="F100" s="63"/>
      <c r="G100" s="63"/>
      <c r="H100" s="64"/>
      <c r="I100" s="64"/>
      <c r="J100" s="64"/>
      <c r="K100" s="64"/>
      <c r="L100" s="64"/>
      <c r="M100" s="64"/>
      <c r="N100" s="64"/>
      <c r="O100" s="64"/>
      <c r="P100" s="64"/>
      <c r="Q100" s="64"/>
      <c r="R100" s="64"/>
      <c r="S100" s="64"/>
      <c r="T100" s="64"/>
      <c r="U100" s="64"/>
      <c r="V100" s="64"/>
      <c r="W100" s="64"/>
      <c r="X100" s="64"/>
      <c r="Y100" s="64"/>
      <c r="Z100" s="64"/>
    </row>
    <row r="101" ht="12.75" customHeight="1">
      <c r="A101" s="108"/>
      <c r="B101" s="64"/>
      <c r="C101" s="64"/>
      <c r="D101" s="64"/>
      <c r="E101" s="64"/>
      <c r="F101" s="63"/>
      <c r="G101" s="63"/>
      <c r="H101" s="64"/>
      <c r="I101" s="64"/>
      <c r="J101" s="64"/>
      <c r="K101" s="64"/>
      <c r="L101" s="64"/>
      <c r="M101" s="64"/>
      <c r="N101" s="64"/>
      <c r="O101" s="64"/>
      <c r="P101" s="64"/>
      <c r="Q101" s="64"/>
      <c r="R101" s="64"/>
      <c r="S101" s="64"/>
      <c r="T101" s="64"/>
      <c r="U101" s="64"/>
      <c r="V101" s="64"/>
      <c r="W101" s="64"/>
      <c r="X101" s="64"/>
      <c r="Y101" s="64"/>
      <c r="Z101" s="64"/>
    </row>
    <row r="102" ht="12.75" customHeight="1">
      <c r="A102" s="108"/>
      <c r="B102" s="64"/>
      <c r="C102" s="64"/>
      <c r="D102" s="64"/>
      <c r="E102" s="64"/>
      <c r="F102" s="63"/>
      <c r="G102" s="63"/>
      <c r="H102" s="64"/>
      <c r="I102" s="64"/>
      <c r="J102" s="64"/>
      <c r="K102" s="64"/>
      <c r="L102" s="64"/>
      <c r="M102" s="64"/>
      <c r="N102" s="64"/>
      <c r="O102" s="64"/>
      <c r="P102" s="64"/>
      <c r="Q102" s="64"/>
      <c r="R102" s="64"/>
      <c r="S102" s="64"/>
      <c r="T102" s="64"/>
      <c r="U102" s="64"/>
      <c r="V102" s="64"/>
      <c r="W102" s="64"/>
      <c r="X102" s="64"/>
      <c r="Y102" s="64"/>
      <c r="Z102" s="64"/>
    </row>
    <row r="103" ht="12.75" customHeight="1">
      <c r="A103" s="108"/>
      <c r="B103" s="64"/>
      <c r="C103" s="64"/>
      <c r="D103" s="64"/>
      <c r="E103" s="64"/>
      <c r="F103" s="63"/>
      <c r="G103" s="63"/>
      <c r="H103" s="64"/>
      <c r="I103" s="64"/>
      <c r="J103" s="64"/>
      <c r="K103" s="64"/>
      <c r="L103" s="64"/>
      <c r="M103" s="64"/>
      <c r="N103" s="64"/>
      <c r="O103" s="64"/>
      <c r="P103" s="64"/>
      <c r="Q103" s="64"/>
      <c r="R103" s="64"/>
      <c r="S103" s="64"/>
      <c r="T103" s="64"/>
      <c r="U103" s="64"/>
      <c r="V103" s="64"/>
      <c r="W103" s="64"/>
      <c r="X103" s="64"/>
      <c r="Y103" s="64"/>
      <c r="Z103" s="64"/>
    </row>
    <row r="104" ht="12.75" customHeight="1">
      <c r="A104" s="108"/>
      <c r="B104" s="64"/>
      <c r="C104" s="64"/>
      <c r="D104" s="64"/>
      <c r="E104" s="64"/>
      <c r="F104" s="63"/>
      <c r="G104" s="63"/>
      <c r="H104" s="64"/>
      <c r="I104" s="64"/>
      <c r="J104" s="64"/>
      <c r="K104" s="64"/>
      <c r="L104" s="64"/>
      <c r="M104" s="64"/>
      <c r="N104" s="64"/>
      <c r="O104" s="64"/>
      <c r="P104" s="64"/>
      <c r="Q104" s="64"/>
      <c r="R104" s="64"/>
      <c r="S104" s="64"/>
      <c r="T104" s="64"/>
      <c r="U104" s="64"/>
      <c r="V104" s="64"/>
      <c r="W104" s="64"/>
      <c r="X104" s="64"/>
      <c r="Y104" s="64"/>
      <c r="Z104" s="64"/>
    </row>
    <row r="105" ht="12.75" customHeight="1">
      <c r="A105" s="108"/>
      <c r="B105" s="64"/>
      <c r="C105" s="64"/>
      <c r="D105" s="64"/>
      <c r="E105" s="64"/>
      <c r="F105" s="63"/>
      <c r="G105" s="63"/>
      <c r="H105" s="64"/>
      <c r="I105" s="64"/>
      <c r="J105" s="64"/>
      <c r="K105" s="64"/>
      <c r="L105" s="64"/>
      <c r="M105" s="64"/>
      <c r="N105" s="64"/>
      <c r="O105" s="64"/>
      <c r="P105" s="64"/>
      <c r="Q105" s="64"/>
      <c r="R105" s="64"/>
      <c r="S105" s="64"/>
      <c r="T105" s="64"/>
      <c r="U105" s="64"/>
      <c r="V105" s="64"/>
      <c r="W105" s="64"/>
      <c r="X105" s="64"/>
      <c r="Y105" s="64"/>
      <c r="Z105" s="64"/>
    </row>
    <row r="106" ht="12.75" customHeight="1">
      <c r="A106" s="108"/>
      <c r="B106" s="64"/>
      <c r="C106" s="64"/>
      <c r="D106" s="64"/>
      <c r="E106" s="64"/>
      <c r="F106" s="63"/>
      <c r="G106" s="63"/>
      <c r="H106" s="64"/>
      <c r="I106" s="64"/>
      <c r="J106" s="64"/>
      <c r="K106" s="64"/>
      <c r="L106" s="64"/>
      <c r="M106" s="64"/>
      <c r="N106" s="64"/>
      <c r="O106" s="64"/>
      <c r="P106" s="64"/>
      <c r="Q106" s="64"/>
      <c r="R106" s="64"/>
      <c r="S106" s="64"/>
      <c r="T106" s="64"/>
      <c r="U106" s="64"/>
      <c r="V106" s="64"/>
      <c r="W106" s="64"/>
      <c r="X106" s="64"/>
      <c r="Y106" s="64"/>
      <c r="Z106" s="64"/>
    </row>
    <row r="107" ht="12.75" customHeight="1">
      <c r="A107" s="108"/>
      <c r="B107" s="64"/>
      <c r="C107" s="64"/>
      <c r="D107" s="64"/>
      <c r="E107" s="64"/>
      <c r="F107" s="63"/>
      <c r="G107" s="63"/>
      <c r="H107" s="64"/>
      <c r="I107" s="64"/>
      <c r="J107" s="64"/>
      <c r="K107" s="64"/>
      <c r="L107" s="64"/>
      <c r="M107" s="64"/>
      <c r="N107" s="64"/>
      <c r="O107" s="64"/>
      <c r="P107" s="64"/>
      <c r="Q107" s="64"/>
      <c r="R107" s="64"/>
      <c r="S107" s="64"/>
      <c r="T107" s="64"/>
      <c r="U107" s="64"/>
      <c r="V107" s="64"/>
      <c r="W107" s="64"/>
      <c r="X107" s="64"/>
      <c r="Y107" s="64"/>
      <c r="Z107" s="64"/>
    </row>
    <row r="108" ht="12.75" customHeight="1">
      <c r="A108" s="108"/>
      <c r="B108" s="64"/>
      <c r="C108" s="64"/>
      <c r="D108" s="64"/>
      <c r="E108" s="64"/>
      <c r="F108" s="63"/>
      <c r="G108" s="63"/>
      <c r="H108" s="64"/>
      <c r="I108" s="64"/>
      <c r="J108" s="64"/>
      <c r="K108" s="64"/>
      <c r="L108" s="64"/>
      <c r="M108" s="64"/>
      <c r="N108" s="64"/>
      <c r="O108" s="64"/>
      <c r="P108" s="64"/>
      <c r="Q108" s="64"/>
      <c r="R108" s="64"/>
      <c r="S108" s="64"/>
      <c r="T108" s="64"/>
      <c r="U108" s="64"/>
      <c r="V108" s="64"/>
      <c r="W108" s="64"/>
      <c r="X108" s="64"/>
      <c r="Y108" s="64"/>
      <c r="Z108" s="64"/>
    </row>
    <row r="109" ht="12.75" customHeight="1">
      <c r="A109" s="108"/>
      <c r="B109" s="64"/>
      <c r="C109" s="64"/>
      <c r="D109" s="64"/>
      <c r="E109" s="64"/>
      <c r="F109" s="63"/>
      <c r="G109" s="63"/>
      <c r="H109" s="64"/>
      <c r="I109" s="64"/>
      <c r="J109" s="64"/>
      <c r="K109" s="64"/>
      <c r="L109" s="64"/>
      <c r="M109" s="64"/>
      <c r="N109" s="64"/>
      <c r="O109" s="64"/>
      <c r="P109" s="64"/>
      <c r="Q109" s="64"/>
      <c r="R109" s="64"/>
      <c r="S109" s="64"/>
      <c r="T109" s="64"/>
      <c r="U109" s="64"/>
      <c r="V109" s="64"/>
      <c r="W109" s="64"/>
      <c r="X109" s="64"/>
      <c r="Y109" s="64"/>
      <c r="Z109" s="64"/>
    </row>
    <row r="110" ht="12.75" customHeight="1">
      <c r="A110" s="108"/>
      <c r="B110" s="64"/>
      <c r="C110" s="64"/>
      <c r="D110" s="64"/>
      <c r="E110" s="64"/>
      <c r="F110" s="63"/>
      <c r="G110" s="63"/>
      <c r="H110" s="64"/>
      <c r="I110" s="64"/>
      <c r="J110" s="64"/>
      <c r="K110" s="64"/>
      <c r="L110" s="64"/>
      <c r="M110" s="64"/>
      <c r="N110" s="64"/>
      <c r="O110" s="64"/>
      <c r="P110" s="64"/>
      <c r="Q110" s="64"/>
      <c r="R110" s="64"/>
      <c r="S110" s="64"/>
      <c r="T110" s="64"/>
      <c r="U110" s="64"/>
      <c r="V110" s="64"/>
      <c r="W110" s="64"/>
      <c r="X110" s="64"/>
      <c r="Y110" s="64"/>
      <c r="Z110" s="64"/>
    </row>
    <row r="111" ht="12.75" customHeight="1">
      <c r="A111" s="108"/>
      <c r="B111" s="64"/>
      <c r="C111" s="64"/>
      <c r="D111" s="64"/>
      <c r="E111" s="64"/>
      <c r="F111" s="63"/>
      <c r="G111" s="63"/>
      <c r="H111" s="64"/>
      <c r="I111" s="64"/>
      <c r="J111" s="64"/>
      <c r="K111" s="64"/>
      <c r="L111" s="64"/>
      <c r="M111" s="64"/>
      <c r="N111" s="64"/>
      <c r="O111" s="64"/>
      <c r="P111" s="64"/>
      <c r="Q111" s="64"/>
      <c r="R111" s="64"/>
      <c r="S111" s="64"/>
      <c r="T111" s="64"/>
      <c r="U111" s="64"/>
      <c r="V111" s="64"/>
      <c r="W111" s="64"/>
      <c r="X111" s="64"/>
      <c r="Y111" s="64"/>
      <c r="Z111" s="64"/>
    </row>
    <row r="112" ht="12.75" customHeight="1">
      <c r="A112" s="108"/>
      <c r="B112" s="64"/>
      <c r="C112" s="64"/>
      <c r="D112" s="64"/>
      <c r="E112" s="64"/>
      <c r="F112" s="63"/>
      <c r="G112" s="63"/>
      <c r="H112" s="64"/>
      <c r="I112" s="64"/>
      <c r="J112" s="64"/>
      <c r="K112" s="64"/>
      <c r="L112" s="64"/>
      <c r="M112" s="64"/>
      <c r="N112" s="64"/>
      <c r="O112" s="64"/>
      <c r="P112" s="64"/>
      <c r="Q112" s="64"/>
      <c r="R112" s="64"/>
      <c r="S112" s="64"/>
      <c r="T112" s="64"/>
      <c r="U112" s="64"/>
      <c r="V112" s="64"/>
      <c r="W112" s="64"/>
      <c r="X112" s="64"/>
      <c r="Y112" s="64"/>
      <c r="Z112" s="64"/>
    </row>
    <row r="113" ht="12.75" customHeight="1">
      <c r="A113" s="108"/>
      <c r="B113" s="64"/>
      <c r="C113" s="64"/>
      <c r="D113" s="64"/>
      <c r="E113" s="64"/>
      <c r="F113" s="63"/>
      <c r="G113" s="63"/>
      <c r="H113" s="64"/>
      <c r="I113" s="64"/>
      <c r="J113" s="64"/>
      <c r="K113" s="64"/>
      <c r="L113" s="64"/>
      <c r="M113" s="64"/>
      <c r="N113" s="64"/>
      <c r="O113" s="64"/>
      <c r="P113" s="64"/>
      <c r="Q113" s="64"/>
      <c r="R113" s="64"/>
      <c r="S113" s="64"/>
      <c r="T113" s="64"/>
      <c r="U113" s="64"/>
      <c r="V113" s="64"/>
      <c r="W113" s="64"/>
      <c r="X113" s="64"/>
      <c r="Y113" s="64"/>
      <c r="Z113" s="64"/>
    </row>
    <row r="114" ht="12.75" customHeight="1">
      <c r="A114" s="108"/>
      <c r="B114" s="64"/>
      <c r="C114" s="64"/>
      <c r="D114" s="64"/>
      <c r="E114" s="64"/>
      <c r="F114" s="63"/>
      <c r="G114" s="63"/>
      <c r="H114" s="64"/>
      <c r="I114" s="64"/>
      <c r="J114" s="64"/>
      <c r="K114" s="64"/>
      <c r="L114" s="64"/>
      <c r="M114" s="64"/>
      <c r="N114" s="64"/>
      <c r="O114" s="64"/>
      <c r="P114" s="64"/>
      <c r="Q114" s="64"/>
      <c r="R114" s="64"/>
      <c r="S114" s="64"/>
      <c r="T114" s="64"/>
      <c r="U114" s="64"/>
      <c r="V114" s="64"/>
      <c r="W114" s="64"/>
      <c r="X114" s="64"/>
      <c r="Y114" s="64"/>
      <c r="Z114" s="64"/>
    </row>
    <row r="115" ht="12.75" customHeight="1">
      <c r="A115" s="108"/>
      <c r="B115" s="64"/>
      <c r="C115" s="64"/>
      <c r="D115" s="64"/>
      <c r="E115" s="64"/>
      <c r="F115" s="63"/>
      <c r="G115" s="63"/>
      <c r="H115" s="64"/>
      <c r="I115" s="64"/>
      <c r="J115" s="64"/>
      <c r="K115" s="64"/>
      <c r="L115" s="64"/>
      <c r="M115" s="64"/>
      <c r="N115" s="64"/>
      <c r="O115" s="64"/>
      <c r="P115" s="64"/>
      <c r="Q115" s="64"/>
      <c r="R115" s="64"/>
      <c r="S115" s="64"/>
      <c r="T115" s="64"/>
      <c r="U115" s="64"/>
      <c r="V115" s="64"/>
      <c r="W115" s="64"/>
      <c r="X115" s="64"/>
      <c r="Y115" s="64"/>
      <c r="Z115" s="64"/>
    </row>
    <row r="116" ht="12.75" customHeight="1">
      <c r="A116" s="108"/>
      <c r="B116" s="64"/>
      <c r="C116" s="64"/>
      <c r="D116" s="64"/>
      <c r="E116" s="64"/>
      <c r="F116" s="63"/>
      <c r="G116" s="63"/>
      <c r="H116" s="64"/>
      <c r="I116" s="64"/>
      <c r="J116" s="64"/>
      <c r="K116" s="64"/>
      <c r="L116" s="64"/>
      <c r="M116" s="64"/>
      <c r="N116" s="64"/>
      <c r="O116" s="64"/>
      <c r="P116" s="64"/>
      <c r="Q116" s="64"/>
      <c r="R116" s="64"/>
      <c r="S116" s="64"/>
      <c r="T116" s="64"/>
      <c r="U116" s="64"/>
      <c r="V116" s="64"/>
      <c r="W116" s="64"/>
      <c r="X116" s="64"/>
      <c r="Y116" s="64"/>
      <c r="Z116" s="64"/>
    </row>
    <row r="117" ht="12.75" customHeight="1">
      <c r="A117" s="108"/>
      <c r="B117" s="64"/>
      <c r="C117" s="64"/>
      <c r="D117" s="64"/>
      <c r="E117" s="64"/>
      <c r="F117" s="63"/>
      <c r="G117" s="63"/>
      <c r="H117" s="64"/>
      <c r="I117" s="64"/>
      <c r="J117" s="64"/>
      <c r="K117" s="64"/>
      <c r="L117" s="64"/>
      <c r="M117" s="64"/>
      <c r="N117" s="64"/>
      <c r="O117" s="64"/>
      <c r="P117" s="64"/>
      <c r="Q117" s="64"/>
      <c r="R117" s="64"/>
      <c r="S117" s="64"/>
      <c r="T117" s="64"/>
      <c r="U117" s="64"/>
      <c r="V117" s="64"/>
      <c r="W117" s="64"/>
      <c r="X117" s="64"/>
      <c r="Y117" s="64"/>
      <c r="Z117" s="64"/>
    </row>
    <row r="118" ht="12.75" customHeight="1">
      <c r="A118" s="108"/>
      <c r="B118" s="64"/>
      <c r="C118" s="64"/>
      <c r="D118" s="64"/>
      <c r="E118" s="64"/>
      <c r="F118" s="63"/>
      <c r="G118" s="63"/>
      <c r="H118" s="64"/>
      <c r="I118" s="64"/>
      <c r="J118" s="64"/>
      <c r="K118" s="64"/>
      <c r="L118" s="64"/>
      <c r="M118" s="64"/>
      <c r="N118" s="64"/>
      <c r="O118" s="64"/>
      <c r="P118" s="64"/>
      <c r="Q118" s="64"/>
      <c r="R118" s="64"/>
      <c r="S118" s="64"/>
      <c r="T118" s="64"/>
      <c r="U118" s="64"/>
      <c r="V118" s="64"/>
      <c r="W118" s="64"/>
      <c r="X118" s="64"/>
      <c r="Y118" s="64"/>
      <c r="Z118" s="64"/>
    </row>
    <row r="119" ht="12.75" customHeight="1">
      <c r="A119" s="108"/>
      <c r="B119" s="64"/>
      <c r="C119" s="64"/>
      <c r="D119" s="64"/>
      <c r="E119" s="64"/>
      <c r="F119" s="63"/>
      <c r="G119" s="63"/>
      <c r="H119" s="64"/>
      <c r="I119" s="64"/>
      <c r="J119" s="64"/>
      <c r="K119" s="64"/>
      <c r="L119" s="64"/>
      <c r="M119" s="64"/>
      <c r="N119" s="64"/>
      <c r="O119" s="64"/>
      <c r="P119" s="64"/>
      <c r="Q119" s="64"/>
      <c r="R119" s="64"/>
      <c r="S119" s="64"/>
      <c r="T119" s="64"/>
      <c r="U119" s="64"/>
      <c r="V119" s="64"/>
      <c r="W119" s="64"/>
      <c r="X119" s="64"/>
      <c r="Y119" s="64"/>
      <c r="Z119" s="64"/>
    </row>
    <row r="120" ht="12.75" customHeight="1">
      <c r="A120" s="108"/>
      <c r="B120" s="64"/>
      <c r="C120" s="64"/>
      <c r="D120" s="64"/>
      <c r="E120" s="64"/>
      <c r="F120" s="63"/>
      <c r="G120" s="63"/>
      <c r="H120" s="64"/>
      <c r="I120" s="64"/>
      <c r="J120" s="64"/>
      <c r="K120" s="64"/>
      <c r="L120" s="64"/>
      <c r="M120" s="64"/>
      <c r="N120" s="64"/>
      <c r="O120" s="64"/>
      <c r="P120" s="64"/>
      <c r="Q120" s="64"/>
      <c r="R120" s="64"/>
      <c r="S120" s="64"/>
      <c r="T120" s="64"/>
      <c r="U120" s="64"/>
      <c r="V120" s="64"/>
      <c r="W120" s="64"/>
      <c r="X120" s="64"/>
      <c r="Y120" s="64"/>
      <c r="Z120" s="64"/>
    </row>
    <row r="121" ht="12.75" customHeight="1">
      <c r="A121" s="108"/>
      <c r="B121" s="64"/>
      <c r="C121" s="64"/>
      <c r="D121" s="64"/>
      <c r="E121" s="64"/>
      <c r="F121" s="63"/>
      <c r="G121" s="63"/>
      <c r="H121" s="64"/>
      <c r="I121" s="64"/>
      <c r="J121" s="64"/>
      <c r="K121" s="64"/>
      <c r="L121" s="64"/>
      <c r="M121" s="64"/>
      <c r="N121" s="64"/>
      <c r="O121" s="64"/>
      <c r="P121" s="64"/>
      <c r="Q121" s="64"/>
      <c r="R121" s="64"/>
      <c r="S121" s="64"/>
      <c r="T121" s="64"/>
      <c r="U121" s="64"/>
      <c r="V121" s="64"/>
      <c r="W121" s="64"/>
      <c r="X121" s="64"/>
      <c r="Y121" s="64"/>
      <c r="Z121" s="64"/>
    </row>
    <row r="122" ht="12.75" customHeight="1">
      <c r="A122" s="108"/>
      <c r="B122" s="64"/>
      <c r="C122" s="64"/>
      <c r="D122" s="64"/>
      <c r="E122" s="64"/>
      <c r="F122" s="63"/>
      <c r="G122" s="63"/>
      <c r="H122" s="64"/>
      <c r="I122" s="64"/>
      <c r="J122" s="64"/>
      <c r="K122" s="64"/>
      <c r="L122" s="64"/>
      <c r="M122" s="64"/>
      <c r="N122" s="64"/>
      <c r="O122" s="64"/>
      <c r="P122" s="64"/>
      <c r="Q122" s="64"/>
      <c r="R122" s="64"/>
      <c r="S122" s="64"/>
      <c r="T122" s="64"/>
      <c r="U122" s="64"/>
      <c r="V122" s="64"/>
      <c r="W122" s="64"/>
      <c r="X122" s="64"/>
      <c r="Y122" s="64"/>
      <c r="Z122" s="64"/>
    </row>
    <row r="123" ht="12.75" customHeight="1">
      <c r="A123" s="108"/>
      <c r="B123" s="64"/>
      <c r="C123" s="64"/>
      <c r="D123" s="64"/>
      <c r="E123" s="64"/>
      <c r="F123" s="63"/>
      <c r="G123" s="63"/>
      <c r="H123" s="64"/>
      <c r="I123" s="64"/>
      <c r="J123" s="64"/>
      <c r="K123" s="64"/>
      <c r="L123" s="64"/>
      <c r="M123" s="64"/>
      <c r="N123" s="64"/>
      <c r="O123" s="64"/>
      <c r="P123" s="64"/>
      <c r="Q123" s="64"/>
      <c r="R123" s="64"/>
      <c r="S123" s="64"/>
      <c r="T123" s="64"/>
      <c r="U123" s="64"/>
      <c r="V123" s="64"/>
      <c r="W123" s="64"/>
      <c r="X123" s="64"/>
      <c r="Y123" s="64"/>
      <c r="Z123" s="64"/>
    </row>
    <row r="124" ht="12.75" customHeight="1">
      <c r="A124" s="108"/>
      <c r="B124" s="64"/>
      <c r="C124" s="64"/>
      <c r="D124" s="64"/>
      <c r="E124" s="64"/>
      <c r="F124" s="63"/>
      <c r="G124" s="63"/>
      <c r="H124" s="64"/>
      <c r="I124" s="64"/>
      <c r="J124" s="64"/>
      <c r="K124" s="64"/>
      <c r="L124" s="64"/>
      <c r="M124" s="64"/>
      <c r="N124" s="64"/>
      <c r="O124" s="64"/>
      <c r="P124" s="64"/>
      <c r="Q124" s="64"/>
      <c r="R124" s="64"/>
      <c r="S124" s="64"/>
      <c r="T124" s="64"/>
      <c r="U124" s="64"/>
      <c r="V124" s="64"/>
      <c r="W124" s="64"/>
      <c r="X124" s="64"/>
      <c r="Y124" s="64"/>
      <c r="Z124" s="64"/>
    </row>
    <row r="125" ht="12.75" customHeight="1">
      <c r="A125" s="108"/>
      <c r="B125" s="64"/>
      <c r="C125" s="64"/>
      <c r="D125" s="64"/>
      <c r="E125" s="64"/>
      <c r="F125" s="63"/>
      <c r="G125" s="63"/>
      <c r="H125" s="64"/>
      <c r="I125" s="64"/>
      <c r="J125" s="64"/>
      <c r="K125" s="64"/>
      <c r="L125" s="64"/>
      <c r="M125" s="64"/>
      <c r="N125" s="64"/>
      <c r="O125" s="64"/>
      <c r="P125" s="64"/>
      <c r="Q125" s="64"/>
      <c r="R125" s="64"/>
      <c r="S125" s="64"/>
      <c r="T125" s="64"/>
      <c r="U125" s="64"/>
      <c r="V125" s="64"/>
      <c r="W125" s="64"/>
      <c r="X125" s="64"/>
      <c r="Y125" s="64"/>
      <c r="Z125" s="64"/>
    </row>
    <row r="126" ht="12.75" customHeight="1">
      <c r="A126" s="108"/>
      <c r="B126" s="64"/>
      <c r="C126" s="64"/>
      <c r="D126" s="64"/>
      <c r="E126" s="64"/>
      <c r="F126" s="63"/>
      <c r="G126" s="63"/>
      <c r="H126" s="64"/>
      <c r="I126" s="64"/>
      <c r="J126" s="64"/>
      <c r="K126" s="64"/>
      <c r="L126" s="64"/>
      <c r="M126" s="64"/>
      <c r="N126" s="64"/>
      <c r="O126" s="64"/>
      <c r="P126" s="64"/>
      <c r="Q126" s="64"/>
      <c r="R126" s="64"/>
      <c r="S126" s="64"/>
      <c r="T126" s="64"/>
      <c r="U126" s="64"/>
      <c r="V126" s="64"/>
      <c r="W126" s="64"/>
      <c r="X126" s="64"/>
      <c r="Y126" s="64"/>
      <c r="Z126" s="64"/>
    </row>
    <row r="127" ht="12.75" customHeight="1">
      <c r="A127" s="108"/>
      <c r="B127" s="64"/>
      <c r="C127" s="64"/>
      <c r="D127" s="64"/>
      <c r="E127" s="64"/>
      <c r="F127" s="63"/>
      <c r="G127" s="63"/>
      <c r="H127" s="64"/>
      <c r="I127" s="64"/>
      <c r="J127" s="64"/>
      <c r="K127" s="64"/>
      <c r="L127" s="64"/>
      <c r="M127" s="64"/>
      <c r="N127" s="64"/>
      <c r="O127" s="64"/>
      <c r="P127" s="64"/>
      <c r="Q127" s="64"/>
      <c r="R127" s="64"/>
      <c r="S127" s="64"/>
      <c r="T127" s="64"/>
      <c r="U127" s="64"/>
      <c r="V127" s="64"/>
      <c r="W127" s="64"/>
      <c r="X127" s="64"/>
      <c r="Y127" s="64"/>
      <c r="Z127" s="64"/>
    </row>
    <row r="128" ht="12.75" customHeight="1">
      <c r="A128" s="108"/>
      <c r="B128" s="64"/>
      <c r="C128" s="64"/>
      <c r="D128" s="64"/>
      <c r="E128" s="64"/>
      <c r="F128" s="63"/>
      <c r="G128" s="63"/>
      <c r="H128" s="64"/>
      <c r="I128" s="64"/>
      <c r="J128" s="64"/>
      <c r="K128" s="64"/>
      <c r="L128" s="64"/>
      <c r="M128" s="64"/>
      <c r="N128" s="64"/>
      <c r="O128" s="64"/>
      <c r="P128" s="64"/>
      <c r="Q128" s="64"/>
      <c r="R128" s="64"/>
      <c r="S128" s="64"/>
      <c r="T128" s="64"/>
      <c r="U128" s="64"/>
      <c r="V128" s="64"/>
      <c r="W128" s="64"/>
      <c r="X128" s="64"/>
      <c r="Y128" s="64"/>
      <c r="Z128" s="64"/>
    </row>
    <row r="129" ht="12.75" customHeight="1">
      <c r="A129" s="108"/>
      <c r="B129" s="64"/>
      <c r="C129" s="64"/>
      <c r="D129" s="64"/>
      <c r="E129" s="64"/>
      <c r="F129" s="63"/>
      <c r="G129" s="63"/>
      <c r="H129" s="64"/>
      <c r="I129" s="64"/>
      <c r="J129" s="64"/>
      <c r="K129" s="64"/>
      <c r="L129" s="64"/>
      <c r="M129" s="64"/>
      <c r="N129" s="64"/>
      <c r="O129" s="64"/>
      <c r="P129" s="64"/>
      <c r="Q129" s="64"/>
      <c r="R129" s="64"/>
      <c r="S129" s="64"/>
      <c r="T129" s="64"/>
      <c r="U129" s="64"/>
      <c r="V129" s="64"/>
      <c r="W129" s="64"/>
      <c r="X129" s="64"/>
      <c r="Y129" s="64"/>
      <c r="Z129" s="64"/>
    </row>
    <row r="130" ht="12.75" customHeight="1">
      <c r="A130" s="108"/>
      <c r="B130" s="64"/>
      <c r="C130" s="64"/>
      <c r="D130" s="64"/>
      <c r="E130" s="64"/>
      <c r="F130" s="63"/>
      <c r="G130" s="63"/>
      <c r="H130" s="64"/>
      <c r="I130" s="64"/>
      <c r="J130" s="64"/>
      <c r="K130" s="64"/>
      <c r="L130" s="64"/>
      <c r="M130" s="64"/>
      <c r="N130" s="64"/>
      <c r="O130" s="64"/>
      <c r="P130" s="64"/>
      <c r="Q130" s="64"/>
      <c r="R130" s="64"/>
      <c r="S130" s="64"/>
      <c r="T130" s="64"/>
      <c r="U130" s="64"/>
      <c r="V130" s="64"/>
      <c r="W130" s="64"/>
      <c r="X130" s="64"/>
      <c r="Y130" s="64"/>
      <c r="Z130" s="64"/>
    </row>
    <row r="131" ht="12.75" customHeight="1">
      <c r="A131" s="108"/>
      <c r="B131" s="64"/>
      <c r="C131" s="64"/>
      <c r="D131" s="64"/>
      <c r="E131" s="64"/>
      <c r="F131" s="63"/>
      <c r="G131" s="63"/>
      <c r="H131" s="64"/>
      <c r="I131" s="64"/>
      <c r="J131" s="64"/>
      <c r="K131" s="64"/>
      <c r="L131" s="64"/>
      <c r="M131" s="64"/>
      <c r="N131" s="64"/>
      <c r="O131" s="64"/>
      <c r="P131" s="64"/>
      <c r="Q131" s="64"/>
      <c r="R131" s="64"/>
      <c r="S131" s="64"/>
      <c r="T131" s="64"/>
      <c r="U131" s="64"/>
      <c r="V131" s="64"/>
      <c r="W131" s="64"/>
      <c r="X131" s="64"/>
      <c r="Y131" s="64"/>
      <c r="Z131" s="64"/>
    </row>
    <row r="132" ht="12.75" customHeight="1">
      <c r="A132" s="108"/>
      <c r="B132" s="64"/>
      <c r="C132" s="64"/>
      <c r="D132" s="64"/>
      <c r="E132" s="64"/>
      <c r="F132" s="63"/>
      <c r="G132" s="63"/>
      <c r="H132" s="64"/>
      <c r="I132" s="64"/>
      <c r="J132" s="64"/>
      <c r="K132" s="64"/>
      <c r="L132" s="64"/>
      <c r="M132" s="64"/>
      <c r="N132" s="64"/>
      <c r="O132" s="64"/>
      <c r="P132" s="64"/>
      <c r="Q132" s="64"/>
      <c r="R132" s="64"/>
      <c r="S132" s="64"/>
      <c r="T132" s="64"/>
      <c r="U132" s="64"/>
      <c r="V132" s="64"/>
      <c r="W132" s="64"/>
      <c r="X132" s="64"/>
      <c r="Y132" s="64"/>
      <c r="Z132" s="64"/>
    </row>
    <row r="133" ht="12.75" customHeight="1">
      <c r="A133" s="108"/>
      <c r="B133" s="64"/>
      <c r="C133" s="64"/>
      <c r="D133" s="64"/>
      <c r="E133" s="64"/>
      <c r="F133" s="63"/>
      <c r="G133" s="63"/>
      <c r="H133" s="64"/>
      <c r="I133" s="64"/>
      <c r="J133" s="64"/>
      <c r="K133" s="64"/>
      <c r="L133" s="64"/>
      <c r="M133" s="64"/>
      <c r="N133" s="64"/>
      <c r="O133" s="64"/>
      <c r="P133" s="64"/>
      <c r="Q133" s="64"/>
      <c r="R133" s="64"/>
      <c r="S133" s="64"/>
      <c r="T133" s="64"/>
      <c r="U133" s="64"/>
      <c r="V133" s="64"/>
      <c r="W133" s="64"/>
      <c r="X133" s="64"/>
      <c r="Y133" s="64"/>
      <c r="Z133" s="64"/>
    </row>
    <row r="134" ht="12.75" customHeight="1">
      <c r="A134" s="108"/>
      <c r="B134" s="64"/>
      <c r="C134" s="64"/>
      <c r="D134" s="64"/>
      <c r="E134" s="64"/>
      <c r="F134" s="63"/>
      <c r="G134" s="63"/>
      <c r="H134" s="64"/>
      <c r="I134" s="64"/>
      <c r="J134" s="64"/>
      <c r="K134" s="64"/>
      <c r="L134" s="64"/>
      <c r="M134" s="64"/>
      <c r="N134" s="64"/>
      <c r="O134" s="64"/>
      <c r="P134" s="64"/>
      <c r="Q134" s="64"/>
      <c r="R134" s="64"/>
      <c r="S134" s="64"/>
      <c r="T134" s="64"/>
      <c r="U134" s="64"/>
      <c r="V134" s="64"/>
      <c r="W134" s="64"/>
      <c r="X134" s="64"/>
      <c r="Y134" s="64"/>
      <c r="Z134" s="64"/>
    </row>
    <row r="135" ht="12.75" customHeight="1">
      <c r="A135" s="108"/>
      <c r="B135" s="64"/>
      <c r="C135" s="64"/>
      <c r="D135" s="64"/>
      <c r="E135" s="64"/>
      <c r="F135" s="63"/>
      <c r="G135" s="63"/>
      <c r="H135" s="64"/>
      <c r="I135" s="64"/>
      <c r="J135" s="64"/>
      <c r="K135" s="64"/>
      <c r="L135" s="64"/>
      <c r="M135" s="64"/>
      <c r="N135" s="64"/>
      <c r="O135" s="64"/>
      <c r="P135" s="64"/>
      <c r="Q135" s="64"/>
      <c r="R135" s="64"/>
      <c r="S135" s="64"/>
      <c r="T135" s="64"/>
      <c r="U135" s="64"/>
      <c r="V135" s="64"/>
      <c r="W135" s="64"/>
      <c r="X135" s="64"/>
      <c r="Y135" s="64"/>
      <c r="Z135" s="64"/>
    </row>
    <row r="136" ht="12.75" customHeight="1">
      <c r="A136" s="108"/>
      <c r="B136" s="64"/>
      <c r="C136" s="64"/>
      <c r="D136" s="64"/>
      <c r="E136" s="64"/>
      <c r="F136" s="63"/>
      <c r="G136" s="63"/>
      <c r="H136" s="64"/>
      <c r="I136" s="64"/>
      <c r="J136" s="64"/>
      <c r="K136" s="64"/>
      <c r="L136" s="64"/>
      <c r="M136" s="64"/>
      <c r="N136" s="64"/>
      <c r="O136" s="64"/>
      <c r="P136" s="64"/>
      <c r="Q136" s="64"/>
      <c r="R136" s="64"/>
      <c r="S136" s="64"/>
      <c r="T136" s="64"/>
      <c r="U136" s="64"/>
      <c r="V136" s="64"/>
      <c r="W136" s="64"/>
      <c r="X136" s="64"/>
      <c r="Y136" s="64"/>
      <c r="Z136" s="64"/>
    </row>
    <row r="137" ht="12.75" customHeight="1">
      <c r="A137" s="108"/>
      <c r="B137" s="64"/>
      <c r="C137" s="64"/>
      <c r="D137" s="64"/>
      <c r="E137" s="64"/>
      <c r="F137" s="63"/>
      <c r="G137" s="63"/>
      <c r="H137" s="64"/>
      <c r="I137" s="64"/>
      <c r="J137" s="64"/>
      <c r="K137" s="64"/>
      <c r="L137" s="64"/>
      <c r="M137" s="64"/>
      <c r="N137" s="64"/>
      <c r="O137" s="64"/>
      <c r="P137" s="64"/>
      <c r="Q137" s="64"/>
      <c r="R137" s="64"/>
      <c r="S137" s="64"/>
      <c r="T137" s="64"/>
      <c r="U137" s="64"/>
      <c r="V137" s="64"/>
      <c r="W137" s="64"/>
      <c r="X137" s="64"/>
      <c r="Y137" s="64"/>
      <c r="Z137" s="64"/>
    </row>
    <row r="138" ht="12.75" customHeight="1">
      <c r="A138" s="108"/>
      <c r="B138" s="64"/>
      <c r="C138" s="64"/>
      <c r="D138" s="64"/>
      <c r="E138" s="64"/>
      <c r="F138" s="63"/>
      <c r="G138" s="63"/>
      <c r="H138" s="64"/>
      <c r="I138" s="64"/>
      <c r="J138" s="64"/>
      <c r="K138" s="64"/>
      <c r="L138" s="64"/>
      <c r="M138" s="64"/>
      <c r="N138" s="64"/>
      <c r="O138" s="64"/>
      <c r="P138" s="64"/>
      <c r="Q138" s="64"/>
      <c r="R138" s="64"/>
      <c r="S138" s="64"/>
      <c r="T138" s="64"/>
      <c r="U138" s="64"/>
      <c r="V138" s="64"/>
      <c r="W138" s="64"/>
      <c r="X138" s="64"/>
      <c r="Y138" s="64"/>
      <c r="Z138" s="64"/>
    </row>
    <row r="139" ht="12.75" customHeight="1">
      <c r="A139" s="108"/>
      <c r="B139" s="64"/>
      <c r="C139" s="64"/>
      <c r="D139" s="64"/>
      <c r="E139" s="64"/>
      <c r="F139" s="63"/>
      <c r="G139" s="63"/>
      <c r="H139" s="64"/>
      <c r="I139" s="64"/>
      <c r="J139" s="64"/>
      <c r="K139" s="64"/>
      <c r="L139" s="64"/>
      <c r="M139" s="64"/>
      <c r="N139" s="64"/>
      <c r="O139" s="64"/>
      <c r="P139" s="64"/>
      <c r="Q139" s="64"/>
      <c r="R139" s="64"/>
      <c r="S139" s="64"/>
      <c r="T139" s="64"/>
      <c r="U139" s="64"/>
      <c r="V139" s="64"/>
      <c r="W139" s="64"/>
      <c r="X139" s="64"/>
      <c r="Y139" s="64"/>
      <c r="Z139" s="64"/>
    </row>
    <row r="140" ht="12.75" customHeight="1">
      <c r="A140" s="108"/>
      <c r="B140" s="64"/>
      <c r="C140" s="64"/>
      <c r="D140" s="64"/>
      <c r="E140" s="64"/>
      <c r="F140" s="63"/>
      <c r="G140" s="63"/>
      <c r="H140" s="64"/>
      <c r="I140" s="64"/>
      <c r="J140" s="64"/>
      <c r="K140" s="64"/>
      <c r="L140" s="64"/>
      <c r="M140" s="64"/>
      <c r="N140" s="64"/>
      <c r="O140" s="64"/>
      <c r="P140" s="64"/>
      <c r="Q140" s="64"/>
      <c r="R140" s="64"/>
      <c r="S140" s="64"/>
      <c r="T140" s="64"/>
      <c r="U140" s="64"/>
      <c r="V140" s="64"/>
      <c r="W140" s="64"/>
      <c r="X140" s="64"/>
      <c r="Y140" s="64"/>
      <c r="Z140" s="64"/>
    </row>
    <row r="141" ht="12.75" customHeight="1">
      <c r="A141" s="108"/>
      <c r="B141" s="64"/>
      <c r="C141" s="64"/>
      <c r="D141" s="64"/>
      <c r="E141" s="64"/>
      <c r="F141" s="63"/>
      <c r="G141" s="63"/>
      <c r="H141" s="64"/>
      <c r="I141" s="64"/>
      <c r="J141" s="64"/>
      <c r="K141" s="64"/>
      <c r="L141" s="64"/>
      <c r="M141" s="64"/>
      <c r="N141" s="64"/>
      <c r="O141" s="64"/>
      <c r="P141" s="64"/>
      <c r="Q141" s="64"/>
      <c r="R141" s="64"/>
      <c r="S141" s="64"/>
      <c r="T141" s="64"/>
      <c r="U141" s="64"/>
      <c r="V141" s="64"/>
      <c r="W141" s="64"/>
      <c r="X141" s="64"/>
      <c r="Y141" s="64"/>
      <c r="Z141" s="64"/>
    </row>
    <row r="142" ht="12.75" customHeight="1">
      <c r="A142" s="108"/>
      <c r="B142" s="64"/>
      <c r="C142" s="64"/>
      <c r="D142" s="64"/>
      <c r="E142" s="64"/>
      <c r="F142" s="63"/>
      <c r="G142" s="63"/>
      <c r="H142" s="64"/>
      <c r="I142" s="64"/>
      <c r="J142" s="64"/>
      <c r="K142" s="64"/>
      <c r="L142" s="64"/>
      <c r="M142" s="64"/>
      <c r="N142" s="64"/>
      <c r="O142" s="64"/>
      <c r="P142" s="64"/>
      <c r="Q142" s="64"/>
      <c r="R142" s="64"/>
      <c r="S142" s="64"/>
      <c r="T142" s="64"/>
      <c r="U142" s="64"/>
      <c r="V142" s="64"/>
      <c r="W142" s="64"/>
      <c r="X142" s="64"/>
      <c r="Y142" s="64"/>
      <c r="Z142" s="64"/>
    </row>
    <row r="143" ht="12.75" customHeight="1">
      <c r="A143" s="108"/>
      <c r="B143" s="64"/>
      <c r="C143" s="64"/>
      <c r="D143" s="64"/>
      <c r="E143" s="64"/>
      <c r="F143" s="63"/>
      <c r="G143" s="63"/>
      <c r="H143" s="64"/>
      <c r="I143" s="64"/>
      <c r="J143" s="64"/>
      <c r="K143" s="64"/>
      <c r="L143" s="64"/>
      <c r="M143" s="64"/>
      <c r="N143" s="64"/>
      <c r="O143" s="64"/>
      <c r="P143" s="64"/>
      <c r="Q143" s="64"/>
      <c r="R143" s="64"/>
      <c r="S143" s="64"/>
      <c r="T143" s="64"/>
      <c r="U143" s="64"/>
      <c r="V143" s="64"/>
      <c r="W143" s="64"/>
      <c r="X143" s="64"/>
      <c r="Y143" s="64"/>
      <c r="Z143" s="64"/>
    </row>
    <row r="144" ht="12.75" customHeight="1">
      <c r="A144" s="108"/>
      <c r="B144" s="64"/>
      <c r="C144" s="64"/>
      <c r="D144" s="64"/>
      <c r="E144" s="64"/>
      <c r="F144" s="63"/>
      <c r="G144" s="63"/>
      <c r="H144" s="64"/>
      <c r="I144" s="64"/>
      <c r="J144" s="64"/>
      <c r="K144" s="64"/>
      <c r="L144" s="64"/>
      <c r="M144" s="64"/>
      <c r="N144" s="64"/>
      <c r="O144" s="64"/>
      <c r="P144" s="64"/>
      <c r="Q144" s="64"/>
      <c r="R144" s="64"/>
      <c r="S144" s="64"/>
      <c r="T144" s="64"/>
      <c r="U144" s="64"/>
      <c r="V144" s="64"/>
      <c r="W144" s="64"/>
      <c r="X144" s="64"/>
      <c r="Y144" s="64"/>
      <c r="Z144" s="64"/>
    </row>
    <row r="145" ht="12.75" customHeight="1">
      <c r="A145" s="108"/>
      <c r="B145" s="64"/>
      <c r="C145" s="64"/>
      <c r="D145" s="64"/>
      <c r="E145" s="64"/>
      <c r="F145" s="63"/>
      <c r="G145" s="63"/>
      <c r="H145" s="64"/>
      <c r="I145" s="64"/>
      <c r="J145" s="64"/>
      <c r="K145" s="64"/>
      <c r="L145" s="64"/>
      <c r="M145" s="64"/>
      <c r="N145" s="64"/>
      <c r="O145" s="64"/>
      <c r="P145" s="64"/>
      <c r="Q145" s="64"/>
      <c r="R145" s="64"/>
      <c r="S145" s="64"/>
      <c r="T145" s="64"/>
      <c r="U145" s="64"/>
      <c r="V145" s="64"/>
      <c r="W145" s="64"/>
      <c r="X145" s="64"/>
      <c r="Y145" s="64"/>
      <c r="Z145" s="64"/>
    </row>
    <row r="146" ht="12.75" customHeight="1">
      <c r="A146" s="108"/>
      <c r="B146" s="64"/>
      <c r="C146" s="64"/>
      <c r="D146" s="64"/>
      <c r="E146" s="64"/>
      <c r="F146" s="63"/>
      <c r="G146" s="63"/>
      <c r="H146" s="64"/>
      <c r="I146" s="64"/>
      <c r="J146" s="64"/>
      <c r="K146" s="64"/>
      <c r="L146" s="64"/>
      <c r="M146" s="64"/>
      <c r="N146" s="64"/>
      <c r="O146" s="64"/>
      <c r="P146" s="64"/>
      <c r="Q146" s="64"/>
      <c r="R146" s="64"/>
      <c r="S146" s="64"/>
      <c r="T146" s="64"/>
      <c r="U146" s="64"/>
      <c r="V146" s="64"/>
      <c r="W146" s="64"/>
      <c r="X146" s="64"/>
      <c r="Y146" s="64"/>
      <c r="Z146" s="64"/>
    </row>
    <row r="147" ht="12.75" customHeight="1">
      <c r="A147" s="108"/>
      <c r="B147" s="64"/>
      <c r="C147" s="64"/>
      <c r="D147" s="64"/>
      <c r="E147" s="64"/>
      <c r="F147" s="63"/>
      <c r="G147" s="63"/>
      <c r="H147" s="64"/>
      <c r="I147" s="64"/>
      <c r="J147" s="64"/>
      <c r="K147" s="64"/>
      <c r="L147" s="64"/>
      <c r="M147" s="64"/>
      <c r="N147" s="64"/>
      <c r="O147" s="64"/>
      <c r="P147" s="64"/>
      <c r="Q147" s="64"/>
      <c r="R147" s="64"/>
      <c r="S147" s="64"/>
      <c r="T147" s="64"/>
      <c r="U147" s="64"/>
      <c r="V147" s="64"/>
      <c r="W147" s="64"/>
      <c r="X147" s="64"/>
      <c r="Y147" s="64"/>
      <c r="Z147" s="64"/>
    </row>
    <row r="148" ht="12.75" customHeight="1">
      <c r="A148" s="108"/>
      <c r="B148" s="64"/>
      <c r="C148" s="64"/>
      <c r="D148" s="64"/>
      <c r="E148" s="64"/>
      <c r="F148" s="63"/>
      <c r="G148" s="63"/>
      <c r="H148" s="64"/>
      <c r="I148" s="64"/>
      <c r="J148" s="64"/>
      <c r="K148" s="64"/>
      <c r="L148" s="64"/>
      <c r="M148" s="64"/>
      <c r="N148" s="64"/>
      <c r="O148" s="64"/>
      <c r="P148" s="64"/>
      <c r="Q148" s="64"/>
      <c r="R148" s="64"/>
      <c r="S148" s="64"/>
      <c r="T148" s="64"/>
      <c r="U148" s="64"/>
      <c r="V148" s="64"/>
      <c r="W148" s="64"/>
      <c r="X148" s="64"/>
      <c r="Y148" s="64"/>
      <c r="Z148" s="64"/>
    </row>
    <row r="149" ht="12.75" customHeight="1">
      <c r="A149" s="108"/>
      <c r="B149" s="64"/>
      <c r="C149" s="64"/>
      <c r="D149" s="64"/>
      <c r="E149" s="64"/>
      <c r="F149" s="63"/>
      <c r="G149" s="63"/>
      <c r="H149" s="64"/>
      <c r="I149" s="64"/>
      <c r="J149" s="64"/>
      <c r="K149" s="64"/>
      <c r="L149" s="64"/>
      <c r="M149" s="64"/>
      <c r="N149" s="64"/>
      <c r="O149" s="64"/>
      <c r="P149" s="64"/>
      <c r="Q149" s="64"/>
      <c r="R149" s="64"/>
      <c r="S149" s="64"/>
      <c r="T149" s="64"/>
      <c r="U149" s="64"/>
      <c r="V149" s="64"/>
      <c r="W149" s="64"/>
      <c r="X149" s="64"/>
      <c r="Y149" s="64"/>
      <c r="Z149" s="64"/>
    </row>
    <row r="150" ht="12.75" customHeight="1">
      <c r="A150" s="108"/>
      <c r="B150" s="64"/>
      <c r="C150" s="64"/>
      <c r="D150" s="64"/>
      <c r="E150" s="64"/>
      <c r="F150" s="63"/>
      <c r="G150" s="63"/>
      <c r="H150" s="64"/>
      <c r="I150" s="64"/>
      <c r="J150" s="64"/>
      <c r="K150" s="64"/>
      <c r="L150" s="64"/>
      <c r="M150" s="64"/>
      <c r="N150" s="64"/>
      <c r="O150" s="64"/>
      <c r="P150" s="64"/>
      <c r="Q150" s="64"/>
      <c r="R150" s="64"/>
      <c r="S150" s="64"/>
      <c r="T150" s="64"/>
      <c r="U150" s="64"/>
      <c r="V150" s="64"/>
      <c r="W150" s="64"/>
      <c r="X150" s="64"/>
      <c r="Y150" s="64"/>
      <c r="Z150" s="64"/>
    </row>
    <row r="151" ht="12.75" customHeight="1">
      <c r="A151" s="108"/>
      <c r="B151" s="64"/>
      <c r="C151" s="64"/>
      <c r="D151" s="64"/>
      <c r="E151" s="64"/>
      <c r="F151" s="63"/>
      <c r="G151" s="63"/>
      <c r="H151" s="64"/>
      <c r="I151" s="64"/>
      <c r="J151" s="64"/>
      <c r="K151" s="64"/>
      <c r="L151" s="64"/>
      <c r="M151" s="64"/>
      <c r="N151" s="64"/>
      <c r="O151" s="64"/>
      <c r="P151" s="64"/>
      <c r="Q151" s="64"/>
      <c r="R151" s="64"/>
      <c r="S151" s="64"/>
      <c r="T151" s="64"/>
      <c r="U151" s="64"/>
      <c r="V151" s="64"/>
      <c r="W151" s="64"/>
      <c r="X151" s="64"/>
      <c r="Y151" s="64"/>
      <c r="Z151" s="64"/>
    </row>
    <row r="152" ht="12.75" customHeight="1">
      <c r="A152" s="108"/>
      <c r="B152" s="64"/>
      <c r="C152" s="64"/>
      <c r="D152" s="64"/>
      <c r="E152" s="64"/>
      <c r="F152" s="63"/>
      <c r="G152" s="63"/>
      <c r="H152" s="64"/>
      <c r="I152" s="64"/>
      <c r="J152" s="64"/>
      <c r="K152" s="64"/>
      <c r="L152" s="64"/>
      <c r="M152" s="64"/>
      <c r="N152" s="64"/>
      <c r="O152" s="64"/>
      <c r="P152" s="64"/>
      <c r="Q152" s="64"/>
      <c r="R152" s="64"/>
      <c r="S152" s="64"/>
      <c r="T152" s="64"/>
      <c r="U152" s="64"/>
      <c r="V152" s="64"/>
      <c r="W152" s="64"/>
      <c r="X152" s="64"/>
      <c r="Y152" s="64"/>
      <c r="Z152" s="64"/>
    </row>
    <row r="153" ht="12.75" customHeight="1">
      <c r="A153" s="108"/>
      <c r="B153" s="64"/>
      <c r="C153" s="64"/>
      <c r="D153" s="64"/>
      <c r="E153" s="64"/>
      <c r="F153" s="63"/>
      <c r="G153" s="63"/>
      <c r="H153" s="64"/>
      <c r="I153" s="64"/>
      <c r="J153" s="64"/>
      <c r="K153" s="64"/>
      <c r="L153" s="64"/>
      <c r="M153" s="64"/>
      <c r="N153" s="64"/>
      <c r="O153" s="64"/>
      <c r="P153" s="64"/>
      <c r="Q153" s="64"/>
      <c r="R153" s="64"/>
      <c r="S153" s="64"/>
      <c r="T153" s="64"/>
      <c r="U153" s="64"/>
      <c r="V153" s="64"/>
      <c r="W153" s="64"/>
      <c r="X153" s="64"/>
      <c r="Y153" s="64"/>
      <c r="Z153" s="64"/>
    </row>
    <row r="154" ht="12.75" customHeight="1">
      <c r="A154" s="108"/>
      <c r="B154" s="64"/>
      <c r="C154" s="64"/>
      <c r="D154" s="64"/>
      <c r="E154" s="64"/>
      <c r="F154" s="63"/>
      <c r="G154" s="63"/>
      <c r="H154" s="64"/>
      <c r="I154" s="64"/>
      <c r="J154" s="64"/>
      <c r="K154" s="64"/>
      <c r="L154" s="64"/>
      <c r="M154" s="64"/>
      <c r="N154" s="64"/>
      <c r="O154" s="64"/>
      <c r="P154" s="64"/>
      <c r="Q154" s="64"/>
      <c r="R154" s="64"/>
      <c r="S154" s="64"/>
      <c r="T154" s="64"/>
      <c r="U154" s="64"/>
      <c r="V154" s="64"/>
      <c r="W154" s="64"/>
      <c r="X154" s="64"/>
      <c r="Y154" s="64"/>
      <c r="Z154" s="64"/>
    </row>
    <row r="155" ht="12.75" customHeight="1">
      <c r="A155" s="108"/>
      <c r="B155" s="64"/>
      <c r="C155" s="64"/>
      <c r="D155" s="64"/>
      <c r="E155" s="64"/>
      <c r="F155" s="63"/>
      <c r="G155" s="63"/>
      <c r="H155" s="64"/>
      <c r="I155" s="64"/>
      <c r="J155" s="64"/>
      <c r="K155" s="64"/>
      <c r="L155" s="64"/>
      <c r="M155" s="64"/>
      <c r="N155" s="64"/>
      <c r="O155" s="64"/>
      <c r="P155" s="64"/>
      <c r="Q155" s="64"/>
      <c r="R155" s="64"/>
      <c r="S155" s="64"/>
      <c r="T155" s="64"/>
      <c r="U155" s="64"/>
      <c r="V155" s="64"/>
      <c r="W155" s="64"/>
      <c r="X155" s="64"/>
      <c r="Y155" s="64"/>
      <c r="Z155" s="64"/>
    </row>
    <row r="156" ht="12.75" customHeight="1">
      <c r="A156" s="108"/>
      <c r="B156" s="64"/>
      <c r="C156" s="64"/>
      <c r="D156" s="64"/>
      <c r="E156" s="64"/>
      <c r="F156" s="63"/>
      <c r="G156" s="63"/>
      <c r="H156" s="64"/>
      <c r="I156" s="64"/>
      <c r="J156" s="64"/>
      <c r="K156" s="64"/>
      <c r="L156" s="64"/>
      <c r="M156" s="64"/>
      <c r="N156" s="64"/>
      <c r="O156" s="64"/>
      <c r="P156" s="64"/>
      <c r="Q156" s="64"/>
      <c r="R156" s="64"/>
      <c r="S156" s="64"/>
      <c r="T156" s="64"/>
      <c r="U156" s="64"/>
      <c r="V156" s="64"/>
      <c r="W156" s="64"/>
      <c r="X156" s="64"/>
      <c r="Y156" s="64"/>
      <c r="Z156" s="64"/>
    </row>
    <row r="157" ht="12.75" customHeight="1">
      <c r="A157" s="108"/>
      <c r="B157" s="64"/>
      <c r="C157" s="64"/>
      <c r="D157" s="64"/>
      <c r="E157" s="64"/>
      <c r="F157" s="63"/>
      <c r="G157" s="63"/>
      <c r="H157" s="64"/>
      <c r="I157" s="64"/>
      <c r="J157" s="64"/>
      <c r="K157" s="64"/>
      <c r="L157" s="64"/>
      <c r="M157" s="64"/>
      <c r="N157" s="64"/>
      <c r="O157" s="64"/>
      <c r="P157" s="64"/>
      <c r="Q157" s="64"/>
      <c r="R157" s="64"/>
      <c r="S157" s="64"/>
      <c r="T157" s="64"/>
      <c r="U157" s="64"/>
      <c r="V157" s="64"/>
      <c r="W157" s="64"/>
      <c r="X157" s="64"/>
      <c r="Y157" s="64"/>
      <c r="Z157" s="64"/>
    </row>
    <row r="158" ht="12.75" customHeight="1">
      <c r="A158" s="108"/>
      <c r="B158" s="64"/>
      <c r="C158" s="64"/>
      <c r="D158" s="64"/>
      <c r="E158" s="64"/>
      <c r="F158" s="63"/>
      <c r="G158" s="63"/>
      <c r="H158" s="64"/>
      <c r="I158" s="64"/>
      <c r="J158" s="64"/>
      <c r="K158" s="64"/>
      <c r="L158" s="64"/>
      <c r="M158" s="64"/>
      <c r="N158" s="64"/>
      <c r="O158" s="64"/>
      <c r="P158" s="64"/>
      <c r="Q158" s="64"/>
      <c r="R158" s="64"/>
      <c r="S158" s="64"/>
      <c r="T158" s="64"/>
      <c r="U158" s="64"/>
      <c r="V158" s="64"/>
      <c r="W158" s="64"/>
      <c r="X158" s="64"/>
      <c r="Y158" s="64"/>
      <c r="Z158" s="64"/>
    </row>
    <row r="159" ht="12.75" customHeight="1">
      <c r="A159" s="108"/>
      <c r="B159" s="64"/>
      <c r="C159" s="64"/>
      <c r="D159" s="64"/>
      <c r="E159" s="64"/>
      <c r="F159" s="63"/>
      <c r="G159" s="63"/>
      <c r="H159" s="64"/>
      <c r="I159" s="64"/>
      <c r="J159" s="64"/>
      <c r="K159" s="64"/>
      <c r="L159" s="64"/>
      <c r="M159" s="64"/>
      <c r="N159" s="64"/>
      <c r="O159" s="64"/>
      <c r="P159" s="64"/>
      <c r="Q159" s="64"/>
      <c r="R159" s="64"/>
      <c r="S159" s="64"/>
      <c r="T159" s="64"/>
      <c r="U159" s="64"/>
      <c r="V159" s="64"/>
      <c r="W159" s="64"/>
      <c r="X159" s="64"/>
      <c r="Y159" s="64"/>
      <c r="Z159" s="64"/>
    </row>
    <row r="160" ht="12.75" customHeight="1">
      <c r="A160" s="108"/>
      <c r="B160" s="64"/>
      <c r="C160" s="64"/>
      <c r="D160" s="64"/>
      <c r="E160" s="64"/>
      <c r="F160" s="63"/>
      <c r="G160" s="63"/>
      <c r="H160" s="64"/>
      <c r="I160" s="64"/>
      <c r="J160" s="64"/>
      <c r="K160" s="64"/>
      <c r="L160" s="64"/>
      <c r="M160" s="64"/>
      <c r="N160" s="64"/>
      <c r="O160" s="64"/>
      <c r="P160" s="64"/>
      <c r="Q160" s="64"/>
      <c r="R160" s="64"/>
      <c r="S160" s="64"/>
      <c r="T160" s="64"/>
      <c r="U160" s="64"/>
      <c r="V160" s="64"/>
      <c r="W160" s="64"/>
      <c r="X160" s="64"/>
      <c r="Y160" s="64"/>
      <c r="Z160" s="64"/>
    </row>
    <row r="161" ht="12.75" customHeight="1">
      <c r="A161" s="108"/>
      <c r="B161" s="64"/>
      <c r="C161" s="64"/>
      <c r="D161" s="64"/>
      <c r="E161" s="64"/>
      <c r="F161" s="63"/>
      <c r="G161" s="63"/>
      <c r="H161" s="64"/>
      <c r="I161" s="64"/>
      <c r="J161" s="64"/>
      <c r="K161" s="64"/>
      <c r="L161" s="64"/>
      <c r="M161" s="64"/>
      <c r="N161" s="64"/>
      <c r="O161" s="64"/>
      <c r="P161" s="64"/>
      <c r="Q161" s="64"/>
      <c r="R161" s="64"/>
      <c r="S161" s="64"/>
      <c r="T161" s="64"/>
      <c r="U161" s="64"/>
      <c r="V161" s="64"/>
      <c r="W161" s="64"/>
      <c r="X161" s="64"/>
      <c r="Y161" s="64"/>
      <c r="Z161" s="64"/>
    </row>
    <row r="162" ht="12.75" customHeight="1">
      <c r="A162" s="108"/>
      <c r="B162" s="64"/>
      <c r="C162" s="64"/>
      <c r="D162" s="64"/>
      <c r="E162" s="64"/>
      <c r="F162" s="63"/>
      <c r="G162" s="63"/>
      <c r="H162" s="64"/>
      <c r="I162" s="64"/>
      <c r="J162" s="64"/>
      <c r="K162" s="64"/>
      <c r="L162" s="64"/>
      <c r="M162" s="64"/>
      <c r="N162" s="64"/>
      <c r="O162" s="64"/>
      <c r="P162" s="64"/>
      <c r="Q162" s="64"/>
      <c r="R162" s="64"/>
      <c r="S162" s="64"/>
      <c r="T162" s="64"/>
      <c r="U162" s="64"/>
      <c r="V162" s="64"/>
      <c r="W162" s="64"/>
      <c r="X162" s="64"/>
      <c r="Y162" s="64"/>
      <c r="Z162" s="64"/>
    </row>
    <row r="163" ht="12.75" customHeight="1">
      <c r="A163" s="108"/>
      <c r="B163" s="64"/>
      <c r="C163" s="64"/>
      <c r="D163" s="64"/>
      <c r="E163" s="64"/>
      <c r="F163" s="63"/>
      <c r="G163" s="63"/>
      <c r="H163" s="64"/>
      <c r="I163" s="64"/>
      <c r="J163" s="64"/>
      <c r="K163" s="64"/>
      <c r="L163" s="64"/>
      <c r="M163" s="64"/>
      <c r="N163" s="64"/>
      <c r="O163" s="64"/>
      <c r="P163" s="64"/>
      <c r="Q163" s="64"/>
      <c r="R163" s="64"/>
      <c r="S163" s="64"/>
      <c r="T163" s="64"/>
      <c r="U163" s="64"/>
      <c r="V163" s="64"/>
      <c r="W163" s="64"/>
      <c r="X163" s="64"/>
      <c r="Y163" s="64"/>
      <c r="Z163" s="64"/>
    </row>
    <row r="164" ht="12.75" customHeight="1">
      <c r="A164" s="108"/>
      <c r="B164" s="64"/>
      <c r="C164" s="64"/>
      <c r="D164" s="64"/>
      <c r="E164" s="64"/>
      <c r="F164" s="63"/>
      <c r="G164" s="63"/>
      <c r="H164" s="64"/>
      <c r="I164" s="64"/>
      <c r="J164" s="64"/>
      <c r="K164" s="64"/>
      <c r="L164" s="64"/>
      <c r="M164" s="64"/>
      <c r="N164" s="64"/>
      <c r="O164" s="64"/>
      <c r="P164" s="64"/>
      <c r="Q164" s="64"/>
      <c r="R164" s="64"/>
      <c r="S164" s="64"/>
      <c r="T164" s="64"/>
      <c r="U164" s="64"/>
      <c r="V164" s="64"/>
      <c r="W164" s="64"/>
      <c r="X164" s="64"/>
      <c r="Y164" s="64"/>
      <c r="Z164" s="64"/>
    </row>
    <row r="165" ht="12.75" customHeight="1">
      <c r="A165" s="108"/>
      <c r="B165" s="64"/>
      <c r="C165" s="64"/>
      <c r="D165" s="64"/>
      <c r="E165" s="64"/>
      <c r="F165" s="63"/>
      <c r="G165" s="63"/>
      <c r="H165" s="64"/>
      <c r="I165" s="64"/>
      <c r="J165" s="64"/>
      <c r="K165" s="64"/>
      <c r="L165" s="64"/>
      <c r="M165" s="64"/>
      <c r="N165" s="64"/>
      <c r="O165" s="64"/>
      <c r="P165" s="64"/>
      <c r="Q165" s="64"/>
      <c r="R165" s="64"/>
      <c r="S165" s="64"/>
      <c r="T165" s="64"/>
      <c r="U165" s="64"/>
      <c r="V165" s="64"/>
      <c r="W165" s="64"/>
      <c r="X165" s="64"/>
      <c r="Y165" s="64"/>
      <c r="Z165" s="64"/>
    </row>
    <row r="166" ht="12.75" customHeight="1">
      <c r="A166" s="108"/>
      <c r="B166" s="64"/>
      <c r="C166" s="64"/>
      <c r="D166" s="64"/>
      <c r="E166" s="64"/>
      <c r="F166" s="63"/>
      <c r="G166" s="63"/>
      <c r="H166" s="64"/>
      <c r="I166" s="64"/>
      <c r="J166" s="64"/>
      <c r="K166" s="64"/>
      <c r="L166" s="64"/>
      <c r="M166" s="64"/>
      <c r="N166" s="64"/>
      <c r="O166" s="64"/>
      <c r="P166" s="64"/>
      <c r="Q166" s="64"/>
      <c r="R166" s="64"/>
      <c r="S166" s="64"/>
      <c r="T166" s="64"/>
      <c r="U166" s="64"/>
      <c r="V166" s="64"/>
      <c r="W166" s="64"/>
      <c r="X166" s="64"/>
      <c r="Y166" s="64"/>
      <c r="Z166" s="64"/>
    </row>
    <row r="167" ht="12.75" customHeight="1">
      <c r="A167" s="108"/>
      <c r="B167" s="64"/>
      <c r="C167" s="64"/>
      <c r="D167" s="64"/>
      <c r="E167" s="64"/>
      <c r="F167" s="63"/>
      <c r="G167" s="63"/>
      <c r="H167" s="64"/>
      <c r="I167" s="64"/>
      <c r="J167" s="64"/>
      <c r="K167" s="64"/>
      <c r="L167" s="64"/>
      <c r="M167" s="64"/>
      <c r="N167" s="64"/>
      <c r="O167" s="64"/>
      <c r="P167" s="64"/>
      <c r="Q167" s="64"/>
      <c r="R167" s="64"/>
      <c r="S167" s="64"/>
      <c r="T167" s="64"/>
      <c r="U167" s="64"/>
      <c r="V167" s="64"/>
      <c r="W167" s="64"/>
      <c r="X167" s="64"/>
      <c r="Y167" s="64"/>
      <c r="Z167" s="64"/>
    </row>
    <row r="168" ht="12.75" customHeight="1">
      <c r="A168" s="108"/>
      <c r="B168" s="64"/>
      <c r="C168" s="64"/>
      <c r="D168" s="64"/>
      <c r="E168" s="64"/>
      <c r="F168" s="63"/>
      <c r="G168" s="63"/>
      <c r="H168" s="64"/>
      <c r="I168" s="64"/>
      <c r="J168" s="64"/>
      <c r="K168" s="64"/>
      <c r="L168" s="64"/>
      <c r="M168" s="64"/>
      <c r="N168" s="64"/>
      <c r="O168" s="64"/>
      <c r="P168" s="64"/>
      <c r="Q168" s="64"/>
      <c r="R168" s="64"/>
      <c r="S168" s="64"/>
      <c r="T168" s="64"/>
      <c r="U168" s="64"/>
      <c r="V168" s="64"/>
      <c r="W168" s="64"/>
      <c r="X168" s="64"/>
      <c r="Y168" s="64"/>
      <c r="Z168" s="64"/>
    </row>
    <row r="169" ht="12.75" customHeight="1">
      <c r="A169" s="108"/>
      <c r="B169" s="64"/>
      <c r="C169" s="64"/>
      <c r="D169" s="64"/>
      <c r="E169" s="64"/>
      <c r="F169" s="63"/>
      <c r="G169" s="63"/>
      <c r="H169" s="64"/>
      <c r="I169" s="64"/>
      <c r="J169" s="64"/>
      <c r="K169" s="64"/>
      <c r="L169" s="64"/>
      <c r="M169" s="64"/>
      <c r="N169" s="64"/>
      <c r="O169" s="64"/>
      <c r="P169" s="64"/>
      <c r="Q169" s="64"/>
      <c r="R169" s="64"/>
      <c r="S169" s="64"/>
      <c r="T169" s="64"/>
      <c r="U169" s="64"/>
      <c r="V169" s="64"/>
      <c r="W169" s="64"/>
      <c r="X169" s="64"/>
      <c r="Y169" s="64"/>
      <c r="Z169" s="64"/>
    </row>
    <row r="170" ht="12.75" customHeight="1">
      <c r="A170" s="108"/>
      <c r="B170" s="64"/>
      <c r="C170" s="64"/>
      <c r="D170" s="64"/>
      <c r="E170" s="64"/>
      <c r="F170" s="63"/>
      <c r="G170" s="63"/>
      <c r="H170" s="64"/>
      <c r="I170" s="64"/>
      <c r="J170" s="64"/>
      <c r="K170" s="64"/>
      <c r="L170" s="64"/>
      <c r="M170" s="64"/>
      <c r="N170" s="64"/>
      <c r="O170" s="64"/>
      <c r="P170" s="64"/>
      <c r="Q170" s="64"/>
      <c r="R170" s="64"/>
      <c r="S170" s="64"/>
      <c r="T170" s="64"/>
      <c r="U170" s="64"/>
      <c r="V170" s="64"/>
      <c r="W170" s="64"/>
      <c r="X170" s="64"/>
      <c r="Y170" s="64"/>
      <c r="Z170" s="64"/>
    </row>
    <row r="171" ht="12.75" customHeight="1">
      <c r="A171" s="108"/>
      <c r="B171" s="64"/>
      <c r="C171" s="64"/>
      <c r="D171" s="64"/>
      <c r="E171" s="64"/>
      <c r="F171" s="63"/>
      <c r="G171" s="63"/>
      <c r="H171" s="64"/>
      <c r="I171" s="64"/>
      <c r="J171" s="64"/>
      <c r="K171" s="64"/>
      <c r="L171" s="64"/>
      <c r="M171" s="64"/>
      <c r="N171" s="64"/>
      <c r="O171" s="64"/>
      <c r="P171" s="64"/>
      <c r="Q171" s="64"/>
      <c r="R171" s="64"/>
      <c r="S171" s="64"/>
      <c r="T171" s="64"/>
      <c r="U171" s="64"/>
      <c r="V171" s="64"/>
      <c r="W171" s="64"/>
      <c r="X171" s="64"/>
      <c r="Y171" s="64"/>
      <c r="Z171" s="64"/>
    </row>
    <row r="172" ht="12.75" customHeight="1">
      <c r="A172" s="108"/>
      <c r="B172" s="64"/>
      <c r="C172" s="64"/>
      <c r="D172" s="64"/>
      <c r="E172" s="64"/>
      <c r="F172" s="63"/>
      <c r="G172" s="63"/>
      <c r="H172" s="64"/>
      <c r="I172" s="64"/>
      <c r="J172" s="64"/>
      <c r="K172" s="64"/>
      <c r="L172" s="64"/>
      <c r="M172" s="64"/>
      <c r="N172" s="64"/>
      <c r="O172" s="64"/>
      <c r="P172" s="64"/>
      <c r="Q172" s="64"/>
      <c r="R172" s="64"/>
      <c r="S172" s="64"/>
      <c r="T172" s="64"/>
      <c r="U172" s="64"/>
      <c r="V172" s="64"/>
      <c r="W172" s="64"/>
      <c r="X172" s="64"/>
      <c r="Y172" s="64"/>
      <c r="Z172" s="64"/>
    </row>
    <row r="173" ht="12.75" customHeight="1">
      <c r="A173" s="108"/>
      <c r="B173" s="64"/>
      <c r="C173" s="64"/>
      <c r="D173" s="64"/>
      <c r="E173" s="64"/>
      <c r="F173" s="63"/>
      <c r="G173" s="63"/>
      <c r="H173" s="64"/>
      <c r="I173" s="64"/>
      <c r="J173" s="64"/>
      <c r="K173" s="64"/>
      <c r="L173" s="64"/>
      <c r="M173" s="64"/>
      <c r="N173" s="64"/>
      <c r="O173" s="64"/>
      <c r="P173" s="64"/>
      <c r="Q173" s="64"/>
      <c r="R173" s="64"/>
      <c r="S173" s="64"/>
      <c r="T173" s="64"/>
      <c r="U173" s="64"/>
      <c r="V173" s="64"/>
      <c r="W173" s="64"/>
      <c r="X173" s="64"/>
      <c r="Y173" s="64"/>
      <c r="Z173" s="64"/>
    </row>
    <row r="174" ht="12.75" customHeight="1">
      <c r="A174" s="108"/>
      <c r="B174" s="64"/>
      <c r="C174" s="64"/>
      <c r="D174" s="64"/>
      <c r="E174" s="64"/>
      <c r="F174" s="63"/>
      <c r="G174" s="63"/>
      <c r="H174" s="64"/>
      <c r="I174" s="64"/>
      <c r="J174" s="64"/>
      <c r="K174" s="64"/>
      <c r="L174" s="64"/>
      <c r="M174" s="64"/>
      <c r="N174" s="64"/>
      <c r="O174" s="64"/>
      <c r="P174" s="64"/>
      <c r="Q174" s="64"/>
      <c r="R174" s="64"/>
      <c r="S174" s="64"/>
      <c r="T174" s="64"/>
      <c r="U174" s="64"/>
      <c r="V174" s="64"/>
      <c r="W174" s="64"/>
      <c r="X174" s="64"/>
      <c r="Y174" s="64"/>
      <c r="Z174" s="64"/>
    </row>
    <row r="175" ht="12.75" customHeight="1">
      <c r="A175" s="108"/>
      <c r="B175" s="64"/>
      <c r="C175" s="64"/>
      <c r="D175" s="64"/>
      <c r="E175" s="64"/>
      <c r="F175" s="63"/>
      <c r="G175" s="63"/>
      <c r="H175" s="64"/>
      <c r="I175" s="64"/>
      <c r="J175" s="64"/>
      <c r="K175" s="64"/>
      <c r="L175" s="64"/>
      <c r="M175" s="64"/>
      <c r="N175" s="64"/>
      <c r="O175" s="64"/>
      <c r="P175" s="64"/>
      <c r="Q175" s="64"/>
      <c r="R175" s="64"/>
      <c r="S175" s="64"/>
      <c r="T175" s="64"/>
      <c r="U175" s="64"/>
      <c r="V175" s="64"/>
      <c r="W175" s="64"/>
      <c r="X175" s="64"/>
      <c r="Y175" s="64"/>
      <c r="Z175" s="64"/>
    </row>
    <row r="176" ht="12.75" customHeight="1">
      <c r="A176" s="108"/>
      <c r="B176" s="64"/>
      <c r="C176" s="64"/>
      <c r="D176" s="64"/>
      <c r="E176" s="64"/>
      <c r="F176" s="63"/>
      <c r="G176" s="63"/>
      <c r="H176" s="64"/>
      <c r="I176" s="64"/>
      <c r="J176" s="64"/>
      <c r="K176" s="64"/>
      <c r="L176" s="64"/>
      <c r="M176" s="64"/>
      <c r="N176" s="64"/>
      <c r="O176" s="64"/>
      <c r="P176" s="64"/>
      <c r="Q176" s="64"/>
      <c r="R176" s="64"/>
      <c r="S176" s="64"/>
      <c r="T176" s="64"/>
      <c r="U176" s="64"/>
      <c r="V176" s="64"/>
      <c r="W176" s="64"/>
      <c r="X176" s="64"/>
      <c r="Y176" s="64"/>
      <c r="Z176" s="64"/>
    </row>
    <row r="177" ht="12.75" customHeight="1">
      <c r="A177" s="108"/>
      <c r="B177" s="64"/>
      <c r="C177" s="64"/>
      <c r="D177" s="64"/>
      <c r="E177" s="64"/>
      <c r="F177" s="63"/>
      <c r="G177" s="63"/>
      <c r="H177" s="64"/>
      <c r="I177" s="64"/>
      <c r="J177" s="64"/>
      <c r="K177" s="64"/>
      <c r="L177" s="64"/>
      <c r="M177" s="64"/>
      <c r="N177" s="64"/>
      <c r="O177" s="64"/>
      <c r="P177" s="64"/>
      <c r="Q177" s="64"/>
      <c r="R177" s="64"/>
      <c r="S177" s="64"/>
      <c r="T177" s="64"/>
      <c r="U177" s="64"/>
      <c r="V177" s="64"/>
      <c r="W177" s="64"/>
      <c r="X177" s="64"/>
      <c r="Y177" s="64"/>
      <c r="Z177" s="64"/>
    </row>
    <row r="178" ht="12.75" customHeight="1">
      <c r="A178" s="108"/>
      <c r="B178" s="64"/>
      <c r="C178" s="64"/>
      <c r="D178" s="64"/>
      <c r="E178" s="64"/>
      <c r="F178" s="63"/>
      <c r="G178" s="63"/>
      <c r="H178" s="64"/>
      <c r="I178" s="64"/>
      <c r="J178" s="64"/>
      <c r="K178" s="64"/>
      <c r="L178" s="64"/>
      <c r="M178" s="64"/>
      <c r="N178" s="64"/>
      <c r="O178" s="64"/>
      <c r="P178" s="64"/>
      <c r="Q178" s="64"/>
      <c r="R178" s="64"/>
      <c r="S178" s="64"/>
      <c r="T178" s="64"/>
      <c r="U178" s="64"/>
      <c r="V178" s="64"/>
      <c r="W178" s="64"/>
      <c r="X178" s="64"/>
      <c r="Y178" s="64"/>
      <c r="Z178" s="64"/>
    </row>
    <row r="179" ht="12.75" customHeight="1">
      <c r="A179" s="108"/>
      <c r="B179" s="64"/>
      <c r="C179" s="64"/>
      <c r="D179" s="64"/>
      <c r="E179" s="64"/>
      <c r="F179" s="63"/>
      <c r="G179" s="63"/>
      <c r="H179" s="64"/>
      <c r="I179" s="64"/>
      <c r="J179" s="64"/>
      <c r="K179" s="64"/>
      <c r="L179" s="64"/>
      <c r="M179" s="64"/>
      <c r="N179" s="64"/>
      <c r="O179" s="64"/>
      <c r="P179" s="64"/>
      <c r="Q179" s="64"/>
      <c r="R179" s="64"/>
      <c r="S179" s="64"/>
      <c r="T179" s="64"/>
      <c r="U179" s="64"/>
      <c r="V179" s="64"/>
      <c r="W179" s="64"/>
      <c r="X179" s="64"/>
      <c r="Y179" s="64"/>
      <c r="Z179" s="64"/>
    </row>
    <row r="180" ht="12.75" customHeight="1">
      <c r="A180" s="108"/>
      <c r="B180" s="64"/>
      <c r="C180" s="64"/>
      <c r="D180" s="64"/>
      <c r="E180" s="64"/>
      <c r="F180" s="63"/>
      <c r="G180" s="63"/>
      <c r="H180" s="64"/>
      <c r="I180" s="64"/>
      <c r="J180" s="64"/>
      <c r="K180" s="64"/>
      <c r="L180" s="64"/>
      <c r="M180" s="64"/>
      <c r="N180" s="64"/>
      <c r="O180" s="64"/>
      <c r="P180" s="64"/>
      <c r="Q180" s="64"/>
      <c r="R180" s="64"/>
      <c r="S180" s="64"/>
      <c r="T180" s="64"/>
      <c r="U180" s="64"/>
      <c r="V180" s="64"/>
      <c r="W180" s="64"/>
      <c r="X180" s="64"/>
      <c r="Y180" s="64"/>
      <c r="Z180" s="64"/>
    </row>
    <row r="181" ht="12.75" customHeight="1">
      <c r="A181" s="108"/>
      <c r="B181" s="64"/>
      <c r="C181" s="64"/>
      <c r="D181" s="64"/>
      <c r="E181" s="64"/>
      <c r="F181" s="63"/>
      <c r="G181" s="63"/>
      <c r="H181" s="64"/>
      <c r="I181" s="64"/>
      <c r="J181" s="64"/>
      <c r="K181" s="64"/>
      <c r="L181" s="64"/>
      <c r="M181" s="64"/>
      <c r="N181" s="64"/>
      <c r="O181" s="64"/>
      <c r="P181" s="64"/>
      <c r="Q181" s="64"/>
      <c r="R181" s="64"/>
      <c r="S181" s="64"/>
      <c r="T181" s="64"/>
      <c r="U181" s="64"/>
      <c r="V181" s="64"/>
      <c r="W181" s="64"/>
      <c r="X181" s="64"/>
      <c r="Y181" s="64"/>
      <c r="Z181" s="64"/>
    </row>
    <row r="182" ht="12.75" customHeight="1">
      <c r="A182" s="108"/>
      <c r="B182" s="64"/>
      <c r="C182" s="64"/>
      <c r="D182" s="64"/>
      <c r="E182" s="64"/>
      <c r="F182" s="63"/>
      <c r="G182" s="63"/>
      <c r="H182" s="64"/>
      <c r="I182" s="64"/>
      <c r="J182" s="64"/>
      <c r="K182" s="64"/>
      <c r="L182" s="64"/>
      <c r="M182" s="64"/>
      <c r="N182" s="64"/>
      <c r="O182" s="64"/>
      <c r="P182" s="64"/>
      <c r="Q182" s="64"/>
      <c r="R182" s="64"/>
      <c r="S182" s="64"/>
      <c r="T182" s="64"/>
      <c r="U182" s="64"/>
      <c r="V182" s="64"/>
      <c r="W182" s="64"/>
      <c r="X182" s="64"/>
      <c r="Y182" s="64"/>
      <c r="Z182" s="64"/>
    </row>
    <row r="183" ht="12.75" customHeight="1">
      <c r="A183" s="108"/>
      <c r="B183" s="64"/>
      <c r="C183" s="64"/>
      <c r="D183" s="64"/>
      <c r="E183" s="64"/>
      <c r="F183" s="63"/>
      <c r="G183" s="63"/>
      <c r="H183" s="64"/>
      <c r="I183" s="64"/>
      <c r="J183" s="64"/>
      <c r="K183" s="64"/>
      <c r="L183" s="64"/>
      <c r="M183" s="64"/>
      <c r="N183" s="64"/>
      <c r="O183" s="64"/>
      <c r="P183" s="64"/>
      <c r="Q183" s="64"/>
      <c r="R183" s="64"/>
      <c r="S183" s="64"/>
      <c r="T183" s="64"/>
      <c r="U183" s="64"/>
      <c r="V183" s="64"/>
      <c r="W183" s="64"/>
      <c r="X183" s="64"/>
      <c r="Y183" s="64"/>
      <c r="Z183" s="64"/>
    </row>
    <row r="184" ht="12.75" customHeight="1">
      <c r="A184" s="108"/>
      <c r="B184" s="64"/>
      <c r="C184" s="64"/>
      <c r="D184" s="64"/>
      <c r="E184" s="64"/>
      <c r="F184" s="63"/>
      <c r="G184" s="63"/>
      <c r="H184" s="64"/>
      <c r="I184" s="64"/>
      <c r="J184" s="64"/>
      <c r="K184" s="64"/>
      <c r="L184" s="64"/>
      <c r="M184" s="64"/>
      <c r="N184" s="64"/>
      <c r="O184" s="64"/>
      <c r="P184" s="64"/>
      <c r="Q184" s="64"/>
      <c r="R184" s="64"/>
      <c r="S184" s="64"/>
      <c r="T184" s="64"/>
      <c r="U184" s="64"/>
      <c r="V184" s="64"/>
      <c r="W184" s="64"/>
      <c r="X184" s="64"/>
      <c r="Y184" s="64"/>
      <c r="Z184" s="64"/>
    </row>
    <row r="185" ht="12.75" customHeight="1">
      <c r="A185" s="108"/>
      <c r="B185" s="64"/>
      <c r="C185" s="64"/>
      <c r="D185" s="64"/>
      <c r="E185" s="64"/>
      <c r="F185" s="63"/>
      <c r="G185" s="63"/>
      <c r="H185" s="64"/>
      <c r="I185" s="64"/>
      <c r="J185" s="64"/>
      <c r="K185" s="64"/>
      <c r="L185" s="64"/>
      <c r="M185" s="64"/>
      <c r="N185" s="64"/>
      <c r="O185" s="64"/>
      <c r="P185" s="64"/>
      <c r="Q185" s="64"/>
      <c r="R185" s="64"/>
      <c r="S185" s="64"/>
      <c r="T185" s="64"/>
      <c r="U185" s="64"/>
      <c r="V185" s="64"/>
      <c r="W185" s="64"/>
      <c r="X185" s="64"/>
      <c r="Y185" s="64"/>
      <c r="Z185" s="64"/>
    </row>
    <row r="186" ht="12.75" customHeight="1">
      <c r="A186" s="108"/>
      <c r="B186" s="64"/>
      <c r="C186" s="64"/>
      <c r="D186" s="64"/>
      <c r="E186" s="64"/>
      <c r="F186" s="63"/>
      <c r="G186" s="63"/>
      <c r="H186" s="64"/>
      <c r="I186" s="64"/>
      <c r="J186" s="64"/>
      <c r="K186" s="64"/>
      <c r="L186" s="64"/>
      <c r="M186" s="64"/>
      <c r="N186" s="64"/>
      <c r="O186" s="64"/>
      <c r="P186" s="64"/>
      <c r="Q186" s="64"/>
      <c r="R186" s="64"/>
      <c r="S186" s="64"/>
      <c r="T186" s="64"/>
      <c r="U186" s="64"/>
      <c r="V186" s="64"/>
      <c r="W186" s="64"/>
      <c r="X186" s="64"/>
      <c r="Y186" s="64"/>
      <c r="Z186" s="64"/>
    </row>
    <row r="187" ht="12.75" customHeight="1">
      <c r="A187" s="108"/>
      <c r="B187" s="64"/>
      <c r="C187" s="64"/>
      <c r="D187" s="64"/>
      <c r="E187" s="64"/>
      <c r="F187" s="63"/>
      <c r="G187" s="63"/>
      <c r="H187" s="64"/>
      <c r="I187" s="64"/>
      <c r="J187" s="64"/>
      <c r="K187" s="64"/>
      <c r="L187" s="64"/>
      <c r="M187" s="64"/>
      <c r="N187" s="64"/>
      <c r="O187" s="64"/>
      <c r="P187" s="64"/>
      <c r="Q187" s="64"/>
      <c r="R187" s="64"/>
      <c r="S187" s="64"/>
      <c r="T187" s="64"/>
      <c r="U187" s="64"/>
      <c r="V187" s="64"/>
      <c r="W187" s="64"/>
      <c r="X187" s="64"/>
      <c r="Y187" s="64"/>
      <c r="Z187" s="64"/>
    </row>
    <row r="188" ht="12.75" customHeight="1">
      <c r="A188" s="108"/>
      <c r="B188" s="64"/>
      <c r="C188" s="64"/>
      <c r="D188" s="64"/>
      <c r="E188" s="64"/>
      <c r="F188" s="63"/>
      <c r="G188" s="63"/>
      <c r="H188" s="64"/>
      <c r="I188" s="64"/>
      <c r="J188" s="64"/>
      <c r="K188" s="64"/>
      <c r="L188" s="64"/>
      <c r="M188" s="64"/>
      <c r="N188" s="64"/>
      <c r="O188" s="64"/>
      <c r="P188" s="64"/>
      <c r="Q188" s="64"/>
      <c r="R188" s="64"/>
      <c r="S188" s="64"/>
      <c r="T188" s="64"/>
      <c r="U188" s="64"/>
      <c r="V188" s="64"/>
      <c r="W188" s="64"/>
      <c r="X188" s="64"/>
      <c r="Y188" s="64"/>
      <c r="Z188" s="64"/>
    </row>
    <row r="189" ht="12.75" customHeight="1">
      <c r="A189" s="108"/>
      <c r="B189" s="64"/>
      <c r="C189" s="64"/>
      <c r="D189" s="64"/>
      <c r="E189" s="64"/>
      <c r="F189" s="63"/>
      <c r="G189" s="63"/>
      <c r="H189" s="64"/>
      <c r="I189" s="64"/>
      <c r="J189" s="64"/>
      <c r="K189" s="64"/>
      <c r="L189" s="64"/>
      <c r="M189" s="64"/>
      <c r="N189" s="64"/>
      <c r="O189" s="64"/>
      <c r="P189" s="64"/>
      <c r="Q189" s="64"/>
      <c r="R189" s="64"/>
      <c r="S189" s="64"/>
      <c r="T189" s="64"/>
      <c r="U189" s="64"/>
      <c r="V189" s="64"/>
      <c r="W189" s="64"/>
      <c r="X189" s="64"/>
      <c r="Y189" s="64"/>
      <c r="Z189" s="64"/>
    </row>
    <row r="190" ht="12.75" customHeight="1">
      <c r="A190" s="108"/>
      <c r="B190" s="64"/>
      <c r="C190" s="64"/>
      <c r="D190" s="64"/>
      <c r="E190" s="64"/>
      <c r="F190" s="63"/>
      <c r="G190" s="63"/>
      <c r="H190" s="64"/>
      <c r="I190" s="64"/>
      <c r="J190" s="64"/>
      <c r="K190" s="64"/>
      <c r="L190" s="64"/>
      <c r="M190" s="64"/>
      <c r="N190" s="64"/>
      <c r="O190" s="64"/>
      <c r="P190" s="64"/>
      <c r="Q190" s="64"/>
      <c r="R190" s="64"/>
      <c r="S190" s="64"/>
      <c r="T190" s="64"/>
      <c r="U190" s="64"/>
      <c r="V190" s="64"/>
      <c r="W190" s="64"/>
      <c r="X190" s="64"/>
      <c r="Y190" s="64"/>
      <c r="Z190" s="64"/>
    </row>
    <row r="191" ht="12.75" customHeight="1">
      <c r="A191" s="108"/>
      <c r="B191" s="64"/>
      <c r="C191" s="64"/>
      <c r="D191" s="64"/>
      <c r="E191" s="64"/>
      <c r="F191" s="63"/>
      <c r="G191" s="63"/>
      <c r="H191" s="64"/>
      <c r="I191" s="64"/>
      <c r="J191" s="64"/>
      <c r="K191" s="64"/>
      <c r="L191" s="64"/>
      <c r="M191" s="64"/>
      <c r="N191" s="64"/>
      <c r="O191" s="64"/>
      <c r="P191" s="64"/>
      <c r="Q191" s="64"/>
      <c r="R191" s="64"/>
      <c r="S191" s="64"/>
      <c r="T191" s="64"/>
      <c r="U191" s="64"/>
      <c r="V191" s="64"/>
      <c r="W191" s="64"/>
      <c r="X191" s="64"/>
      <c r="Y191" s="64"/>
      <c r="Z191" s="64"/>
    </row>
    <row r="192" ht="12.75" customHeight="1">
      <c r="A192" s="108"/>
      <c r="B192" s="64"/>
      <c r="C192" s="64"/>
      <c r="D192" s="64"/>
      <c r="E192" s="64"/>
      <c r="F192" s="63"/>
      <c r="G192" s="63"/>
      <c r="H192" s="64"/>
      <c r="I192" s="64"/>
      <c r="J192" s="64"/>
      <c r="K192" s="64"/>
      <c r="L192" s="64"/>
      <c r="M192" s="64"/>
      <c r="N192" s="64"/>
      <c r="O192" s="64"/>
      <c r="P192" s="64"/>
      <c r="Q192" s="64"/>
      <c r="R192" s="64"/>
      <c r="S192" s="64"/>
      <c r="T192" s="64"/>
      <c r="U192" s="64"/>
      <c r="V192" s="64"/>
      <c r="W192" s="64"/>
      <c r="X192" s="64"/>
      <c r="Y192" s="64"/>
      <c r="Z192" s="64"/>
    </row>
    <row r="193" ht="12.75" customHeight="1">
      <c r="A193" s="108"/>
      <c r="B193" s="64"/>
      <c r="C193" s="64"/>
      <c r="D193" s="64"/>
      <c r="E193" s="64"/>
      <c r="F193" s="63"/>
      <c r="G193" s="63"/>
      <c r="H193" s="64"/>
      <c r="I193" s="64"/>
      <c r="J193" s="64"/>
      <c r="K193" s="64"/>
      <c r="L193" s="64"/>
      <c r="M193" s="64"/>
      <c r="N193" s="64"/>
      <c r="O193" s="64"/>
      <c r="P193" s="64"/>
      <c r="Q193" s="64"/>
      <c r="R193" s="64"/>
      <c r="S193" s="64"/>
      <c r="T193" s="64"/>
      <c r="U193" s="64"/>
      <c r="V193" s="64"/>
      <c r="W193" s="64"/>
      <c r="X193" s="64"/>
      <c r="Y193" s="64"/>
      <c r="Z193" s="64"/>
    </row>
    <row r="194" ht="12.75" customHeight="1">
      <c r="A194" s="108"/>
      <c r="B194" s="64"/>
      <c r="C194" s="64"/>
      <c r="D194" s="64"/>
      <c r="E194" s="64"/>
      <c r="F194" s="63"/>
      <c r="G194" s="63"/>
      <c r="H194" s="64"/>
      <c r="I194" s="64"/>
      <c r="J194" s="64"/>
      <c r="K194" s="64"/>
      <c r="L194" s="64"/>
      <c r="M194" s="64"/>
      <c r="N194" s="64"/>
      <c r="O194" s="64"/>
      <c r="P194" s="64"/>
      <c r="Q194" s="64"/>
      <c r="R194" s="64"/>
      <c r="S194" s="64"/>
      <c r="T194" s="64"/>
      <c r="U194" s="64"/>
      <c r="V194" s="64"/>
      <c r="W194" s="64"/>
      <c r="X194" s="64"/>
      <c r="Y194" s="64"/>
      <c r="Z194" s="64"/>
    </row>
    <row r="195" ht="12.75" customHeight="1">
      <c r="A195" s="108"/>
      <c r="B195" s="64"/>
      <c r="C195" s="64"/>
      <c r="D195" s="64"/>
      <c r="E195" s="64"/>
      <c r="F195" s="63"/>
      <c r="G195" s="63"/>
      <c r="H195" s="64"/>
      <c r="I195" s="64"/>
      <c r="J195" s="64"/>
      <c r="K195" s="64"/>
      <c r="L195" s="64"/>
      <c r="M195" s="64"/>
      <c r="N195" s="64"/>
      <c r="O195" s="64"/>
      <c r="P195" s="64"/>
      <c r="Q195" s="64"/>
      <c r="R195" s="64"/>
      <c r="S195" s="64"/>
      <c r="T195" s="64"/>
      <c r="U195" s="64"/>
      <c r="V195" s="64"/>
      <c r="W195" s="64"/>
      <c r="X195" s="64"/>
      <c r="Y195" s="64"/>
      <c r="Z195" s="64"/>
    </row>
    <row r="196" ht="12.75" customHeight="1">
      <c r="A196" s="108"/>
      <c r="B196" s="64"/>
      <c r="C196" s="64"/>
      <c r="D196" s="64"/>
      <c r="E196" s="64"/>
      <c r="F196" s="63"/>
      <c r="G196" s="63"/>
      <c r="H196" s="64"/>
      <c r="I196" s="64"/>
      <c r="J196" s="64"/>
      <c r="K196" s="64"/>
      <c r="L196" s="64"/>
      <c r="M196" s="64"/>
      <c r="N196" s="64"/>
      <c r="O196" s="64"/>
      <c r="P196" s="64"/>
      <c r="Q196" s="64"/>
      <c r="R196" s="64"/>
      <c r="S196" s="64"/>
      <c r="T196" s="64"/>
      <c r="U196" s="64"/>
      <c r="V196" s="64"/>
      <c r="W196" s="64"/>
      <c r="X196" s="64"/>
      <c r="Y196" s="64"/>
      <c r="Z196" s="64"/>
    </row>
    <row r="197" ht="12.75" customHeight="1">
      <c r="A197" s="108"/>
      <c r="B197" s="64"/>
      <c r="C197" s="64"/>
      <c r="D197" s="64"/>
      <c r="E197" s="64"/>
      <c r="F197" s="63"/>
      <c r="G197" s="63"/>
      <c r="H197" s="64"/>
      <c r="I197" s="64"/>
      <c r="J197" s="64"/>
      <c r="K197" s="64"/>
      <c r="L197" s="64"/>
      <c r="M197" s="64"/>
      <c r="N197" s="64"/>
      <c r="O197" s="64"/>
      <c r="P197" s="64"/>
      <c r="Q197" s="64"/>
      <c r="R197" s="64"/>
      <c r="S197" s="64"/>
      <c r="T197" s="64"/>
      <c r="U197" s="64"/>
      <c r="V197" s="64"/>
      <c r="W197" s="64"/>
      <c r="X197" s="64"/>
      <c r="Y197" s="64"/>
      <c r="Z197" s="64"/>
    </row>
    <row r="198" ht="12.75" customHeight="1">
      <c r="A198" s="108"/>
      <c r="B198" s="64"/>
      <c r="C198" s="64"/>
      <c r="D198" s="64"/>
      <c r="E198" s="64"/>
      <c r="F198" s="63"/>
      <c r="G198" s="63"/>
      <c r="H198" s="64"/>
      <c r="I198" s="64"/>
      <c r="J198" s="64"/>
      <c r="K198" s="64"/>
      <c r="L198" s="64"/>
      <c r="M198" s="64"/>
      <c r="N198" s="64"/>
      <c r="O198" s="64"/>
      <c r="P198" s="64"/>
      <c r="Q198" s="64"/>
      <c r="R198" s="64"/>
      <c r="S198" s="64"/>
      <c r="T198" s="64"/>
      <c r="U198" s="64"/>
      <c r="V198" s="64"/>
      <c r="W198" s="64"/>
      <c r="X198" s="64"/>
      <c r="Y198" s="64"/>
      <c r="Z198" s="64"/>
    </row>
    <row r="199" ht="12.75" customHeight="1">
      <c r="A199" s="108"/>
      <c r="B199" s="64"/>
      <c r="C199" s="64"/>
      <c r="D199" s="64"/>
      <c r="E199" s="64"/>
      <c r="F199" s="63"/>
      <c r="G199" s="63"/>
      <c r="H199" s="64"/>
      <c r="I199" s="64"/>
      <c r="J199" s="64"/>
      <c r="K199" s="64"/>
      <c r="L199" s="64"/>
      <c r="M199" s="64"/>
      <c r="N199" s="64"/>
      <c r="O199" s="64"/>
      <c r="P199" s="64"/>
      <c r="Q199" s="64"/>
      <c r="R199" s="64"/>
      <c r="S199" s="64"/>
      <c r="T199" s="64"/>
      <c r="U199" s="64"/>
      <c r="V199" s="64"/>
      <c r="W199" s="64"/>
      <c r="X199" s="64"/>
      <c r="Y199" s="64"/>
      <c r="Z199" s="64"/>
    </row>
    <row r="200" ht="12.75" customHeight="1">
      <c r="A200" s="108"/>
      <c r="B200" s="64"/>
      <c r="C200" s="64"/>
      <c r="D200" s="64"/>
      <c r="E200" s="64"/>
      <c r="F200" s="63"/>
      <c r="G200" s="63"/>
      <c r="H200" s="64"/>
      <c r="I200" s="64"/>
      <c r="J200" s="64"/>
      <c r="K200" s="64"/>
      <c r="L200" s="64"/>
      <c r="M200" s="64"/>
      <c r="N200" s="64"/>
      <c r="O200" s="64"/>
      <c r="P200" s="64"/>
      <c r="Q200" s="64"/>
      <c r="R200" s="64"/>
      <c r="S200" s="64"/>
      <c r="T200" s="64"/>
      <c r="U200" s="64"/>
      <c r="V200" s="64"/>
      <c r="W200" s="64"/>
      <c r="X200" s="64"/>
      <c r="Y200" s="64"/>
      <c r="Z200" s="64"/>
    </row>
    <row r="201" ht="12.75" customHeight="1">
      <c r="A201" s="108"/>
      <c r="B201" s="64"/>
      <c r="C201" s="64"/>
      <c r="D201" s="64"/>
      <c r="E201" s="64"/>
      <c r="F201" s="63"/>
      <c r="G201" s="63"/>
      <c r="H201" s="64"/>
      <c r="I201" s="64"/>
      <c r="J201" s="64"/>
      <c r="K201" s="64"/>
      <c r="L201" s="64"/>
      <c r="M201" s="64"/>
      <c r="N201" s="64"/>
      <c r="O201" s="64"/>
      <c r="P201" s="64"/>
      <c r="Q201" s="64"/>
      <c r="R201" s="64"/>
      <c r="S201" s="64"/>
      <c r="T201" s="64"/>
      <c r="U201" s="64"/>
      <c r="V201" s="64"/>
      <c r="W201" s="64"/>
      <c r="X201" s="64"/>
      <c r="Y201" s="64"/>
      <c r="Z201" s="64"/>
    </row>
    <row r="202" ht="12.75" customHeight="1">
      <c r="A202" s="108"/>
      <c r="B202" s="64"/>
      <c r="C202" s="64"/>
      <c r="D202" s="64"/>
      <c r="E202" s="64"/>
      <c r="F202" s="63"/>
      <c r="G202" s="63"/>
      <c r="H202" s="64"/>
      <c r="I202" s="64"/>
      <c r="J202" s="64"/>
      <c r="K202" s="64"/>
      <c r="L202" s="64"/>
      <c r="M202" s="64"/>
      <c r="N202" s="64"/>
      <c r="O202" s="64"/>
      <c r="P202" s="64"/>
      <c r="Q202" s="64"/>
      <c r="R202" s="64"/>
      <c r="S202" s="64"/>
      <c r="T202" s="64"/>
      <c r="U202" s="64"/>
      <c r="V202" s="64"/>
      <c r="W202" s="64"/>
      <c r="X202" s="64"/>
      <c r="Y202" s="64"/>
      <c r="Z202" s="64"/>
    </row>
    <row r="203" ht="12.75" customHeight="1">
      <c r="A203" s="108"/>
      <c r="B203" s="64"/>
      <c r="C203" s="64"/>
      <c r="D203" s="64"/>
      <c r="E203" s="64"/>
      <c r="F203" s="63"/>
      <c r="G203" s="63"/>
      <c r="H203" s="64"/>
      <c r="I203" s="64"/>
      <c r="J203" s="64"/>
      <c r="K203" s="64"/>
      <c r="L203" s="64"/>
      <c r="M203" s="64"/>
      <c r="N203" s="64"/>
      <c r="O203" s="64"/>
      <c r="P203" s="64"/>
      <c r="Q203" s="64"/>
      <c r="R203" s="64"/>
      <c r="S203" s="64"/>
      <c r="T203" s="64"/>
      <c r="U203" s="64"/>
      <c r="V203" s="64"/>
      <c r="W203" s="64"/>
      <c r="X203" s="64"/>
      <c r="Y203" s="64"/>
      <c r="Z203" s="64"/>
    </row>
    <row r="204" ht="12.75" customHeight="1">
      <c r="A204" s="108"/>
      <c r="B204" s="64"/>
      <c r="C204" s="64"/>
      <c r="D204" s="64"/>
      <c r="E204" s="64"/>
      <c r="F204" s="63"/>
      <c r="G204" s="63"/>
      <c r="H204" s="64"/>
      <c r="I204" s="64"/>
      <c r="J204" s="64"/>
      <c r="K204" s="64"/>
      <c r="L204" s="64"/>
      <c r="M204" s="64"/>
      <c r="N204" s="64"/>
      <c r="O204" s="64"/>
      <c r="P204" s="64"/>
      <c r="Q204" s="64"/>
      <c r="R204" s="64"/>
      <c r="S204" s="64"/>
      <c r="T204" s="64"/>
      <c r="U204" s="64"/>
      <c r="V204" s="64"/>
      <c r="W204" s="64"/>
      <c r="X204" s="64"/>
      <c r="Y204" s="64"/>
      <c r="Z204" s="64"/>
    </row>
    <row r="205" ht="12.75" customHeight="1">
      <c r="A205" s="108"/>
      <c r="B205" s="64"/>
      <c r="C205" s="64"/>
      <c r="D205" s="64"/>
      <c r="E205" s="64"/>
      <c r="F205" s="63"/>
      <c r="G205" s="63"/>
      <c r="H205" s="64"/>
      <c r="I205" s="64"/>
      <c r="J205" s="64"/>
      <c r="K205" s="64"/>
      <c r="L205" s="64"/>
      <c r="M205" s="64"/>
      <c r="N205" s="64"/>
      <c r="O205" s="64"/>
      <c r="P205" s="64"/>
      <c r="Q205" s="64"/>
      <c r="R205" s="64"/>
      <c r="S205" s="64"/>
      <c r="T205" s="64"/>
      <c r="U205" s="64"/>
      <c r="V205" s="64"/>
      <c r="W205" s="64"/>
      <c r="X205" s="64"/>
      <c r="Y205" s="64"/>
      <c r="Z205" s="64"/>
    </row>
    <row r="206" ht="12.75" customHeight="1">
      <c r="A206" s="108"/>
      <c r="B206" s="64"/>
      <c r="C206" s="64"/>
      <c r="D206" s="64"/>
      <c r="E206" s="64"/>
      <c r="F206" s="63"/>
      <c r="G206" s="63"/>
      <c r="H206" s="64"/>
      <c r="I206" s="64"/>
      <c r="J206" s="64"/>
      <c r="K206" s="64"/>
      <c r="L206" s="64"/>
      <c r="M206" s="64"/>
      <c r="N206" s="64"/>
      <c r="O206" s="64"/>
      <c r="P206" s="64"/>
      <c r="Q206" s="64"/>
      <c r="R206" s="64"/>
      <c r="S206" s="64"/>
      <c r="T206" s="64"/>
      <c r="U206" s="64"/>
      <c r="V206" s="64"/>
      <c r="W206" s="64"/>
      <c r="X206" s="64"/>
      <c r="Y206" s="64"/>
      <c r="Z206" s="64"/>
    </row>
    <row r="207" ht="12.75" customHeight="1">
      <c r="A207" s="108"/>
      <c r="B207" s="64"/>
      <c r="C207" s="64"/>
      <c r="D207" s="64"/>
      <c r="E207" s="64"/>
      <c r="F207" s="63"/>
      <c r="G207" s="63"/>
      <c r="H207" s="64"/>
      <c r="I207" s="64"/>
      <c r="J207" s="64"/>
      <c r="K207" s="64"/>
      <c r="L207" s="64"/>
      <c r="M207" s="64"/>
      <c r="N207" s="64"/>
      <c r="O207" s="64"/>
      <c r="P207" s="64"/>
      <c r="Q207" s="64"/>
      <c r="R207" s="64"/>
      <c r="S207" s="64"/>
      <c r="T207" s="64"/>
      <c r="U207" s="64"/>
      <c r="V207" s="64"/>
      <c r="W207" s="64"/>
      <c r="X207" s="64"/>
      <c r="Y207" s="64"/>
      <c r="Z207" s="64"/>
    </row>
    <row r="208" ht="12.75" customHeight="1">
      <c r="A208" s="108"/>
      <c r="B208" s="64"/>
      <c r="C208" s="64"/>
      <c r="D208" s="64"/>
      <c r="E208" s="64"/>
      <c r="F208" s="63"/>
      <c r="G208" s="63"/>
      <c r="H208" s="64"/>
      <c r="I208" s="64"/>
      <c r="J208" s="64"/>
      <c r="K208" s="64"/>
      <c r="L208" s="64"/>
      <c r="M208" s="64"/>
      <c r="N208" s="64"/>
      <c r="O208" s="64"/>
      <c r="P208" s="64"/>
      <c r="Q208" s="64"/>
      <c r="R208" s="64"/>
      <c r="S208" s="64"/>
      <c r="T208" s="64"/>
      <c r="U208" s="64"/>
      <c r="V208" s="64"/>
      <c r="W208" s="64"/>
      <c r="X208" s="64"/>
      <c r="Y208" s="64"/>
      <c r="Z208" s="64"/>
    </row>
    <row r="209" ht="12.75" customHeight="1">
      <c r="A209" s="108"/>
      <c r="B209" s="64"/>
      <c r="C209" s="64"/>
      <c r="D209" s="64"/>
      <c r="E209" s="64"/>
      <c r="F209" s="63"/>
      <c r="G209" s="63"/>
      <c r="H209" s="64"/>
      <c r="I209" s="64"/>
      <c r="J209" s="64"/>
      <c r="K209" s="64"/>
      <c r="L209" s="64"/>
      <c r="M209" s="64"/>
      <c r="N209" s="64"/>
      <c r="O209" s="64"/>
      <c r="P209" s="64"/>
      <c r="Q209" s="64"/>
      <c r="R209" s="64"/>
      <c r="S209" s="64"/>
      <c r="T209" s="64"/>
      <c r="U209" s="64"/>
      <c r="V209" s="64"/>
      <c r="W209" s="64"/>
      <c r="X209" s="64"/>
      <c r="Y209" s="64"/>
      <c r="Z209" s="64"/>
    </row>
    <row r="210" ht="12.75" customHeight="1">
      <c r="A210" s="108"/>
      <c r="B210" s="64"/>
      <c r="C210" s="64"/>
      <c r="D210" s="64"/>
      <c r="E210" s="64"/>
      <c r="F210" s="63"/>
      <c r="G210" s="63"/>
      <c r="H210" s="64"/>
      <c r="I210" s="64"/>
      <c r="J210" s="64"/>
      <c r="K210" s="64"/>
      <c r="L210" s="64"/>
      <c r="M210" s="64"/>
      <c r="N210" s="64"/>
      <c r="O210" s="64"/>
      <c r="P210" s="64"/>
      <c r="Q210" s="64"/>
      <c r="R210" s="64"/>
      <c r="S210" s="64"/>
      <c r="T210" s="64"/>
      <c r="U210" s="64"/>
      <c r="V210" s="64"/>
      <c r="W210" s="64"/>
      <c r="X210" s="64"/>
      <c r="Y210" s="64"/>
      <c r="Z210" s="64"/>
    </row>
    <row r="211" ht="12.75" customHeight="1">
      <c r="A211" s="108"/>
      <c r="B211" s="64"/>
      <c r="C211" s="64"/>
      <c r="D211" s="64"/>
      <c r="E211" s="64"/>
      <c r="F211" s="63"/>
      <c r="G211" s="63"/>
      <c r="H211" s="64"/>
      <c r="I211" s="64"/>
      <c r="J211" s="64"/>
      <c r="K211" s="64"/>
      <c r="L211" s="64"/>
      <c r="M211" s="64"/>
      <c r="N211" s="64"/>
      <c r="O211" s="64"/>
      <c r="P211" s="64"/>
      <c r="Q211" s="64"/>
      <c r="R211" s="64"/>
      <c r="S211" s="64"/>
      <c r="T211" s="64"/>
      <c r="U211" s="64"/>
      <c r="V211" s="64"/>
      <c r="W211" s="64"/>
      <c r="X211" s="64"/>
      <c r="Y211" s="64"/>
      <c r="Z211" s="64"/>
    </row>
    <row r="212" ht="12.75" customHeight="1">
      <c r="A212" s="108"/>
      <c r="B212" s="64"/>
      <c r="C212" s="64"/>
      <c r="D212" s="64"/>
      <c r="E212" s="64"/>
      <c r="F212" s="63"/>
      <c r="G212" s="63"/>
      <c r="H212" s="64"/>
      <c r="I212" s="64"/>
      <c r="J212" s="64"/>
      <c r="K212" s="64"/>
      <c r="L212" s="64"/>
      <c r="M212" s="64"/>
      <c r="N212" s="64"/>
      <c r="O212" s="64"/>
      <c r="P212" s="64"/>
      <c r="Q212" s="64"/>
      <c r="R212" s="64"/>
      <c r="S212" s="64"/>
      <c r="T212" s="64"/>
      <c r="U212" s="64"/>
      <c r="V212" s="64"/>
      <c r="W212" s="64"/>
      <c r="X212" s="64"/>
      <c r="Y212" s="64"/>
      <c r="Z212" s="64"/>
    </row>
    <row r="213" ht="12.75" customHeight="1">
      <c r="A213" s="108"/>
      <c r="B213" s="64"/>
      <c r="C213" s="64"/>
      <c r="D213" s="64"/>
      <c r="E213" s="64"/>
      <c r="F213" s="63"/>
      <c r="G213" s="63"/>
      <c r="H213" s="64"/>
      <c r="I213" s="64"/>
      <c r="J213" s="64"/>
      <c r="K213" s="64"/>
      <c r="L213" s="64"/>
      <c r="M213" s="64"/>
      <c r="N213" s="64"/>
      <c r="O213" s="64"/>
      <c r="P213" s="64"/>
      <c r="Q213" s="64"/>
      <c r="R213" s="64"/>
      <c r="S213" s="64"/>
      <c r="T213" s="64"/>
      <c r="U213" s="64"/>
      <c r="V213" s="64"/>
      <c r="W213" s="64"/>
      <c r="X213" s="64"/>
      <c r="Y213" s="64"/>
      <c r="Z213" s="64"/>
    </row>
    <row r="214" ht="12.75" customHeight="1">
      <c r="A214" s="108"/>
      <c r="B214" s="64"/>
      <c r="C214" s="64"/>
      <c r="D214" s="64"/>
      <c r="E214" s="64"/>
      <c r="F214" s="63"/>
      <c r="G214" s="63"/>
      <c r="H214" s="64"/>
      <c r="I214" s="64"/>
      <c r="J214" s="64"/>
      <c r="K214" s="64"/>
      <c r="L214" s="64"/>
      <c r="M214" s="64"/>
      <c r="N214" s="64"/>
      <c r="O214" s="64"/>
      <c r="P214" s="64"/>
      <c r="Q214" s="64"/>
      <c r="R214" s="64"/>
      <c r="S214" s="64"/>
      <c r="T214" s="64"/>
      <c r="U214" s="64"/>
      <c r="V214" s="64"/>
      <c r="W214" s="64"/>
      <c r="X214" s="64"/>
      <c r="Y214" s="64"/>
      <c r="Z214" s="64"/>
    </row>
    <row r="215" ht="12.75" customHeight="1">
      <c r="A215" s="108"/>
      <c r="B215" s="64"/>
      <c r="C215" s="64"/>
      <c r="D215" s="64"/>
      <c r="E215" s="64"/>
      <c r="F215" s="63"/>
      <c r="G215" s="63"/>
      <c r="H215" s="64"/>
      <c r="I215" s="64"/>
      <c r="J215" s="64"/>
      <c r="K215" s="64"/>
      <c r="L215" s="64"/>
      <c r="M215" s="64"/>
      <c r="N215" s="64"/>
      <c r="O215" s="64"/>
      <c r="P215" s="64"/>
      <c r="Q215" s="64"/>
      <c r="R215" s="64"/>
      <c r="S215" s="64"/>
      <c r="T215" s="64"/>
      <c r="U215" s="64"/>
      <c r="V215" s="64"/>
      <c r="W215" s="64"/>
      <c r="X215" s="64"/>
      <c r="Y215" s="64"/>
      <c r="Z215" s="64"/>
    </row>
    <row r="216" ht="12.75" customHeight="1">
      <c r="A216" s="108"/>
      <c r="B216" s="64"/>
      <c r="C216" s="64"/>
      <c r="D216" s="64"/>
      <c r="E216" s="64"/>
      <c r="F216" s="63"/>
      <c r="G216" s="63"/>
      <c r="H216" s="64"/>
      <c r="I216" s="64"/>
      <c r="J216" s="64"/>
      <c r="K216" s="64"/>
      <c r="L216" s="64"/>
      <c r="M216" s="64"/>
      <c r="N216" s="64"/>
      <c r="O216" s="64"/>
      <c r="P216" s="64"/>
      <c r="Q216" s="64"/>
      <c r="R216" s="64"/>
      <c r="S216" s="64"/>
      <c r="T216" s="64"/>
      <c r="U216" s="64"/>
      <c r="V216" s="64"/>
      <c r="W216" s="64"/>
      <c r="X216" s="64"/>
      <c r="Y216" s="64"/>
      <c r="Z216" s="64"/>
    </row>
    <row r="217" ht="12.75" customHeight="1">
      <c r="A217" s="108"/>
      <c r="B217" s="64"/>
      <c r="C217" s="64"/>
      <c r="D217" s="64"/>
      <c r="E217" s="64"/>
      <c r="F217" s="63"/>
      <c r="G217" s="63"/>
      <c r="H217" s="64"/>
      <c r="I217" s="64"/>
      <c r="J217" s="64"/>
      <c r="K217" s="64"/>
      <c r="L217" s="64"/>
      <c r="M217" s="64"/>
      <c r="N217" s="64"/>
      <c r="O217" s="64"/>
      <c r="P217" s="64"/>
      <c r="Q217" s="64"/>
      <c r="R217" s="64"/>
      <c r="S217" s="64"/>
      <c r="T217" s="64"/>
      <c r="U217" s="64"/>
      <c r="V217" s="64"/>
      <c r="W217" s="64"/>
      <c r="X217" s="64"/>
      <c r="Y217" s="64"/>
      <c r="Z217" s="64"/>
    </row>
    <row r="218" ht="12.75" customHeight="1">
      <c r="A218" s="108"/>
      <c r="B218" s="64"/>
      <c r="C218" s="64"/>
      <c r="D218" s="64"/>
      <c r="E218" s="64"/>
      <c r="F218" s="63"/>
      <c r="G218" s="63"/>
      <c r="H218" s="64"/>
      <c r="I218" s="64"/>
      <c r="J218" s="64"/>
      <c r="K218" s="64"/>
      <c r="L218" s="64"/>
      <c r="M218" s="64"/>
      <c r="N218" s="64"/>
      <c r="O218" s="64"/>
      <c r="P218" s="64"/>
      <c r="Q218" s="64"/>
      <c r="R218" s="64"/>
      <c r="S218" s="64"/>
      <c r="T218" s="64"/>
      <c r="U218" s="64"/>
      <c r="V218" s="64"/>
      <c r="W218" s="64"/>
      <c r="X218" s="64"/>
      <c r="Y218" s="64"/>
      <c r="Z218" s="64"/>
    </row>
    <row r="219" ht="12.75" customHeight="1">
      <c r="A219" s="108"/>
      <c r="B219" s="64"/>
      <c r="C219" s="64"/>
      <c r="D219" s="64"/>
      <c r="E219" s="64"/>
      <c r="F219" s="63"/>
      <c r="G219" s="63"/>
      <c r="H219" s="64"/>
      <c r="I219" s="64"/>
      <c r="J219" s="64"/>
      <c r="K219" s="64"/>
      <c r="L219" s="64"/>
      <c r="M219" s="64"/>
      <c r="N219" s="64"/>
      <c r="O219" s="64"/>
      <c r="P219" s="64"/>
      <c r="Q219" s="64"/>
      <c r="R219" s="64"/>
      <c r="S219" s="64"/>
      <c r="T219" s="64"/>
      <c r="U219" s="64"/>
      <c r="V219" s="64"/>
      <c r="W219" s="64"/>
      <c r="X219" s="64"/>
      <c r="Y219" s="64"/>
      <c r="Z219" s="64"/>
    </row>
    <row r="220" ht="12.75" customHeight="1">
      <c r="A220" s="108"/>
      <c r="B220" s="64"/>
      <c r="C220" s="64"/>
      <c r="D220" s="64"/>
      <c r="E220" s="64"/>
      <c r="F220" s="63"/>
      <c r="G220" s="63"/>
      <c r="H220" s="64"/>
      <c r="I220" s="64"/>
      <c r="J220" s="64"/>
      <c r="K220" s="64"/>
      <c r="L220" s="64"/>
      <c r="M220" s="64"/>
      <c r="N220" s="64"/>
      <c r="O220" s="64"/>
      <c r="P220" s="64"/>
      <c r="Q220" s="64"/>
      <c r="R220" s="64"/>
      <c r="S220" s="64"/>
      <c r="T220" s="64"/>
      <c r="U220" s="64"/>
      <c r="V220" s="64"/>
      <c r="W220" s="64"/>
      <c r="X220" s="64"/>
      <c r="Y220" s="64"/>
      <c r="Z220" s="64"/>
    </row>
    <row r="221" ht="12.75" customHeight="1">
      <c r="A221" s="108"/>
      <c r="B221" s="64"/>
      <c r="C221" s="64"/>
      <c r="D221" s="64"/>
      <c r="E221" s="64"/>
      <c r="F221" s="63"/>
      <c r="G221" s="63"/>
      <c r="H221" s="64"/>
      <c r="I221" s="64"/>
      <c r="J221" s="64"/>
      <c r="K221" s="64"/>
      <c r="L221" s="64"/>
      <c r="M221" s="64"/>
      <c r="N221" s="64"/>
      <c r="O221" s="64"/>
      <c r="P221" s="64"/>
      <c r="Q221" s="64"/>
      <c r="R221" s="64"/>
      <c r="S221" s="64"/>
      <c r="T221" s="64"/>
      <c r="U221" s="64"/>
      <c r="V221" s="64"/>
      <c r="W221" s="64"/>
      <c r="X221" s="64"/>
      <c r="Y221" s="64"/>
      <c r="Z221" s="64"/>
    </row>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mergeCells count="10">
    <mergeCell ref="C19:D19"/>
    <mergeCell ref="C20:D20"/>
    <mergeCell ref="C21:D21"/>
    <mergeCell ref="C12:D12"/>
    <mergeCell ref="C13:D13"/>
    <mergeCell ref="C14:D14"/>
    <mergeCell ref="C15:D15"/>
    <mergeCell ref="C16:D16"/>
    <mergeCell ref="C17:D17"/>
    <mergeCell ref="C18:D18"/>
  </mergeCells>
  <dataValidations>
    <dataValidation type="decimal" allowBlank="1" showErrorMessage="1" sqref="F13:F20">
      <formula1>0.0</formula1>
      <formula2>50.0</formula2>
    </dataValidation>
  </dataValidations>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4A3B8"/>
    <pageSetUpPr/>
  </sheetPr>
  <sheetViews>
    <sheetView showGridLines="0" workbookViewId="0"/>
  </sheetViews>
  <sheetFormatPr customHeight="1" defaultColWidth="12.63" defaultRowHeight="15.0"/>
  <cols>
    <col customWidth="1" min="1" max="1" width="15.75"/>
    <col customWidth="1" min="2" max="2" width="45.25"/>
    <col customWidth="1" min="3" max="3" width="27.88"/>
    <col customWidth="1" min="4" max="4" width="16.25"/>
    <col customWidth="1" min="5" max="5" width="26.5"/>
    <col customWidth="1" min="6" max="6" width="17.75"/>
    <col customWidth="1" min="7" max="7" width="15.0"/>
    <col customWidth="1" min="8" max="26" width="9.13"/>
  </cols>
  <sheetData>
    <row r="1" ht="12.75" customHeight="1">
      <c r="A1" s="105" t="s">
        <v>260</v>
      </c>
      <c r="B1" s="117" t="s">
        <v>34</v>
      </c>
      <c r="C1" s="78"/>
      <c r="D1" s="78"/>
      <c r="E1" s="64"/>
      <c r="F1" s="63"/>
      <c r="G1" s="63"/>
      <c r="H1" s="64"/>
      <c r="I1" s="64"/>
      <c r="J1" s="64"/>
      <c r="K1" s="64"/>
      <c r="L1" s="64"/>
      <c r="M1" s="64"/>
      <c r="N1" s="64"/>
      <c r="O1" s="64"/>
      <c r="P1" s="64"/>
      <c r="Q1" s="64"/>
      <c r="R1" s="64"/>
      <c r="S1" s="64"/>
      <c r="T1" s="64"/>
      <c r="U1" s="64"/>
      <c r="V1" s="64"/>
      <c r="W1" s="64"/>
      <c r="X1" s="64"/>
      <c r="Y1" s="64"/>
      <c r="Z1" s="64"/>
    </row>
    <row r="2" ht="12.75" customHeight="1">
      <c r="A2" s="110" t="s">
        <v>5</v>
      </c>
      <c r="B2" s="101" t="str">
        <f t="array" ref="B2">IFERROR(INDEX(Sessions!$C$2:$C$173,MATCH($B$1,Sessions!$B$2:$B$173,0))&amp;"","")</f>
        <v>Wireless Networks and Optical Communication Systems</v>
      </c>
      <c r="C2" s="64"/>
      <c r="D2" s="64"/>
      <c r="E2" s="64"/>
      <c r="F2" s="63"/>
      <c r="G2" s="63"/>
      <c r="H2" s="64"/>
      <c r="I2" s="64"/>
      <c r="J2" s="64"/>
      <c r="K2" s="64"/>
      <c r="L2" s="64"/>
      <c r="M2" s="64"/>
      <c r="N2" s="64"/>
      <c r="O2" s="64"/>
      <c r="P2" s="64"/>
      <c r="Q2" s="64"/>
      <c r="R2" s="64"/>
      <c r="S2" s="64"/>
      <c r="T2" s="64"/>
      <c r="U2" s="64"/>
      <c r="V2" s="64"/>
      <c r="W2" s="64"/>
      <c r="X2" s="64"/>
      <c r="Y2" s="64"/>
      <c r="Z2" s="64"/>
    </row>
    <row r="3" ht="12.75" customHeight="1">
      <c r="A3" s="112" t="s">
        <v>704</v>
      </c>
      <c r="B3" s="86" t="str">
        <f>IF(LEFT($B$1,2)="T1",Schedule!$A$4&amp;", "&amp;Schedule!$A$10,IF(LEFT($B$1,2)="T2",Schedule!$A$4&amp;", "&amp;Schedule!$A$12,IF(LEFT($B$1,2)="T3",Schedule!$A$4&amp;", "&amp;#REF!,IF(LEFT($B$1,2)="T4",Schedule!$A$16&amp;", "&amp;Schedule!$A$18,IF($B$1="Keynote 1",Schedule!$A$4&amp;", "&amp;Schedule!$A$8,IF($B$1="Keynote 2",Schedule!$A$4&amp;", "&amp;Schedule!$A$13,IF($B$1="Keynote 3",Schedule!$A$16&amp;", "&amp;Schedule!$A$19,IF($B$1="IEEE Workshop",Schedule!$A$16&amp;", "&amp;#REF!,""))))))))</f>
        <v>Day 1, 11:40-12:40</v>
      </c>
      <c r="C3" s="80"/>
      <c r="D3" s="80"/>
      <c r="E3" s="64"/>
      <c r="F3" s="63"/>
      <c r="G3" s="63"/>
      <c r="H3" s="64"/>
      <c r="I3" s="64"/>
      <c r="J3" s="64"/>
      <c r="K3" s="64"/>
      <c r="L3" s="64"/>
      <c r="M3" s="64"/>
      <c r="N3" s="64"/>
      <c r="O3" s="64"/>
      <c r="P3" s="64"/>
      <c r="Q3" s="64"/>
      <c r="R3" s="64"/>
      <c r="S3" s="64"/>
      <c r="T3" s="64"/>
      <c r="U3" s="64"/>
      <c r="V3" s="64"/>
      <c r="W3" s="64"/>
      <c r="X3" s="64"/>
      <c r="Y3" s="64"/>
      <c r="Z3" s="64"/>
    </row>
    <row r="4" ht="12.75" customHeight="1">
      <c r="A4" s="112" t="s">
        <v>11</v>
      </c>
      <c r="B4" s="115" t="s">
        <v>38</v>
      </c>
      <c r="C4" s="80"/>
      <c r="D4" s="80"/>
      <c r="E4" s="64"/>
      <c r="F4" s="63"/>
      <c r="G4" s="63"/>
      <c r="H4" s="64"/>
      <c r="I4" s="64"/>
      <c r="J4" s="64"/>
      <c r="K4" s="64"/>
      <c r="L4" s="64"/>
      <c r="M4" s="64"/>
      <c r="N4" s="64"/>
      <c r="O4" s="64"/>
      <c r="P4" s="64"/>
      <c r="Q4" s="64"/>
      <c r="R4" s="64"/>
      <c r="S4" s="64"/>
      <c r="T4" s="64"/>
      <c r="U4" s="64"/>
      <c r="V4" s="64"/>
      <c r="W4" s="64"/>
      <c r="X4" s="64"/>
      <c r="Y4" s="64"/>
      <c r="Z4" s="64"/>
    </row>
    <row r="5" ht="12.75" customHeight="1">
      <c r="A5" s="114" t="s">
        <v>725</v>
      </c>
      <c r="B5" s="86" t="str">
        <f t="array" ref="B5">IFERROR(INDEX(Chairs!$J$2:$J$359,MATCH(1,INDEX((Chairs!$K$2:$K$359=$B$1)*(Chairs!$N$2:$N$359=1),0),0)),"")</f>
        <v>Dr. Nahid Akhter Jahan</v>
      </c>
      <c r="C5" s="86" t="str">
        <f t="array" ref="C5">IFERROR(INDEX(Chairs!$L$2:$L$359,MATCH(1,INDEX((Chairs!$K$2:$K$359=$B$1)*(Chairs!$N$2:$N$359=1),0),0))&amp;"","")</f>
        <v>nahid.jahan@bracu.ac.bd</v>
      </c>
      <c r="D5" s="86" t="str">
        <f t="array" ref="D5">IFERROR(INDEX(Chairs!$M$2:$M$359,MATCH(1,INDEX((Chairs!$K$2:$K$359=$B$1)*(Chairs!$N$2:$N$359=1),0),0))&amp;"","")</f>
        <v>01828141026</v>
      </c>
      <c r="E5" s="64"/>
      <c r="F5" s="63"/>
      <c r="G5" s="63"/>
      <c r="H5" s="64"/>
      <c r="I5" s="64"/>
      <c r="J5" s="64"/>
      <c r="K5" s="64"/>
      <c r="L5" s="64"/>
      <c r="M5" s="64"/>
      <c r="N5" s="64"/>
      <c r="O5" s="64"/>
      <c r="P5" s="64"/>
      <c r="Q5" s="64"/>
      <c r="R5" s="64"/>
      <c r="S5" s="64"/>
      <c r="T5" s="64"/>
      <c r="U5" s="64"/>
      <c r="V5" s="64"/>
      <c r="W5" s="64"/>
      <c r="X5" s="64"/>
      <c r="Y5" s="64"/>
      <c r="Z5" s="64"/>
    </row>
    <row r="6" ht="12.75" customHeight="1">
      <c r="A6" s="114" t="s">
        <v>726</v>
      </c>
      <c r="B6" s="118" t="s">
        <v>292</v>
      </c>
      <c r="C6" s="118" t="s">
        <v>294</v>
      </c>
      <c r="D6" s="116">
        <v>1.314447616E9</v>
      </c>
      <c r="E6" s="64"/>
      <c r="F6" s="63"/>
      <c r="G6" s="63"/>
      <c r="H6" s="64"/>
      <c r="I6" s="64"/>
      <c r="J6" s="64"/>
      <c r="K6" s="64"/>
      <c r="L6" s="64"/>
      <c r="M6" s="64"/>
      <c r="N6" s="64"/>
      <c r="O6" s="64"/>
      <c r="P6" s="64"/>
      <c r="Q6" s="64"/>
      <c r="R6" s="64"/>
      <c r="S6" s="64"/>
      <c r="T6" s="64"/>
      <c r="U6" s="64"/>
      <c r="V6" s="64"/>
      <c r="W6" s="64"/>
      <c r="X6" s="64"/>
      <c r="Y6" s="64"/>
      <c r="Z6" s="64"/>
    </row>
    <row r="7" ht="12.75" customHeight="1">
      <c r="A7" s="112" t="s">
        <v>709</v>
      </c>
      <c r="B7" s="86" t="str">
        <f t="array" ref="B7">IFERROR(INDEX('Senior Faculty'!$J$2:$J$401,MATCH(1,INDEX(('Senior Faculty'!$K$2:$K$401=$B$1)*('Senior Faculty'!$N$2:$N$401=1),0),0)),"")</f>
        <v>Md. Ashraful Haque, PhD</v>
      </c>
      <c r="C7" s="86" t="str">
        <f t="array" ref="C7">IFERROR(INDEX('Senior Faculty'!$L$2:$L$401,MATCH(1,INDEX(('Senior Faculty'!$K$2:$K$401=$B$1)*('Senior Faculty'!$N$2:$N$401=1),0),0))&amp;"","")</f>
        <v>ashraful.haque1@ulab.edu.bd</v>
      </c>
      <c r="D7" s="86" t="str">
        <f t="array" ref="D7">IFERROR(INDEX('Senior Faculty'!$M$2:$M$401,MATCH(1,INDEX(('Senior Faculty'!$K$2:$K$401=$B$1)*('Senior Faculty'!$N$2:$N$401=1),0),0))&amp;"","")</f>
        <v>01745323543</v>
      </c>
      <c r="E7" s="64"/>
      <c r="F7" s="63"/>
      <c r="G7" s="63"/>
      <c r="H7" s="64"/>
      <c r="I7" s="64"/>
      <c r="J7" s="64"/>
      <c r="K7" s="64"/>
      <c r="L7" s="64"/>
      <c r="M7" s="64"/>
      <c r="N7" s="64"/>
      <c r="O7" s="64"/>
      <c r="P7" s="64"/>
      <c r="Q7" s="64"/>
      <c r="R7" s="64"/>
      <c r="S7" s="64"/>
      <c r="T7" s="64"/>
      <c r="U7" s="64"/>
      <c r="V7" s="64"/>
      <c r="W7" s="64"/>
      <c r="X7" s="64"/>
      <c r="Y7" s="64"/>
      <c r="Z7" s="64"/>
    </row>
    <row r="8" ht="12.75" customHeight="1">
      <c r="A8" s="112" t="s">
        <v>713</v>
      </c>
      <c r="B8" s="86" t="str">
        <f t="array" ref="B8">IFERROR(INDEX('Junior Faculty'!$J$2:$J$401,MATCH(1,INDEX(('Junior Faculty'!$K$2:$K$401=$B$1)*('Junior Faculty'!$N$2:$N$401=1),0),0)),"")</f>
        <v>Fatema Khan</v>
      </c>
      <c r="C8" s="86" t="str">
        <f t="array" ref="C8">IFERROR(INDEX('Junior Faculty'!$L$2:$L$401,MATCH(1,INDEX(('Junior Faculty'!$K$2:$K$401=$B$1)*('Junior Faculty'!$N$2:$N$401=1),0),0))&amp;"","")</f>
        <v>fatema.khan@ulab.edu.bd</v>
      </c>
      <c r="D8" s="86" t="str">
        <f t="array" ref="D8">IFERROR(INDEX('Junior Faculty'!$M$2:$M$401,MATCH(1,INDEX(('Junior Faculty'!$K$2:$K$401=$B$1)*('Junior Faculty'!$N$2:$N$401=1),0),0))&amp;"","")</f>
        <v>01781527079</v>
      </c>
      <c r="E8" s="64"/>
      <c r="F8" s="63"/>
      <c r="G8" s="63"/>
      <c r="H8" s="64"/>
      <c r="I8" s="64"/>
      <c r="J8" s="64"/>
      <c r="K8" s="64"/>
      <c r="L8" s="64"/>
      <c r="M8" s="64"/>
      <c r="N8" s="64"/>
      <c r="O8" s="64"/>
      <c r="P8" s="64"/>
      <c r="Q8" s="64"/>
      <c r="R8" s="64"/>
      <c r="S8" s="64"/>
      <c r="T8" s="64"/>
      <c r="U8" s="64"/>
      <c r="V8" s="64"/>
      <c r="W8" s="64"/>
      <c r="X8" s="64"/>
      <c r="Y8" s="64"/>
      <c r="Z8" s="64"/>
    </row>
    <row r="9" ht="12.75" customHeight="1">
      <c r="A9" s="119" t="s">
        <v>714</v>
      </c>
      <c r="B9" s="95" t="str">
        <f t="array" ref="B9">IFERROR(INDEX('Junior Faculty'!$J$2:$J$401,MATCH(1,INDEX(('Junior Faculty'!$K$2:$K$401=$B$1)*('Junior Faculty'!$N$2:$N$401=2),0),0)),"")</f>
        <v>Atanu Shuvam Roy</v>
      </c>
      <c r="C9" s="95" t="str">
        <f t="array" ref="C9">IFERROR(INDEX('Junior Faculty'!$L$2:$L$401,MATCH(1,INDEX(('Junior Faculty'!$K$2:$K$401=$B$1)*('Junior Faculty'!$N$2:$N$401=2),0),0))&amp;"","")</f>
        <v>atanu.shuvam@ulab.edu.bd</v>
      </c>
      <c r="D9" s="95" t="str">
        <f t="array" ref="D9">IFERROR(INDEX('Junior Faculty'!$M$2:$M$401,MATCH(1,INDEX(('Junior Faculty'!$K$2:$K$401=$B$1)*('Junior Faculty'!$N$2:$N$401=2),0),0))&amp;"","")</f>
        <v>01937545261</v>
      </c>
      <c r="E9" s="64"/>
      <c r="F9" s="63"/>
      <c r="G9" s="63"/>
      <c r="H9" s="64"/>
      <c r="I9" s="64"/>
      <c r="J9" s="64"/>
      <c r="K9" s="64"/>
      <c r="L9" s="64"/>
      <c r="M9" s="64"/>
      <c r="N9" s="64"/>
      <c r="O9" s="64"/>
      <c r="P9" s="64"/>
      <c r="Q9" s="64"/>
      <c r="R9" s="64"/>
      <c r="S9" s="64"/>
      <c r="T9" s="64"/>
      <c r="U9" s="64"/>
      <c r="V9" s="64"/>
      <c r="W9" s="64"/>
      <c r="X9" s="64"/>
      <c r="Y9" s="64"/>
      <c r="Z9" s="64"/>
    </row>
    <row r="10" ht="12.75" customHeight="1">
      <c r="A10" s="108"/>
      <c r="B10" s="64"/>
      <c r="C10" s="64"/>
      <c r="D10" s="64"/>
      <c r="E10" s="64"/>
      <c r="F10" s="63"/>
      <c r="G10" s="63"/>
      <c r="H10" s="64"/>
      <c r="I10" s="64"/>
      <c r="J10" s="64"/>
      <c r="K10" s="64"/>
      <c r="L10" s="64"/>
      <c r="M10" s="64"/>
      <c r="N10" s="64"/>
      <c r="O10" s="64"/>
      <c r="P10" s="64"/>
      <c r="Q10" s="64"/>
      <c r="R10" s="64"/>
      <c r="S10" s="64"/>
      <c r="T10" s="64"/>
      <c r="U10" s="64"/>
      <c r="V10" s="64"/>
      <c r="W10" s="64"/>
      <c r="X10" s="64"/>
      <c r="Y10" s="64"/>
      <c r="Z10" s="64"/>
    </row>
    <row r="11" ht="12.75" customHeight="1">
      <c r="A11" s="121" t="s">
        <v>727</v>
      </c>
      <c r="B11" s="86"/>
      <c r="C11" s="86"/>
      <c r="D11" s="86"/>
      <c r="E11" s="64"/>
      <c r="F11" s="63"/>
      <c r="G11" s="63"/>
      <c r="H11" s="64"/>
      <c r="I11" s="64"/>
      <c r="J11" s="64"/>
      <c r="K11" s="64"/>
      <c r="L11" s="64"/>
      <c r="M11" s="64"/>
      <c r="N11" s="64"/>
      <c r="O11" s="64"/>
      <c r="P11" s="64"/>
      <c r="Q11" s="64"/>
      <c r="R11" s="64"/>
      <c r="S11" s="64"/>
      <c r="T11" s="64"/>
      <c r="U11" s="64"/>
      <c r="V11" s="64"/>
      <c r="W11" s="64"/>
      <c r="X11" s="64"/>
      <c r="Y11" s="64"/>
      <c r="Z11" s="64"/>
    </row>
    <row r="12" ht="15.0" customHeight="1">
      <c r="A12" s="122" t="s">
        <v>174</v>
      </c>
      <c r="B12" s="122" t="s">
        <v>256</v>
      </c>
      <c r="C12" s="123" t="s">
        <v>257</v>
      </c>
      <c r="D12" s="124"/>
      <c r="E12" s="61" t="s">
        <v>258</v>
      </c>
      <c r="F12" s="60" t="s">
        <v>265</v>
      </c>
      <c r="G12" s="64"/>
      <c r="H12" s="64"/>
      <c r="I12" s="64"/>
      <c r="J12" s="64"/>
      <c r="K12" s="64"/>
      <c r="L12" s="64"/>
      <c r="M12" s="64"/>
      <c r="N12" s="64"/>
      <c r="O12" s="64"/>
      <c r="P12" s="64"/>
      <c r="Q12" s="64"/>
      <c r="R12" s="64"/>
      <c r="S12" s="64"/>
      <c r="T12" s="64"/>
      <c r="U12" s="64"/>
      <c r="V12" s="64"/>
      <c r="W12" s="64"/>
      <c r="X12" s="64"/>
      <c r="Y12" s="64"/>
      <c r="Z12" s="64"/>
    </row>
    <row r="13" ht="12.75" customHeight="1">
      <c r="A13" s="113">
        <f t="array" ref="A13">IFERROR(INDEX(Papers!$A$2:$A$201,MATCH(1,INDEX((Papers!$G$2:$G$201=$B$1)*(Papers!$I$2:$I$201=1),0),0)),"")</f>
        <v>33</v>
      </c>
      <c r="B13" s="113" t="str">
        <f t="array" ref="B13">IFERROR(INDEX(Papers!$C$2:$C$201,MATCH(1,INDEX((Papers!$G$2:$G$201=$B$1)*(Papers!$I$2:$I$201=1),0),0)),"")</f>
        <v>Performance Analysis of RIS-Assisted 6G Wireless Systems with Hybrid Architectures and Hardware Constraints</v>
      </c>
      <c r="C13" s="113" t="str">
        <f t="array" ref="C13">IFERROR(INDEX(Papers!$D$2:$D$201,MATCH(1,INDEX((Papers!$G$2:$G$201=$B$1)*(Papers!$I$2:$I$201=1),0),0)),"")</f>
        <v>Md Hossam-E-Haider (Military Institute of Science &amp; Technology); Md. Rafiul Islam  Talukder (Military Institute of Science &amp; Technology); Md. Mehedi Hasan Khan  Apurbo (Military Institute of Science &amp; Technology); Samia Rahman  (Military Institute of Science &amp; Technology )*; Nusrat Jahan Neela  Monika (Military Institute of Science &amp; Technology)</v>
      </c>
      <c r="D13" s="125"/>
      <c r="E13" s="86" t="str">
        <f t="array" ref="E13">IFERROR(INDEX(Papers!$E$2:$E$201,MATCH(1,INDEX((Papers!$G$2:$G$201=$B$1)*(Papers!$I$2:$I$201=1),0),0)),"")</f>
        <v>haider@eece.mist.ac.bd; rafiulriad44@gmail.com; apurpohossain472@gmail.com; rsamia5594@gmail.com; nusratnila204@gmail.com</v>
      </c>
      <c r="F13" s="67"/>
      <c r="G13" s="64"/>
      <c r="H13" s="64"/>
      <c r="I13" s="64"/>
      <c r="J13" s="64"/>
      <c r="K13" s="64"/>
      <c r="L13" s="64"/>
      <c r="M13" s="64"/>
      <c r="N13" s="64"/>
      <c r="O13" s="64"/>
      <c r="P13" s="64"/>
      <c r="Q13" s="64"/>
      <c r="R13" s="64"/>
      <c r="S13" s="64"/>
      <c r="T13" s="64"/>
      <c r="U13" s="64"/>
      <c r="V13" s="64"/>
      <c r="W13" s="64"/>
      <c r="X13" s="64"/>
      <c r="Y13" s="64"/>
      <c r="Z13" s="64"/>
    </row>
    <row r="14" ht="12.75" customHeight="1">
      <c r="A14" s="113">
        <f t="array" ref="A14">IFERROR(INDEX(Papers!$A$2:$A$201,MATCH(1,INDEX((Papers!$G$2:$G$201=$B$1)*(Papers!$I$2:$I$201=2),0),0)),"")</f>
        <v>116</v>
      </c>
      <c r="B14" s="113" t="str">
        <f t="array" ref="B14">IFERROR(INDEX(Papers!$C$2:$C$201,MATCH(1,INDEX((Papers!$G$2:$G$201=$B$1)*(Papers!$I$2:$I$201=2),0),0)),"")</f>
        <v>Novel Microstrip-fed Implantable Antenna Design Operating at 5.85 GHz for Medical Applications</v>
      </c>
      <c r="C14" s="113" t="str">
        <f t="array" ref="C14">IFERROR(INDEX(Papers!$D$2:$D$201,MATCH(1,INDEX((Papers!$G$2:$G$201=$B$1)*(Papers!$I$2:$I$201=2),0),0)),"")</f>
        <v>Dr. Mohammad  Khan (North South University)*; Sadman  Ishraq (North South University); MA Sheam (North South University);  Ayatullah Hasnat  Behesti (North South University)</v>
      </c>
      <c r="D14" s="125"/>
      <c r="E14" s="86" t="str">
        <f t="array" ref="E14">IFERROR(INDEX(Papers!$E$2:$E$201,MATCH(1,INDEX((Papers!$G$2:$G$201=$B$1)*(Papers!$I$2:$I$201=2),0),0)),"")</f>
        <v>monirkhan.qmul@gmail.com; sadman.ishraq@northsouth.edu; sheam1720@gmail.com; ayatullah.behesti@northsouth.edu</v>
      </c>
      <c r="F14" s="67"/>
      <c r="G14" s="64"/>
      <c r="H14" s="64"/>
      <c r="I14" s="64"/>
      <c r="J14" s="64"/>
      <c r="K14" s="64"/>
      <c r="L14" s="64"/>
      <c r="M14" s="64"/>
      <c r="N14" s="64"/>
      <c r="O14" s="64"/>
      <c r="P14" s="64"/>
      <c r="Q14" s="64"/>
      <c r="R14" s="64"/>
      <c r="S14" s="64"/>
      <c r="T14" s="64"/>
      <c r="U14" s="64"/>
      <c r="V14" s="64"/>
      <c r="W14" s="64"/>
      <c r="X14" s="64"/>
      <c r="Y14" s="64"/>
      <c r="Z14" s="64"/>
    </row>
    <row r="15" ht="12.75" customHeight="1">
      <c r="A15" s="113">
        <f t="array" ref="A15">IFERROR(INDEX(Papers!$A$2:$A$201,MATCH(1,INDEX((Papers!$G$2:$G$201=$B$1)*(Papers!$I$2:$I$201=3),0),0)),"")</f>
        <v>136</v>
      </c>
      <c r="B15" s="113" t="str">
        <f t="array" ref="B15">IFERROR(INDEX(Papers!$C$2:$C$201,MATCH(1,INDEX((Papers!$G$2:$G$201=$B$1)*(Papers!$I$2:$I$201=3),0),0)),"")</f>
        <v>An X-Band 2×2 MIMO Antenna Array with Enhanced Beamforming and Radiation Performance</v>
      </c>
      <c r="C15" s="113" t="str">
        <f t="array" ref="C15">IFERROR(INDEX(Papers!$D$2:$D$201,MATCH(1,INDEX((Papers!$G$2:$G$201=$B$1)*(Papers!$I$2:$I$201=3),0),0)),"")</f>
        <v>Sohanur  Sohag  (Uttara University )*; Anoy  Roy (Chittagong university of engineering and technology); Rahul  Barua (National University); Nea  Jaw Rakhine (University of Chittagong); Md. Rakib Uddin (Uttara University); Md. Ashraful  Haque (University of Liberal Arts Bangladesh )</v>
      </c>
      <c r="D15" s="125"/>
      <c r="E15" s="86" t="str">
        <f t="array" ref="E15">IFERROR(INDEX(Papers!$E$2:$E$201,MATCH(1,INDEX((Papers!$G$2:$G$201=$B$1)*(Papers!$I$2:$I$201=3),0),0)),"")</f>
        <v>sohanur.rs1@uttarauniversity.edu.bd; anoyroy.eee@gmail.com; rahulbarua349@gmail.com; neajawrakhine@gmail.com; rakibuddin2202@gmail.com; limon.ashraf@gmail.com</v>
      </c>
      <c r="F15" s="67"/>
      <c r="G15" s="64"/>
      <c r="H15" s="64"/>
      <c r="I15" s="64"/>
      <c r="J15" s="64"/>
      <c r="K15" s="64"/>
      <c r="L15" s="64"/>
      <c r="M15" s="64"/>
      <c r="N15" s="64"/>
      <c r="O15" s="64"/>
      <c r="P15" s="64"/>
      <c r="Q15" s="64"/>
      <c r="R15" s="64"/>
      <c r="S15" s="64"/>
      <c r="T15" s="64"/>
      <c r="U15" s="64"/>
      <c r="V15" s="64"/>
      <c r="W15" s="64"/>
      <c r="X15" s="64"/>
      <c r="Y15" s="64"/>
      <c r="Z15" s="64"/>
    </row>
    <row r="16" ht="12.75" customHeight="1">
      <c r="A16" s="113" t="str">
        <f t="array" ref="A16">IFERROR(INDEX(Papers!$A$2:$A$201,MATCH(1,INDEX((Papers!$G$2:$G$201=$B$1)*(Papers!$I$2:$I$201=4),0),0)),"")</f>
        <v/>
      </c>
      <c r="B16" s="113" t="str">
        <f t="array" ref="B16">IFERROR(INDEX(Papers!$C$2:$C$201,MATCH(1,INDEX((Papers!$G$2:$G$201=$B$1)*(Papers!$I$2:$I$201=4),0),0)),"")</f>
        <v/>
      </c>
      <c r="C16" s="113" t="str">
        <f t="array" ref="C16">IFERROR(INDEX(Papers!$D$2:$D$201,MATCH(1,INDEX((Papers!$G$2:$G$201=$B$1)*(Papers!$I$2:$I$201=4),0),0)),"")</f>
        <v/>
      </c>
      <c r="D16" s="125"/>
      <c r="E16" s="86" t="str">
        <f t="array" ref="E16">IFERROR(INDEX(Papers!$E$2:$E$201,MATCH(1,INDEX((Papers!$G$2:$G$201=$B$1)*(Papers!$I$2:$I$201=4),0),0)),"")</f>
        <v/>
      </c>
      <c r="F16" s="67"/>
      <c r="G16" s="64"/>
      <c r="H16" s="64"/>
      <c r="I16" s="64"/>
      <c r="J16" s="64"/>
      <c r="K16" s="64"/>
      <c r="L16" s="64"/>
      <c r="M16" s="64"/>
      <c r="N16" s="64"/>
      <c r="O16" s="64"/>
      <c r="P16" s="64"/>
      <c r="Q16" s="64"/>
      <c r="R16" s="64"/>
      <c r="S16" s="64"/>
      <c r="T16" s="64"/>
      <c r="U16" s="64"/>
      <c r="V16" s="64"/>
      <c r="W16" s="64"/>
      <c r="X16" s="64"/>
      <c r="Y16" s="64"/>
      <c r="Z16" s="64"/>
    </row>
    <row r="17" ht="12.75" customHeight="1">
      <c r="A17" s="113" t="str">
        <f t="array" ref="A17">IFERROR(INDEX(Papers!$A$2:$A$201,MATCH(1,INDEX((Papers!$G$2:$G$201=$B$1)*(Papers!$I$2:$I$201=5),0),0)),"")</f>
        <v/>
      </c>
      <c r="B17" s="113" t="str">
        <f t="array" ref="B17">IFERROR(INDEX(Papers!$C$2:$C$201,MATCH(1,INDEX((Papers!$G$2:$G$201=$B$1)*(Papers!$I$2:$I$201=5),0),0)),"")</f>
        <v/>
      </c>
      <c r="C17" s="113" t="str">
        <f t="array" ref="C17">IFERROR(INDEX(Papers!$D$2:$D$201,MATCH(1,INDEX((Papers!$G$2:$G$201=$B$1)*(Papers!$I$2:$I$201=5),0),0)),"")</f>
        <v/>
      </c>
      <c r="D17" s="125"/>
      <c r="E17" s="86" t="str">
        <f t="array" ref="E17">IFERROR(INDEX(Papers!$E$2:$E$201,MATCH(1,INDEX((Papers!$G$2:$G$201=$B$1)*(Papers!$I$2:$I$201=5),0),0)),"")</f>
        <v/>
      </c>
      <c r="F17" s="67"/>
      <c r="G17" s="64"/>
      <c r="H17" s="64"/>
      <c r="I17" s="64"/>
      <c r="J17" s="64"/>
      <c r="K17" s="64"/>
      <c r="L17" s="64"/>
      <c r="M17" s="64"/>
      <c r="N17" s="64"/>
      <c r="O17" s="64"/>
      <c r="P17" s="64"/>
      <c r="Q17" s="64"/>
      <c r="R17" s="64"/>
      <c r="S17" s="64"/>
      <c r="T17" s="64"/>
      <c r="U17" s="64"/>
      <c r="V17" s="64"/>
      <c r="W17" s="64"/>
      <c r="X17" s="64"/>
      <c r="Y17" s="64"/>
      <c r="Z17" s="64"/>
    </row>
    <row r="18" ht="12.75" customHeight="1">
      <c r="A18" s="113" t="str">
        <f t="array" ref="A18">IFERROR(INDEX(Papers!$A$2:$A$201,MATCH(1,INDEX((Papers!$G$2:$G$201=$B$1)*(Papers!$I$2:$I$201=6),0),0)),"")</f>
        <v/>
      </c>
      <c r="B18" s="113" t="str">
        <f t="array" ref="B18">IFERROR(INDEX(Papers!$C$2:$C$201,MATCH(1,INDEX((Papers!$G$2:$G$201=$B$1)*(Papers!$I$2:$I$201=6),0),0)),"")</f>
        <v/>
      </c>
      <c r="C18" s="113" t="str">
        <f t="array" ref="C18">IFERROR(INDEX(Papers!$D$2:$D$201,MATCH(1,INDEX((Papers!$G$2:$G$201=$B$1)*(Papers!$I$2:$I$201=6),0),0)),"")</f>
        <v/>
      </c>
      <c r="D18" s="125"/>
      <c r="E18" s="86" t="str">
        <f t="array" ref="E18">IFERROR(INDEX(Papers!$E$2:$E$201,MATCH(1,INDEX((Papers!$G$2:$G$201=$B$1)*(Papers!$I$2:$I$201=6),0),0)),"")</f>
        <v/>
      </c>
      <c r="F18" s="67"/>
      <c r="G18" s="64"/>
      <c r="H18" s="64"/>
      <c r="I18" s="64"/>
      <c r="J18" s="64"/>
      <c r="K18" s="64"/>
      <c r="L18" s="64"/>
      <c r="M18" s="64"/>
      <c r="N18" s="64"/>
      <c r="O18" s="64"/>
      <c r="P18" s="64"/>
      <c r="Q18" s="64"/>
      <c r="R18" s="64"/>
      <c r="S18" s="64"/>
      <c r="T18" s="64"/>
      <c r="U18" s="64"/>
      <c r="V18" s="64"/>
      <c r="W18" s="64"/>
      <c r="X18" s="64"/>
      <c r="Y18" s="64"/>
      <c r="Z18" s="64"/>
    </row>
    <row r="19" ht="12.75" customHeight="1">
      <c r="A19" s="113" t="str">
        <f t="array" ref="A19">IFERROR(INDEX(Papers!$A$2:$A$201,MATCH(1,INDEX((Papers!$G$2:$G$201=$B$1)*(Papers!$I$2:$I$201=7),0),0)),"")</f>
        <v/>
      </c>
      <c r="B19" s="113" t="str">
        <f t="array" ref="B19">IFERROR(INDEX(Papers!$C$2:$C$201,MATCH(1,INDEX((Papers!$G$2:$G$201=$B$1)*(Papers!$I$2:$I$201=7),0),0)),"")</f>
        <v/>
      </c>
      <c r="C19" s="113" t="str">
        <f t="array" ref="C19">IFERROR(INDEX(Papers!$D$2:$D$201,MATCH(1,INDEX((Papers!$G$2:$G$201=$B$1)*(Papers!$I$2:$I$201=7),0),0)),"")</f>
        <v/>
      </c>
      <c r="D19" s="125"/>
      <c r="E19" s="86" t="str">
        <f t="array" ref="E19">IFERROR(INDEX(Papers!$E$2:$E$201,MATCH(1,INDEX((Papers!$G$2:$G$201=$B$1)*(Papers!$I$2:$I$201=7),0),0)),"")</f>
        <v/>
      </c>
      <c r="F19" s="67"/>
      <c r="G19" s="64"/>
      <c r="H19" s="64"/>
      <c r="I19" s="64"/>
      <c r="J19" s="64"/>
      <c r="K19" s="64"/>
      <c r="L19" s="64"/>
      <c r="M19" s="64"/>
      <c r="N19" s="64"/>
      <c r="O19" s="64"/>
      <c r="P19" s="64"/>
      <c r="Q19" s="64"/>
      <c r="R19" s="64"/>
      <c r="S19" s="64"/>
      <c r="T19" s="64"/>
      <c r="U19" s="64"/>
      <c r="V19" s="64"/>
      <c r="W19" s="64"/>
      <c r="X19" s="64"/>
      <c r="Y19" s="64"/>
      <c r="Z19" s="64"/>
    </row>
    <row r="20" ht="12.75" customHeight="1">
      <c r="A20" s="113" t="str">
        <f t="array" ref="A20">IFERROR(INDEX(Papers!$A$2:$A$201,MATCH(1,INDEX((Papers!$G$2:$G$201=$B$1)*(Papers!$I$2:$I$201=8),0),0)),"")</f>
        <v/>
      </c>
      <c r="B20" s="113" t="str">
        <f t="array" ref="B20">IFERROR(INDEX(Papers!$C$2:$C$201,MATCH(1,INDEX((Papers!$G$2:$G$201=$B$1)*(Papers!$I$2:$I$201=8),0),0)),"")</f>
        <v/>
      </c>
      <c r="C20" s="113" t="str">
        <f t="array" ref="C20">IFERROR(INDEX(Papers!$D$2:$D$201,MATCH(1,INDEX((Papers!$G$2:$G$201=$B$1)*(Papers!$I$2:$I$201=8),0),0)),"")</f>
        <v/>
      </c>
      <c r="D20" s="125"/>
      <c r="E20" s="86" t="str">
        <f t="array" ref="E20">IFERROR(INDEX(Papers!$E$2:$E$201,MATCH(1,INDEX((Papers!$G$2:$G$201=$B$1)*(Papers!$I$2:$I$201=8),0),0)),"")</f>
        <v/>
      </c>
      <c r="F20" s="67"/>
      <c r="G20" s="64"/>
      <c r="H20" s="64"/>
      <c r="I20" s="64"/>
      <c r="J20" s="64"/>
      <c r="K20" s="64"/>
      <c r="L20" s="64"/>
      <c r="M20" s="64"/>
      <c r="N20" s="64"/>
      <c r="O20" s="64"/>
      <c r="P20" s="64"/>
      <c r="Q20" s="64"/>
      <c r="R20" s="64"/>
      <c r="S20" s="64"/>
      <c r="T20" s="64"/>
      <c r="U20" s="64"/>
      <c r="V20" s="64"/>
      <c r="W20" s="64"/>
      <c r="X20" s="64"/>
      <c r="Y20" s="64"/>
      <c r="Z20" s="64"/>
    </row>
    <row r="21" ht="12.75" customHeight="1">
      <c r="A21" s="108"/>
      <c r="B21" s="64"/>
      <c r="C21" s="64"/>
      <c r="E21" s="64"/>
      <c r="F21" s="63"/>
      <c r="G21" s="64"/>
      <c r="H21" s="64"/>
      <c r="I21" s="64"/>
      <c r="J21" s="64"/>
      <c r="K21" s="64"/>
      <c r="L21" s="64"/>
      <c r="M21" s="64"/>
      <c r="N21" s="64"/>
      <c r="O21" s="64"/>
      <c r="P21" s="64"/>
      <c r="Q21" s="64"/>
      <c r="R21" s="64"/>
      <c r="S21" s="64"/>
      <c r="T21" s="64"/>
      <c r="U21" s="64"/>
      <c r="V21" s="64"/>
      <c r="W21" s="64"/>
      <c r="X21" s="64"/>
      <c r="Y21" s="64"/>
      <c r="Z21" s="64"/>
    </row>
    <row r="22" ht="12.75" customHeight="1">
      <c r="A22" s="108"/>
      <c r="B22" s="64"/>
      <c r="C22" s="64"/>
      <c r="D22" s="64"/>
      <c r="E22" s="64"/>
      <c r="F22" s="63"/>
      <c r="G22" s="63"/>
      <c r="H22" s="64"/>
      <c r="I22" s="64"/>
      <c r="J22" s="64"/>
      <c r="K22" s="64"/>
      <c r="L22" s="64"/>
      <c r="M22" s="64"/>
      <c r="N22" s="64"/>
      <c r="O22" s="64"/>
      <c r="P22" s="64"/>
      <c r="Q22" s="64"/>
      <c r="R22" s="64"/>
      <c r="S22" s="64"/>
      <c r="T22" s="64"/>
      <c r="U22" s="64"/>
      <c r="V22" s="64"/>
      <c r="W22" s="64"/>
      <c r="X22" s="64"/>
      <c r="Y22" s="64"/>
      <c r="Z22" s="64"/>
    </row>
    <row r="23" ht="12.75" customHeight="1">
      <c r="A23" s="108"/>
      <c r="B23" s="64"/>
      <c r="C23" s="64"/>
      <c r="D23" s="64"/>
      <c r="E23" s="64"/>
      <c r="F23" s="63"/>
      <c r="G23" s="63"/>
      <c r="H23" s="64"/>
      <c r="I23" s="64"/>
      <c r="J23" s="64"/>
      <c r="K23" s="64"/>
      <c r="L23" s="64"/>
      <c r="M23" s="64"/>
      <c r="N23" s="64"/>
      <c r="O23" s="64"/>
      <c r="P23" s="64"/>
      <c r="Q23" s="64"/>
      <c r="R23" s="64"/>
      <c r="S23" s="64"/>
      <c r="T23" s="64"/>
      <c r="U23" s="64"/>
      <c r="V23" s="64"/>
      <c r="W23" s="64"/>
      <c r="X23" s="64"/>
      <c r="Y23" s="64"/>
      <c r="Z23" s="64"/>
    </row>
    <row r="24" ht="12.75" customHeight="1">
      <c r="A24" s="108"/>
      <c r="B24" s="64"/>
      <c r="C24" s="64"/>
      <c r="D24" s="64"/>
      <c r="E24" s="64"/>
      <c r="F24" s="63"/>
      <c r="G24" s="63"/>
      <c r="H24" s="64"/>
      <c r="I24" s="64"/>
      <c r="J24" s="64"/>
      <c r="K24" s="64"/>
      <c r="L24" s="64"/>
      <c r="M24" s="64"/>
      <c r="N24" s="64"/>
      <c r="O24" s="64"/>
      <c r="P24" s="64"/>
      <c r="Q24" s="64"/>
      <c r="R24" s="64"/>
      <c r="S24" s="64"/>
      <c r="T24" s="64"/>
      <c r="U24" s="64"/>
      <c r="V24" s="64"/>
      <c r="W24" s="64"/>
      <c r="X24" s="64"/>
      <c r="Y24" s="64"/>
      <c r="Z24" s="64"/>
    </row>
    <row r="25" ht="12.75" customHeight="1">
      <c r="A25" s="108"/>
      <c r="B25" s="64"/>
      <c r="C25" s="64"/>
      <c r="D25" s="64"/>
      <c r="E25" s="64"/>
      <c r="F25" s="63"/>
      <c r="G25" s="63"/>
      <c r="H25" s="64"/>
      <c r="I25" s="64"/>
      <c r="J25" s="64"/>
      <c r="K25" s="64"/>
      <c r="L25" s="64"/>
      <c r="M25" s="64"/>
      <c r="N25" s="64"/>
      <c r="O25" s="64"/>
      <c r="P25" s="64"/>
      <c r="Q25" s="64"/>
      <c r="R25" s="64"/>
      <c r="S25" s="64"/>
      <c r="T25" s="64"/>
      <c r="U25" s="64"/>
      <c r="V25" s="64"/>
      <c r="W25" s="64"/>
      <c r="X25" s="64"/>
      <c r="Y25" s="64"/>
      <c r="Z25" s="64"/>
    </row>
    <row r="26" ht="12.75" customHeight="1">
      <c r="A26" s="108"/>
      <c r="B26" s="64"/>
      <c r="C26" s="64"/>
      <c r="D26" s="64"/>
      <c r="E26" s="64"/>
      <c r="F26" s="63"/>
      <c r="G26" s="63"/>
      <c r="H26" s="64"/>
      <c r="I26" s="64"/>
      <c r="J26" s="64"/>
      <c r="K26" s="64"/>
      <c r="L26" s="64"/>
      <c r="M26" s="64"/>
      <c r="N26" s="64"/>
      <c r="O26" s="64"/>
      <c r="P26" s="64"/>
      <c r="Q26" s="64"/>
      <c r="R26" s="64"/>
      <c r="S26" s="64"/>
      <c r="T26" s="64"/>
      <c r="U26" s="64"/>
      <c r="V26" s="64"/>
      <c r="W26" s="64"/>
      <c r="X26" s="64"/>
      <c r="Y26" s="64"/>
      <c r="Z26" s="64"/>
    </row>
    <row r="27" ht="12.75" customHeight="1">
      <c r="A27" s="108"/>
      <c r="B27" s="64"/>
      <c r="C27" s="64"/>
      <c r="D27" s="64"/>
      <c r="E27" s="64"/>
      <c r="F27" s="63"/>
      <c r="G27" s="63"/>
      <c r="H27" s="64"/>
      <c r="I27" s="64"/>
      <c r="J27" s="64"/>
      <c r="K27" s="64"/>
      <c r="L27" s="64"/>
      <c r="M27" s="64"/>
      <c r="N27" s="64"/>
      <c r="O27" s="64"/>
      <c r="P27" s="64"/>
      <c r="Q27" s="64"/>
      <c r="R27" s="64"/>
      <c r="S27" s="64"/>
      <c r="T27" s="64"/>
      <c r="U27" s="64"/>
      <c r="V27" s="64"/>
      <c r="W27" s="64"/>
      <c r="X27" s="64"/>
      <c r="Y27" s="64"/>
      <c r="Z27" s="64"/>
    </row>
    <row r="28" ht="12.75" customHeight="1">
      <c r="A28" s="108"/>
      <c r="B28" s="64"/>
      <c r="C28" s="64"/>
      <c r="D28" s="64"/>
      <c r="E28" s="64"/>
      <c r="F28" s="63"/>
      <c r="G28" s="63"/>
      <c r="H28" s="64"/>
      <c r="I28" s="64"/>
      <c r="J28" s="64"/>
      <c r="K28" s="64"/>
      <c r="L28" s="64"/>
      <c r="M28" s="64"/>
      <c r="N28" s="64"/>
      <c r="O28" s="64"/>
      <c r="P28" s="64"/>
      <c r="Q28" s="64"/>
      <c r="R28" s="64"/>
      <c r="S28" s="64"/>
      <c r="T28" s="64"/>
      <c r="U28" s="64"/>
      <c r="V28" s="64"/>
      <c r="W28" s="64"/>
      <c r="X28" s="64"/>
      <c r="Y28" s="64"/>
      <c r="Z28" s="64"/>
    </row>
    <row r="29" ht="12.75" customHeight="1">
      <c r="A29" s="108"/>
      <c r="B29" s="64"/>
      <c r="C29" s="64"/>
      <c r="D29" s="64"/>
      <c r="E29" s="64"/>
      <c r="F29" s="63"/>
      <c r="G29" s="63"/>
      <c r="H29" s="64"/>
      <c r="I29" s="64"/>
      <c r="J29" s="64"/>
      <c r="K29" s="64"/>
      <c r="L29" s="64"/>
      <c r="M29" s="64"/>
      <c r="N29" s="64"/>
      <c r="O29" s="64"/>
      <c r="P29" s="64"/>
      <c r="Q29" s="64"/>
      <c r="R29" s="64"/>
      <c r="S29" s="64"/>
      <c r="T29" s="64"/>
      <c r="U29" s="64"/>
      <c r="V29" s="64"/>
      <c r="W29" s="64"/>
      <c r="X29" s="64"/>
      <c r="Y29" s="64"/>
      <c r="Z29" s="64"/>
    </row>
    <row r="30" ht="12.75" customHeight="1">
      <c r="A30" s="108"/>
      <c r="B30" s="64"/>
      <c r="C30" s="64"/>
      <c r="D30" s="64"/>
      <c r="E30" s="64"/>
      <c r="F30" s="63"/>
      <c r="G30" s="63"/>
      <c r="H30" s="64"/>
      <c r="I30" s="64"/>
      <c r="J30" s="64"/>
      <c r="K30" s="64"/>
      <c r="L30" s="64"/>
      <c r="M30" s="64"/>
      <c r="N30" s="64"/>
      <c r="O30" s="64"/>
      <c r="P30" s="64"/>
      <c r="Q30" s="64"/>
      <c r="R30" s="64"/>
      <c r="S30" s="64"/>
      <c r="T30" s="64"/>
      <c r="U30" s="64"/>
      <c r="V30" s="64"/>
      <c r="W30" s="64"/>
      <c r="X30" s="64"/>
      <c r="Y30" s="64"/>
      <c r="Z30" s="64"/>
    </row>
    <row r="31" ht="12.75" customHeight="1">
      <c r="A31" s="108"/>
      <c r="B31" s="64"/>
      <c r="C31" s="64"/>
      <c r="D31" s="64"/>
      <c r="E31" s="64"/>
      <c r="F31" s="63"/>
      <c r="G31" s="63"/>
      <c r="H31" s="64"/>
      <c r="I31" s="64"/>
      <c r="J31" s="64"/>
      <c r="K31" s="64"/>
      <c r="L31" s="64"/>
      <c r="M31" s="64"/>
      <c r="N31" s="64"/>
      <c r="O31" s="64"/>
      <c r="P31" s="64"/>
      <c r="Q31" s="64"/>
      <c r="R31" s="64"/>
      <c r="S31" s="64"/>
      <c r="T31" s="64"/>
      <c r="U31" s="64"/>
      <c r="V31" s="64"/>
      <c r="W31" s="64"/>
      <c r="X31" s="64"/>
      <c r="Y31" s="64"/>
      <c r="Z31" s="64"/>
    </row>
    <row r="32" ht="12.75" customHeight="1">
      <c r="A32" s="108"/>
      <c r="B32" s="64"/>
      <c r="C32" s="64"/>
      <c r="D32" s="64"/>
      <c r="E32" s="64"/>
      <c r="F32" s="63"/>
      <c r="G32" s="63"/>
      <c r="H32" s="64"/>
      <c r="I32" s="64"/>
      <c r="J32" s="64"/>
      <c r="K32" s="64"/>
      <c r="L32" s="64"/>
      <c r="M32" s="64"/>
      <c r="N32" s="64"/>
      <c r="O32" s="64"/>
      <c r="P32" s="64"/>
      <c r="Q32" s="64"/>
      <c r="R32" s="64"/>
      <c r="S32" s="64"/>
      <c r="T32" s="64"/>
      <c r="U32" s="64"/>
      <c r="V32" s="64"/>
      <c r="W32" s="64"/>
      <c r="X32" s="64"/>
      <c r="Y32" s="64"/>
      <c r="Z32" s="64"/>
    </row>
    <row r="33" ht="12.75" customHeight="1">
      <c r="A33" s="108"/>
      <c r="B33" s="64"/>
      <c r="C33" s="64"/>
      <c r="D33" s="64"/>
      <c r="E33" s="64"/>
      <c r="F33" s="63"/>
      <c r="G33" s="63"/>
      <c r="H33" s="64"/>
      <c r="I33" s="64"/>
      <c r="J33" s="64"/>
      <c r="K33" s="64"/>
      <c r="L33" s="64"/>
      <c r="M33" s="64"/>
      <c r="N33" s="64"/>
      <c r="O33" s="64"/>
      <c r="P33" s="64"/>
      <c r="Q33" s="64"/>
      <c r="R33" s="64"/>
      <c r="S33" s="64"/>
      <c r="T33" s="64"/>
      <c r="U33" s="64"/>
      <c r="V33" s="64"/>
      <c r="W33" s="64"/>
      <c r="X33" s="64"/>
      <c r="Y33" s="64"/>
      <c r="Z33" s="64"/>
    </row>
    <row r="34" ht="12.75" customHeight="1">
      <c r="A34" s="108"/>
      <c r="B34" s="64"/>
      <c r="C34" s="64"/>
      <c r="D34" s="64"/>
      <c r="E34" s="64"/>
      <c r="F34" s="63"/>
      <c r="G34" s="63"/>
      <c r="H34" s="64"/>
      <c r="I34" s="64"/>
      <c r="J34" s="64"/>
      <c r="K34" s="64"/>
      <c r="L34" s="64"/>
      <c r="M34" s="64"/>
      <c r="N34" s="64"/>
      <c r="O34" s="64"/>
      <c r="P34" s="64"/>
      <c r="Q34" s="64"/>
      <c r="R34" s="64"/>
      <c r="S34" s="64"/>
      <c r="T34" s="64"/>
      <c r="U34" s="64"/>
      <c r="V34" s="64"/>
      <c r="W34" s="64"/>
      <c r="X34" s="64"/>
      <c r="Y34" s="64"/>
      <c r="Z34" s="64"/>
    </row>
    <row r="35" ht="12.75" customHeight="1">
      <c r="A35" s="108"/>
      <c r="B35" s="64"/>
      <c r="C35" s="64"/>
      <c r="D35" s="64"/>
      <c r="E35" s="64"/>
      <c r="F35" s="63"/>
      <c r="G35" s="63"/>
      <c r="H35" s="64"/>
      <c r="I35" s="64"/>
      <c r="J35" s="64"/>
      <c r="K35" s="64"/>
      <c r="L35" s="64"/>
      <c r="M35" s="64"/>
      <c r="N35" s="64"/>
      <c r="O35" s="64"/>
      <c r="P35" s="64"/>
      <c r="Q35" s="64"/>
      <c r="R35" s="64"/>
      <c r="S35" s="64"/>
      <c r="T35" s="64"/>
      <c r="U35" s="64"/>
      <c r="V35" s="64"/>
      <c r="W35" s="64"/>
      <c r="X35" s="64"/>
      <c r="Y35" s="64"/>
      <c r="Z35" s="64"/>
    </row>
    <row r="36" ht="12.75" customHeight="1">
      <c r="A36" s="108"/>
      <c r="B36" s="64"/>
      <c r="C36" s="64"/>
      <c r="D36" s="64"/>
      <c r="E36" s="64"/>
      <c r="F36" s="63"/>
      <c r="G36" s="63"/>
      <c r="H36" s="64"/>
      <c r="I36" s="64"/>
      <c r="J36" s="64"/>
      <c r="K36" s="64"/>
      <c r="L36" s="64"/>
      <c r="M36" s="64"/>
      <c r="N36" s="64"/>
      <c r="O36" s="64"/>
      <c r="P36" s="64"/>
      <c r="Q36" s="64"/>
      <c r="R36" s="64"/>
      <c r="S36" s="64"/>
      <c r="T36" s="64"/>
      <c r="U36" s="64"/>
      <c r="V36" s="64"/>
      <c r="W36" s="64"/>
      <c r="X36" s="64"/>
      <c r="Y36" s="64"/>
      <c r="Z36" s="64"/>
    </row>
    <row r="37" ht="12.75" customHeight="1">
      <c r="A37" s="108"/>
      <c r="B37" s="64"/>
      <c r="C37" s="64"/>
      <c r="D37" s="64"/>
      <c r="E37" s="64"/>
      <c r="F37" s="63"/>
      <c r="G37" s="63"/>
      <c r="H37" s="64"/>
      <c r="I37" s="64"/>
      <c r="J37" s="64"/>
      <c r="K37" s="64"/>
      <c r="L37" s="64"/>
      <c r="M37" s="64"/>
      <c r="N37" s="64"/>
      <c r="O37" s="64"/>
      <c r="P37" s="64"/>
      <c r="Q37" s="64"/>
      <c r="R37" s="64"/>
      <c r="S37" s="64"/>
      <c r="T37" s="64"/>
      <c r="U37" s="64"/>
      <c r="V37" s="64"/>
      <c r="W37" s="64"/>
      <c r="X37" s="64"/>
      <c r="Y37" s="64"/>
      <c r="Z37" s="64"/>
    </row>
    <row r="38" ht="12.75" customHeight="1">
      <c r="A38" s="108"/>
      <c r="B38" s="64"/>
      <c r="C38" s="64"/>
      <c r="D38" s="64"/>
      <c r="E38" s="64"/>
      <c r="F38" s="63"/>
      <c r="G38" s="63"/>
      <c r="H38" s="64"/>
      <c r="I38" s="64"/>
      <c r="J38" s="64"/>
      <c r="K38" s="64"/>
      <c r="L38" s="64"/>
      <c r="M38" s="64"/>
      <c r="N38" s="64"/>
      <c r="O38" s="64"/>
      <c r="P38" s="64"/>
      <c r="Q38" s="64"/>
      <c r="R38" s="64"/>
      <c r="S38" s="64"/>
      <c r="T38" s="64"/>
      <c r="U38" s="64"/>
      <c r="V38" s="64"/>
      <c r="W38" s="64"/>
      <c r="X38" s="64"/>
      <c r="Y38" s="64"/>
      <c r="Z38" s="64"/>
    </row>
    <row r="39" ht="12.75" customHeight="1">
      <c r="A39" s="108"/>
      <c r="B39" s="64"/>
      <c r="C39" s="64"/>
      <c r="D39" s="64"/>
      <c r="E39" s="64"/>
      <c r="F39" s="63"/>
      <c r="G39" s="63"/>
      <c r="H39" s="64"/>
      <c r="I39" s="64"/>
      <c r="J39" s="64"/>
      <c r="K39" s="64"/>
      <c r="L39" s="64"/>
      <c r="M39" s="64"/>
      <c r="N39" s="64"/>
      <c r="O39" s="64"/>
      <c r="P39" s="64"/>
      <c r="Q39" s="64"/>
      <c r="R39" s="64"/>
      <c r="S39" s="64"/>
      <c r="T39" s="64"/>
      <c r="U39" s="64"/>
      <c r="V39" s="64"/>
      <c r="W39" s="64"/>
      <c r="X39" s="64"/>
      <c r="Y39" s="64"/>
      <c r="Z39" s="64"/>
    </row>
    <row r="40" ht="12.75" customHeight="1">
      <c r="A40" s="108"/>
      <c r="B40" s="64"/>
      <c r="C40" s="64"/>
      <c r="D40" s="64"/>
      <c r="E40" s="64"/>
      <c r="F40" s="63"/>
      <c r="G40" s="63"/>
      <c r="H40" s="64"/>
      <c r="I40" s="64"/>
      <c r="J40" s="64"/>
      <c r="K40" s="64"/>
      <c r="L40" s="64"/>
      <c r="M40" s="64"/>
      <c r="N40" s="64"/>
      <c r="O40" s="64"/>
      <c r="P40" s="64"/>
      <c r="Q40" s="64"/>
      <c r="R40" s="64"/>
      <c r="S40" s="64"/>
      <c r="T40" s="64"/>
      <c r="U40" s="64"/>
      <c r="V40" s="64"/>
      <c r="W40" s="64"/>
      <c r="X40" s="64"/>
      <c r="Y40" s="64"/>
      <c r="Z40" s="64"/>
    </row>
    <row r="41" ht="12.75" customHeight="1">
      <c r="A41" s="108"/>
      <c r="B41" s="64"/>
      <c r="C41" s="64"/>
      <c r="D41" s="64"/>
      <c r="E41" s="64"/>
      <c r="F41" s="63"/>
      <c r="G41" s="63"/>
      <c r="H41" s="64"/>
      <c r="I41" s="64"/>
      <c r="J41" s="64"/>
      <c r="K41" s="64"/>
      <c r="L41" s="64"/>
      <c r="M41" s="64"/>
      <c r="N41" s="64"/>
      <c r="O41" s="64"/>
      <c r="P41" s="64"/>
      <c r="Q41" s="64"/>
      <c r="R41" s="64"/>
      <c r="S41" s="64"/>
      <c r="T41" s="64"/>
      <c r="U41" s="64"/>
      <c r="V41" s="64"/>
      <c r="W41" s="64"/>
      <c r="X41" s="64"/>
      <c r="Y41" s="64"/>
      <c r="Z41" s="64"/>
    </row>
    <row r="42" ht="12.75" customHeight="1">
      <c r="A42" s="108"/>
      <c r="B42" s="64"/>
      <c r="C42" s="64"/>
      <c r="D42" s="64"/>
      <c r="E42" s="64"/>
      <c r="F42" s="63"/>
      <c r="G42" s="63"/>
      <c r="H42" s="64"/>
      <c r="I42" s="64"/>
      <c r="J42" s="64"/>
      <c r="K42" s="64"/>
      <c r="L42" s="64"/>
      <c r="M42" s="64"/>
      <c r="N42" s="64"/>
      <c r="O42" s="64"/>
      <c r="P42" s="64"/>
      <c r="Q42" s="64"/>
      <c r="R42" s="64"/>
      <c r="S42" s="64"/>
      <c r="T42" s="64"/>
      <c r="U42" s="64"/>
      <c r="V42" s="64"/>
      <c r="W42" s="64"/>
      <c r="X42" s="64"/>
      <c r="Y42" s="64"/>
      <c r="Z42" s="64"/>
    </row>
    <row r="43" ht="12.75" customHeight="1">
      <c r="A43" s="108"/>
      <c r="B43" s="64"/>
      <c r="C43" s="64"/>
      <c r="D43" s="64"/>
      <c r="E43" s="64"/>
      <c r="F43" s="63"/>
      <c r="G43" s="63"/>
      <c r="H43" s="64"/>
      <c r="I43" s="64"/>
      <c r="J43" s="64"/>
      <c r="K43" s="64"/>
      <c r="L43" s="64"/>
      <c r="M43" s="64"/>
      <c r="N43" s="64"/>
      <c r="O43" s="64"/>
      <c r="P43" s="64"/>
      <c r="Q43" s="64"/>
      <c r="R43" s="64"/>
      <c r="S43" s="64"/>
      <c r="T43" s="64"/>
      <c r="U43" s="64"/>
      <c r="V43" s="64"/>
      <c r="W43" s="64"/>
      <c r="X43" s="64"/>
      <c r="Y43" s="64"/>
      <c r="Z43" s="64"/>
    </row>
    <row r="44" ht="12.75" customHeight="1">
      <c r="A44" s="108"/>
      <c r="B44" s="64"/>
      <c r="C44" s="64"/>
      <c r="D44" s="64"/>
      <c r="E44" s="64"/>
      <c r="F44" s="63"/>
      <c r="G44" s="63"/>
      <c r="H44" s="64"/>
      <c r="I44" s="64"/>
      <c r="J44" s="64"/>
      <c r="K44" s="64"/>
      <c r="L44" s="64"/>
      <c r="M44" s="64"/>
      <c r="N44" s="64"/>
      <c r="O44" s="64"/>
      <c r="P44" s="64"/>
      <c r="Q44" s="64"/>
      <c r="R44" s="64"/>
      <c r="S44" s="64"/>
      <c r="T44" s="64"/>
      <c r="U44" s="64"/>
      <c r="V44" s="64"/>
      <c r="W44" s="64"/>
      <c r="X44" s="64"/>
      <c r="Y44" s="64"/>
      <c r="Z44" s="64"/>
    </row>
    <row r="45" ht="12.75" customHeight="1">
      <c r="A45" s="108"/>
      <c r="B45" s="64"/>
      <c r="C45" s="64"/>
      <c r="D45" s="64"/>
      <c r="E45" s="64"/>
      <c r="F45" s="63"/>
      <c r="G45" s="63"/>
      <c r="H45" s="64"/>
      <c r="I45" s="64"/>
      <c r="J45" s="64"/>
      <c r="K45" s="64"/>
      <c r="L45" s="64"/>
      <c r="M45" s="64"/>
      <c r="N45" s="64"/>
      <c r="O45" s="64"/>
      <c r="P45" s="64"/>
      <c r="Q45" s="64"/>
      <c r="R45" s="64"/>
      <c r="S45" s="64"/>
      <c r="T45" s="64"/>
      <c r="U45" s="64"/>
      <c r="V45" s="64"/>
      <c r="W45" s="64"/>
      <c r="X45" s="64"/>
      <c r="Y45" s="64"/>
      <c r="Z45" s="64"/>
    </row>
    <row r="46" ht="12.75" customHeight="1">
      <c r="A46" s="108"/>
      <c r="B46" s="64"/>
      <c r="C46" s="64"/>
      <c r="D46" s="64"/>
      <c r="E46" s="64"/>
      <c r="F46" s="63"/>
      <c r="G46" s="63"/>
      <c r="H46" s="64"/>
      <c r="I46" s="64"/>
      <c r="J46" s="64"/>
      <c r="K46" s="64"/>
      <c r="L46" s="64"/>
      <c r="M46" s="64"/>
      <c r="N46" s="64"/>
      <c r="O46" s="64"/>
      <c r="P46" s="64"/>
      <c r="Q46" s="64"/>
      <c r="R46" s="64"/>
      <c r="S46" s="64"/>
      <c r="T46" s="64"/>
      <c r="U46" s="64"/>
      <c r="V46" s="64"/>
      <c r="W46" s="64"/>
      <c r="X46" s="64"/>
      <c r="Y46" s="64"/>
      <c r="Z46" s="64"/>
    </row>
    <row r="47" ht="12.75" customHeight="1">
      <c r="A47" s="108"/>
      <c r="B47" s="64"/>
      <c r="C47" s="64"/>
      <c r="D47" s="64"/>
      <c r="E47" s="64"/>
      <c r="F47" s="63"/>
      <c r="G47" s="63"/>
      <c r="H47" s="64"/>
      <c r="I47" s="64"/>
      <c r="J47" s="64"/>
      <c r="K47" s="64"/>
      <c r="L47" s="64"/>
      <c r="M47" s="64"/>
      <c r="N47" s="64"/>
      <c r="O47" s="64"/>
      <c r="P47" s="64"/>
      <c r="Q47" s="64"/>
      <c r="R47" s="64"/>
      <c r="S47" s="64"/>
      <c r="T47" s="64"/>
      <c r="U47" s="64"/>
      <c r="V47" s="64"/>
      <c r="W47" s="64"/>
      <c r="X47" s="64"/>
      <c r="Y47" s="64"/>
      <c r="Z47" s="64"/>
    </row>
    <row r="48" ht="12.75" customHeight="1">
      <c r="A48" s="108"/>
      <c r="B48" s="64"/>
      <c r="C48" s="64"/>
      <c r="D48" s="64"/>
      <c r="E48" s="64"/>
      <c r="F48" s="63"/>
      <c r="G48" s="63"/>
      <c r="H48" s="64"/>
      <c r="I48" s="64"/>
      <c r="J48" s="64"/>
      <c r="K48" s="64"/>
      <c r="L48" s="64"/>
      <c r="M48" s="64"/>
      <c r="N48" s="64"/>
      <c r="O48" s="64"/>
      <c r="P48" s="64"/>
      <c r="Q48" s="64"/>
      <c r="R48" s="64"/>
      <c r="S48" s="64"/>
      <c r="T48" s="64"/>
      <c r="U48" s="64"/>
      <c r="V48" s="64"/>
      <c r="W48" s="64"/>
      <c r="X48" s="64"/>
      <c r="Y48" s="64"/>
      <c r="Z48" s="64"/>
    </row>
    <row r="49" ht="12.75" customHeight="1">
      <c r="A49" s="108"/>
      <c r="B49" s="64"/>
      <c r="C49" s="64"/>
      <c r="D49" s="64"/>
      <c r="E49" s="64"/>
      <c r="F49" s="63"/>
      <c r="G49" s="63"/>
      <c r="H49" s="64"/>
      <c r="I49" s="64"/>
      <c r="J49" s="64"/>
      <c r="K49" s="64"/>
      <c r="L49" s="64"/>
      <c r="M49" s="64"/>
      <c r="N49" s="64"/>
      <c r="O49" s="64"/>
      <c r="P49" s="64"/>
      <c r="Q49" s="64"/>
      <c r="R49" s="64"/>
      <c r="S49" s="64"/>
      <c r="T49" s="64"/>
      <c r="U49" s="64"/>
      <c r="V49" s="64"/>
      <c r="W49" s="64"/>
      <c r="X49" s="64"/>
      <c r="Y49" s="64"/>
      <c r="Z49" s="64"/>
    </row>
    <row r="50" ht="12.75" customHeight="1">
      <c r="A50" s="108"/>
      <c r="B50" s="64"/>
      <c r="C50" s="64"/>
      <c r="D50" s="64"/>
      <c r="E50" s="64"/>
      <c r="F50" s="63"/>
      <c r="G50" s="63"/>
      <c r="H50" s="64"/>
      <c r="I50" s="64"/>
      <c r="J50" s="64"/>
      <c r="K50" s="64"/>
      <c r="L50" s="64"/>
      <c r="M50" s="64"/>
      <c r="N50" s="64"/>
      <c r="O50" s="64"/>
      <c r="P50" s="64"/>
      <c r="Q50" s="64"/>
      <c r="R50" s="64"/>
      <c r="S50" s="64"/>
      <c r="T50" s="64"/>
      <c r="U50" s="64"/>
      <c r="V50" s="64"/>
      <c r="W50" s="64"/>
      <c r="X50" s="64"/>
      <c r="Y50" s="64"/>
      <c r="Z50" s="64"/>
    </row>
    <row r="51" ht="12.75" customHeight="1">
      <c r="A51" s="108"/>
      <c r="B51" s="64"/>
      <c r="C51" s="64"/>
      <c r="D51" s="64"/>
      <c r="E51" s="64"/>
      <c r="F51" s="63"/>
      <c r="G51" s="63"/>
      <c r="H51" s="64"/>
      <c r="I51" s="64"/>
      <c r="J51" s="64"/>
      <c r="K51" s="64"/>
      <c r="L51" s="64"/>
      <c r="M51" s="64"/>
      <c r="N51" s="64"/>
      <c r="O51" s="64"/>
      <c r="P51" s="64"/>
      <c r="Q51" s="64"/>
      <c r="R51" s="64"/>
      <c r="S51" s="64"/>
      <c r="T51" s="64"/>
      <c r="U51" s="64"/>
      <c r="V51" s="64"/>
      <c r="W51" s="64"/>
      <c r="X51" s="64"/>
      <c r="Y51" s="64"/>
      <c r="Z51" s="64"/>
    </row>
    <row r="52" ht="12.75" customHeight="1">
      <c r="A52" s="108"/>
      <c r="B52" s="64"/>
      <c r="C52" s="64"/>
      <c r="D52" s="64"/>
      <c r="E52" s="64"/>
      <c r="F52" s="63"/>
      <c r="G52" s="63"/>
      <c r="H52" s="64"/>
      <c r="I52" s="64"/>
      <c r="J52" s="64"/>
      <c r="K52" s="64"/>
      <c r="L52" s="64"/>
      <c r="M52" s="64"/>
      <c r="N52" s="64"/>
      <c r="O52" s="64"/>
      <c r="P52" s="64"/>
      <c r="Q52" s="64"/>
      <c r="R52" s="64"/>
      <c r="S52" s="64"/>
      <c r="T52" s="64"/>
      <c r="U52" s="64"/>
      <c r="V52" s="64"/>
      <c r="W52" s="64"/>
      <c r="X52" s="64"/>
      <c r="Y52" s="64"/>
      <c r="Z52" s="64"/>
    </row>
    <row r="53" ht="12.75" customHeight="1">
      <c r="A53" s="108"/>
      <c r="B53" s="64"/>
      <c r="C53" s="64"/>
      <c r="D53" s="64"/>
      <c r="E53" s="64"/>
      <c r="F53" s="63"/>
      <c r="G53" s="63"/>
      <c r="H53" s="64"/>
      <c r="I53" s="64"/>
      <c r="J53" s="64"/>
      <c r="K53" s="64"/>
      <c r="L53" s="64"/>
      <c r="M53" s="64"/>
      <c r="N53" s="64"/>
      <c r="O53" s="64"/>
      <c r="P53" s="64"/>
      <c r="Q53" s="64"/>
      <c r="R53" s="64"/>
      <c r="S53" s="64"/>
      <c r="T53" s="64"/>
      <c r="U53" s="64"/>
      <c r="V53" s="64"/>
      <c r="W53" s="64"/>
      <c r="X53" s="64"/>
      <c r="Y53" s="64"/>
      <c r="Z53" s="64"/>
    </row>
    <row r="54" ht="12.75" customHeight="1">
      <c r="A54" s="108"/>
      <c r="B54" s="64"/>
      <c r="C54" s="64"/>
      <c r="D54" s="64"/>
      <c r="E54" s="64"/>
      <c r="F54" s="63"/>
      <c r="G54" s="63"/>
      <c r="H54" s="64"/>
      <c r="I54" s="64"/>
      <c r="J54" s="64"/>
      <c r="K54" s="64"/>
      <c r="L54" s="64"/>
      <c r="M54" s="64"/>
      <c r="N54" s="64"/>
      <c r="O54" s="64"/>
      <c r="P54" s="64"/>
      <c r="Q54" s="64"/>
      <c r="R54" s="64"/>
      <c r="S54" s="64"/>
      <c r="T54" s="64"/>
      <c r="U54" s="64"/>
      <c r="V54" s="64"/>
      <c r="W54" s="64"/>
      <c r="X54" s="64"/>
      <c r="Y54" s="64"/>
      <c r="Z54" s="64"/>
    </row>
    <row r="55" ht="12.75" customHeight="1">
      <c r="A55" s="108"/>
      <c r="B55" s="64"/>
      <c r="C55" s="64"/>
      <c r="D55" s="64"/>
      <c r="E55" s="64"/>
      <c r="F55" s="63"/>
      <c r="G55" s="63"/>
      <c r="H55" s="64"/>
      <c r="I55" s="64"/>
      <c r="J55" s="64"/>
      <c r="K55" s="64"/>
      <c r="L55" s="64"/>
      <c r="M55" s="64"/>
      <c r="N55" s="64"/>
      <c r="O55" s="64"/>
      <c r="P55" s="64"/>
      <c r="Q55" s="64"/>
      <c r="R55" s="64"/>
      <c r="S55" s="64"/>
      <c r="T55" s="64"/>
      <c r="U55" s="64"/>
      <c r="V55" s="64"/>
      <c r="W55" s="64"/>
      <c r="X55" s="64"/>
      <c r="Y55" s="64"/>
      <c r="Z55" s="64"/>
    </row>
    <row r="56" ht="12.75" customHeight="1">
      <c r="A56" s="108"/>
      <c r="B56" s="64"/>
      <c r="C56" s="64"/>
      <c r="D56" s="64"/>
      <c r="E56" s="64"/>
      <c r="F56" s="63"/>
      <c r="G56" s="63"/>
      <c r="H56" s="64"/>
      <c r="I56" s="64"/>
      <c r="J56" s="64"/>
      <c r="K56" s="64"/>
      <c r="L56" s="64"/>
      <c r="M56" s="64"/>
      <c r="N56" s="64"/>
      <c r="O56" s="64"/>
      <c r="P56" s="64"/>
      <c r="Q56" s="64"/>
      <c r="R56" s="64"/>
      <c r="S56" s="64"/>
      <c r="T56" s="64"/>
      <c r="U56" s="64"/>
      <c r="V56" s="64"/>
      <c r="W56" s="64"/>
      <c r="X56" s="64"/>
      <c r="Y56" s="64"/>
      <c r="Z56" s="64"/>
    </row>
    <row r="57" ht="12.75" customHeight="1">
      <c r="A57" s="108"/>
      <c r="B57" s="64"/>
      <c r="C57" s="64"/>
      <c r="D57" s="64"/>
      <c r="E57" s="64"/>
      <c r="F57" s="63"/>
      <c r="G57" s="63"/>
      <c r="H57" s="64"/>
      <c r="I57" s="64"/>
      <c r="J57" s="64"/>
      <c r="K57" s="64"/>
      <c r="L57" s="64"/>
      <c r="M57" s="64"/>
      <c r="N57" s="64"/>
      <c r="O57" s="64"/>
      <c r="P57" s="64"/>
      <c r="Q57" s="64"/>
      <c r="R57" s="64"/>
      <c r="S57" s="64"/>
      <c r="T57" s="64"/>
      <c r="U57" s="64"/>
      <c r="V57" s="64"/>
      <c r="W57" s="64"/>
      <c r="X57" s="64"/>
      <c r="Y57" s="64"/>
      <c r="Z57" s="64"/>
    </row>
    <row r="58" ht="12.75" customHeight="1">
      <c r="A58" s="108"/>
      <c r="B58" s="64"/>
      <c r="C58" s="64"/>
      <c r="D58" s="64"/>
      <c r="E58" s="64"/>
      <c r="F58" s="63"/>
      <c r="G58" s="63"/>
      <c r="H58" s="64"/>
      <c r="I58" s="64"/>
      <c r="J58" s="64"/>
      <c r="K58" s="64"/>
      <c r="L58" s="64"/>
      <c r="M58" s="64"/>
      <c r="N58" s="64"/>
      <c r="O58" s="64"/>
      <c r="P58" s="64"/>
      <c r="Q58" s="64"/>
      <c r="R58" s="64"/>
      <c r="S58" s="64"/>
      <c r="T58" s="64"/>
      <c r="U58" s="64"/>
      <c r="V58" s="64"/>
      <c r="W58" s="64"/>
      <c r="X58" s="64"/>
      <c r="Y58" s="64"/>
      <c r="Z58" s="64"/>
    </row>
    <row r="59" ht="12.75" customHeight="1">
      <c r="A59" s="108"/>
      <c r="B59" s="64"/>
      <c r="C59" s="64"/>
      <c r="D59" s="64"/>
      <c r="E59" s="64"/>
      <c r="F59" s="63"/>
      <c r="G59" s="63"/>
      <c r="H59" s="64"/>
      <c r="I59" s="64"/>
      <c r="J59" s="64"/>
      <c r="K59" s="64"/>
      <c r="L59" s="64"/>
      <c r="M59" s="64"/>
      <c r="N59" s="64"/>
      <c r="O59" s="64"/>
      <c r="P59" s="64"/>
      <c r="Q59" s="64"/>
      <c r="R59" s="64"/>
      <c r="S59" s="64"/>
      <c r="T59" s="64"/>
      <c r="U59" s="64"/>
      <c r="V59" s="64"/>
      <c r="W59" s="64"/>
      <c r="X59" s="64"/>
      <c r="Y59" s="64"/>
      <c r="Z59" s="64"/>
    </row>
    <row r="60" ht="12.75" customHeight="1">
      <c r="A60" s="108"/>
      <c r="B60" s="64"/>
      <c r="C60" s="64"/>
      <c r="D60" s="64"/>
      <c r="E60" s="64"/>
      <c r="F60" s="63"/>
      <c r="G60" s="63"/>
      <c r="H60" s="64"/>
      <c r="I60" s="64"/>
      <c r="J60" s="64"/>
      <c r="K60" s="64"/>
      <c r="L60" s="64"/>
      <c r="M60" s="64"/>
      <c r="N60" s="64"/>
      <c r="O60" s="64"/>
      <c r="P60" s="64"/>
      <c r="Q60" s="64"/>
      <c r="R60" s="64"/>
      <c r="S60" s="64"/>
      <c r="T60" s="64"/>
      <c r="U60" s="64"/>
      <c r="V60" s="64"/>
      <c r="W60" s="64"/>
      <c r="X60" s="64"/>
      <c r="Y60" s="64"/>
      <c r="Z60" s="64"/>
    </row>
    <row r="61" ht="12.75" customHeight="1">
      <c r="A61" s="108"/>
      <c r="B61" s="64"/>
      <c r="C61" s="64"/>
      <c r="D61" s="64"/>
      <c r="E61" s="64"/>
      <c r="F61" s="63"/>
      <c r="G61" s="63"/>
      <c r="H61" s="64"/>
      <c r="I61" s="64"/>
      <c r="J61" s="64"/>
      <c r="K61" s="64"/>
      <c r="L61" s="64"/>
      <c r="M61" s="64"/>
      <c r="N61" s="64"/>
      <c r="O61" s="64"/>
      <c r="P61" s="64"/>
      <c r="Q61" s="64"/>
      <c r="R61" s="64"/>
      <c r="S61" s="64"/>
      <c r="T61" s="64"/>
      <c r="U61" s="64"/>
      <c r="V61" s="64"/>
      <c r="W61" s="64"/>
      <c r="X61" s="64"/>
      <c r="Y61" s="64"/>
      <c r="Z61" s="64"/>
    </row>
    <row r="62" ht="12.75" customHeight="1">
      <c r="A62" s="108"/>
      <c r="B62" s="64"/>
      <c r="C62" s="64"/>
      <c r="D62" s="64"/>
      <c r="E62" s="64"/>
      <c r="F62" s="63"/>
      <c r="G62" s="63"/>
      <c r="H62" s="64"/>
      <c r="I62" s="64"/>
      <c r="J62" s="64"/>
      <c r="K62" s="64"/>
      <c r="L62" s="64"/>
      <c r="M62" s="64"/>
      <c r="N62" s="64"/>
      <c r="O62" s="64"/>
      <c r="P62" s="64"/>
      <c r="Q62" s="64"/>
      <c r="R62" s="64"/>
      <c r="S62" s="64"/>
      <c r="T62" s="64"/>
      <c r="U62" s="64"/>
      <c r="V62" s="64"/>
      <c r="W62" s="64"/>
      <c r="X62" s="64"/>
      <c r="Y62" s="64"/>
      <c r="Z62" s="64"/>
    </row>
    <row r="63" ht="12.75" customHeight="1">
      <c r="A63" s="108"/>
      <c r="B63" s="64"/>
      <c r="C63" s="64"/>
      <c r="D63" s="64"/>
      <c r="E63" s="64"/>
      <c r="F63" s="63"/>
      <c r="G63" s="63"/>
      <c r="H63" s="64"/>
      <c r="I63" s="64"/>
      <c r="J63" s="64"/>
      <c r="K63" s="64"/>
      <c r="L63" s="64"/>
      <c r="M63" s="64"/>
      <c r="N63" s="64"/>
      <c r="O63" s="64"/>
      <c r="P63" s="64"/>
      <c r="Q63" s="64"/>
      <c r="R63" s="64"/>
      <c r="S63" s="64"/>
      <c r="T63" s="64"/>
      <c r="U63" s="64"/>
      <c r="V63" s="64"/>
      <c r="W63" s="64"/>
      <c r="X63" s="64"/>
      <c r="Y63" s="64"/>
      <c r="Z63" s="64"/>
    </row>
    <row r="64" ht="12.75" customHeight="1">
      <c r="A64" s="108"/>
      <c r="B64" s="64"/>
      <c r="C64" s="64"/>
      <c r="D64" s="64"/>
      <c r="E64" s="64"/>
      <c r="F64" s="63"/>
      <c r="G64" s="63"/>
      <c r="H64" s="64"/>
      <c r="I64" s="64"/>
      <c r="J64" s="64"/>
      <c r="K64" s="64"/>
      <c r="L64" s="64"/>
      <c r="M64" s="64"/>
      <c r="N64" s="64"/>
      <c r="O64" s="64"/>
      <c r="P64" s="64"/>
      <c r="Q64" s="64"/>
      <c r="R64" s="64"/>
      <c r="S64" s="64"/>
      <c r="T64" s="64"/>
      <c r="U64" s="64"/>
      <c r="V64" s="64"/>
      <c r="W64" s="64"/>
      <c r="X64" s="64"/>
      <c r="Y64" s="64"/>
      <c r="Z64" s="64"/>
    </row>
    <row r="65" ht="12.75" customHeight="1">
      <c r="A65" s="108"/>
      <c r="B65" s="64"/>
      <c r="C65" s="64"/>
      <c r="D65" s="64"/>
      <c r="E65" s="64"/>
      <c r="F65" s="63"/>
      <c r="G65" s="63"/>
      <c r="H65" s="64"/>
      <c r="I65" s="64"/>
      <c r="J65" s="64"/>
      <c r="K65" s="64"/>
      <c r="L65" s="64"/>
      <c r="M65" s="64"/>
      <c r="N65" s="64"/>
      <c r="O65" s="64"/>
      <c r="P65" s="64"/>
      <c r="Q65" s="64"/>
      <c r="R65" s="64"/>
      <c r="S65" s="64"/>
      <c r="T65" s="64"/>
      <c r="U65" s="64"/>
      <c r="V65" s="64"/>
      <c r="W65" s="64"/>
      <c r="X65" s="64"/>
      <c r="Y65" s="64"/>
      <c r="Z65" s="64"/>
    </row>
    <row r="66" ht="12.75" customHeight="1">
      <c r="A66" s="108"/>
      <c r="B66" s="64"/>
      <c r="C66" s="64"/>
      <c r="D66" s="64"/>
      <c r="E66" s="64"/>
      <c r="F66" s="63"/>
      <c r="G66" s="63"/>
      <c r="H66" s="64"/>
      <c r="I66" s="64"/>
      <c r="J66" s="64"/>
      <c r="K66" s="64"/>
      <c r="L66" s="64"/>
      <c r="M66" s="64"/>
      <c r="N66" s="64"/>
      <c r="O66" s="64"/>
      <c r="P66" s="64"/>
      <c r="Q66" s="64"/>
      <c r="R66" s="64"/>
      <c r="S66" s="64"/>
      <c r="T66" s="64"/>
      <c r="U66" s="64"/>
      <c r="V66" s="64"/>
      <c r="W66" s="64"/>
      <c r="X66" s="64"/>
      <c r="Y66" s="64"/>
      <c r="Z66" s="64"/>
    </row>
    <row r="67" ht="12.75" customHeight="1">
      <c r="A67" s="108"/>
      <c r="B67" s="64"/>
      <c r="C67" s="64"/>
      <c r="D67" s="64"/>
      <c r="E67" s="64"/>
      <c r="F67" s="63"/>
      <c r="G67" s="63"/>
      <c r="H67" s="64"/>
      <c r="I67" s="64"/>
      <c r="J67" s="64"/>
      <c r="K67" s="64"/>
      <c r="L67" s="64"/>
      <c r="M67" s="64"/>
      <c r="N67" s="64"/>
      <c r="O67" s="64"/>
      <c r="P67" s="64"/>
      <c r="Q67" s="64"/>
      <c r="R67" s="64"/>
      <c r="S67" s="64"/>
      <c r="T67" s="64"/>
      <c r="U67" s="64"/>
      <c r="V67" s="64"/>
      <c r="W67" s="64"/>
      <c r="X67" s="64"/>
      <c r="Y67" s="64"/>
      <c r="Z67" s="64"/>
    </row>
    <row r="68" ht="12.75" customHeight="1">
      <c r="A68" s="108"/>
      <c r="B68" s="64"/>
      <c r="C68" s="64"/>
      <c r="D68" s="64"/>
      <c r="E68" s="64"/>
      <c r="F68" s="63"/>
      <c r="G68" s="63"/>
      <c r="H68" s="64"/>
      <c r="I68" s="64"/>
      <c r="J68" s="64"/>
      <c r="K68" s="64"/>
      <c r="L68" s="64"/>
      <c r="M68" s="64"/>
      <c r="N68" s="64"/>
      <c r="O68" s="64"/>
      <c r="P68" s="64"/>
      <c r="Q68" s="64"/>
      <c r="R68" s="64"/>
      <c r="S68" s="64"/>
      <c r="T68" s="64"/>
      <c r="U68" s="64"/>
      <c r="V68" s="64"/>
      <c r="W68" s="64"/>
      <c r="X68" s="64"/>
      <c r="Y68" s="64"/>
      <c r="Z68" s="64"/>
    </row>
    <row r="69" ht="12.75" customHeight="1">
      <c r="A69" s="108"/>
      <c r="B69" s="64"/>
      <c r="C69" s="64"/>
      <c r="D69" s="64"/>
      <c r="E69" s="64"/>
      <c r="F69" s="63"/>
      <c r="G69" s="63"/>
      <c r="H69" s="64"/>
      <c r="I69" s="64"/>
      <c r="J69" s="64"/>
      <c r="K69" s="64"/>
      <c r="L69" s="64"/>
      <c r="M69" s="64"/>
      <c r="N69" s="64"/>
      <c r="O69" s="64"/>
      <c r="P69" s="64"/>
      <c r="Q69" s="64"/>
      <c r="R69" s="64"/>
      <c r="S69" s="64"/>
      <c r="T69" s="64"/>
      <c r="U69" s="64"/>
      <c r="V69" s="64"/>
      <c r="W69" s="64"/>
      <c r="X69" s="64"/>
      <c r="Y69" s="64"/>
      <c r="Z69" s="64"/>
    </row>
    <row r="70" ht="12.75" customHeight="1">
      <c r="A70" s="108"/>
      <c r="B70" s="64"/>
      <c r="C70" s="64"/>
      <c r="D70" s="64"/>
      <c r="E70" s="64"/>
      <c r="F70" s="63"/>
      <c r="G70" s="63"/>
      <c r="H70" s="64"/>
      <c r="I70" s="64"/>
      <c r="J70" s="64"/>
      <c r="K70" s="64"/>
      <c r="L70" s="64"/>
      <c r="M70" s="64"/>
      <c r="N70" s="64"/>
      <c r="O70" s="64"/>
      <c r="P70" s="64"/>
      <c r="Q70" s="64"/>
      <c r="R70" s="64"/>
      <c r="S70" s="64"/>
      <c r="T70" s="64"/>
      <c r="U70" s="64"/>
      <c r="V70" s="64"/>
      <c r="W70" s="64"/>
      <c r="X70" s="64"/>
      <c r="Y70" s="64"/>
      <c r="Z70" s="64"/>
    </row>
    <row r="71" ht="12.75" customHeight="1">
      <c r="A71" s="108"/>
      <c r="B71" s="64"/>
      <c r="C71" s="64"/>
      <c r="D71" s="64"/>
      <c r="E71" s="64"/>
      <c r="F71" s="63"/>
      <c r="G71" s="63"/>
      <c r="H71" s="64"/>
      <c r="I71" s="64"/>
      <c r="J71" s="64"/>
      <c r="K71" s="64"/>
      <c r="L71" s="64"/>
      <c r="M71" s="64"/>
      <c r="N71" s="64"/>
      <c r="O71" s="64"/>
      <c r="P71" s="64"/>
      <c r="Q71" s="64"/>
      <c r="R71" s="64"/>
      <c r="S71" s="64"/>
      <c r="T71" s="64"/>
      <c r="U71" s="64"/>
      <c r="V71" s="64"/>
      <c r="W71" s="64"/>
      <c r="X71" s="64"/>
      <c r="Y71" s="64"/>
      <c r="Z71" s="64"/>
    </row>
    <row r="72" ht="12.75" customHeight="1">
      <c r="A72" s="108"/>
      <c r="B72" s="64"/>
      <c r="C72" s="64"/>
      <c r="D72" s="64"/>
      <c r="E72" s="64"/>
      <c r="F72" s="63"/>
      <c r="G72" s="63"/>
      <c r="H72" s="64"/>
      <c r="I72" s="64"/>
      <c r="J72" s="64"/>
      <c r="K72" s="64"/>
      <c r="L72" s="64"/>
      <c r="M72" s="64"/>
      <c r="N72" s="64"/>
      <c r="O72" s="64"/>
      <c r="P72" s="64"/>
      <c r="Q72" s="64"/>
      <c r="R72" s="64"/>
      <c r="S72" s="64"/>
      <c r="T72" s="64"/>
      <c r="U72" s="64"/>
      <c r="V72" s="64"/>
      <c r="W72" s="64"/>
      <c r="X72" s="64"/>
      <c r="Y72" s="64"/>
      <c r="Z72" s="64"/>
    </row>
    <row r="73" ht="12.75" customHeight="1">
      <c r="A73" s="108"/>
      <c r="B73" s="64"/>
      <c r="C73" s="64"/>
      <c r="D73" s="64"/>
      <c r="E73" s="64"/>
      <c r="F73" s="63"/>
      <c r="G73" s="63"/>
      <c r="H73" s="64"/>
      <c r="I73" s="64"/>
      <c r="J73" s="64"/>
      <c r="K73" s="64"/>
      <c r="L73" s="64"/>
      <c r="M73" s="64"/>
      <c r="N73" s="64"/>
      <c r="O73" s="64"/>
      <c r="P73" s="64"/>
      <c r="Q73" s="64"/>
      <c r="R73" s="64"/>
      <c r="S73" s="64"/>
      <c r="T73" s="64"/>
      <c r="U73" s="64"/>
      <c r="V73" s="64"/>
      <c r="W73" s="64"/>
      <c r="X73" s="64"/>
      <c r="Y73" s="64"/>
      <c r="Z73" s="64"/>
    </row>
    <row r="74" ht="12.75" customHeight="1">
      <c r="A74" s="108"/>
      <c r="B74" s="64"/>
      <c r="C74" s="64"/>
      <c r="D74" s="64"/>
      <c r="E74" s="64"/>
      <c r="F74" s="63"/>
      <c r="G74" s="63"/>
      <c r="H74" s="64"/>
      <c r="I74" s="64"/>
      <c r="J74" s="64"/>
      <c r="K74" s="64"/>
      <c r="L74" s="64"/>
      <c r="M74" s="64"/>
      <c r="N74" s="64"/>
      <c r="O74" s="64"/>
      <c r="P74" s="64"/>
      <c r="Q74" s="64"/>
      <c r="R74" s="64"/>
      <c r="S74" s="64"/>
      <c r="T74" s="64"/>
      <c r="U74" s="64"/>
      <c r="V74" s="64"/>
      <c r="W74" s="64"/>
      <c r="X74" s="64"/>
      <c r="Y74" s="64"/>
      <c r="Z74" s="64"/>
    </row>
    <row r="75" ht="12.75" customHeight="1">
      <c r="A75" s="108"/>
      <c r="B75" s="64"/>
      <c r="C75" s="64"/>
      <c r="D75" s="64"/>
      <c r="E75" s="64"/>
      <c r="F75" s="63"/>
      <c r="G75" s="63"/>
      <c r="H75" s="64"/>
      <c r="I75" s="64"/>
      <c r="J75" s="64"/>
      <c r="K75" s="64"/>
      <c r="L75" s="64"/>
      <c r="M75" s="64"/>
      <c r="N75" s="64"/>
      <c r="O75" s="64"/>
      <c r="P75" s="64"/>
      <c r="Q75" s="64"/>
      <c r="R75" s="64"/>
      <c r="S75" s="64"/>
      <c r="T75" s="64"/>
      <c r="U75" s="64"/>
      <c r="V75" s="64"/>
      <c r="W75" s="64"/>
      <c r="X75" s="64"/>
      <c r="Y75" s="64"/>
      <c r="Z75" s="64"/>
    </row>
    <row r="76" ht="12.75" customHeight="1">
      <c r="A76" s="108"/>
      <c r="B76" s="64"/>
      <c r="C76" s="64"/>
      <c r="D76" s="64"/>
      <c r="E76" s="64"/>
      <c r="F76" s="63"/>
      <c r="G76" s="63"/>
      <c r="H76" s="64"/>
      <c r="I76" s="64"/>
      <c r="J76" s="64"/>
      <c r="K76" s="64"/>
      <c r="L76" s="64"/>
      <c r="M76" s="64"/>
      <c r="N76" s="64"/>
      <c r="O76" s="64"/>
      <c r="P76" s="64"/>
      <c r="Q76" s="64"/>
      <c r="R76" s="64"/>
      <c r="S76" s="64"/>
      <c r="T76" s="64"/>
      <c r="U76" s="64"/>
      <c r="V76" s="64"/>
      <c r="W76" s="64"/>
      <c r="X76" s="64"/>
      <c r="Y76" s="64"/>
      <c r="Z76" s="64"/>
    </row>
    <row r="77" ht="12.75" customHeight="1">
      <c r="A77" s="108"/>
      <c r="B77" s="64"/>
      <c r="C77" s="64"/>
      <c r="D77" s="64"/>
      <c r="E77" s="64"/>
      <c r="F77" s="63"/>
      <c r="G77" s="63"/>
      <c r="H77" s="64"/>
      <c r="I77" s="64"/>
      <c r="J77" s="64"/>
      <c r="K77" s="64"/>
      <c r="L77" s="64"/>
      <c r="M77" s="64"/>
      <c r="N77" s="64"/>
      <c r="O77" s="64"/>
      <c r="P77" s="64"/>
      <c r="Q77" s="64"/>
      <c r="R77" s="64"/>
      <c r="S77" s="64"/>
      <c r="T77" s="64"/>
      <c r="U77" s="64"/>
      <c r="V77" s="64"/>
      <c r="W77" s="64"/>
      <c r="X77" s="64"/>
      <c r="Y77" s="64"/>
      <c r="Z77" s="64"/>
    </row>
    <row r="78" ht="12.75" customHeight="1">
      <c r="A78" s="108"/>
      <c r="B78" s="64"/>
      <c r="C78" s="64"/>
      <c r="D78" s="64"/>
      <c r="E78" s="64"/>
      <c r="F78" s="63"/>
      <c r="G78" s="63"/>
      <c r="H78" s="64"/>
      <c r="I78" s="64"/>
      <c r="J78" s="64"/>
      <c r="K78" s="64"/>
      <c r="L78" s="64"/>
      <c r="M78" s="64"/>
      <c r="N78" s="64"/>
      <c r="O78" s="64"/>
      <c r="P78" s="64"/>
      <c r="Q78" s="64"/>
      <c r="R78" s="64"/>
      <c r="S78" s="64"/>
      <c r="T78" s="64"/>
      <c r="U78" s="64"/>
      <c r="V78" s="64"/>
      <c r="W78" s="64"/>
      <c r="X78" s="64"/>
      <c r="Y78" s="64"/>
      <c r="Z78" s="64"/>
    </row>
    <row r="79" ht="12.75" customHeight="1">
      <c r="A79" s="108"/>
      <c r="B79" s="64"/>
      <c r="C79" s="64"/>
      <c r="D79" s="64"/>
      <c r="E79" s="64"/>
      <c r="F79" s="63"/>
      <c r="G79" s="63"/>
      <c r="H79" s="64"/>
      <c r="I79" s="64"/>
      <c r="J79" s="64"/>
      <c r="K79" s="64"/>
      <c r="L79" s="64"/>
      <c r="M79" s="64"/>
      <c r="N79" s="64"/>
      <c r="O79" s="64"/>
      <c r="P79" s="64"/>
      <c r="Q79" s="64"/>
      <c r="R79" s="64"/>
      <c r="S79" s="64"/>
      <c r="T79" s="64"/>
      <c r="U79" s="64"/>
      <c r="V79" s="64"/>
      <c r="W79" s="64"/>
      <c r="X79" s="64"/>
      <c r="Y79" s="64"/>
      <c r="Z79" s="64"/>
    </row>
    <row r="80" ht="12.75" customHeight="1">
      <c r="A80" s="108"/>
      <c r="B80" s="64"/>
      <c r="C80" s="64"/>
      <c r="D80" s="64"/>
      <c r="E80" s="64"/>
      <c r="F80" s="63"/>
      <c r="G80" s="63"/>
      <c r="H80" s="64"/>
      <c r="I80" s="64"/>
      <c r="J80" s="64"/>
      <c r="K80" s="64"/>
      <c r="L80" s="64"/>
      <c r="M80" s="64"/>
      <c r="N80" s="64"/>
      <c r="O80" s="64"/>
      <c r="P80" s="64"/>
      <c r="Q80" s="64"/>
      <c r="R80" s="64"/>
      <c r="S80" s="64"/>
      <c r="T80" s="64"/>
      <c r="U80" s="64"/>
      <c r="V80" s="64"/>
      <c r="W80" s="64"/>
      <c r="X80" s="64"/>
      <c r="Y80" s="64"/>
      <c r="Z80" s="64"/>
    </row>
    <row r="81" ht="12.75" customHeight="1">
      <c r="A81" s="108"/>
      <c r="B81" s="64"/>
      <c r="C81" s="64"/>
      <c r="D81" s="64"/>
      <c r="E81" s="64"/>
      <c r="F81" s="63"/>
      <c r="G81" s="63"/>
      <c r="H81" s="64"/>
      <c r="I81" s="64"/>
      <c r="J81" s="64"/>
      <c r="K81" s="64"/>
      <c r="L81" s="64"/>
      <c r="M81" s="64"/>
      <c r="N81" s="64"/>
      <c r="O81" s="64"/>
      <c r="P81" s="64"/>
      <c r="Q81" s="64"/>
      <c r="R81" s="64"/>
      <c r="S81" s="64"/>
      <c r="T81" s="64"/>
      <c r="U81" s="64"/>
      <c r="V81" s="64"/>
      <c r="W81" s="64"/>
      <c r="X81" s="64"/>
      <c r="Y81" s="64"/>
      <c r="Z81" s="64"/>
    </row>
    <row r="82" ht="12.75" customHeight="1">
      <c r="A82" s="108"/>
      <c r="B82" s="64"/>
      <c r="C82" s="64"/>
      <c r="D82" s="64"/>
      <c r="E82" s="64"/>
      <c r="F82" s="63"/>
      <c r="G82" s="63"/>
      <c r="H82" s="64"/>
      <c r="I82" s="64"/>
      <c r="J82" s="64"/>
      <c r="K82" s="64"/>
      <c r="L82" s="64"/>
      <c r="M82" s="64"/>
      <c r="N82" s="64"/>
      <c r="O82" s="64"/>
      <c r="P82" s="64"/>
      <c r="Q82" s="64"/>
      <c r="R82" s="64"/>
      <c r="S82" s="64"/>
      <c r="T82" s="64"/>
      <c r="U82" s="64"/>
      <c r="V82" s="64"/>
      <c r="W82" s="64"/>
      <c r="X82" s="64"/>
      <c r="Y82" s="64"/>
      <c r="Z82" s="64"/>
    </row>
    <row r="83" ht="12.75" customHeight="1">
      <c r="A83" s="108"/>
      <c r="B83" s="64"/>
      <c r="C83" s="64"/>
      <c r="D83" s="64"/>
      <c r="E83" s="64"/>
      <c r="F83" s="63"/>
      <c r="G83" s="63"/>
      <c r="H83" s="64"/>
      <c r="I83" s="64"/>
      <c r="J83" s="64"/>
      <c r="K83" s="64"/>
      <c r="L83" s="64"/>
      <c r="M83" s="64"/>
      <c r="N83" s="64"/>
      <c r="O83" s="64"/>
      <c r="P83" s="64"/>
      <c r="Q83" s="64"/>
      <c r="R83" s="64"/>
      <c r="S83" s="64"/>
      <c r="T83" s="64"/>
      <c r="U83" s="64"/>
      <c r="V83" s="64"/>
      <c r="W83" s="64"/>
      <c r="X83" s="64"/>
      <c r="Y83" s="64"/>
      <c r="Z83" s="64"/>
    </row>
    <row r="84" ht="12.75" customHeight="1">
      <c r="A84" s="108"/>
      <c r="B84" s="64"/>
      <c r="C84" s="64"/>
      <c r="D84" s="64"/>
      <c r="E84" s="64"/>
      <c r="F84" s="63"/>
      <c r="G84" s="63"/>
      <c r="H84" s="64"/>
      <c r="I84" s="64"/>
      <c r="J84" s="64"/>
      <c r="K84" s="64"/>
      <c r="L84" s="64"/>
      <c r="M84" s="64"/>
      <c r="N84" s="64"/>
      <c r="O84" s="64"/>
      <c r="P84" s="64"/>
      <c r="Q84" s="64"/>
      <c r="R84" s="64"/>
      <c r="S84" s="64"/>
      <c r="T84" s="64"/>
      <c r="U84" s="64"/>
      <c r="V84" s="64"/>
      <c r="W84" s="64"/>
      <c r="X84" s="64"/>
      <c r="Y84" s="64"/>
      <c r="Z84" s="64"/>
    </row>
    <row r="85" ht="12.75" customHeight="1">
      <c r="A85" s="108"/>
      <c r="B85" s="64"/>
      <c r="C85" s="64"/>
      <c r="D85" s="64"/>
      <c r="E85" s="64"/>
      <c r="F85" s="63"/>
      <c r="G85" s="63"/>
      <c r="H85" s="64"/>
      <c r="I85" s="64"/>
      <c r="J85" s="64"/>
      <c r="K85" s="64"/>
      <c r="L85" s="64"/>
      <c r="M85" s="64"/>
      <c r="N85" s="64"/>
      <c r="O85" s="64"/>
      <c r="P85" s="64"/>
      <c r="Q85" s="64"/>
      <c r="R85" s="64"/>
      <c r="S85" s="64"/>
      <c r="T85" s="64"/>
      <c r="U85" s="64"/>
      <c r="V85" s="64"/>
      <c r="W85" s="64"/>
      <c r="X85" s="64"/>
      <c r="Y85" s="64"/>
      <c r="Z85" s="64"/>
    </row>
    <row r="86" ht="12.75" customHeight="1">
      <c r="A86" s="108"/>
      <c r="B86" s="64"/>
      <c r="C86" s="64"/>
      <c r="D86" s="64"/>
      <c r="E86" s="64"/>
      <c r="F86" s="63"/>
      <c r="G86" s="63"/>
      <c r="H86" s="64"/>
      <c r="I86" s="64"/>
      <c r="J86" s="64"/>
      <c r="K86" s="64"/>
      <c r="L86" s="64"/>
      <c r="M86" s="64"/>
      <c r="N86" s="64"/>
      <c r="O86" s="64"/>
      <c r="P86" s="64"/>
      <c r="Q86" s="64"/>
      <c r="R86" s="64"/>
      <c r="S86" s="64"/>
      <c r="T86" s="64"/>
      <c r="U86" s="64"/>
      <c r="V86" s="64"/>
      <c r="W86" s="64"/>
      <c r="X86" s="64"/>
      <c r="Y86" s="64"/>
      <c r="Z86" s="64"/>
    </row>
    <row r="87" ht="12.75" customHeight="1">
      <c r="A87" s="108"/>
      <c r="B87" s="64"/>
      <c r="C87" s="64"/>
      <c r="D87" s="64"/>
      <c r="E87" s="64"/>
      <c r="F87" s="63"/>
      <c r="G87" s="63"/>
      <c r="H87" s="64"/>
      <c r="I87" s="64"/>
      <c r="J87" s="64"/>
      <c r="K87" s="64"/>
      <c r="L87" s="64"/>
      <c r="M87" s="64"/>
      <c r="N87" s="64"/>
      <c r="O87" s="64"/>
      <c r="P87" s="64"/>
      <c r="Q87" s="64"/>
      <c r="R87" s="64"/>
      <c r="S87" s="64"/>
      <c r="T87" s="64"/>
      <c r="U87" s="64"/>
      <c r="V87" s="64"/>
      <c r="W87" s="64"/>
      <c r="X87" s="64"/>
      <c r="Y87" s="64"/>
      <c r="Z87" s="64"/>
    </row>
    <row r="88" ht="12.75" customHeight="1">
      <c r="A88" s="108"/>
      <c r="B88" s="64"/>
      <c r="C88" s="64"/>
      <c r="D88" s="64"/>
      <c r="E88" s="64"/>
      <c r="F88" s="63"/>
      <c r="G88" s="63"/>
      <c r="H88" s="64"/>
      <c r="I88" s="64"/>
      <c r="J88" s="64"/>
      <c r="K88" s="64"/>
      <c r="L88" s="64"/>
      <c r="M88" s="64"/>
      <c r="N88" s="64"/>
      <c r="O88" s="64"/>
      <c r="P88" s="64"/>
      <c r="Q88" s="64"/>
      <c r="R88" s="64"/>
      <c r="S88" s="64"/>
      <c r="T88" s="64"/>
      <c r="U88" s="64"/>
      <c r="V88" s="64"/>
      <c r="W88" s="64"/>
      <c r="X88" s="64"/>
      <c r="Y88" s="64"/>
      <c r="Z88" s="64"/>
    </row>
    <row r="89" ht="12.75" customHeight="1">
      <c r="A89" s="108"/>
      <c r="B89" s="64"/>
      <c r="C89" s="64"/>
      <c r="D89" s="64"/>
      <c r="E89" s="64"/>
      <c r="F89" s="63"/>
      <c r="G89" s="63"/>
      <c r="H89" s="64"/>
      <c r="I89" s="64"/>
      <c r="J89" s="64"/>
      <c r="K89" s="64"/>
      <c r="L89" s="64"/>
      <c r="M89" s="64"/>
      <c r="N89" s="64"/>
      <c r="O89" s="64"/>
      <c r="P89" s="64"/>
      <c r="Q89" s="64"/>
      <c r="R89" s="64"/>
      <c r="S89" s="64"/>
      <c r="T89" s="64"/>
      <c r="U89" s="64"/>
      <c r="V89" s="64"/>
      <c r="W89" s="64"/>
      <c r="X89" s="64"/>
      <c r="Y89" s="64"/>
      <c r="Z89" s="64"/>
    </row>
    <row r="90" ht="12.75" customHeight="1">
      <c r="A90" s="108"/>
      <c r="B90" s="64"/>
      <c r="C90" s="64"/>
      <c r="D90" s="64"/>
      <c r="E90" s="64"/>
      <c r="F90" s="63"/>
      <c r="G90" s="63"/>
      <c r="H90" s="64"/>
      <c r="I90" s="64"/>
      <c r="J90" s="64"/>
      <c r="K90" s="64"/>
      <c r="L90" s="64"/>
      <c r="M90" s="64"/>
      <c r="N90" s="64"/>
      <c r="O90" s="64"/>
      <c r="P90" s="64"/>
      <c r="Q90" s="64"/>
      <c r="R90" s="64"/>
      <c r="S90" s="64"/>
      <c r="T90" s="64"/>
      <c r="U90" s="64"/>
      <c r="V90" s="64"/>
      <c r="W90" s="64"/>
      <c r="X90" s="64"/>
      <c r="Y90" s="64"/>
      <c r="Z90" s="64"/>
    </row>
    <row r="91" ht="12.75" customHeight="1">
      <c r="A91" s="108"/>
      <c r="B91" s="64"/>
      <c r="C91" s="64"/>
      <c r="D91" s="64"/>
      <c r="E91" s="64"/>
      <c r="F91" s="63"/>
      <c r="G91" s="63"/>
      <c r="H91" s="64"/>
      <c r="I91" s="64"/>
      <c r="J91" s="64"/>
      <c r="K91" s="64"/>
      <c r="L91" s="64"/>
      <c r="M91" s="64"/>
      <c r="N91" s="64"/>
      <c r="O91" s="64"/>
      <c r="P91" s="64"/>
      <c r="Q91" s="64"/>
      <c r="R91" s="64"/>
      <c r="S91" s="64"/>
      <c r="T91" s="64"/>
      <c r="U91" s="64"/>
      <c r="V91" s="64"/>
      <c r="W91" s="64"/>
      <c r="X91" s="64"/>
      <c r="Y91" s="64"/>
      <c r="Z91" s="64"/>
    </row>
    <row r="92" ht="12.75" customHeight="1">
      <c r="A92" s="108"/>
      <c r="B92" s="64"/>
      <c r="C92" s="64"/>
      <c r="D92" s="64"/>
      <c r="E92" s="64"/>
      <c r="F92" s="63"/>
      <c r="G92" s="63"/>
      <c r="H92" s="64"/>
      <c r="I92" s="64"/>
      <c r="J92" s="64"/>
      <c r="K92" s="64"/>
      <c r="L92" s="64"/>
      <c r="M92" s="64"/>
      <c r="N92" s="64"/>
      <c r="O92" s="64"/>
      <c r="P92" s="64"/>
      <c r="Q92" s="64"/>
      <c r="R92" s="64"/>
      <c r="S92" s="64"/>
      <c r="T92" s="64"/>
      <c r="U92" s="64"/>
      <c r="V92" s="64"/>
      <c r="W92" s="64"/>
      <c r="X92" s="64"/>
      <c r="Y92" s="64"/>
      <c r="Z92" s="64"/>
    </row>
    <row r="93" ht="12.75" customHeight="1">
      <c r="A93" s="108"/>
      <c r="B93" s="64"/>
      <c r="C93" s="64"/>
      <c r="D93" s="64"/>
      <c r="E93" s="64"/>
      <c r="F93" s="63"/>
      <c r="G93" s="63"/>
      <c r="H93" s="64"/>
      <c r="I93" s="64"/>
      <c r="J93" s="64"/>
      <c r="K93" s="64"/>
      <c r="L93" s="64"/>
      <c r="M93" s="64"/>
      <c r="N93" s="64"/>
      <c r="O93" s="64"/>
      <c r="P93" s="64"/>
      <c r="Q93" s="64"/>
      <c r="R93" s="64"/>
      <c r="S93" s="64"/>
      <c r="T93" s="64"/>
      <c r="U93" s="64"/>
      <c r="V93" s="64"/>
      <c r="W93" s="64"/>
      <c r="X93" s="64"/>
      <c r="Y93" s="64"/>
      <c r="Z93" s="64"/>
    </row>
    <row r="94" ht="12.75" customHeight="1">
      <c r="A94" s="108"/>
      <c r="B94" s="64"/>
      <c r="C94" s="64"/>
      <c r="D94" s="64"/>
      <c r="E94" s="64"/>
      <c r="F94" s="63"/>
      <c r="G94" s="63"/>
      <c r="H94" s="64"/>
      <c r="I94" s="64"/>
      <c r="J94" s="64"/>
      <c r="K94" s="64"/>
      <c r="L94" s="64"/>
      <c r="M94" s="64"/>
      <c r="N94" s="64"/>
      <c r="O94" s="64"/>
      <c r="P94" s="64"/>
      <c r="Q94" s="64"/>
      <c r="R94" s="64"/>
      <c r="S94" s="64"/>
      <c r="T94" s="64"/>
      <c r="U94" s="64"/>
      <c r="V94" s="64"/>
      <c r="W94" s="64"/>
      <c r="X94" s="64"/>
      <c r="Y94" s="64"/>
      <c r="Z94" s="64"/>
    </row>
    <row r="95" ht="12.75" customHeight="1">
      <c r="A95" s="108"/>
      <c r="B95" s="64"/>
      <c r="C95" s="64"/>
      <c r="D95" s="64"/>
      <c r="E95" s="64"/>
      <c r="F95" s="63"/>
      <c r="G95" s="63"/>
      <c r="H95" s="64"/>
      <c r="I95" s="64"/>
      <c r="J95" s="64"/>
      <c r="K95" s="64"/>
      <c r="L95" s="64"/>
      <c r="M95" s="64"/>
      <c r="N95" s="64"/>
      <c r="O95" s="64"/>
      <c r="P95" s="64"/>
      <c r="Q95" s="64"/>
      <c r="R95" s="64"/>
      <c r="S95" s="64"/>
      <c r="T95" s="64"/>
      <c r="U95" s="64"/>
      <c r="V95" s="64"/>
      <c r="W95" s="64"/>
      <c r="X95" s="64"/>
      <c r="Y95" s="64"/>
      <c r="Z95" s="64"/>
    </row>
    <row r="96" ht="12.75" customHeight="1">
      <c r="A96" s="108"/>
      <c r="B96" s="64"/>
      <c r="C96" s="64"/>
      <c r="D96" s="64"/>
      <c r="E96" s="64"/>
      <c r="F96" s="63"/>
      <c r="G96" s="63"/>
      <c r="H96" s="64"/>
      <c r="I96" s="64"/>
      <c r="J96" s="64"/>
      <c r="K96" s="64"/>
      <c r="L96" s="64"/>
      <c r="M96" s="64"/>
      <c r="N96" s="64"/>
      <c r="O96" s="64"/>
      <c r="P96" s="64"/>
      <c r="Q96" s="64"/>
      <c r="R96" s="64"/>
      <c r="S96" s="64"/>
      <c r="T96" s="64"/>
      <c r="U96" s="64"/>
      <c r="V96" s="64"/>
      <c r="W96" s="64"/>
      <c r="X96" s="64"/>
      <c r="Y96" s="64"/>
      <c r="Z96" s="64"/>
    </row>
    <row r="97" ht="12.75" customHeight="1">
      <c r="A97" s="108"/>
      <c r="B97" s="64"/>
      <c r="C97" s="64"/>
      <c r="D97" s="64"/>
      <c r="E97" s="64"/>
      <c r="F97" s="63"/>
      <c r="G97" s="63"/>
      <c r="H97" s="64"/>
      <c r="I97" s="64"/>
      <c r="J97" s="64"/>
      <c r="K97" s="64"/>
      <c r="L97" s="64"/>
      <c r="M97" s="64"/>
      <c r="N97" s="64"/>
      <c r="O97" s="64"/>
      <c r="P97" s="64"/>
      <c r="Q97" s="64"/>
      <c r="R97" s="64"/>
      <c r="S97" s="64"/>
      <c r="T97" s="64"/>
      <c r="U97" s="64"/>
      <c r="V97" s="64"/>
      <c r="W97" s="64"/>
      <c r="X97" s="64"/>
      <c r="Y97" s="64"/>
      <c r="Z97" s="64"/>
    </row>
    <row r="98" ht="12.75" customHeight="1">
      <c r="A98" s="108"/>
      <c r="B98" s="64"/>
      <c r="C98" s="64"/>
      <c r="D98" s="64"/>
      <c r="E98" s="64"/>
      <c r="F98" s="63"/>
      <c r="G98" s="63"/>
      <c r="H98" s="64"/>
      <c r="I98" s="64"/>
      <c r="J98" s="64"/>
      <c r="K98" s="64"/>
      <c r="L98" s="64"/>
      <c r="M98" s="64"/>
      <c r="N98" s="64"/>
      <c r="O98" s="64"/>
      <c r="P98" s="64"/>
      <c r="Q98" s="64"/>
      <c r="R98" s="64"/>
      <c r="S98" s="64"/>
      <c r="T98" s="64"/>
      <c r="U98" s="64"/>
      <c r="V98" s="64"/>
      <c r="W98" s="64"/>
      <c r="X98" s="64"/>
      <c r="Y98" s="64"/>
      <c r="Z98" s="64"/>
    </row>
    <row r="99" ht="12.75" customHeight="1">
      <c r="A99" s="108"/>
      <c r="B99" s="64"/>
      <c r="C99" s="64"/>
      <c r="D99" s="64"/>
      <c r="E99" s="64"/>
      <c r="F99" s="63"/>
      <c r="G99" s="63"/>
      <c r="H99" s="64"/>
      <c r="I99" s="64"/>
      <c r="J99" s="64"/>
      <c r="K99" s="64"/>
      <c r="L99" s="64"/>
      <c r="M99" s="64"/>
      <c r="N99" s="64"/>
      <c r="O99" s="64"/>
      <c r="P99" s="64"/>
      <c r="Q99" s="64"/>
      <c r="R99" s="64"/>
      <c r="S99" s="64"/>
      <c r="T99" s="64"/>
      <c r="U99" s="64"/>
      <c r="V99" s="64"/>
      <c r="W99" s="64"/>
      <c r="X99" s="64"/>
      <c r="Y99" s="64"/>
      <c r="Z99" s="64"/>
    </row>
    <row r="100" ht="12.75" customHeight="1">
      <c r="A100" s="108"/>
      <c r="B100" s="64"/>
      <c r="C100" s="64"/>
      <c r="D100" s="64"/>
      <c r="E100" s="64"/>
      <c r="F100" s="63"/>
      <c r="G100" s="63"/>
      <c r="H100" s="64"/>
      <c r="I100" s="64"/>
      <c r="J100" s="64"/>
      <c r="K100" s="64"/>
      <c r="L100" s="64"/>
      <c r="M100" s="64"/>
      <c r="N100" s="64"/>
      <c r="O100" s="64"/>
      <c r="P100" s="64"/>
      <c r="Q100" s="64"/>
      <c r="R100" s="64"/>
      <c r="S100" s="64"/>
      <c r="T100" s="64"/>
      <c r="U100" s="64"/>
      <c r="V100" s="64"/>
      <c r="W100" s="64"/>
      <c r="X100" s="64"/>
      <c r="Y100" s="64"/>
      <c r="Z100" s="64"/>
    </row>
    <row r="101" ht="12.75" customHeight="1">
      <c r="A101" s="108"/>
      <c r="B101" s="64"/>
      <c r="C101" s="64"/>
      <c r="D101" s="64"/>
      <c r="E101" s="64"/>
      <c r="F101" s="63"/>
      <c r="G101" s="63"/>
      <c r="H101" s="64"/>
      <c r="I101" s="64"/>
      <c r="J101" s="64"/>
      <c r="K101" s="64"/>
      <c r="L101" s="64"/>
      <c r="M101" s="64"/>
      <c r="N101" s="64"/>
      <c r="O101" s="64"/>
      <c r="P101" s="64"/>
      <c r="Q101" s="64"/>
      <c r="R101" s="64"/>
      <c r="S101" s="64"/>
      <c r="T101" s="64"/>
      <c r="U101" s="64"/>
      <c r="V101" s="64"/>
      <c r="W101" s="64"/>
      <c r="X101" s="64"/>
      <c r="Y101" s="64"/>
      <c r="Z101" s="64"/>
    </row>
    <row r="102" ht="12.75" customHeight="1">
      <c r="A102" s="108"/>
      <c r="B102" s="64"/>
      <c r="C102" s="64"/>
      <c r="D102" s="64"/>
      <c r="E102" s="64"/>
      <c r="F102" s="63"/>
      <c r="G102" s="63"/>
      <c r="H102" s="64"/>
      <c r="I102" s="64"/>
      <c r="J102" s="64"/>
      <c r="K102" s="64"/>
      <c r="L102" s="64"/>
      <c r="M102" s="64"/>
      <c r="N102" s="64"/>
      <c r="O102" s="64"/>
      <c r="P102" s="64"/>
      <c r="Q102" s="64"/>
      <c r="R102" s="64"/>
      <c r="S102" s="64"/>
      <c r="T102" s="64"/>
      <c r="U102" s="64"/>
      <c r="V102" s="64"/>
      <c r="W102" s="64"/>
      <c r="X102" s="64"/>
      <c r="Y102" s="64"/>
      <c r="Z102" s="64"/>
    </row>
    <row r="103" ht="12.75" customHeight="1">
      <c r="A103" s="108"/>
      <c r="B103" s="64"/>
      <c r="C103" s="64"/>
      <c r="D103" s="64"/>
      <c r="E103" s="64"/>
      <c r="F103" s="63"/>
      <c r="G103" s="63"/>
      <c r="H103" s="64"/>
      <c r="I103" s="64"/>
      <c r="J103" s="64"/>
      <c r="K103" s="64"/>
      <c r="L103" s="64"/>
      <c r="M103" s="64"/>
      <c r="N103" s="64"/>
      <c r="O103" s="64"/>
      <c r="P103" s="64"/>
      <c r="Q103" s="64"/>
      <c r="R103" s="64"/>
      <c r="S103" s="64"/>
      <c r="T103" s="64"/>
      <c r="U103" s="64"/>
      <c r="V103" s="64"/>
      <c r="W103" s="64"/>
      <c r="X103" s="64"/>
      <c r="Y103" s="64"/>
      <c r="Z103" s="64"/>
    </row>
    <row r="104" ht="12.75" customHeight="1">
      <c r="A104" s="108"/>
      <c r="B104" s="64"/>
      <c r="C104" s="64"/>
      <c r="D104" s="64"/>
      <c r="E104" s="64"/>
      <c r="F104" s="63"/>
      <c r="G104" s="63"/>
      <c r="H104" s="64"/>
      <c r="I104" s="64"/>
      <c r="J104" s="64"/>
      <c r="K104" s="64"/>
      <c r="L104" s="64"/>
      <c r="M104" s="64"/>
      <c r="N104" s="64"/>
      <c r="O104" s="64"/>
      <c r="P104" s="64"/>
      <c r="Q104" s="64"/>
      <c r="R104" s="64"/>
      <c r="S104" s="64"/>
      <c r="T104" s="64"/>
      <c r="U104" s="64"/>
      <c r="V104" s="64"/>
      <c r="W104" s="64"/>
      <c r="X104" s="64"/>
      <c r="Y104" s="64"/>
      <c r="Z104" s="64"/>
    </row>
    <row r="105" ht="12.75" customHeight="1">
      <c r="A105" s="108"/>
      <c r="B105" s="64"/>
      <c r="C105" s="64"/>
      <c r="D105" s="64"/>
      <c r="E105" s="64"/>
      <c r="F105" s="63"/>
      <c r="G105" s="63"/>
      <c r="H105" s="64"/>
      <c r="I105" s="64"/>
      <c r="J105" s="64"/>
      <c r="K105" s="64"/>
      <c r="L105" s="64"/>
      <c r="M105" s="64"/>
      <c r="N105" s="64"/>
      <c r="O105" s="64"/>
      <c r="P105" s="64"/>
      <c r="Q105" s="64"/>
      <c r="R105" s="64"/>
      <c r="S105" s="64"/>
      <c r="T105" s="64"/>
      <c r="U105" s="64"/>
      <c r="V105" s="64"/>
      <c r="W105" s="64"/>
      <c r="X105" s="64"/>
      <c r="Y105" s="64"/>
      <c r="Z105" s="64"/>
    </row>
    <row r="106" ht="12.75" customHeight="1">
      <c r="A106" s="108"/>
      <c r="B106" s="64"/>
      <c r="C106" s="64"/>
      <c r="D106" s="64"/>
      <c r="E106" s="64"/>
      <c r="F106" s="63"/>
      <c r="G106" s="63"/>
      <c r="H106" s="64"/>
      <c r="I106" s="64"/>
      <c r="J106" s="64"/>
      <c r="K106" s="64"/>
      <c r="L106" s="64"/>
      <c r="M106" s="64"/>
      <c r="N106" s="64"/>
      <c r="O106" s="64"/>
      <c r="P106" s="64"/>
      <c r="Q106" s="64"/>
      <c r="R106" s="64"/>
      <c r="S106" s="64"/>
      <c r="T106" s="64"/>
      <c r="U106" s="64"/>
      <c r="V106" s="64"/>
      <c r="W106" s="64"/>
      <c r="X106" s="64"/>
      <c r="Y106" s="64"/>
      <c r="Z106" s="64"/>
    </row>
    <row r="107" ht="12.75" customHeight="1">
      <c r="A107" s="108"/>
      <c r="B107" s="64"/>
      <c r="C107" s="64"/>
      <c r="D107" s="64"/>
      <c r="E107" s="64"/>
      <c r="F107" s="63"/>
      <c r="G107" s="63"/>
      <c r="H107" s="64"/>
      <c r="I107" s="64"/>
      <c r="J107" s="64"/>
      <c r="K107" s="64"/>
      <c r="L107" s="64"/>
      <c r="M107" s="64"/>
      <c r="N107" s="64"/>
      <c r="O107" s="64"/>
      <c r="P107" s="64"/>
      <c r="Q107" s="64"/>
      <c r="R107" s="64"/>
      <c r="S107" s="64"/>
      <c r="T107" s="64"/>
      <c r="U107" s="64"/>
      <c r="V107" s="64"/>
      <c r="W107" s="64"/>
      <c r="X107" s="64"/>
      <c r="Y107" s="64"/>
      <c r="Z107" s="64"/>
    </row>
    <row r="108" ht="12.75" customHeight="1">
      <c r="A108" s="108"/>
      <c r="B108" s="64"/>
      <c r="C108" s="64"/>
      <c r="D108" s="64"/>
      <c r="E108" s="64"/>
      <c r="F108" s="63"/>
      <c r="G108" s="63"/>
      <c r="H108" s="64"/>
      <c r="I108" s="64"/>
      <c r="J108" s="64"/>
      <c r="K108" s="64"/>
      <c r="L108" s="64"/>
      <c r="M108" s="64"/>
      <c r="N108" s="64"/>
      <c r="O108" s="64"/>
      <c r="P108" s="64"/>
      <c r="Q108" s="64"/>
      <c r="R108" s="64"/>
      <c r="S108" s="64"/>
      <c r="T108" s="64"/>
      <c r="U108" s="64"/>
      <c r="V108" s="64"/>
      <c r="W108" s="64"/>
      <c r="X108" s="64"/>
      <c r="Y108" s="64"/>
      <c r="Z108" s="64"/>
    </row>
    <row r="109" ht="12.75" customHeight="1">
      <c r="A109" s="108"/>
      <c r="B109" s="64"/>
      <c r="C109" s="64"/>
      <c r="D109" s="64"/>
      <c r="E109" s="64"/>
      <c r="F109" s="63"/>
      <c r="G109" s="63"/>
      <c r="H109" s="64"/>
      <c r="I109" s="64"/>
      <c r="J109" s="64"/>
      <c r="K109" s="64"/>
      <c r="L109" s="64"/>
      <c r="M109" s="64"/>
      <c r="N109" s="64"/>
      <c r="O109" s="64"/>
      <c r="P109" s="64"/>
      <c r="Q109" s="64"/>
      <c r="R109" s="64"/>
      <c r="S109" s="64"/>
      <c r="T109" s="64"/>
      <c r="U109" s="64"/>
      <c r="V109" s="64"/>
      <c r="W109" s="64"/>
      <c r="X109" s="64"/>
      <c r="Y109" s="64"/>
      <c r="Z109" s="64"/>
    </row>
    <row r="110" ht="12.75" customHeight="1">
      <c r="A110" s="108"/>
      <c r="B110" s="64"/>
      <c r="C110" s="64"/>
      <c r="D110" s="64"/>
      <c r="E110" s="64"/>
      <c r="F110" s="63"/>
      <c r="G110" s="63"/>
      <c r="H110" s="64"/>
      <c r="I110" s="64"/>
      <c r="J110" s="64"/>
      <c r="K110" s="64"/>
      <c r="L110" s="64"/>
      <c r="M110" s="64"/>
      <c r="N110" s="64"/>
      <c r="O110" s="64"/>
      <c r="P110" s="64"/>
      <c r="Q110" s="64"/>
      <c r="R110" s="64"/>
      <c r="S110" s="64"/>
      <c r="T110" s="64"/>
      <c r="U110" s="64"/>
      <c r="V110" s="64"/>
      <c r="W110" s="64"/>
      <c r="X110" s="64"/>
      <c r="Y110" s="64"/>
      <c r="Z110" s="64"/>
    </row>
    <row r="111" ht="12.75" customHeight="1">
      <c r="A111" s="108"/>
      <c r="B111" s="64"/>
      <c r="C111" s="64"/>
      <c r="D111" s="64"/>
      <c r="E111" s="64"/>
      <c r="F111" s="63"/>
      <c r="G111" s="63"/>
      <c r="H111" s="64"/>
      <c r="I111" s="64"/>
      <c r="J111" s="64"/>
      <c r="K111" s="64"/>
      <c r="L111" s="64"/>
      <c r="M111" s="64"/>
      <c r="N111" s="64"/>
      <c r="O111" s="64"/>
      <c r="P111" s="64"/>
      <c r="Q111" s="64"/>
      <c r="R111" s="64"/>
      <c r="S111" s="64"/>
      <c r="T111" s="64"/>
      <c r="U111" s="64"/>
      <c r="V111" s="64"/>
      <c r="W111" s="64"/>
      <c r="X111" s="64"/>
      <c r="Y111" s="64"/>
      <c r="Z111" s="64"/>
    </row>
    <row r="112" ht="12.75" customHeight="1">
      <c r="A112" s="108"/>
      <c r="B112" s="64"/>
      <c r="C112" s="64"/>
      <c r="D112" s="64"/>
      <c r="E112" s="64"/>
      <c r="F112" s="63"/>
      <c r="G112" s="63"/>
      <c r="H112" s="64"/>
      <c r="I112" s="64"/>
      <c r="J112" s="64"/>
      <c r="K112" s="64"/>
      <c r="L112" s="64"/>
      <c r="M112" s="64"/>
      <c r="N112" s="64"/>
      <c r="O112" s="64"/>
      <c r="P112" s="64"/>
      <c r="Q112" s="64"/>
      <c r="R112" s="64"/>
      <c r="S112" s="64"/>
      <c r="T112" s="64"/>
      <c r="U112" s="64"/>
      <c r="V112" s="64"/>
      <c r="W112" s="64"/>
      <c r="X112" s="64"/>
      <c r="Y112" s="64"/>
      <c r="Z112" s="64"/>
    </row>
    <row r="113" ht="12.75" customHeight="1">
      <c r="A113" s="108"/>
      <c r="B113" s="64"/>
      <c r="C113" s="64"/>
      <c r="D113" s="64"/>
      <c r="E113" s="64"/>
      <c r="F113" s="63"/>
      <c r="G113" s="63"/>
      <c r="H113" s="64"/>
      <c r="I113" s="64"/>
      <c r="J113" s="64"/>
      <c r="K113" s="64"/>
      <c r="L113" s="64"/>
      <c r="M113" s="64"/>
      <c r="N113" s="64"/>
      <c r="O113" s="64"/>
      <c r="P113" s="64"/>
      <c r="Q113" s="64"/>
      <c r="R113" s="64"/>
      <c r="S113" s="64"/>
      <c r="T113" s="64"/>
      <c r="U113" s="64"/>
      <c r="V113" s="64"/>
      <c r="W113" s="64"/>
      <c r="X113" s="64"/>
      <c r="Y113" s="64"/>
      <c r="Z113" s="64"/>
    </row>
    <row r="114" ht="12.75" customHeight="1">
      <c r="A114" s="108"/>
      <c r="B114" s="64"/>
      <c r="C114" s="64"/>
      <c r="D114" s="64"/>
      <c r="E114" s="64"/>
      <c r="F114" s="63"/>
      <c r="G114" s="63"/>
      <c r="H114" s="64"/>
      <c r="I114" s="64"/>
      <c r="J114" s="64"/>
      <c r="K114" s="64"/>
      <c r="L114" s="64"/>
      <c r="M114" s="64"/>
      <c r="N114" s="64"/>
      <c r="O114" s="64"/>
      <c r="P114" s="64"/>
      <c r="Q114" s="64"/>
      <c r="R114" s="64"/>
      <c r="S114" s="64"/>
      <c r="T114" s="64"/>
      <c r="U114" s="64"/>
      <c r="V114" s="64"/>
      <c r="W114" s="64"/>
      <c r="X114" s="64"/>
      <c r="Y114" s="64"/>
      <c r="Z114" s="64"/>
    </row>
    <row r="115" ht="12.75" customHeight="1">
      <c r="A115" s="108"/>
      <c r="B115" s="64"/>
      <c r="C115" s="64"/>
      <c r="D115" s="64"/>
      <c r="E115" s="64"/>
      <c r="F115" s="63"/>
      <c r="G115" s="63"/>
      <c r="H115" s="64"/>
      <c r="I115" s="64"/>
      <c r="J115" s="64"/>
      <c r="K115" s="64"/>
      <c r="L115" s="64"/>
      <c r="M115" s="64"/>
      <c r="N115" s="64"/>
      <c r="O115" s="64"/>
      <c r="P115" s="64"/>
      <c r="Q115" s="64"/>
      <c r="R115" s="64"/>
      <c r="S115" s="64"/>
      <c r="T115" s="64"/>
      <c r="U115" s="64"/>
      <c r="V115" s="64"/>
      <c r="W115" s="64"/>
      <c r="X115" s="64"/>
      <c r="Y115" s="64"/>
      <c r="Z115" s="64"/>
    </row>
    <row r="116" ht="12.75" customHeight="1">
      <c r="A116" s="108"/>
      <c r="B116" s="64"/>
      <c r="C116" s="64"/>
      <c r="D116" s="64"/>
      <c r="E116" s="64"/>
      <c r="F116" s="63"/>
      <c r="G116" s="63"/>
      <c r="H116" s="64"/>
      <c r="I116" s="64"/>
      <c r="J116" s="64"/>
      <c r="K116" s="64"/>
      <c r="L116" s="64"/>
      <c r="M116" s="64"/>
      <c r="N116" s="64"/>
      <c r="O116" s="64"/>
      <c r="P116" s="64"/>
      <c r="Q116" s="64"/>
      <c r="R116" s="64"/>
      <c r="S116" s="64"/>
      <c r="T116" s="64"/>
      <c r="U116" s="64"/>
      <c r="V116" s="64"/>
      <c r="W116" s="64"/>
      <c r="X116" s="64"/>
      <c r="Y116" s="64"/>
      <c r="Z116" s="64"/>
    </row>
    <row r="117" ht="12.75" customHeight="1">
      <c r="A117" s="108"/>
      <c r="B117" s="64"/>
      <c r="C117" s="64"/>
      <c r="D117" s="64"/>
      <c r="E117" s="64"/>
      <c r="F117" s="63"/>
      <c r="G117" s="63"/>
      <c r="H117" s="64"/>
      <c r="I117" s="64"/>
      <c r="J117" s="64"/>
      <c r="K117" s="64"/>
      <c r="L117" s="64"/>
      <c r="M117" s="64"/>
      <c r="N117" s="64"/>
      <c r="O117" s="64"/>
      <c r="P117" s="64"/>
      <c r="Q117" s="64"/>
      <c r="R117" s="64"/>
      <c r="S117" s="64"/>
      <c r="T117" s="64"/>
      <c r="U117" s="64"/>
      <c r="V117" s="64"/>
      <c r="W117" s="64"/>
      <c r="X117" s="64"/>
      <c r="Y117" s="64"/>
      <c r="Z117" s="64"/>
    </row>
    <row r="118" ht="12.75" customHeight="1">
      <c r="A118" s="108"/>
      <c r="B118" s="64"/>
      <c r="C118" s="64"/>
      <c r="D118" s="64"/>
      <c r="E118" s="64"/>
      <c r="F118" s="63"/>
      <c r="G118" s="63"/>
      <c r="H118" s="64"/>
      <c r="I118" s="64"/>
      <c r="J118" s="64"/>
      <c r="K118" s="64"/>
      <c r="L118" s="64"/>
      <c r="M118" s="64"/>
      <c r="N118" s="64"/>
      <c r="O118" s="64"/>
      <c r="P118" s="64"/>
      <c r="Q118" s="64"/>
      <c r="R118" s="64"/>
      <c r="S118" s="64"/>
      <c r="T118" s="64"/>
      <c r="U118" s="64"/>
      <c r="V118" s="64"/>
      <c r="W118" s="64"/>
      <c r="X118" s="64"/>
      <c r="Y118" s="64"/>
      <c r="Z118" s="64"/>
    </row>
    <row r="119" ht="12.75" customHeight="1">
      <c r="A119" s="108"/>
      <c r="B119" s="64"/>
      <c r="C119" s="64"/>
      <c r="D119" s="64"/>
      <c r="E119" s="64"/>
      <c r="F119" s="63"/>
      <c r="G119" s="63"/>
      <c r="H119" s="64"/>
      <c r="I119" s="64"/>
      <c r="J119" s="64"/>
      <c r="K119" s="64"/>
      <c r="L119" s="64"/>
      <c r="M119" s="64"/>
      <c r="N119" s="64"/>
      <c r="O119" s="64"/>
      <c r="P119" s="64"/>
      <c r="Q119" s="64"/>
      <c r="R119" s="64"/>
      <c r="S119" s="64"/>
      <c r="T119" s="64"/>
      <c r="U119" s="64"/>
      <c r="V119" s="64"/>
      <c r="W119" s="64"/>
      <c r="X119" s="64"/>
      <c r="Y119" s="64"/>
      <c r="Z119" s="64"/>
    </row>
    <row r="120" ht="12.75" customHeight="1">
      <c r="A120" s="108"/>
      <c r="B120" s="64"/>
      <c r="C120" s="64"/>
      <c r="D120" s="64"/>
      <c r="E120" s="64"/>
      <c r="F120" s="63"/>
      <c r="G120" s="63"/>
      <c r="H120" s="64"/>
      <c r="I120" s="64"/>
      <c r="J120" s="64"/>
      <c r="K120" s="64"/>
      <c r="L120" s="64"/>
      <c r="M120" s="64"/>
      <c r="N120" s="64"/>
      <c r="O120" s="64"/>
      <c r="P120" s="64"/>
      <c r="Q120" s="64"/>
      <c r="R120" s="64"/>
      <c r="S120" s="64"/>
      <c r="T120" s="64"/>
      <c r="U120" s="64"/>
      <c r="V120" s="64"/>
      <c r="W120" s="64"/>
      <c r="X120" s="64"/>
      <c r="Y120" s="64"/>
      <c r="Z120" s="64"/>
    </row>
    <row r="121" ht="12.75" customHeight="1">
      <c r="A121" s="108"/>
      <c r="B121" s="64"/>
      <c r="C121" s="64"/>
      <c r="D121" s="64"/>
      <c r="E121" s="64"/>
      <c r="F121" s="63"/>
      <c r="G121" s="63"/>
      <c r="H121" s="64"/>
      <c r="I121" s="64"/>
      <c r="J121" s="64"/>
      <c r="K121" s="64"/>
      <c r="L121" s="64"/>
      <c r="M121" s="64"/>
      <c r="N121" s="64"/>
      <c r="O121" s="64"/>
      <c r="P121" s="64"/>
      <c r="Q121" s="64"/>
      <c r="R121" s="64"/>
      <c r="S121" s="64"/>
      <c r="T121" s="64"/>
      <c r="U121" s="64"/>
      <c r="V121" s="64"/>
      <c r="W121" s="64"/>
      <c r="X121" s="64"/>
      <c r="Y121" s="64"/>
      <c r="Z121" s="64"/>
    </row>
    <row r="122" ht="12.75" customHeight="1">
      <c r="A122" s="108"/>
      <c r="B122" s="64"/>
      <c r="C122" s="64"/>
      <c r="D122" s="64"/>
      <c r="E122" s="64"/>
      <c r="F122" s="63"/>
      <c r="G122" s="63"/>
      <c r="H122" s="64"/>
      <c r="I122" s="64"/>
      <c r="J122" s="64"/>
      <c r="K122" s="64"/>
      <c r="L122" s="64"/>
      <c r="M122" s="64"/>
      <c r="N122" s="64"/>
      <c r="O122" s="64"/>
      <c r="P122" s="64"/>
      <c r="Q122" s="64"/>
      <c r="R122" s="64"/>
      <c r="S122" s="64"/>
      <c r="T122" s="64"/>
      <c r="U122" s="64"/>
      <c r="V122" s="64"/>
      <c r="W122" s="64"/>
      <c r="X122" s="64"/>
      <c r="Y122" s="64"/>
      <c r="Z122" s="64"/>
    </row>
    <row r="123" ht="12.75" customHeight="1">
      <c r="A123" s="108"/>
      <c r="B123" s="64"/>
      <c r="C123" s="64"/>
      <c r="D123" s="64"/>
      <c r="E123" s="64"/>
      <c r="F123" s="63"/>
      <c r="G123" s="63"/>
      <c r="H123" s="64"/>
      <c r="I123" s="64"/>
      <c r="J123" s="64"/>
      <c r="K123" s="64"/>
      <c r="L123" s="64"/>
      <c r="M123" s="64"/>
      <c r="N123" s="64"/>
      <c r="O123" s="64"/>
      <c r="P123" s="64"/>
      <c r="Q123" s="64"/>
      <c r="R123" s="64"/>
      <c r="S123" s="64"/>
      <c r="T123" s="64"/>
      <c r="U123" s="64"/>
      <c r="V123" s="64"/>
      <c r="W123" s="64"/>
      <c r="X123" s="64"/>
      <c r="Y123" s="64"/>
      <c r="Z123" s="64"/>
    </row>
    <row r="124" ht="12.75" customHeight="1">
      <c r="A124" s="108"/>
      <c r="B124" s="64"/>
      <c r="C124" s="64"/>
      <c r="D124" s="64"/>
      <c r="E124" s="64"/>
      <c r="F124" s="63"/>
      <c r="G124" s="63"/>
      <c r="H124" s="64"/>
      <c r="I124" s="64"/>
      <c r="J124" s="64"/>
      <c r="K124" s="64"/>
      <c r="L124" s="64"/>
      <c r="M124" s="64"/>
      <c r="N124" s="64"/>
      <c r="O124" s="64"/>
      <c r="P124" s="64"/>
      <c r="Q124" s="64"/>
      <c r="R124" s="64"/>
      <c r="S124" s="64"/>
      <c r="T124" s="64"/>
      <c r="U124" s="64"/>
      <c r="V124" s="64"/>
      <c r="W124" s="64"/>
      <c r="X124" s="64"/>
      <c r="Y124" s="64"/>
      <c r="Z124" s="64"/>
    </row>
    <row r="125" ht="12.75" customHeight="1">
      <c r="A125" s="108"/>
      <c r="B125" s="64"/>
      <c r="C125" s="64"/>
      <c r="D125" s="64"/>
      <c r="E125" s="64"/>
      <c r="F125" s="63"/>
      <c r="G125" s="63"/>
      <c r="H125" s="64"/>
      <c r="I125" s="64"/>
      <c r="J125" s="64"/>
      <c r="K125" s="64"/>
      <c r="L125" s="64"/>
      <c r="M125" s="64"/>
      <c r="N125" s="64"/>
      <c r="O125" s="64"/>
      <c r="P125" s="64"/>
      <c r="Q125" s="64"/>
      <c r="R125" s="64"/>
      <c r="S125" s="64"/>
      <c r="T125" s="64"/>
      <c r="U125" s="64"/>
      <c r="V125" s="64"/>
      <c r="W125" s="64"/>
      <c r="X125" s="64"/>
      <c r="Y125" s="64"/>
      <c r="Z125" s="64"/>
    </row>
    <row r="126" ht="12.75" customHeight="1">
      <c r="A126" s="108"/>
      <c r="B126" s="64"/>
      <c r="C126" s="64"/>
      <c r="D126" s="64"/>
      <c r="E126" s="64"/>
      <c r="F126" s="63"/>
      <c r="G126" s="63"/>
      <c r="H126" s="64"/>
      <c r="I126" s="64"/>
      <c r="J126" s="64"/>
      <c r="K126" s="64"/>
      <c r="L126" s="64"/>
      <c r="M126" s="64"/>
      <c r="N126" s="64"/>
      <c r="O126" s="64"/>
      <c r="P126" s="64"/>
      <c r="Q126" s="64"/>
      <c r="R126" s="64"/>
      <c r="S126" s="64"/>
      <c r="T126" s="64"/>
      <c r="U126" s="64"/>
      <c r="V126" s="64"/>
      <c r="W126" s="64"/>
      <c r="X126" s="64"/>
      <c r="Y126" s="64"/>
      <c r="Z126" s="64"/>
    </row>
    <row r="127" ht="12.75" customHeight="1">
      <c r="A127" s="108"/>
      <c r="B127" s="64"/>
      <c r="C127" s="64"/>
      <c r="D127" s="64"/>
      <c r="E127" s="64"/>
      <c r="F127" s="63"/>
      <c r="G127" s="63"/>
      <c r="H127" s="64"/>
      <c r="I127" s="64"/>
      <c r="J127" s="64"/>
      <c r="K127" s="64"/>
      <c r="L127" s="64"/>
      <c r="M127" s="64"/>
      <c r="N127" s="64"/>
      <c r="O127" s="64"/>
      <c r="P127" s="64"/>
      <c r="Q127" s="64"/>
      <c r="R127" s="64"/>
      <c r="S127" s="64"/>
      <c r="T127" s="64"/>
      <c r="U127" s="64"/>
      <c r="V127" s="64"/>
      <c r="W127" s="64"/>
      <c r="X127" s="64"/>
      <c r="Y127" s="64"/>
      <c r="Z127" s="64"/>
    </row>
    <row r="128" ht="12.75" customHeight="1">
      <c r="A128" s="108"/>
      <c r="B128" s="64"/>
      <c r="C128" s="64"/>
      <c r="D128" s="64"/>
      <c r="E128" s="64"/>
      <c r="F128" s="63"/>
      <c r="G128" s="63"/>
      <c r="H128" s="64"/>
      <c r="I128" s="64"/>
      <c r="J128" s="64"/>
      <c r="K128" s="64"/>
      <c r="L128" s="64"/>
      <c r="M128" s="64"/>
      <c r="N128" s="64"/>
      <c r="O128" s="64"/>
      <c r="P128" s="64"/>
      <c r="Q128" s="64"/>
      <c r="R128" s="64"/>
      <c r="S128" s="64"/>
      <c r="T128" s="64"/>
      <c r="U128" s="64"/>
      <c r="V128" s="64"/>
      <c r="W128" s="64"/>
      <c r="X128" s="64"/>
      <c r="Y128" s="64"/>
      <c r="Z128" s="64"/>
    </row>
    <row r="129" ht="12.75" customHeight="1">
      <c r="A129" s="108"/>
      <c r="B129" s="64"/>
      <c r="C129" s="64"/>
      <c r="D129" s="64"/>
      <c r="E129" s="64"/>
      <c r="F129" s="63"/>
      <c r="G129" s="63"/>
      <c r="H129" s="64"/>
      <c r="I129" s="64"/>
      <c r="J129" s="64"/>
      <c r="K129" s="64"/>
      <c r="L129" s="64"/>
      <c r="M129" s="64"/>
      <c r="N129" s="64"/>
      <c r="O129" s="64"/>
      <c r="P129" s="64"/>
      <c r="Q129" s="64"/>
      <c r="R129" s="64"/>
      <c r="S129" s="64"/>
      <c r="T129" s="64"/>
      <c r="U129" s="64"/>
      <c r="V129" s="64"/>
      <c r="W129" s="64"/>
      <c r="X129" s="64"/>
      <c r="Y129" s="64"/>
      <c r="Z129" s="64"/>
    </row>
    <row r="130" ht="12.75" customHeight="1">
      <c r="A130" s="108"/>
      <c r="B130" s="64"/>
      <c r="C130" s="64"/>
      <c r="D130" s="64"/>
      <c r="E130" s="64"/>
      <c r="F130" s="63"/>
      <c r="G130" s="63"/>
      <c r="H130" s="64"/>
      <c r="I130" s="64"/>
      <c r="J130" s="64"/>
      <c r="K130" s="64"/>
      <c r="L130" s="64"/>
      <c r="M130" s="64"/>
      <c r="N130" s="64"/>
      <c r="O130" s="64"/>
      <c r="P130" s="64"/>
      <c r="Q130" s="64"/>
      <c r="R130" s="64"/>
      <c r="S130" s="64"/>
      <c r="T130" s="64"/>
      <c r="U130" s="64"/>
      <c r="V130" s="64"/>
      <c r="W130" s="64"/>
      <c r="X130" s="64"/>
      <c r="Y130" s="64"/>
      <c r="Z130" s="64"/>
    </row>
    <row r="131" ht="12.75" customHeight="1">
      <c r="A131" s="108"/>
      <c r="B131" s="64"/>
      <c r="C131" s="64"/>
      <c r="D131" s="64"/>
      <c r="E131" s="64"/>
      <c r="F131" s="63"/>
      <c r="G131" s="63"/>
      <c r="H131" s="64"/>
      <c r="I131" s="64"/>
      <c r="J131" s="64"/>
      <c r="K131" s="64"/>
      <c r="L131" s="64"/>
      <c r="M131" s="64"/>
      <c r="N131" s="64"/>
      <c r="O131" s="64"/>
      <c r="P131" s="64"/>
      <c r="Q131" s="64"/>
      <c r="R131" s="64"/>
      <c r="S131" s="64"/>
      <c r="T131" s="64"/>
      <c r="U131" s="64"/>
      <c r="V131" s="64"/>
      <c r="W131" s="64"/>
      <c r="X131" s="64"/>
      <c r="Y131" s="64"/>
      <c r="Z131" s="64"/>
    </row>
    <row r="132" ht="12.75" customHeight="1">
      <c r="A132" s="108"/>
      <c r="B132" s="64"/>
      <c r="C132" s="64"/>
      <c r="D132" s="64"/>
      <c r="E132" s="64"/>
      <c r="F132" s="63"/>
      <c r="G132" s="63"/>
      <c r="H132" s="64"/>
      <c r="I132" s="64"/>
      <c r="J132" s="64"/>
      <c r="K132" s="64"/>
      <c r="L132" s="64"/>
      <c r="M132" s="64"/>
      <c r="N132" s="64"/>
      <c r="O132" s="64"/>
      <c r="P132" s="64"/>
      <c r="Q132" s="64"/>
      <c r="R132" s="64"/>
      <c r="S132" s="64"/>
      <c r="T132" s="64"/>
      <c r="U132" s="64"/>
      <c r="V132" s="64"/>
      <c r="W132" s="64"/>
      <c r="X132" s="64"/>
      <c r="Y132" s="64"/>
      <c r="Z132" s="64"/>
    </row>
    <row r="133" ht="12.75" customHeight="1">
      <c r="A133" s="108"/>
      <c r="B133" s="64"/>
      <c r="C133" s="64"/>
      <c r="D133" s="64"/>
      <c r="E133" s="64"/>
      <c r="F133" s="63"/>
      <c r="G133" s="63"/>
      <c r="H133" s="64"/>
      <c r="I133" s="64"/>
      <c r="J133" s="64"/>
      <c r="K133" s="64"/>
      <c r="L133" s="64"/>
      <c r="M133" s="64"/>
      <c r="N133" s="64"/>
      <c r="O133" s="64"/>
      <c r="P133" s="64"/>
      <c r="Q133" s="64"/>
      <c r="R133" s="64"/>
      <c r="S133" s="64"/>
      <c r="T133" s="64"/>
      <c r="U133" s="64"/>
      <c r="V133" s="64"/>
      <c r="W133" s="64"/>
      <c r="X133" s="64"/>
      <c r="Y133" s="64"/>
      <c r="Z133" s="64"/>
    </row>
    <row r="134" ht="12.75" customHeight="1">
      <c r="A134" s="108"/>
      <c r="B134" s="64"/>
      <c r="C134" s="64"/>
      <c r="D134" s="64"/>
      <c r="E134" s="64"/>
      <c r="F134" s="63"/>
      <c r="G134" s="63"/>
      <c r="H134" s="64"/>
      <c r="I134" s="64"/>
      <c r="J134" s="64"/>
      <c r="K134" s="64"/>
      <c r="L134" s="64"/>
      <c r="M134" s="64"/>
      <c r="N134" s="64"/>
      <c r="O134" s="64"/>
      <c r="P134" s="64"/>
      <c r="Q134" s="64"/>
      <c r="R134" s="64"/>
      <c r="S134" s="64"/>
      <c r="T134" s="64"/>
      <c r="U134" s="64"/>
      <c r="V134" s="64"/>
      <c r="W134" s="64"/>
      <c r="X134" s="64"/>
      <c r="Y134" s="64"/>
      <c r="Z134" s="64"/>
    </row>
    <row r="135" ht="12.75" customHeight="1">
      <c r="A135" s="108"/>
      <c r="B135" s="64"/>
      <c r="C135" s="64"/>
      <c r="D135" s="64"/>
      <c r="E135" s="64"/>
      <c r="F135" s="63"/>
      <c r="G135" s="63"/>
      <c r="H135" s="64"/>
      <c r="I135" s="64"/>
      <c r="J135" s="64"/>
      <c r="K135" s="64"/>
      <c r="L135" s="64"/>
      <c r="M135" s="64"/>
      <c r="N135" s="64"/>
      <c r="O135" s="64"/>
      <c r="P135" s="64"/>
      <c r="Q135" s="64"/>
      <c r="R135" s="64"/>
      <c r="S135" s="64"/>
      <c r="T135" s="64"/>
      <c r="U135" s="64"/>
      <c r="V135" s="64"/>
      <c r="W135" s="64"/>
      <c r="X135" s="64"/>
      <c r="Y135" s="64"/>
      <c r="Z135" s="64"/>
    </row>
    <row r="136" ht="12.75" customHeight="1">
      <c r="A136" s="108"/>
      <c r="B136" s="64"/>
      <c r="C136" s="64"/>
      <c r="D136" s="64"/>
      <c r="E136" s="64"/>
      <c r="F136" s="63"/>
      <c r="G136" s="63"/>
      <c r="H136" s="64"/>
      <c r="I136" s="64"/>
      <c r="J136" s="64"/>
      <c r="K136" s="64"/>
      <c r="L136" s="64"/>
      <c r="M136" s="64"/>
      <c r="N136" s="64"/>
      <c r="O136" s="64"/>
      <c r="P136" s="64"/>
      <c r="Q136" s="64"/>
      <c r="R136" s="64"/>
      <c r="S136" s="64"/>
      <c r="T136" s="64"/>
      <c r="U136" s="64"/>
      <c r="V136" s="64"/>
      <c r="W136" s="64"/>
      <c r="X136" s="64"/>
      <c r="Y136" s="64"/>
      <c r="Z136" s="64"/>
    </row>
    <row r="137" ht="12.75" customHeight="1">
      <c r="A137" s="108"/>
      <c r="B137" s="64"/>
      <c r="C137" s="64"/>
      <c r="D137" s="64"/>
      <c r="E137" s="64"/>
      <c r="F137" s="63"/>
      <c r="G137" s="63"/>
      <c r="H137" s="64"/>
      <c r="I137" s="64"/>
      <c r="J137" s="64"/>
      <c r="K137" s="64"/>
      <c r="L137" s="64"/>
      <c r="M137" s="64"/>
      <c r="N137" s="64"/>
      <c r="O137" s="64"/>
      <c r="P137" s="64"/>
      <c r="Q137" s="64"/>
      <c r="R137" s="64"/>
      <c r="S137" s="64"/>
      <c r="T137" s="64"/>
      <c r="U137" s="64"/>
      <c r="V137" s="64"/>
      <c r="W137" s="64"/>
      <c r="X137" s="64"/>
      <c r="Y137" s="64"/>
      <c r="Z137" s="64"/>
    </row>
    <row r="138" ht="12.75" customHeight="1">
      <c r="A138" s="108"/>
      <c r="B138" s="64"/>
      <c r="C138" s="64"/>
      <c r="D138" s="64"/>
      <c r="E138" s="64"/>
      <c r="F138" s="63"/>
      <c r="G138" s="63"/>
      <c r="H138" s="64"/>
      <c r="I138" s="64"/>
      <c r="J138" s="64"/>
      <c r="K138" s="64"/>
      <c r="L138" s="64"/>
      <c r="M138" s="64"/>
      <c r="N138" s="64"/>
      <c r="O138" s="64"/>
      <c r="P138" s="64"/>
      <c r="Q138" s="64"/>
      <c r="R138" s="64"/>
      <c r="S138" s="64"/>
      <c r="T138" s="64"/>
      <c r="U138" s="64"/>
      <c r="V138" s="64"/>
      <c r="W138" s="64"/>
      <c r="X138" s="64"/>
      <c r="Y138" s="64"/>
      <c r="Z138" s="64"/>
    </row>
    <row r="139" ht="12.75" customHeight="1">
      <c r="A139" s="108"/>
      <c r="B139" s="64"/>
      <c r="C139" s="64"/>
      <c r="D139" s="64"/>
      <c r="E139" s="64"/>
      <c r="F139" s="63"/>
      <c r="G139" s="63"/>
      <c r="H139" s="64"/>
      <c r="I139" s="64"/>
      <c r="J139" s="64"/>
      <c r="K139" s="64"/>
      <c r="L139" s="64"/>
      <c r="M139" s="64"/>
      <c r="N139" s="64"/>
      <c r="O139" s="64"/>
      <c r="P139" s="64"/>
      <c r="Q139" s="64"/>
      <c r="R139" s="64"/>
      <c r="S139" s="64"/>
      <c r="T139" s="64"/>
      <c r="U139" s="64"/>
      <c r="V139" s="64"/>
      <c r="W139" s="64"/>
      <c r="X139" s="64"/>
      <c r="Y139" s="64"/>
      <c r="Z139" s="64"/>
    </row>
    <row r="140" ht="12.75" customHeight="1">
      <c r="A140" s="108"/>
      <c r="B140" s="64"/>
      <c r="C140" s="64"/>
      <c r="D140" s="64"/>
      <c r="E140" s="64"/>
      <c r="F140" s="63"/>
      <c r="G140" s="63"/>
      <c r="H140" s="64"/>
      <c r="I140" s="64"/>
      <c r="J140" s="64"/>
      <c r="K140" s="64"/>
      <c r="L140" s="64"/>
      <c r="M140" s="64"/>
      <c r="N140" s="64"/>
      <c r="O140" s="64"/>
      <c r="P140" s="64"/>
      <c r="Q140" s="64"/>
      <c r="R140" s="64"/>
      <c r="S140" s="64"/>
      <c r="T140" s="64"/>
      <c r="U140" s="64"/>
      <c r="V140" s="64"/>
      <c r="W140" s="64"/>
      <c r="X140" s="64"/>
      <c r="Y140" s="64"/>
      <c r="Z140" s="64"/>
    </row>
    <row r="141" ht="12.75" customHeight="1">
      <c r="A141" s="108"/>
      <c r="B141" s="64"/>
      <c r="C141" s="64"/>
      <c r="D141" s="64"/>
      <c r="E141" s="64"/>
      <c r="F141" s="63"/>
      <c r="G141" s="63"/>
      <c r="H141" s="64"/>
      <c r="I141" s="64"/>
      <c r="J141" s="64"/>
      <c r="K141" s="64"/>
      <c r="L141" s="64"/>
      <c r="M141" s="64"/>
      <c r="N141" s="64"/>
      <c r="O141" s="64"/>
      <c r="P141" s="64"/>
      <c r="Q141" s="64"/>
      <c r="R141" s="64"/>
      <c r="S141" s="64"/>
      <c r="T141" s="64"/>
      <c r="U141" s="64"/>
      <c r="V141" s="64"/>
      <c r="W141" s="64"/>
      <c r="X141" s="64"/>
      <c r="Y141" s="64"/>
      <c r="Z141" s="64"/>
    </row>
    <row r="142" ht="12.75" customHeight="1">
      <c r="A142" s="108"/>
      <c r="B142" s="64"/>
      <c r="C142" s="64"/>
      <c r="D142" s="64"/>
      <c r="E142" s="64"/>
      <c r="F142" s="63"/>
      <c r="G142" s="63"/>
      <c r="H142" s="64"/>
      <c r="I142" s="64"/>
      <c r="J142" s="64"/>
      <c r="K142" s="64"/>
      <c r="L142" s="64"/>
      <c r="M142" s="64"/>
      <c r="N142" s="64"/>
      <c r="O142" s="64"/>
      <c r="P142" s="64"/>
      <c r="Q142" s="64"/>
      <c r="R142" s="64"/>
      <c r="S142" s="64"/>
      <c r="T142" s="64"/>
      <c r="U142" s="64"/>
      <c r="V142" s="64"/>
      <c r="W142" s="64"/>
      <c r="X142" s="64"/>
      <c r="Y142" s="64"/>
      <c r="Z142" s="64"/>
    </row>
    <row r="143" ht="12.75" customHeight="1">
      <c r="A143" s="108"/>
      <c r="B143" s="64"/>
      <c r="C143" s="64"/>
      <c r="D143" s="64"/>
      <c r="E143" s="64"/>
      <c r="F143" s="63"/>
      <c r="G143" s="63"/>
      <c r="H143" s="64"/>
      <c r="I143" s="64"/>
      <c r="J143" s="64"/>
      <c r="K143" s="64"/>
      <c r="L143" s="64"/>
      <c r="M143" s="64"/>
      <c r="N143" s="64"/>
      <c r="O143" s="64"/>
      <c r="P143" s="64"/>
      <c r="Q143" s="64"/>
      <c r="R143" s="64"/>
      <c r="S143" s="64"/>
      <c r="T143" s="64"/>
      <c r="U143" s="64"/>
      <c r="V143" s="64"/>
      <c r="W143" s="64"/>
      <c r="X143" s="64"/>
      <c r="Y143" s="64"/>
      <c r="Z143" s="64"/>
    </row>
    <row r="144" ht="12.75" customHeight="1">
      <c r="A144" s="108"/>
      <c r="B144" s="64"/>
      <c r="C144" s="64"/>
      <c r="D144" s="64"/>
      <c r="E144" s="64"/>
      <c r="F144" s="63"/>
      <c r="G144" s="63"/>
      <c r="H144" s="64"/>
      <c r="I144" s="64"/>
      <c r="J144" s="64"/>
      <c r="K144" s="64"/>
      <c r="L144" s="64"/>
      <c r="M144" s="64"/>
      <c r="N144" s="64"/>
      <c r="O144" s="64"/>
      <c r="P144" s="64"/>
      <c r="Q144" s="64"/>
      <c r="R144" s="64"/>
      <c r="S144" s="64"/>
      <c r="T144" s="64"/>
      <c r="U144" s="64"/>
      <c r="V144" s="64"/>
      <c r="W144" s="64"/>
      <c r="X144" s="64"/>
      <c r="Y144" s="64"/>
      <c r="Z144" s="64"/>
    </row>
    <row r="145" ht="12.75" customHeight="1">
      <c r="A145" s="108"/>
      <c r="B145" s="64"/>
      <c r="C145" s="64"/>
      <c r="D145" s="64"/>
      <c r="E145" s="64"/>
      <c r="F145" s="63"/>
      <c r="G145" s="63"/>
      <c r="H145" s="64"/>
      <c r="I145" s="64"/>
      <c r="J145" s="64"/>
      <c r="K145" s="64"/>
      <c r="L145" s="64"/>
      <c r="M145" s="64"/>
      <c r="N145" s="64"/>
      <c r="O145" s="64"/>
      <c r="P145" s="64"/>
      <c r="Q145" s="64"/>
      <c r="R145" s="64"/>
      <c r="S145" s="64"/>
      <c r="T145" s="64"/>
      <c r="U145" s="64"/>
      <c r="V145" s="64"/>
      <c r="W145" s="64"/>
      <c r="X145" s="64"/>
      <c r="Y145" s="64"/>
      <c r="Z145" s="64"/>
    </row>
    <row r="146" ht="12.75" customHeight="1">
      <c r="A146" s="108"/>
      <c r="B146" s="64"/>
      <c r="C146" s="64"/>
      <c r="D146" s="64"/>
      <c r="E146" s="64"/>
      <c r="F146" s="63"/>
      <c r="G146" s="63"/>
      <c r="H146" s="64"/>
      <c r="I146" s="64"/>
      <c r="J146" s="64"/>
      <c r="K146" s="64"/>
      <c r="L146" s="64"/>
      <c r="M146" s="64"/>
      <c r="N146" s="64"/>
      <c r="O146" s="64"/>
      <c r="P146" s="64"/>
      <c r="Q146" s="64"/>
      <c r="R146" s="64"/>
      <c r="S146" s="64"/>
      <c r="T146" s="64"/>
      <c r="U146" s="64"/>
      <c r="V146" s="64"/>
      <c r="W146" s="64"/>
      <c r="X146" s="64"/>
      <c r="Y146" s="64"/>
      <c r="Z146" s="64"/>
    </row>
    <row r="147" ht="12.75" customHeight="1">
      <c r="A147" s="108"/>
      <c r="B147" s="64"/>
      <c r="C147" s="64"/>
      <c r="D147" s="64"/>
      <c r="E147" s="64"/>
      <c r="F147" s="63"/>
      <c r="G147" s="63"/>
      <c r="H147" s="64"/>
      <c r="I147" s="64"/>
      <c r="J147" s="64"/>
      <c r="K147" s="64"/>
      <c r="L147" s="64"/>
      <c r="M147" s="64"/>
      <c r="N147" s="64"/>
      <c r="O147" s="64"/>
      <c r="P147" s="64"/>
      <c r="Q147" s="64"/>
      <c r="R147" s="64"/>
      <c r="S147" s="64"/>
      <c r="T147" s="64"/>
      <c r="U147" s="64"/>
      <c r="V147" s="64"/>
      <c r="W147" s="64"/>
      <c r="X147" s="64"/>
      <c r="Y147" s="64"/>
      <c r="Z147" s="64"/>
    </row>
    <row r="148" ht="12.75" customHeight="1">
      <c r="A148" s="108"/>
      <c r="B148" s="64"/>
      <c r="C148" s="64"/>
      <c r="D148" s="64"/>
      <c r="E148" s="64"/>
      <c r="F148" s="63"/>
      <c r="G148" s="63"/>
      <c r="H148" s="64"/>
      <c r="I148" s="64"/>
      <c r="J148" s="64"/>
      <c r="K148" s="64"/>
      <c r="L148" s="64"/>
      <c r="M148" s="64"/>
      <c r="N148" s="64"/>
      <c r="O148" s="64"/>
      <c r="P148" s="64"/>
      <c r="Q148" s="64"/>
      <c r="R148" s="64"/>
      <c r="S148" s="64"/>
      <c r="T148" s="64"/>
      <c r="U148" s="64"/>
      <c r="V148" s="64"/>
      <c r="W148" s="64"/>
      <c r="X148" s="64"/>
      <c r="Y148" s="64"/>
      <c r="Z148" s="64"/>
    </row>
    <row r="149" ht="12.75" customHeight="1">
      <c r="A149" s="108"/>
      <c r="B149" s="64"/>
      <c r="C149" s="64"/>
      <c r="D149" s="64"/>
      <c r="E149" s="64"/>
      <c r="F149" s="63"/>
      <c r="G149" s="63"/>
      <c r="H149" s="64"/>
      <c r="I149" s="64"/>
      <c r="J149" s="64"/>
      <c r="K149" s="64"/>
      <c r="L149" s="64"/>
      <c r="M149" s="64"/>
      <c r="N149" s="64"/>
      <c r="O149" s="64"/>
      <c r="P149" s="64"/>
      <c r="Q149" s="64"/>
      <c r="R149" s="64"/>
      <c r="S149" s="64"/>
      <c r="T149" s="64"/>
      <c r="U149" s="64"/>
      <c r="V149" s="64"/>
      <c r="W149" s="64"/>
      <c r="X149" s="64"/>
      <c r="Y149" s="64"/>
      <c r="Z149" s="64"/>
    </row>
    <row r="150" ht="12.75" customHeight="1">
      <c r="A150" s="108"/>
      <c r="B150" s="64"/>
      <c r="C150" s="64"/>
      <c r="D150" s="64"/>
      <c r="E150" s="64"/>
      <c r="F150" s="63"/>
      <c r="G150" s="63"/>
      <c r="H150" s="64"/>
      <c r="I150" s="64"/>
      <c r="J150" s="64"/>
      <c r="K150" s="64"/>
      <c r="L150" s="64"/>
      <c r="M150" s="64"/>
      <c r="N150" s="64"/>
      <c r="O150" s="64"/>
      <c r="P150" s="64"/>
      <c r="Q150" s="64"/>
      <c r="R150" s="64"/>
      <c r="S150" s="64"/>
      <c r="T150" s="64"/>
      <c r="U150" s="64"/>
      <c r="V150" s="64"/>
      <c r="W150" s="64"/>
      <c r="X150" s="64"/>
      <c r="Y150" s="64"/>
      <c r="Z150" s="64"/>
    </row>
    <row r="151" ht="12.75" customHeight="1">
      <c r="A151" s="108"/>
      <c r="B151" s="64"/>
      <c r="C151" s="64"/>
      <c r="D151" s="64"/>
      <c r="E151" s="64"/>
      <c r="F151" s="63"/>
      <c r="G151" s="63"/>
      <c r="H151" s="64"/>
      <c r="I151" s="64"/>
      <c r="J151" s="64"/>
      <c r="K151" s="64"/>
      <c r="L151" s="64"/>
      <c r="M151" s="64"/>
      <c r="N151" s="64"/>
      <c r="O151" s="64"/>
      <c r="P151" s="64"/>
      <c r="Q151" s="64"/>
      <c r="R151" s="64"/>
      <c r="S151" s="64"/>
      <c r="T151" s="64"/>
      <c r="U151" s="64"/>
      <c r="V151" s="64"/>
      <c r="W151" s="64"/>
      <c r="X151" s="64"/>
      <c r="Y151" s="64"/>
      <c r="Z151" s="64"/>
    </row>
    <row r="152" ht="12.75" customHeight="1">
      <c r="A152" s="108"/>
      <c r="B152" s="64"/>
      <c r="C152" s="64"/>
      <c r="D152" s="64"/>
      <c r="E152" s="64"/>
      <c r="F152" s="63"/>
      <c r="G152" s="63"/>
      <c r="H152" s="64"/>
      <c r="I152" s="64"/>
      <c r="J152" s="64"/>
      <c r="K152" s="64"/>
      <c r="L152" s="64"/>
      <c r="M152" s="64"/>
      <c r="N152" s="64"/>
      <c r="O152" s="64"/>
      <c r="P152" s="64"/>
      <c r="Q152" s="64"/>
      <c r="R152" s="64"/>
      <c r="S152" s="64"/>
      <c r="T152" s="64"/>
      <c r="U152" s="64"/>
      <c r="V152" s="64"/>
      <c r="W152" s="64"/>
      <c r="X152" s="64"/>
      <c r="Y152" s="64"/>
      <c r="Z152" s="64"/>
    </row>
    <row r="153" ht="12.75" customHeight="1">
      <c r="A153" s="108"/>
      <c r="B153" s="64"/>
      <c r="C153" s="64"/>
      <c r="D153" s="64"/>
      <c r="E153" s="64"/>
      <c r="F153" s="63"/>
      <c r="G153" s="63"/>
      <c r="H153" s="64"/>
      <c r="I153" s="64"/>
      <c r="J153" s="64"/>
      <c r="K153" s="64"/>
      <c r="L153" s="64"/>
      <c r="M153" s="64"/>
      <c r="N153" s="64"/>
      <c r="O153" s="64"/>
      <c r="P153" s="64"/>
      <c r="Q153" s="64"/>
      <c r="R153" s="64"/>
      <c r="S153" s="64"/>
      <c r="T153" s="64"/>
      <c r="U153" s="64"/>
      <c r="V153" s="64"/>
      <c r="W153" s="64"/>
      <c r="X153" s="64"/>
      <c r="Y153" s="64"/>
      <c r="Z153" s="64"/>
    </row>
    <row r="154" ht="12.75" customHeight="1">
      <c r="A154" s="108"/>
      <c r="B154" s="64"/>
      <c r="C154" s="64"/>
      <c r="D154" s="64"/>
      <c r="E154" s="64"/>
      <c r="F154" s="63"/>
      <c r="G154" s="63"/>
      <c r="H154" s="64"/>
      <c r="I154" s="64"/>
      <c r="J154" s="64"/>
      <c r="K154" s="64"/>
      <c r="L154" s="64"/>
      <c r="M154" s="64"/>
      <c r="N154" s="64"/>
      <c r="O154" s="64"/>
      <c r="P154" s="64"/>
      <c r="Q154" s="64"/>
      <c r="R154" s="64"/>
      <c r="S154" s="64"/>
      <c r="T154" s="64"/>
      <c r="U154" s="64"/>
      <c r="V154" s="64"/>
      <c r="W154" s="64"/>
      <c r="X154" s="64"/>
      <c r="Y154" s="64"/>
      <c r="Z154" s="64"/>
    </row>
    <row r="155" ht="12.75" customHeight="1">
      <c r="A155" s="108"/>
      <c r="B155" s="64"/>
      <c r="C155" s="64"/>
      <c r="D155" s="64"/>
      <c r="E155" s="64"/>
      <c r="F155" s="63"/>
      <c r="G155" s="63"/>
      <c r="H155" s="64"/>
      <c r="I155" s="64"/>
      <c r="J155" s="64"/>
      <c r="K155" s="64"/>
      <c r="L155" s="64"/>
      <c r="M155" s="64"/>
      <c r="N155" s="64"/>
      <c r="O155" s="64"/>
      <c r="P155" s="64"/>
      <c r="Q155" s="64"/>
      <c r="R155" s="64"/>
      <c r="S155" s="64"/>
      <c r="T155" s="64"/>
      <c r="U155" s="64"/>
      <c r="V155" s="64"/>
      <c r="W155" s="64"/>
      <c r="X155" s="64"/>
      <c r="Y155" s="64"/>
      <c r="Z155" s="64"/>
    </row>
    <row r="156" ht="12.75" customHeight="1">
      <c r="A156" s="108"/>
      <c r="B156" s="64"/>
      <c r="C156" s="64"/>
      <c r="D156" s="64"/>
      <c r="E156" s="64"/>
      <c r="F156" s="63"/>
      <c r="G156" s="63"/>
      <c r="H156" s="64"/>
      <c r="I156" s="64"/>
      <c r="J156" s="64"/>
      <c r="K156" s="64"/>
      <c r="L156" s="64"/>
      <c r="M156" s="64"/>
      <c r="N156" s="64"/>
      <c r="O156" s="64"/>
      <c r="P156" s="64"/>
      <c r="Q156" s="64"/>
      <c r="R156" s="64"/>
      <c r="S156" s="64"/>
      <c r="T156" s="64"/>
      <c r="U156" s="64"/>
      <c r="V156" s="64"/>
      <c r="W156" s="64"/>
      <c r="X156" s="64"/>
      <c r="Y156" s="64"/>
      <c r="Z156" s="64"/>
    </row>
    <row r="157" ht="12.75" customHeight="1">
      <c r="A157" s="108"/>
      <c r="B157" s="64"/>
      <c r="C157" s="64"/>
      <c r="D157" s="64"/>
      <c r="E157" s="64"/>
      <c r="F157" s="63"/>
      <c r="G157" s="63"/>
      <c r="H157" s="64"/>
      <c r="I157" s="64"/>
      <c r="J157" s="64"/>
      <c r="K157" s="64"/>
      <c r="L157" s="64"/>
      <c r="M157" s="64"/>
      <c r="N157" s="64"/>
      <c r="O157" s="64"/>
      <c r="P157" s="64"/>
      <c r="Q157" s="64"/>
      <c r="R157" s="64"/>
      <c r="S157" s="64"/>
      <c r="T157" s="64"/>
      <c r="U157" s="64"/>
      <c r="V157" s="64"/>
      <c r="W157" s="64"/>
      <c r="X157" s="64"/>
      <c r="Y157" s="64"/>
      <c r="Z157" s="64"/>
    </row>
    <row r="158" ht="12.75" customHeight="1">
      <c r="A158" s="108"/>
      <c r="B158" s="64"/>
      <c r="C158" s="64"/>
      <c r="D158" s="64"/>
      <c r="E158" s="64"/>
      <c r="F158" s="63"/>
      <c r="G158" s="63"/>
      <c r="H158" s="64"/>
      <c r="I158" s="64"/>
      <c r="J158" s="64"/>
      <c r="K158" s="64"/>
      <c r="L158" s="64"/>
      <c r="M158" s="64"/>
      <c r="N158" s="64"/>
      <c r="O158" s="64"/>
      <c r="P158" s="64"/>
      <c r="Q158" s="64"/>
      <c r="R158" s="64"/>
      <c r="S158" s="64"/>
      <c r="T158" s="64"/>
      <c r="U158" s="64"/>
      <c r="V158" s="64"/>
      <c r="W158" s="64"/>
      <c r="X158" s="64"/>
      <c r="Y158" s="64"/>
      <c r="Z158" s="64"/>
    </row>
    <row r="159" ht="12.75" customHeight="1">
      <c r="A159" s="108"/>
      <c r="B159" s="64"/>
      <c r="C159" s="64"/>
      <c r="D159" s="64"/>
      <c r="E159" s="64"/>
      <c r="F159" s="63"/>
      <c r="G159" s="63"/>
      <c r="H159" s="64"/>
      <c r="I159" s="64"/>
      <c r="J159" s="64"/>
      <c r="K159" s="64"/>
      <c r="L159" s="64"/>
      <c r="M159" s="64"/>
      <c r="N159" s="64"/>
      <c r="O159" s="64"/>
      <c r="P159" s="64"/>
      <c r="Q159" s="64"/>
      <c r="R159" s="64"/>
      <c r="S159" s="64"/>
      <c r="T159" s="64"/>
      <c r="U159" s="64"/>
      <c r="V159" s="64"/>
      <c r="W159" s="64"/>
      <c r="X159" s="64"/>
      <c r="Y159" s="64"/>
      <c r="Z159" s="64"/>
    </row>
    <row r="160" ht="12.75" customHeight="1">
      <c r="A160" s="108"/>
      <c r="B160" s="64"/>
      <c r="C160" s="64"/>
      <c r="D160" s="64"/>
      <c r="E160" s="64"/>
      <c r="F160" s="63"/>
      <c r="G160" s="63"/>
      <c r="H160" s="64"/>
      <c r="I160" s="64"/>
      <c r="J160" s="64"/>
      <c r="K160" s="64"/>
      <c r="L160" s="64"/>
      <c r="M160" s="64"/>
      <c r="N160" s="64"/>
      <c r="O160" s="64"/>
      <c r="P160" s="64"/>
      <c r="Q160" s="64"/>
      <c r="R160" s="64"/>
      <c r="S160" s="64"/>
      <c r="T160" s="64"/>
      <c r="U160" s="64"/>
      <c r="V160" s="64"/>
      <c r="W160" s="64"/>
      <c r="X160" s="64"/>
      <c r="Y160" s="64"/>
      <c r="Z160" s="64"/>
    </row>
    <row r="161" ht="12.75" customHeight="1">
      <c r="A161" s="108"/>
      <c r="B161" s="64"/>
      <c r="C161" s="64"/>
      <c r="D161" s="64"/>
      <c r="E161" s="64"/>
      <c r="F161" s="63"/>
      <c r="G161" s="63"/>
      <c r="H161" s="64"/>
      <c r="I161" s="64"/>
      <c r="J161" s="64"/>
      <c r="K161" s="64"/>
      <c r="L161" s="64"/>
      <c r="M161" s="64"/>
      <c r="N161" s="64"/>
      <c r="O161" s="64"/>
      <c r="P161" s="64"/>
      <c r="Q161" s="64"/>
      <c r="R161" s="64"/>
      <c r="S161" s="64"/>
      <c r="T161" s="64"/>
      <c r="U161" s="64"/>
      <c r="V161" s="64"/>
      <c r="W161" s="64"/>
      <c r="X161" s="64"/>
      <c r="Y161" s="64"/>
      <c r="Z161" s="64"/>
    </row>
    <row r="162" ht="12.75" customHeight="1">
      <c r="A162" s="108"/>
      <c r="B162" s="64"/>
      <c r="C162" s="64"/>
      <c r="D162" s="64"/>
      <c r="E162" s="64"/>
      <c r="F162" s="63"/>
      <c r="G162" s="63"/>
      <c r="H162" s="64"/>
      <c r="I162" s="64"/>
      <c r="J162" s="64"/>
      <c r="K162" s="64"/>
      <c r="L162" s="64"/>
      <c r="M162" s="64"/>
      <c r="N162" s="64"/>
      <c r="O162" s="64"/>
      <c r="P162" s="64"/>
      <c r="Q162" s="64"/>
      <c r="R162" s="64"/>
      <c r="S162" s="64"/>
      <c r="T162" s="64"/>
      <c r="U162" s="64"/>
      <c r="V162" s="64"/>
      <c r="W162" s="64"/>
      <c r="X162" s="64"/>
      <c r="Y162" s="64"/>
      <c r="Z162" s="64"/>
    </row>
    <row r="163" ht="12.75" customHeight="1">
      <c r="A163" s="108"/>
      <c r="B163" s="64"/>
      <c r="C163" s="64"/>
      <c r="D163" s="64"/>
      <c r="E163" s="64"/>
      <c r="F163" s="63"/>
      <c r="G163" s="63"/>
      <c r="H163" s="64"/>
      <c r="I163" s="64"/>
      <c r="J163" s="64"/>
      <c r="K163" s="64"/>
      <c r="L163" s="64"/>
      <c r="M163" s="64"/>
      <c r="N163" s="64"/>
      <c r="O163" s="64"/>
      <c r="P163" s="64"/>
      <c r="Q163" s="64"/>
      <c r="R163" s="64"/>
      <c r="S163" s="64"/>
      <c r="T163" s="64"/>
      <c r="U163" s="64"/>
      <c r="V163" s="64"/>
      <c r="W163" s="64"/>
      <c r="X163" s="64"/>
      <c r="Y163" s="64"/>
      <c r="Z163" s="64"/>
    </row>
    <row r="164" ht="12.75" customHeight="1">
      <c r="A164" s="108"/>
      <c r="B164" s="64"/>
      <c r="C164" s="64"/>
      <c r="D164" s="64"/>
      <c r="E164" s="64"/>
      <c r="F164" s="63"/>
      <c r="G164" s="63"/>
      <c r="H164" s="64"/>
      <c r="I164" s="64"/>
      <c r="J164" s="64"/>
      <c r="K164" s="64"/>
      <c r="L164" s="64"/>
      <c r="M164" s="64"/>
      <c r="N164" s="64"/>
      <c r="O164" s="64"/>
      <c r="P164" s="64"/>
      <c r="Q164" s="64"/>
      <c r="R164" s="64"/>
      <c r="S164" s="64"/>
      <c r="T164" s="64"/>
      <c r="U164" s="64"/>
      <c r="V164" s="64"/>
      <c r="W164" s="64"/>
      <c r="X164" s="64"/>
      <c r="Y164" s="64"/>
      <c r="Z164" s="64"/>
    </row>
    <row r="165" ht="12.75" customHeight="1">
      <c r="A165" s="108"/>
      <c r="B165" s="64"/>
      <c r="C165" s="64"/>
      <c r="D165" s="64"/>
      <c r="E165" s="64"/>
      <c r="F165" s="63"/>
      <c r="G165" s="63"/>
      <c r="H165" s="64"/>
      <c r="I165" s="64"/>
      <c r="J165" s="64"/>
      <c r="K165" s="64"/>
      <c r="L165" s="64"/>
      <c r="M165" s="64"/>
      <c r="N165" s="64"/>
      <c r="O165" s="64"/>
      <c r="P165" s="64"/>
      <c r="Q165" s="64"/>
      <c r="R165" s="64"/>
      <c r="S165" s="64"/>
      <c r="T165" s="64"/>
      <c r="U165" s="64"/>
      <c r="V165" s="64"/>
      <c r="W165" s="64"/>
      <c r="X165" s="64"/>
      <c r="Y165" s="64"/>
      <c r="Z165" s="64"/>
    </row>
    <row r="166" ht="12.75" customHeight="1">
      <c r="A166" s="108"/>
      <c r="B166" s="64"/>
      <c r="C166" s="64"/>
      <c r="D166" s="64"/>
      <c r="E166" s="64"/>
      <c r="F166" s="63"/>
      <c r="G166" s="63"/>
      <c r="H166" s="64"/>
      <c r="I166" s="64"/>
      <c r="J166" s="64"/>
      <c r="K166" s="64"/>
      <c r="L166" s="64"/>
      <c r="M166" s="64"/>
      <c r="N166" s="64"/>
      <c r="O166" s="64"/>
      <c r="P166" s="64"/>
      <c r="Q166" s="64"/>
      <c r="R166" s="64"/>
      <c r="S166" s="64"/>
      <c r="T166" s="64"/>
      <c r="U166" s="64"/>
      <c r="V166" s="64"/>
      <c r="W166" s="64"/>
      <c r="X166" s="64"/>
      <c r="Y166" s="64"/>
      <c r="Z166" s="64"/>
    </row>
    <row r="167" ht="12.75" customHeight="1">
      <c r="A167" s="108"/>
      <c r="B167" s="64"/>
      <c r="C167" s="64"/>
      <c r="D167" s="64"/>
      <c r="E167" s="64"/>
      <c r="F167" s="63"/>
      <c r="G167" s="63"/>
      <c r="H167" s="64"/>
      <c r="I167" s="64"/>
      <c r="J167" s="64"/>
      <c r="K167" s="64"/>
      <c r="L167" s="64"/>
      <c r="M167" s="64"/>
      <c r="N167" s="64"/>
      <c r="O167" s="64"/>
      <c r="P167" s="64"/>
      <c r="Q167" s="64"/>
      <c r="R167" s="64"/>
      <c r="S167" s="64"/>
      <c r="T167" s="64"/>
      <c r="U167" s="64"/>
      <c r="V167" s="64"/>
      <c r="W167" s="64"/>
      <c r="X167" s="64"/>
      <c r="Y167" s="64"/>
      <c r="Z167" s="64"/>
    </row>
    <row r="168" ht="12.75" customHeight="1">
      <c r="A168" s="108"/>
      <c r="B168" s="64"/>
      <c r="C168" s="64"/>
      <c r="D168" s="64"/>
      <c r="E168" s="64"/>
      <c r="F168" s="63"/>
      <c r="G168" s="63"/>
      <c r="H168" s="64"/>
      <c r="I168" s="64"/>
      <c r="J168" s="64"/>
      <c r="K168" s="64"/>
      <c r="L168" s="64"/>
      <c r="M168" s="64"/>
      <c r="N168" s="64"/>
      <c r="O168" s="64"/>
      <c r="P168" s="64"/>
      <c r="Q168" s="64"/>
      <c r="R168" s="64"/>
      <c r="S168" s="64"/>
      <c r="T168" s="64"/>
      <c r="U168" s="64"/>
      <c r="V168" s="64"/>
      <c r="W168" s="64"/>
      <c r="X168" s="64"/>
      <c r="Y168" s="64"/>
      <c r="Z168" s="64"/>
    </row>
    <row r="169" ht="12.75" customHeight="1">
      <c r="A169" s="108"/>
      <c r="B169" s="64"/>
      <c r="C169" s="64"/>
      <c r="D169" s="64"/>
      <c r="E169" s="64"/>
      <c r="F169" s="63"/>
      <c r="G169" s="63"/>
      <c r="H169" s="64"/>
      <c r="I169" s="64"/>
      <c r="J169" s="64"/>
      <c r="K169" s="64"/>
      <c r="L169" s="64"/>
      <c r="M169" s="64"/>
      <c r="N169" s="64"/>
      <c r="O169" s="64"/>
      <c r="P169" s="64"/>
      <c r="Q169" s="64"/>
      <c r="R169" s="64"/>
      <c r="S169" s="64"/>
      <c r="T169" s="64"/>
      <c r="U169" s="64"/>
      <c r="V169" s="64"/>
      <c r="W169" s="64"/>
      <c r="X169" s="64"/>
      <c r="Y169" s="64"/>
      <c r="Z169" s="64"/>
    </row>
    <row r="170" ht="12.75" customHeight="1">
      <c r="A170" s="108"/>
      <c r="B170" s="64"/>
      <c r="C170" s="64"/>
      <c r="D170" s="64"/>
      <c r="E170" s="64"/>
      <c r="F170" s="63"/>
      <c r="G170" s="63"/>
      <c r="H170" s="64"/>
      <c r="I170" s="64"/>
      <c r="J170" s="64"/>
      <c r="K170" s="64"/>
      <c r="L170" s="64"/>
      <c r="M170" s="64"/>
      <c r="N170" s="64"/>
      <c r="O170" s="64"/>
      <c r="P170" s="64"/>
      <c r="Q170" s="64"/>
      <c r="R170" s="64"/>
      <c r="S170" s="64"/>
      <c r="T170" s="64"/>
      <c r="U170" s="64"/>
      <c r="V170" s="64"/>
      <c r="W170" s="64"/>
      <c r="X170" s="64"/>
      <c r="Y170" s="64"/>
      <c r="Z170" s="64"/>
    </row>
    <row r="171" ht="12.75" customHeight="1">
      <c r="A171" s="108"/>
      <c r="B171" s="64"/>
      <c r="C171" s="64"/>
      <c r="D171" s="64"/>
      <c r="E171" s="64"/>
      <c r="F171" s="63"/>
      <c r="G171" s="63"/>
      <c r="H171" s="64"/>
      <c r="I171" s="64"/>
      <c r="J171" s="64"/>
      <c r="K171" s="64"/>
      <c r="L171" s="64"/>
      <c r="M171" s="64"/>
      <c r="N171" s="64"/>
      <c r="O171" s="64"/>
      <c r="P171" s="64"/>
      <c r="Q171" s="64"/>
      <c r="R171" s="64"/>
      <c r="S171" s="64"/>
      <c r="T171" s="64"/>
      <c r="U171" s="64"/>
      <c r="V171" s="64"/>
      <c r="W171" s="64"/>
      <c r="X171" s="64"/>
      <c r="Y171" s="64"/>
      <c r="Z171" s="64"/>
    </row>
    <row r="172" ht="12.75" customHeight="1">
      <c r="A172" s="108"/>
      <c r="B172" s="64"/>
      <c r="C172" s="64"/>
      <c r="D172" s="64"/>
      <c r="E172" s="64"/>
      <c r="F172" s="63"/>
      <c r="G172" s="63"/>
      <c r="H172" s="64"/>
      <c r="I172" s="64"/>
      <c r="J172" s="64"/>
      <c r="K172" s="64"/>
      <c r="L172" s="64"/>
      <c r="M172" s="64"/>
      <c r="N172" s="64"/>
      <c r="O172" s="64"/>
      <c r="P172" s="64"/>
      <c r="Q172" s="64"/>
      <c r="R172" s="64"/>
      <c r="S172" s="64"/>
      <c r="T172" s="64"/>
      <c r="U172" s="64"/>
      <c r="V172" s="64"/>
      <c r="W172" s="64"/>
      <c r="X172" s="64"/>
      <c r="Y172" s="64"/>
      <c r="Z172" s="64"/>
    </row>
    <row r="173" ht="12.75" customHeight="1">
      <c r="A173" s="108"/>
      <c r="B173" s="64"/>
      <c r="C173" s="64"/>
      <c r="D173" s="64"/>
      <c r="E173" s="64"/>
      <c r="F173" s="63"/>
      <c r="G173" s="63"/>
      <c r="H173" s="64"/>
      <c r="I173" s="64"/>
      <c r="J173" s="64"/>
      <c r="K173" s="64"/>
      <c r="L173" s="64"/>
      <c r="M173" s="64"/>
      <c r="N173" s="64"/>
      <c r="O173" s="64"/>
      <c r="P173" s="64"/>
      <c r="Q173" s="64"/>
      <c r="R173" s="64"/>
      <c r="S173" s="64"/>
      <c r="T173" s="64"/>
      <c r="U173" s="64"/>
      <c r="V173" s="64"/>
      <c r="W173" s="64"/>
      <c r="X173" s="64"/>
      <c r="Y173" s="64"/>
      <c r="Z173" s="64"/>
    </row>
    <row r="174" ht="12.75" customHeight="1">
      <c r="A174" s="108"/>
      <c r="B174" s="64"/>
      <c r="C174" s="64"/>
      <c r="D174" s="64"/>
      <c r="E174" s="64"/>
      <c r="F174" s="63"/>
      <c r="G174" s="63"/>
      <c r="H174" s="64"/>
      <c r="I174" s="64"/>
      <c r="J174" s="64"/>
      <c r="K174" s="64"/>
      <c r="L174" s="64"/>
      <c r="M174" s="64"/>
      <c r="N174" s="64"/>
      <c r="O174" s="64"/>
      <c r="P174" s="64"/>
      <c r="Q174" s="64"/>
      <c r="R174" s="64"/>
      <c r="S174" s="64"/>
      <c r="T174" s="64"/>
      <c r="U174" s="64"/>
      <c r="V174" s="64"/>
      <c r="W174" s="64"/>
      <c r="X174" s="64"/>
      <c r="Y174" s="64"/>
      <c r="Z174" s="64"/>
    </row>
    <row r="175" ht="12.75" customHeight="1">
      <c r="A175" s="108"/>
      <c r="B175" s="64"/>
      <c r="C175" s="64"/>
      <c r="D175" s="64"/>
      <c r="E175" s="64"/>
      <c r="F175" s="63"/>
      <c r="G175" s="63"/>
      <c r="H175" s="64"/>
      <c r="I175" s="64"/>
      <c r="J175" s="64"/>
      <c r="K175" s="64"/>
      <c r="L175" s="64"/>
      <c r="M175" s="64"/>
      <c r="N175" s="64"/>
      <c r="O175" s="64"/>
      <c r="P175" s="64"/>
      <c r="Q175" s="64"/>
      <c r="R175" s="64"/>
      <c r="S175" s="64"/>
      <c r="T175" s="64"/>
      <c r="U175" s="64"/>
      <c r="V175" s="64"/>
      <c r="W175" s="64"/>
      <c r="X175" s="64"/>
      <c r="Y175" s="64"/>
      <c r="Z175" s="64"/>
    </row>
    <row r="176" ht="12.75" customHeight="1">
      <c r="A176" s="108"/>
      <c r="B176" s="64"/>
      <c r="C176" s="64"/>
      <c r="D176" s="64"/>
      <c r="E176" s="64"/>
      <c r="F176" s="63"/>
      <c r="G176" s="63"/>
      <c r="H176" s="64"/>
      <c r="I176" s="64"/>
      <c r="J176" s="64"/>
      <c r="K176" s="64"/>
      <c r="L176" s="64"/>
      <c r="M176" s="64"/>
      <c r="N176" s="64"/>
      <c r="O176" s="64"/>
      <c r="P176" s="64"/>
      <c r="Q176" s="64"/>
      <c r="R176" s="64"/>
      <c r="S176" s="64"/>
      <c r="T176" s="64"/>
      <c r="U176" s="64"/>
      <c r="V176" s="64"/>
      <c r="W176" s="64"/>
      <c r="X176" s="64"/>
      <c r="Y176" s="64"/>
      <c r="Z176" s="64"/>
    </row>
    <row r="177" ht="12.75" customHeight="1">
      <c r="A177" s="108"/>
      <c r="B177" s="64"/>
      <c r="C177" s="64"/>
      <c r="D177" s="64"/>
      <c r="E177" s="64"/>
      <c r="F177" s="63"/>
      <c r="G177" s="63"/>
      <c r="H177" s="64"/>
      <c r="I177" s="64"/>
      <c r="J177" s="64"/>
      <c r="K177" s="64"/>
      <c r="L177" s="64"/>
      <c r="M177" s="64"/>
      <c r="N177" s="64"/>
      <c r="O177" s="64"/>
      <c r="P177" s="64"/>
      <c r="Q177" s="64"/>
      <c r="R177" s="64"/>
      <c r="S177" s="64"/>
      <c r="T177" s="64"/>
      <c r="U177" s="64"/>
      <c r="V177" s="64"/>
      <c r="W177" s="64"/>
      <c r="X177" s="64"/>
      <c r="Y177" s="64"/>
      <c r="Z177" s="64"/>
    </row>
    <row r="178" ht="12.75" customHeight="1">
      <c r="A178" s="108"/>
      <c r="B178" s="64"/>
      <c r="C178" s="64"/>
      <c r="D178" s="64"/>
      <c r="E178" s="64"/>
      <c r="F178" s="63"/>
      <c r="G178" s="63"/>
      <c r="H178" s="64"/>
      <c r="I178" s="64"/>
      <c r="J178" s="64"/>
      <c r="K178" s="64"/>
      <c r="L178" s="64"/>
      <c r="M178" s="64"/>
      <c r="N178" s="64"/>
      <c r="O178" s="64"/>
      <c r="P178" s="64"/>
      <c r="Q178" s="64"/>
      <c r="R178" s="64"/>
      <c r="S178" s="64"/>
      <c r="T178" s="64"/>
      <c r="U178" s="64"/>
      <c r="V178" s="64"/>
      <c r="W178" s="64"/>
      <c r="X178" s="64"/>
      <c r="Y178" s="64"/>
      <c r="Z178" s="64"/>
    </row>
    <row r="179" ht="12.75" customHeight="1">
      <c r="A179" s="108"/>
      <c r="B179" s="64"/>
      <c r="C179" s="64"/>
      <c r="D179" s="64"/>
      <c r="E179" s="64"/>
      <c r="F179" s="63"/>
      <c r="G179" s="63"/>
      <c r="H179" s="64"/>
      <c r="I179" s="64"/>
      <c r="J179" s="64"/>
      <c r="K179" s="64"/>
      <c r="L179" s="64"/>
      <c r="M179" s="64"/>
      <c r="N179" s="64"/>
      <c r="O179" s="64"/>
      <c r="P179" s="64"/>
      <c r="Q179" s="64"/>
      <c r="R179" s="64"/>
      <c r="S179" s="64"/>
      <c r="T179" s="64"/>
      <c r="U179" s="64"/>
      <c r="V179" s="64"/>
      <c r="W179" s="64"/>
      <c r="X179" s="64"/>
      <c r="Y179" s="64"/>
      <c r="Z179" s="64"/>
    </row>
    <row r="180" ht="12.75" customHeight="1">
      <c r="A180" s="108"/>
      <c r="B180" s="64"/>
      <c r="C180" s="64"/>
      <c r="D180" s="64"/>
      <c r="E180" s="64"/>
      <c r="F180" s="63"/>
      <c r="G180" s="63"/>
      <c r="H180" s="64"/>
      <c r="I180" s="64"/>
      <c r="J180" s="64"/>
      <c r="K180" s="64"/>
      <c r="L180" s="64"/>
      <c r="M180" s="64"/>
      <c r="N180" s="64"/>
      <c r="O180" s="64"/>
      <c r="P180" s="64"/>
      <c r="Q180" s="64"/>
      <c r="R180" s="64"/>
      <c r="S180" s="64"/>
      <c r="T180" s="64"/>
      <c r="U180" s="64"/>
      <c r="V180" s="64"/>
      <c r="W180" s="64"/>
      <c r="X180" s="64"/>
      <c r="Y180" s="64"/>
      <c r="Z180" s="64"/>
    </row>
    <row r="181" ht="12.75" customHeight="1">
      <c r="A181" s="108"/>
      <c r="B181" s="64"/>
      <c r="C181" s="64"/>
      <c r="D181" s="64"/>
      <c r="E181" s="64"/>
      <c r="F181" s="63"/>
      <c r="G181" s="63"/>
      <c r="H181" s="64"/>
      <c r="I181" s="64"/>
      <c r="J181" s="64"/>
      <c r="K181" s="64"/>
      <c r="L181" s="64"/>
      <c r="M181" s="64"/>
      <c r="N181" s="64"/>
      <c r="O181" s="64"/>
      <c r="P181" s="64"/>
      <c r="Q181" s="64"/>
      <c r="R181" s="64"/>
      <c r="S181" s="64"/>
      <c r="T181" s="64"/>
      <c r="U181" s="64"/>
      <c r="V181" s="64"/>
      <c r="W181" s="64"/>
      <c r="X181" s="64"/>
      <c r="Y181" s="64"/>
      <c r="Z181" s="64"/>
    </row>
    <row r="182" ht="12.75" customHeight="1">
      <c r="A182" s="108"/>
      <c r="B182" s="64"/>
      <c r="C182" s="64"/>
      <c r="D182" s="64"/>
      <c r="E182" s="64"/>
      <c r="F182" s="63"/>
      <c r="G182" s="63"/>
      <c r="H182" s="64"/>
      <c r="I182" s="64"/>
      <c r="J182" s="64"/>
      <c r="K182" s="64"/>
      <c r="L182" s="64"/>
      <c r="M182" s="64"/>
      <c r="N182" s="64"/>
      <c r="O182" s="64"/>
      <c r="P182" s="64"/>
      <c r="Q182" s="64"/>
      <c r="R182" s="64"/>
      <c r="S182" s="64"/>
      <c r="T182" s="64"/>
      <c r="U182" s="64"/>
      <c r="V182" s="64"/>
      <c r="W182" s="64"/>
      <c r="X182" s="64"/>
      <c r="Y182" s="64"/>
      <c r="Z182" s="64"/>
    </row>
    <row r="183" ht="12.75" customHeight="1">
      <c r="A183" s="108"/>
      <c r="B183" s="64"/>
      <c r="C183" s="64"/>
      <c r="D183" s="64"/>
      <c r="E183" s="64"/>
      <c r="F183" s="63"/>
      <c r="G183" s="63"/>
      <c r="H183" s="64"/>
      <c r="I183" s="64"/>
      <c r="J183" s="64"/>
      <c r="K183" s="64"/>
      <c r="L183" s="64"/>
      <c r="M183" s="64"/>
      <c r="N183" s="64"/>
      <c r="O183" s="64"/>
      <c r="P183" s="64"/>
      <c r="Q183" s="64"/>
      <c r="R183" s="64"/>
      <c r="S183" s="64"/>
      <c r="T183" s="64"/>
      <c r="U183" s="64"/>
      <c r="V183" s="64"/>
      <c r="W183" s="64"/>
      <c r="X183" s="64"/>
      <c r="Y183" s="64"/>
      <c r="Z183" s="64"/>
    </row>
    <row r="184" ht="12.75" customHeight="1">
      <c r="A184" s="108"/>
      <c r="B184" s="64"/>
      <c r="C184" s="64"/>
      <c r="D184" s="64"/>
      <c r="E184" s="64"/>
      <c r="F184" s="63"/>
      <c r="G184" s="63"/>
      <c r="H184" s="64"/>
      <c r="I184" s="64"/>
      <c r="J184" s="64"/>
      <c r="K184" s="64"/>
      <c r="L184" s="64"/>
      <c r="M184" s="64"/>
      <c r="N184" s="64"/>
      <c r="O184" s="64"/>
      <c r="P184" s="64"/>
      <c r="Q184" s="64"/>
      <c r="R184" s="64"/>
      <c r="S184" s="64"/>
      <c r="T184" s="64"/>
      <c r="U184" s="64"/>
      <c r="V184" s="64"/>
      <c r="W184" s="64"/>
      <c r="X184" s="64"/>
      <c r="Y184" s="64"/>
      <c r="Z184" s="64"/>
    </row>
    <row r="185" ht="12.75" customHeight="1">
      <c r="A185" s="108"/>
      <c r="B185" s="64"/>
      <c r="C185" s="64"/>
      <c r="D185" s="64"/>
      <c r="E185" s="64"/>
      <c r="F185" s="63"/>
      <c r="G185" s="63"/>
      <c r="H185" s="64"/>
      <c r="I185" s="64"/>
      <c r="J185" s="64"/>
      <c r="K185" s="64"/>
      <c r="L185" s="64"/>
      <c r="M185" s="64"/>
      <c r="N185" s="64"/>
      <c r="O185" s="64"/>
      <c r="P185" s="64"/>
      <c r="Q185" s="64"/>
      <c r="R185" s="64"/>
      <c r="S185" s="64"/>
      <c r="T185" s="64"/>
      <c r="U185" s="64"/>
      <c r="V185" s="64"/>
      <c r="W185" s="64"/>
      <c r="X185" s="64"/>
      <c r="Y185" s="64"/>
      <c r="Z185" s="64"/>
    </row>
    <row r="186" ht="12.75" customHeight="1">
      <c r="A186" s="108"/>
      <c r="B186" s="64"/>
      <c r="C186" s="64"/>
      <c r="D186" s="64"/>
      <c r="E186" s="64"/>
      <c r="F186" s="63"/>
      <c r="G186" s="63"/>
      <c r="H186" s="64"/>
      <c r="I186" s="64"/>
      <c r="J186" s="64"/>
      <c r="K186" s="64"/>
      <c r="L186" s="64"/>
      <c r="M186" s="64"/>
      <c r="N186" s="64"/>
      <c r="O186" s="64"/>
      <c r="P186" s="64"/>
      <c r="Q186" s="64"/>
      <c r="R186" s="64"/>
      <c r="S186" s="64"/>
      <c r="T186" s="64"/>
      <c r="U186" s="64"/>
      <c r="V186" s="64"/>
      <c r="W186" s="64"/>
      <c r="X186" s="64"/>
      <c r="Y186" s="64"/>
      <c r="Z186" s="64"/>
    </row>
    <row r="187" ht="12.75" customHeight="1">
      <c r="A187" s="108"/>
      <c r="B187" s="64"/>
      <c r="C187" s="64"/>
      <c r="D187" s="64"/>
      <c r="E187" s="64"/>
      <c r="F187" s="63"/>
      <c r="G187" s="63"/>
      <c r="H187" s="64"/>
      <c r="I187" s="64"/>
      <c r="J187" s="64"/>
      <c r="K187" s="64"/>
      <c r="L187" s="64"/>
      <c r="M187" s="64"/>
      <c r="N187" s="64"/>
      <c r="O187" s="64"/>
      <c r="P187" s="64"/>
      <c r="Q187" s="64"/>
      <c r="R187" s="64"/>
      <c r="S187" s="64"/>
      <c r="T187" s="64"/>
      <c r="U187" s="64"/>
      <c r="V187" s="64"/>
      <c r="W187" s="64"/>
      <c r="X187" s="64"/>
      <c r="Y187" s="64"/>
      <c r="Z187" s="64"/>
    </row>
    <row r="188" ht="12.75" customHeight="1">
      <c r="A188" s="108"/>
      <c r="B188" s="64"/>
      <c r="C188" s="64"/>
      <c r="D188" s="64"/>
      <c r="E188" s="64"/>
      <c r="F188" s="63"/>
      <c r="G188" s="63"/>
      <c r="H188" s="64"/>
      <c r="I188" s="64"/>
      <c r="J188" s="64"/>
      <c r="K188" s="64"/>
      <c r="L188" s="64"/>
      <c r="M188" s="64"/>
      <c r="N188" s="64"/>
      <c r="O188" s="64"/>
      <c r="P188" s="64"/>
      <c r="Q188" s="64"/>
      <c r="R188" s="64"/>
      <c r="S188" s="64"/>
      <c r="T188" s="64"/>
      <c r="U188" s="64"/>
      <c r="V188" s="64"/>
      <c r="W188" s="64"/>
      <c r="X188" s="64"/>
      <c r="Y188" s="64"/>
      <c r="Z188" s="64"/>
    </row>
    <row r="189" ht="12.75" customHeight="1">
      <c r="A189" s="108"/>
      <c r="B189" s="64"/>
      <c r="C189" s="64"/>
      <c r="D189" s="64"/>
      <c r="E189" s="64"/>
      <c r="F189" s="63"/>
      <c r="G189" s="63"/>
      <c r="H189" s="64"/>
      <c r="I189" s="64"/>
      <c r="J189" s="64"/>
      <c r="K189" s="64"/>
      <c r="L189" s="64"/>
      <c r="M189" s="64"/>
      <c r="N189" s="64"/>
      <c r="O189" s="64"/>
      <c r="P189" s="64"/>
      <c r="Q189" s="64"/>
      <c r="R189" s="64"/>
      <c r="S189" s="64"/>
      <c r="T189" s="64"/>
      <c r="U189" s="64"/>
      <c r="V189" s="64"/>
      <c r="W189" s="64"/>
      <c r="X189" s="64"/>
      <c r="Y189" s="64"/>
      <c r="Z189" s="64"/>
    </row>
    <row r="190" ht="12.75" customHeight="1">
      <c r="A190" s="108"/>
      <c r="B190" s="64"/>
      <c r="C190" s="64"/>
      <c r="D190" s="64"/>
      <c r="E190" s="64"/>
      <c r="F190" s="63"/>
      <c r="G190" s="63"/>
      <c r="H190" s="64"/>
      <c r="I190" s="64"/>
      <c r="J190" s="64"/>
      <c r="K190" s="64"/>
      <c r="L190" s="64"/>
      <c r="M190" s="64"/>
      <c r="N190" s="64"/>
      <c r="O190" s="64"/>
      <c r="P190" s="64"/>
      <c r="Q190" s="64"/>
      <c r="R190" s="64"/>
      <c r="S190" s="64"/>
      <c r="T190" s="64"/>
      <c r="U190" s="64"/>
      <c r="V190" s="64"/>
      <c r="W190" s="64"/>
      <c r="X190" s="64"/>
      <c r="Y190" s="64"/>
      <c r="Z190" s="64"/>
    </row>
    <row r="191" ht="12.75" customHeight="1">
      <c r="A191" s="108"/>
      <c r="B191" s="64"/>
      <c r="C191" s="64"/>
      <c r="D191" s="64"/>
      <c r="E191" s="64"/>
      <c r="F191" s="63"/>
      <c r="G191" s="63"/>
      <c r="H191" s="64"/>
      <c r="I191" s="64"/>
      <c r="J191" s="64"/>
      <c r="K191" s="64"/>
      <c r="L191" s="64"/>
      <c r="M191" s="64"/>
      <c r="N191" s="64"/>
      <c r="O191" s="64"/>
      <c r="P191" s="64"/>
      <c r="Q191" s="64"/>
      <c r="R191" s="64"/>
      <c r="S191" s="64"/>
      <c r="T191" s="64"/>
      <c r="U191" s="64"/>
      <c r="V191" s="64"/>
      <c r="W191" s="64"/>
      <c r="X191" s="64"/>
      <c r="Y191" s="64"/>
      <c r="Z191" s="64"/>
    </row>
    <row r="192" ht="12.75" customHeight="1">
      <c r="A192" s="108"/>
      <c r="B192" s="64"/>
      <c r="C192" s="64"/>
      <c r="D192" s="64"/>
      <c r="E192" s="64"/>
      <c r="F192" s="63"/>
      <c r="G192" s="63"/>
      <c r="H192" s="64"/>
      <c r="I192" s="64"/>
      <c r="J192" s="64"/>
      <c r="K192" s="64"/>
      <c r="L192" s="64"/>
      <c r="M192" s="64"/>
      <c r="N192" s="64"/>
      <c r="O192" s="64"/>
      <c r="P192" s="64"/>
      <c r="Q192" s="64"/>
      <c r="R192" s="64"/>
      <c r="S192" s="64"/>
      <c r="T192" s="64"/>
      <c r="U192" s="64"/>
      <c r="V192" s="64"/>
      <c r="W192" s="64"/>
      <c r="X192" s="64"/>
      <c r="Y192" s="64"/>
      <c r="Z192" s="64"/>
    </row>
    <row r="193" ht="12.75" customHeight="1">
      <c r="A193" s="108"/>
      <c r="B193" s="64"/>
      <c r="C193" s="64"/>
      <c r="D193" s="64"/>
      <c r="E193" s="64"/>
      <c r="F193" s="63"/>
      <c r="G193" s="63"/>
      <c r="H193" s="64"/>
      <c r="I193" s="64"/>
      <c r="J193" s="64"/>
      <c r="K193" s="64"/>
      <c r="L193" s="64"/>
      <c r="M193" s="64"/>
      <c r="N193" s="64"/>
      <c r="O193" s="64"/>
      <c r="P193" s="64"/>
      <c r="Q193" s="64"/>
      <c r="R193" s="64"/>
      <c r="S193" s="64"/>
      <c r="T193" s="64"/>
      <c r="U193" s="64"/>
      <c r="V193" s="64"/>
      <c r="W193" s="64"/>
      <c r="X193" s="64"/>
      <c r="Y193" s="64"/>
      <c r="Z193" s="64"/>
    </row>
    <row r="194" ht="12.75" customHeight="1">
      <c r="A194" s="108"/>
      <c r="B194" s="64"/>
      <c r="C194" s="64"/>
      <c r="D194" s="64"/>
      <c r="E194" s="64"/>
      <c r="F194" s="63"/>
      <c r="G194" s="63"/>
      <c r="H194" s="64"/>
      <c r="I194" s="64"/>
      <c r="J194" s="64"/>
      <c r="K194" s="64"/>
      <c r="L194" s="64"/>
      <c r="M194" s="64"/>
      <c r="N194" s="64"/>
      <c r="O194" s="64"/>
      <c r="P194" s="64"/>
      <c r="Q194" s="64"/>
      <c r="R194" s="64"/>
      <c r="S194" s="64"/>
      <c r="T194" s="64"/>
      <c r="U194" s="64"/>
      <c r="V194" s="64"/>
      <c r="W194" s="64"/>
      <c r="X194" s="64"/>
      <c r="Y194" s="64"/>
      <c r="Z194" s="64"/>
    </row>
    <row r="195" ht="12.75" customHeight="1">
      <c r="A195" s="108"/>
      <c r="B195" s="64"/>
      <c r="C195" s="64"/>
      <c r="D195" s="64"/>
      <c r="E195" s="64"/>
      <c r="F195" s="63"/>
      <c r="G195" s="63"/>
      <c r="H195" s="64"/>
      <c r="I195" s="64"/>
      <c r="J195" s="64"/>
      <c r="K195" s="64"/>
      <c r="L195" s="64"/>
      <c r="M195" s="64"/>
      <c r="N195" s="64"/>
      <c r="O195" s="64"/>
      <c r="P195" s="64"/>
      <c r="Q195" s="64"/>
      <c r="R195" s="64"/>
      <c r="S195" s="64"/>
      <c r="T195" s="64"/>
      <c r="U195" s="64"/>
      <c r="V195" s="64"/>
      <c r="W195" s="64"/>
      <c r="X195" s="64"/>
      <c r="Y195" s="64"/>
      <c r="Z195" s="64"/>
    </row>
    <row r="196" ht="12.75" customHeight="1">
      <c r="A196" s="108"/>
      <c r="B196" s="64"/>
      <c r="C196" s="64"/>
      <c r="D196" s="64"/>
      <c r="E196" s="64"/>
      <c r="F196" s="63"/>
      <c r="G196" s="63"/>
      <c r="H196" s="64"/>
      <c r="I196" s="64"/>
      <c r="J196" s="64"/>
      <c r="K196" s="64"/>
      <c r="L196" s="64"/>
      <c r="M196" s="64"/>
      <c r="N196" s="64"/>
      <c r="O196" s="64"/>
      <c r="P196" s="64"/>
      <c r="Q196" s="64"/>
      <c r="R196" s="64"/>
      <c r="S196" s="64"/>
      <c r="T196" s="64"/>
      <c r="U196" s="64"/>
      <c r="V196" s="64"/>
      <c r="W196" s="64"/>
      <c r="X196" s="64"/>
      <c r="Y196" s="64"/>
      <c r="Z196" s="64"/>
    </row>
    <row r="197" ht="12.75" customHeight="1">
      <c r="A197" s="108"/>
      <c r="B197" s="64"/>
      <c r="C197" s="64"/>
      <c r="D197" s="64"/>
      <c r="E197" s="64"/>
      <c r="F197" s="63"/>
      <c r="G197" s="63"/>
      <c r="H197" s="64"/>
      <c r="I197" s="64"/>
      <c r="J197" s="64"/>
      <c r="K197" s="64"/>
      <c r="L197" s="64"/>
      <c r="M197" s="64"/>
      <c r="N197" s="64"/>
      <c r="O197" s="64"/>
      <c r="P197" s="64"/>
      <c r="Q197" s="64"/>
      <c r="R197" s="64"/>
      <c r="S197" s="64"/>
      <c r="T197" s="64"/>
      <c r="U197" s="64"/>
      <c r="V197" s="64"/>
      <c r="W197" s="64"/>
      <c r="X197" s="64"/>
      <c r="Y197" s="64"/>
      <c r="Z197" s="64"/>
    </row>
    <row r="198" ht="12.75" customHeight="1">
      <c r="A198" s="108"/>
      <c r="B198" s="64"/>
      <c r="C198" s="64"/>
      <c r="D198" s="64"/>
      <c r="E198" s="64"/>
      <c r="F198" s="63"/>
      <c r="G198" s="63"/>
      <c r="H198" s="64"/>
      <c r="I198" s="64"/>
      <c r="J198" s="64"/>
      <c r="K198" s="64"/>
      <c r="L198" s="64"/>
      <c r="M198" s="64"/>
      <c r="N198" s="64"/>
      <c r="O198" s="64"/>
      <c r="P198" s="64"/>
      <c r="Q198" s="64"/>
      <c r="R198" s="64"/>
      <c r="S198" s="64"/>
      <c r="T198" s="64"/>
      <c r="U198" s="64"/>
      <c r="V198" s="64"/>
      <c r="W198" s="64"/>
      <c r="X198" s="64"/>
      <c r="Y198" s="64"/>
      <c r="Z198" s="64"/>
    </row>
    <row r="199" ht="12.75" customHeight="1">
      <c r="A199" s="108"/>
      <c r="B199" s="64"/>
      <c r="C199" s="64"/>
      <c r="D199" s="64"/>
      <c r="E199" s="64"/>
      <c r="F199" s="63"/>
      <c r="G199" s="63"/>
      <c r="H199" s="64"/>
      <c r="I199" s="64"/>
      <c r="J199" s="64"/>
      <c r="K199" s="64"/>
      <c r="L199" s="64"/>
      <c r="M199" s="64"/>
      <c r="N199" s="64"/>
      <c r="O199" s="64"/>
      <c r="P199" s="64"/>
      <c r="Q199" s="64"/>
      <c r="R199" s="64"/>
      <c r="S199" s="64"/>
      <c r="T199" s="64"/>
      <c r="U199" s="64"/>
      <c r="V199" s="64"/>
      <c r="W199" s="64"/>
      <c r="X199" s="64"/>
      <c r="Y199" s="64"/>
      <c r="Z199" s="64"/>
    </row>
    <row r="200" ht="12.75" customHeight="1">
      <c r="A200" s="108"/>
      <c r="B200" s="64"/>
      <c r="C200" s="64"/>
      <c r="D200" s="64"/>
      <c r="E200" s="64"/>
      <c r="F200" s="63"/>
      <c r="G200" s="63"/>
      <c r="H200" s="64"/>
      <c r="I200" s="64"/>
      <c r="J200" s="64"/>
      <c r="K200" s="64"/>
      <c r="L200" s="64"/>
      <c r="M200" s="64"/>
      <c r="N200" s="64"/>
      <c r="O200" s="64"/>
      <c r="P200" s="64"/>
      <c r="Q200" s="64"/>
      <c r="R200" s="64"/>
      <c r="S200" s="64"/>
      <c r="T200" s="64"/>
      <c r="U200" s="64"/>
      <c r="V200" s="64"/>
      <c r="W200" s="64"/>
      <c r="X200" s="64"/>
      <c r="Y200" s="64"/>
      <c r="Z200" s="64"/>
    </row>
    <row r="201" ht="12.75" customHeight="1">
      <c r="A201" s="108"/>
      <c r="B201" s="64"/>
      <c r="C201" s="64"/>
      <c r="D201" s="64"/>
      <c r="E201" s="64"/>
      <c r="F201" s="63"/>
      <c r="G201" s="63"/>
      <c r="H201" s="64"/>
      <c r="I201" s="64"/>
      <c r="J201" s="64"/>
      <c r="K201" s="64"/>
      <c r="L201" s="64"/>
      <c r="M201" s="64"/>
      <c r="N201" s="64"/>
      <c r="O201" s="64"/>
      <c r="P201" s="64"/>
      <c r="Q201" s="64"/>
      <c r="R201" s="64"/>
      <c r="S201" s="64"/>
      <c r="T201" s="64"/>
      <c r="U201" s="64"/>
      <c r="V201" s="64"/>
      <c r="W201" s="64"/>
      <c r="X201" s="64"/>
      <c r="Y201" s="64"/>
      <c r="Z201" s="64"/>
    </row>
    <row r="202" ht="12.75" customHeight="1">
      <c r="A202" s="108"/>
      <c r="B202" s="64"/>
      <c r="C202" s="64"/>
      <c r="D202" s="64"/>
      <c r="E202" s="64"/>
      <c r="F202" s="63"/>
      <c r="G202" s="63"/>
      <c r="H202" s="64"/>
      <c r="I202" s="64"/>
      <c r="J202" s="64"/>
      <c r="K202" s="64"/>
      <c r="L202" s="64"/>
      <c r="M202" s="64"/>
      <c r="N202" s="64"/>
      <c r="O202" s="64"/>
      <c r="P202" s="64"/>
      <c r="Q202" s="64"/>
      <c r="R202" s="64"/>
      <c r="S202" s="64"/>
      <c r="T202" s="64"/>
      <c r="U202" s="64"/>
      <c r="V202" s="64"/>
      <c r="W202" s="64"/>
      <c r="X202" s="64"/>
      <c r="Y202" s="64"/>
      <c r="Z202" s="64"/>
    </row>
    <row r="203" ht="12.75" customHeight="1">
      <c r="A203" s="108"/>
      <c r="B203" s="64"/>
      <c r="C203" s="64"/>
      <c r="D203" s="64"/>
      <c r="E203" s="64"/>
      <c r="F203" s="63"/>
      <c r="G203" s="63"/>
      <c r="H203" s="64"/>
      <c r="I203" s="64"/>
      <c r="J203" s="64"/>
      <c r="K203" s="64"/>
      <c r="L203" s="64"/>
      <c r="M203" s="64"/>
      <c r="N203" s="64"/>
      <c r="O203" s="64"/>
      <c r="P203" s="64"/>
      <c r="Q203" s="64"/>
      <c r="R203" s="64"/>
      <c r="S203" s="64"/>
      <c r="T203" s="64"/>
      <c r="U203" s="64"/>
      <c r="V203" s="64"/>
      <c r="W203" s="64"/>
      <c r="X203" s="64"/>
      <c r="Y203" s="64"/>
      <c r="Z203" s="64"/>
    </row>
    <row r="204" ht="12.75" customHeight="1">
      <c r="A204" s="108"/>
      <c r="B204" s="64"/>
      <c r="C204" s="64"/>
      <c r="D204" s="64"/>
      <c r="E204" s="64"/>
      <c r="F204" s="63"/>
      <c r="G204" s="63"/>
      <c r="H204" s="64"/>
      <c r="I204" s="64"/>
      <c r="J204" s="64"/>
      <c r="K204" s="64"/>
      <c r="L204" s="64"/>
      <c r="M204" s="64"/>
      <c r="N204" s="64"/>
      <c r="O204" s="64"/>
      <c r="P204" s="64"/>
      <c r="Q204" s="64"/>
      <c r="R204" s="64"/>
      <c r="S204" s="64"/>
      <c r="T204" s="64"/>
      <c r="U204" s="64"/>
      <c r="V204" s="64"/>
      <c r="W204" s="64"/>
      <c r="X204" s="64"/>
      <c r="Y204" s="64"/>
      <c r="Z204" s="64"/>
    </row>
    <row r="205" ht="12.75" customHeight="1">
      <c r="A205" s="108"/>
      <c r="B205" s="64"/>
      <c r="C205" s="64"/>
      <c r="D205" s="64"/>
      <c r="E205" s="64"/>
      <c r="F205" s="63"/>
      <c r="G205" s="63"/>
      <c r="H205" s="64"/>
      <c r="I205" s="64"/>
      <c r="J205" s="64"/>
      <c r="K205" s="64"/>
      <c r="L205" s="64"/>
      <c r="M205" s="64"/>
      <c r="N205" s="64"/>
      <c r="O205" s="64"/>
      <c r="P205" s="64"/>
      <c r="Q205" s="64"/>
      <c r="R205" s="64"/>
      <c r="S205" s="64"/>
      <c r="T205" s="64"/>
      <c r="U205" s="64"/>
      <c r="V205" s="64"/>
      <c r="W205" s="64"/>
      <c r="X205" s="64"/>
      <c r="Y205" s="64"/>
      <c r="Z205" s="64"/>
    </row>
    <row r="206" ht="12.75" customHeight="1">
      <c r="A206" s="108"/>
      <c r="B206" s="64"/>
      <c r="C206" s="64"/>
      <c r="D206" s="64"/>
      <c r="E206" s="64"/>
      <c r="F206" s="63"/>
      <c r="G206" s="63"/>
      <c r="H206" s="64"/>
      <c r="I206" s="64"/>
      <c r="J206" s="64"/>
      <c r="K206" s="64"/>
      <c r="L206" s="64"/>
      <c r="M206" s="64"/>
      <c r="N206" s="64"/>
      <c r="O206" s="64"/>
      <c r="P206" s="64"/>
      <c r="Q206" s="64"/>
      <c r="R206" s="64"/>
      <c r="S206" s="64"/>
      <c r="T206" s="64"/>
      <c r="U206" s="64"/>
      <c r="V206" s="64"/>
      <c r="W206" s="64"/>
      <c r="X206" s="64"/>
      <c r="Y206" s="64"/>
      <c r="Z206" s="64"/>
    </row>
    <row r="207" ht="12.75" customHeight="1">
      <c r="A207" s="108"/>
      <c r="B207" s="64"/>
      <c r="C207" s="64"/>
      <c r="D207" s="64"/>
      <c r="E207" s="64"/>
      <c r="F207" s="63"/>
      <c r="G207" s="63"/>
      <c r="H207" s="64"/>
      <c r="I207" s="64"/>
      <c r="J207" s="64"/>
      <c r="K207" s="64"/>
      <c r="L207" s="64"/>
      <c r="M207" s="64"/>
      <c r="N207" s="64"/>
      <c r="O207" s="64"/>
      <c r="P207" s="64"/>
      <c r="Q207" s="64"/>
      <c r="R207" s="64"/>
      <c r="S207" s="64"/>
      <c r="T207" s="64"/>
      <c r="U207" s="64"/>
      <c r="V207" s="64"/>
      <c r="W207" s="64"/>
      <c r="X207" s="64"/>
      <c r="Y207" s="64"/>
      <c r="Z207" s="64"/>
    </row>
    <row r="208" ht="12.75" customHeight="1">
      <c r="A208" s="108"/>
      <c r="B208" s="64"/>
      <c r="C208" s="64"/>
      <c r="D208" s="64"/>
      <c r="E208" s="64"/>
      <c r="F208" s="63"/>
      <c r="G208" s="63"/>
      <c r="H208" s="64"/>
      <c r="I208" s="64"/>
      <c r="J208" s="64"/>
      <c r="K208" s="64"/>
      <c r="L208" s="64"/>
      <c r="M208" s="64"/>
      <c r="N208" s="64"/>
      <c r="O208" s="64"/>
      <c r="P208" s="64"/>
      <c r="Q208" s="64"/>
      <c r="R208" s="64"/>
      <c r="S208" s="64"/>
      <c r="T208" s="64"/>
      <c r="U208" s="64"/>
      <c r="V208" s="64"/>
      <c r="W208" s="64"/>
      <c r="X208" s="64"/>
      <c r="Y208" s="64"/>
      <c r="Z208" s="64"/>
    </row>
    <row r="209" ht="12.75" customHeight="1">
      <c r="A209" s="108"/>
      <c r="B209" s="64"/>
      <c r="C209" s="64"/>
      <c r="D209" s="64"/>
      <c r="E209" s="64"/>
      <c r="F209" s="63"/>
      <c r="G209" s="63"/>
      <c r="H209" s="64"/>
      <c r="I209" s="64"/>
      <c r="J209" s="64"/>
      <c r="K209" s="64"/>
      <c r="L209" s="64"/>
      <c r="M209" s="64"/>
      <c r="N209" s="64"/>
      <c r="O209" s="64"/>
      <c r="P209" s="64"/>
      <c r="Q209" s="64"/>
      <c r="R209" s="64"/>
      <c r="S209" s="64"/>
      <c r="T209" s="64"/>
      <c r="U209" s="64"/>
      <c r="V209" s="64"/>
      <c r="W209" s="64"/>
      <c r="X209" s="64"/>
      <c r="Y209" s="64"/>
      <c r="Z209" s="64"/>
    </row>
    <row r="210" ht="12.75" customHeight="1">
      <c r="A210" s="108"/>
      <c r="B210" s="64"/>
      <c r="C210" s="64"/>
      <c r="D210" s="64"/>
      <c r="E210" s="64"/>
      <c r="F210" s="63"/>
      <c r="G210" s="63"/>
      <c r="H210" s="64"/>
      <c r="I210" s="64"/>
      <c r="J210" s="64"/>
      <c r="K210" s="64"/>
      <c r="L210" s="64"/>
      <c r="M210" s="64"/>
      <c r="N210" s="64"/>
      <c r="O210" s="64"/>
      <c r="P210" s="64"/>
      <c r="Q210" s="64"/>
      <c r="R210" s="64"/>
      <c r="S210" s="64"/>
      <c r="T210" s="64"/>
      <c r="U210" s="64"/>
      <c r="V210" s="64"/>
      <c r="W210" s="64"/>
      <c r="X210" s="64"/>
      <c r="Y210" s="64"/>
      <c r="Z210" s="64"/>
    </row>
    <row r="211" ht="12.75" customHeight="1">
      <c r="A211" s="108"/>
      <c r="B211" s="64"/>
      <c r="C211" s="64"/>
      <c r="D211" s="64"/>
      <c r="E211" s="64"/>
      <c r="F211" s="63"/>
      <c r="G211" s="63"/>
      <c r="H211" s="64"/>
      <c r="I211" s="64"/>
      <c r="J211" s="64"/>
      <c r="K211" s="64"/>
      <c r="L211" s="64"/>
      <c r="M211" s="64"/>
      <c r="N211" s="64"/>
      <c r="O211" s="64"/>
      <c r="P211" s="64"/>
      <c r="Q211" s="64"/>
      <c r="R211" s="64"/>
      <c r="S211" s="64"/>
      <c r="T211" s="64"/>
      <c r="U211" s="64"/>
      <c r="V211" s="64"/>
      <c r="W211" s="64"/>
      <c r="X211" s="64"/>
      <c r="Y211" s="64"/>
      <c r="Z211" s="64"/>
    </row>
    <row r="212" ht="12.75" customHeight="1">
      <c r="A212" s="108"/>
      <c r="B212" s="64"/>
      <c r="C212" s="64"/>
      <c r="D212" s="64"/>
      <c r="E212" s="64"/>
      <c r="F212" s="63"/>
      <c r="G212" s="63"/>
      <c r="H212" s="64"/>
      <c r="I212" s="64"/>
      <c r="J212" s="64"/>
      <c r="K212" s="64"/>
      <c r="L212" s="64"/>
      <c r="M212" s="64"/>
      <c r="N212" s="64"/>
      <c r="O212" s="64"/>
      <c r="P212" s="64"/>
      <c r="Q212" s="64"/>
      <c r="R212" s="64"/>
      <c r="S212" s="64"/>
      <c r="T212" s="64"/>
      <c r="U212" s="64"/>
      <c r="V212" s="64"/>
      <c r="W212" s="64"/>
      <c r="X212" s="64"/>
      <c r="Y212" s="64"/>
      <c r="Z212" s="64"/>
    </row>
    <row r="213" ht="12.75" customHeight="1">
      <c r="A213" s="108"/>
      <c r="B213" s="64"/>
      <c r="C213" s="64"/>
      <c r="D213" s="64"/>
      <c r="E213" s="64"/>
      <c r="F213" s="63"/>
      <c r="G213" s="63"/>
      <c r="H213" s="64"/>
      <c r="I213" s="64"/>
      <c r="J213" s="64"/>
      <c r="K213" s="64"/>
      <c r="L213" s="64"/>
      <c r="M213" s="64"/>
      <c r="N213" s="64"/>
      <c r="O213" s="64"/>
      <c r="P213" s="64"/>
      <c r="Q213" s="64"/>
      <c r="R213" s="64"/>
      <c r="S213" s="64"/>
      <c r="T213" s="64"/>
      <c r="U213" s="64"/>
      <c r="V213" s="64"/>
      <c r="W213" s="64"/>
      <c r="X213" s="64"/>
      <c r="Y213" s="64"/>
      <c r="Z213" s="64"/>
    </row>
    <row r="214" ht="12.75" customHeight="1">
      <c r="A214" s="108"/>
      <c r="B214" s="64"/>
      <c r="C214" s="64"/>
      <c r="D214" s="64"/>
      <c r="E214" s="64"/>
      <c r="F214" s="63"/>
      <c r="G214" s="63"/>
      <c r="H214" s="64"/>
      <c r="I214" s="64"/>
      <c r="J214" s="64"/>
      <c r="K214" s="64"/>
      <c r="L214" s="64"/>
      <c r="M214" s="64"/>
      <c r="N214" s="64"/>
      <c r="O214" s="64"/>
      <c r="P214" s="64"/>
      <c r="Q214" s="64"/>
      <c r="R214" s="64"/>
      <c r="S214" s="64"/>
      <c r="T214" s="64"/>
      <c r="U214" s="64"/>
      <c r="V214" s="64"/>
      <c r="W214" s="64"/>
      <c r="X214" s="64"/>
      <c r="Y214" s="64"/>
      <c r="Z214" s="64"/>
    </row>
    <row r="215" ht="12.75" customHeight="1">
      <c r="A215" s="108"/>
      <c r="B215" s="64"/>
      <c r="C215" s="64"/>
      <c r="D215" s="64"/>
      <c r="E215" s="64"/>
      <c r="F215" s="63"/>
      <c r="G215" s="63"/>
      <c r="H215" s="64"/>
      <c r="I215" s="64"/>
      <c r="J215" s="64"/>
      <c r="K215" s="64"/>
      <c r="L215" s="64"/>
      <c r="M215" s="64"/>
      <c r="N215" s="64"/>
      <c r="O215" s="64"/>
      <c r="P215" s="64"/>
      <c r="Q215" s="64"/>
      <c r="R215" s="64"/>
      <c r="S215" s="64"/>
      <c r="T215" s="64"/>
      <c r="U215" s="64"/>
      <c r="V215" s="64"/>
      <c r="W215" s="64"/>
      <c r="X215" s="64"/>
      <c r="Y215" s="64"/>
      <c r="Z215" s="64"/>
    </row>
    <row r="216" ht="12.75" customHeight="1">
      <c r="A216" s="108"/>
      <c r="B216" s="64"/>
      <c r="C216" s="64"/>
      <c r="D216" s="64"/>
      <c r="E216" s="64"/>
      <c r="F216" s="63"/>
      <c r="G216" s="63"/>
      <c r="H216" s="64"/>
      <c r="I216" s="64"/>
      <c r="J216" s="64"/>
      <c r="K216" s="64"/>
      <c r="L216" s="64"/>
      <c r="M216" s="64"/>
      <c r="N216" s="64"/>
      <c r="O216" s="64"/>
      <c r="P216" s="64"/>
      <c r="Q216" s="64"/>
      <c r="R216" s="64"/>
      <c r="S216" s="64"/>
      <c r="T216" s="64"/>
      <c r="U216" s="64"/>
      <c r="V216" s="64"/>
      <c r="W216" s="64"/>
      <c r="X216" s="64"/>
      <c r="Y216" s="64"/>
      <c r="Z216" s="64"/>
    </row>
    <row r="217" ht="12.75" customHeight="1">
      <c r="A217" s="108"/>
      <c r="B217" s="64"/>
      <c r="C217" s="64"/>
      <c r="D217" s="64"/>
      <c r="E217" s="64"/>
      <c r="F217" s="63"/>
      <c r="G217" s="63"/>
      <c r="H217" s="64"/>
      <c r="I217" s="64"/>
      <c r="J217" s="64"/>
      <c r="K217" s="64"/>
      <c r="L217" s="64"/>
      <c r="M217" s="64"/>
      <c r="N217" s="64"/>
      <c r="O217" s="64"/>
      <c r="P217" s="64"/>
      <c r="Q217" s="64"/>
      <c r="R217" s="64"/>
      <c r="S217" s="64"/>
      <c r="T217" s="64"/>
      <c r="U217" s="64"/>
      <c r="V217" s="64"/>
      <c r="W217" s="64"/>
      <c r="X217" s="64"/>
      <c r="Y217" s="64"/>
      <c r="Z217" s="64"/>
    </row>
    <row r="218" ht="12.75" customHeight="1">
      <c r="A218" s="108"/>
      <c r="B218" s="64"/>
      <c r="C218" s="64"/>
      <c r="D218" s="64"/>
      <c r="E218" s="64"/>
      <c r="F218" s="63"/>
      <c r="G218" s="63"/>
      <c r="H218" s="64"/>
      <c r="I218" s="64"/>
      <c r="J218" s="64"/>
      <c r="K218" s="64"/>
      <c r="L218" s="64"/>
      <c r="M218" s="64"/>
      <c r="N218" s="64"/>
      <c r="O218" s="64"/>
      <c r="P218" s="64"/>
      <c r="Q218" s="64"/>
      <c r="R218" s="64"/>
      <c r="S218" s="64"/>
      <c r="T218" s="64"/>
      <c r="U218" s="64"/>
      <c r="V218" s="64"/>
      <c r="W218" s="64"/>
      <c r="X218" s="64"/>
      <c r="Y218" s="64"/>
      <c r="Z218" s="64"/>
    </row>
    <row r="219" ht="12.75" customHeight="1">
      <c r="A219" s="108"/>
      <c r="B219" s="64"/>
      <c r="C219" s="64"/>
      <c r="D219" s="64"/>
      <c r="E219" s="64"/>
      <c r="F219" s="63"/>
      <c r="G219" s="63"/>
      <c r="H219" s="64"/>
      <c r="I219" s="64"/>
      <c r="J219" s="64"/>
      <c r="K219" s="64"/>
      <c r="L219" s="64"/>
      <c r="M219" s="64"/>
      <c r="N219" s="64"/>
      <c r="O219" s="64"/>
      <c r="P219" s="64"/>
      <c r="Q219" s="64"/>
      <c r="R219" s="64"/>
      <c r="S219" s="64"/>
      <c r="T219" s="64"/>
      <c r="U219" s="64"/>
      <c r="V219" s="64"/>
      <c r="W219" s="64"/>
      <c r="X219" s="64"/>
      <c r="Y219" s="64"/>
      <c r="Z219" s="64"/>
    </row>
    <row r="220" ht="12.75" customHeight="1">
      <c r="A220" s="108"/>
      <c r="B220" s="64"/>
      <c r="C220" s="64"/>
      <c r="D220" s="64"/>
      <c r="E220" s="64"/>
      <c r="F220" s="63"/>
      <c r="G220" s="63"/>
      <c r="H220" s="64"/>
      <c r="I220" s="64"/>
      <c r="J220" s="64"/>
      <c r="K220" s="64"/>
      <c r="L220" s="64"/>
      <c r="M220" s="64"/>
      <c r="N220" s="64"/>
      <c r="O220" s="64"/>
      <c r="P220" s="64"/>
      <c r="Q220" s="64"/>
      <c r="R220" s="64"/>
      <c r="S220" s="64"/>
      <c r="T220" s="64"/>
      <c r="U220" s="64"/>
      <c r="V220" s="64"/>
      <c r="W220" s="64"/>
      <c r="X220" s="64"/>
      <c r="Y220" s="64"/>
      <c r="Z220" s="64"/>
    </row>
    <row r="221" ht="12.75" customHeight="1">
      <c r="A221" s="108"/>
      <c r="B221" s="64"/>
      <c r="C221" s="64"/>
      <c r="D221" s="64"/>
      <c r="E221" s="64"/>
      <c r="F221" s="63"/>
      <c r="G221" s="63"/>
      <c r="H221" s="64"/>
      <c r="I221" s="64"/>
      <c r="J221" s="64"/>
      <c r="K221" s="64"/>
      <c r="L221" s="64"/>
      <c r="M221" s="64"/>
      <c r="N221" s="64"/>
      <c r="O221" s="64"/>
      <c r="P221" s="64"/>
      <c r="Q221" s="64"/>
      <c r="R221" s="64"/>
      <c r="S221" s="64"/>
      <c r="T221" s="64"/>
      <c r="U221" s="64"/>
      <c r="V221" s="64"/>
      <c r="W221" s="64"/>
      <c r="X221" s="64"/>
      <c r="Y221" s="64"/>
      <c r="Z221" s="64"/>
    </row>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mergeCells count="10">
    <mergeCell ref="C19:D19"/>
    <mergeCell ref="C20:D20"/>
    <mergeCell ref="C21:D21"/>
    <mergeCell ref="C12:D12"/>
    <mergeCell ref="C13:D13"/>
    <mergeCell ref="C14:D14"/>
    <mergeCell ref="C15:D15"/>
    <mergeCell ref="C16:D16"/>
    <mergeCell ref="C17:D17"/>
    <mergeCell ref="C18:D18"/>
  </mergeCells>
  <dataValidations>
    <dataValidation type="decimal" allowBlank="1" showErrorMessage="1" sqref="F13:F20">
      <formula1>0.0</formula1>
      <formula2>50.0</formula2>
    </dataValidation>
  </dataValidations>
  <printOptions/>
  <pageMargins bottom="0.75" footer="0.0" header="0.0" left="0.7" right="0.7" top="0.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4A3B8"/>
    <pageSetUpPr/>
  </sheetPr>
  <sheetViews>
    <sheetView showGridLines="0" workbookViewId="0"/>
  </sheetViews>
  <sheetFormatPr customHeight="1" defaultColWidth="12.63" defaultRowHeight="15.0"/>
  <cols>
    <col customWidth="1" min="1" max="1" width="16.13"/>
    <col customWidth="1" min="2" max="2" width="51.13"/>
    <col customWidth="1" min="3" max="3" width="27.38"/>
    <col customWidth="1" min="4" max="4" width="15.0"/>
    <col customWidth="1" min="5" max="5" width="20.63"/>
    <col customWidth="1" min="6" max="6" width="17.25"/>
    <col customWidth="1" min="7" max="7" width="15.0"/>
    <col customWidth="1" min="8" max="26" width="9.13"/>
  </cols>
  <sheetData>
    <row r="1" ht="12.75" customHeight="1">
      <c r="A1" s="105" t="s">
        <v>260</v>
      </c>
      <c r="B1" s="117" t="s">
        <v>41</v>
      </c>
      <c r="C1" s="78"/>
      <c r="D1" s="78"/>
      <c r="E1" s="64"/>
      <c r="F1" s="63"/>
      <c r="G1" s="63"/>
      <c r="H1" s="64"/>
      <c r="I1" s="64"/>
      <c r="J1" s="64"/>
      <c r="K1" s="64"/>
      <c r="L1" s="64"/>
      <c r="M1" s="64"/>
      <c r="N1" s="64"/>
      <c r="O1" s="64"/>
      <c r="P1" s="64"/>
      <c r="Q1" s="64"/>
      <c r="R1" s="64"/>
      <c r="S1" s="64"/>
      <c r="T1" s="64"/>
      <c r="U1" s="64"/>
      <c r="V1" s="64"/>
      <c r="W1" s="64"/>
      <c r="X1" s="64"/>
      <c r="Y1" s="64"/>
      <c r="Z1" s="64"/>
    </row>
    <row r="2" ht="12.75" customHeight="1">
      <c r="A2" s="110" t="s">
        <v>5</v>
      </c>
      <c r="B2" s="101" t="str">
        <f t="array" ref="B2">IFERROR(INDEX(Sessions!$C$2:$C$173,MATCH($B$1,Sessions!$B$2:$B$173,0))&amp;"","")</f>
        <v>Cloud, Big Data, and Distributed Computing</v>
      </c>
      <c r="C2" s="64"/>
      <c r="D2" s="64"/>
      <c r="E2" s="64"/>
      <c r="F2" s="63"/>
      <c r="G2" s="63"/>
      <c r="H2" s="64"/>
      <c r="I2" s="64"/>
      <c r="J2" s="64"/>
      <c r="K2" s="64"/>
      <c r="L2" s="64"/>
      <c r="M2" s="64"/>
      <c r="N2" s="64"/>
      <c r="O2" s="64"/>
      <c r="P2" s="64"/>
      <c r="Q2" s="64"/>
      <c r="R2" s="64"/>
      <c r="S2" s="64"/>
      <c r="T2" s="64"/>
      <c r="U2" s="64"/>
      <c r="V2" s="64"/>
      <c r="W2" s="64"/>
      <c r="X2" s="64"/>
      <c r="Y2" s="64"/>
      <c r="Z2" s="64"/>
    </row>
    <row r="3" ht="12.75" customHeight="1">
      <c r="A3" s="112" t="s">
        <v>704</v>
      </c>
      <c r="B3" s="86" t="str">
        <f>IF(LEFT($B$1,2)="T1",Schedule!$A$4&amp;", "&amp;Schedule!$A$10,IF(LEFT($B$1,2)="T2",Schedule!$A$4&amp;", "&amp;Schedule!$A$12,IF(LEFT($B$1,2)="T3",Schedule!$A$4&amp;", "&amp;#REF!,IF(LEFT($B$1,2)="T4",Schedule!$A$16&amp;", "&amp;Schedule!$A$18,IF($B$1="Keynote 1",Schedule!$A$4&amp;", "&amp;Schedule!$A$8,IF($B$1="Keynote 2",Schedule!$A$4&amp;", "&amp;Schedule!$A$13,IF($B$1="Keynote 3",Schedule!$A$16&amp;", "&amp;Schedule!$A$19,IF($B$1="IEEE Workshop",Schedule!$A$16&amp;", "&amp;#REF!,""))))))))</f>
        <v>Day 1, 14:30-16:30</v>
      </c>
      <c r="C3" s="80"/>
      <c r="D3" s="80"/>
      <c r="E3" s="64"/>
      <c r="F3" s="63"/>
      <c r="G3" s="63"/>
      <c r="H3" s="64"/>
      <c r="I3" s="64"/>
      <c r="J3" s="64"/>
      <c r="K3" s="64"/>
      <c r="L3" s="64"/>
      <c r="M3" s="64"/>
      <c r="N3" s="64"/>
      <c r="O3" s="64"/>
      <c r="P3" s="64"/>
      <c r="Q3" s="64"/>
      <c r="R3" s="64"/>
      <c r="S3" s="64"/>
      <c r="T3" s="64"/>
      <c r="U3" s="64"/>
      <c r="V3" s="64"/>
      <c r="W3" s="64"/>
      <c r="X3" s="64"/>
      <c r="Y3" s="64"/>
      <c r="Z3" s="64"/>
    </row>
    <row r="4" ht="12.75" customHeight="1">
      <c r="A4" s="112" t="s">
        <v>11</v>
      </c>
      <c r="B4" s="115" t="s">
        <v>43</v>
      </c>
      <c r="C4" s="80"/>
      <c r="D4" s="80"/>
      <c r="E4" s="64"/>
      <c r="F4" s="63"/>
      <c r="G4" s="63"/>
      <c r="H4" s="64"/>
      <c r="I4" s="64"/>
      <c r="J4" s="64"/>
      <c r="K4" s="64"/>
      <c r="L4" s="64"/>
      <c r="M4" s="64"/>
      <c r="N4" s="64"/>
      <c r="O4" s="64"/>
      <c r="P4" s="64"/>
      <c r="Q4" s="64"/>
      <c r="R4" s="64"/>
      <c r="S4" s="64"/>
      <c r="T4" s="64"/>
      <c r="U4" s="64"/>
      <c r="V4" s="64"/>
      <c r="W4" s="64"/>
      <c r="X4" s="64"/>
      <c r="Y4" s="64"/>
      <c r="Z4" s="64"/>
    </row>
    <row r="5" ht="12.75" customHeight="1">
      <c r="A5" s="114" t="s">
        <v>725</v>
      </c>
      <c r="B5" s="86" t="str">
        <f t="array" ref="B5">IFERROR(INDEX(Chairs!$J$2:$J$359,MATCH(1,INDEX((Chairs!$K$2:$K$359=$B$1)*(Chairs!$N$2:$N$359=1),0),0)),"")</f>
        <v>Dr. Mohammed Ashikur Rahman</v>
      </c>
      <c r="C5" s="86" t="str">
        <f t="array" ref="C5">IFERROR(INDEX(Chairs!$L$2:$L$359,MATCH(1,INDEX((Chairs!$K$2:$K$359=$B$1)*(Chairs!$N$2:$N$359=1),0),0))&amp;"","")</f>
        <v>ashikur.rahman@seu.edu.bd</v>
      </c>
      <c r="D5" s="86" t="str">
        <f t="array" ref="D5">IFERROR(INDEX(Chairs!$M$2:$M$359,MATCH(1,INDEX((Chairs!$K$2:$K$359=$B$1)*(Chairs!$N$2:$N$359=1),0),0))&amp;"","")</f>
        <v>01735524483</v>
      </c>
      <c r="E5" s="64"/>
      <c r="F5" s="63"/>
      <c r="G5" s="63"/>
      <c r="H5" s="64"/>
      <c r="I5" s="64"/>
      <c r="J5" s="64"/>
      <c r="K5" s="64"/>
      <c r="L5" s="64"/>
      <c r="M5" s="64"/>
      <c r="N5" s="64"/>
      <c r="O5" s="64"/>
      <c r="P5" s="64"/>
      <c r="Q5" s="64"/>
      <c r="R5" s="64"/>
      <c r="S5" s="64"/>
      <c r="T5" s="64"/>
      <c r="U5" s="64"/>
      <c r="V5" s="64"/>
      <c r="W5" s="64"/>
      <c r="X5" s="64"/>
      <c r="Y5" s="64"/>
      <c r="Z5" s="64"/>
    </row>
    <row r="6" ht="12.75" customHeight="1">
      <c r="A6" s="114" t="s">
        <v>726</v>
      </c>
      <c r="B6" s="118" t="s">
        <v>331</v>
      </c>
      <c r="C6" s="19" t="s">
        <v>335</v>
      </c>
      <c r="D6" s="59" t="s">
        <v>337</v>
      </c>
      <c r="E6" s="64"/>
      <c r="F6" s="63"/>
      <c r="G6" s="63"/>
      <c r="H6" s="64"/>
      <c r="I6" s="64"/>
      <c r="J6" s="64"/>
      <c r="K6" s="64"/>
      <c r="L6" s="64"/>
      <c r="M6" s="64"/>
      <c r="N6" s="64"/>
      <c r="O6" s="64"/>
      <c r="P6" s="64"/>
      <c r="Q6" s="64"/>
      <c r="R6" s="64"/>
      <c r="S6" s="64"/>
      <c r="T6" s="64"/>
      <c r="U6" s="64"/>
      <c r="V6" s="64"/>
      <c r="W6" s="64"/>
      <c r="X6" s="64"/>
      <c r="Y6" s="64"/>
      <c r="Z6" s="64"/>
    </row>
    <row r="7" ht="12.75" customHeight="1">
      <c r="A7" s="112" t="s">
        <v>709</v>
      </c>
      <c r="B7" s="86" t="str">
        <f t="array" ref="B7">IFERROR(INDEX('Senior Faculty'!$J$2:$J$401,MATCH(1,INDEX(('Senior Faculty'!$K$2:$K$401=$B$1)*('Senior Faculty'!$N$2:$N$401=1),0),0)),"")</f>
        <v>Dr. Rezwan Al Islam Khan</v>
      </c>
      <c r="C7" s="86" t="str">
        <f t="array" ref="C7">IFERROR(INDEX('Senior Faculty'!$L$2:$L$401,MATCH(1,INDEX(('Senior Faculty'!$K$2:$K$401=$B$1)*('Senior Faculty'!$N$2:$N$401=1),0),0))&amp;"","")</f>
        <v>rezwan.islam@ulab.edu.bd</v>
      </c>
      <c r="D7" s="86" t="str">
        <f t="array" ref="D7">IFERROR(INDEX('Senior Faculty'!$M$2:$M$401,MATCH(1,INDEX(('Senior Faculty'!$K$2:$K$401=$B$1)*('Senior Faculty'!$N$2:$N$401=1),0),0))&amp;"","")</f>
        <v>01712530199</v>
      </c>
      <c r="E7" s="64"/>
      <c r="F7" s="63"/>
      <c r="G7" s="63"/>
      <c r="H7" s="64"/>
      <c r="I7" s="64"/>
      <c r="J7" s="64"/>
      <c r="K7" s="64"/>
      <c r="L7" s="64"/>
      <c r="M7" s="64"/>
      <c r="N7" s="64"/>
      <c r="O7" s="64"/>
      <c r="P7" s="64"/>
      <c r="Q7" s="64"/>
      <c r="R7" s="64"/>
      <c r="S7" s="64"/>
      <c r="T7" s="64"/>
      <c r="U7" s="64"/>
      <c r="V7" s="64"/>
      <c r="W7" s="64"/>
      <c r="X7" s="64"/>
      <c r="Y7" s="64"/>
      <c r="Z7" s="64"/>
    </row>
    <row r="8" ht="12.75" customHeight="1">
      <c r="A8" s="112" t="s">
        <v>713</v>
      </c>
      <c r="B8" s="86" t="str">
        <f t="array" ref="B8">IFERROR(INDEX('Junior Faculty'!$J$2:$J$401,MATCH(1,INDEX(('Junior Faculty'!$K$2:$K$401=$B$1)*('Junior Faculty'!$N$2:$N$401=1),0),0)),"")</f>
        <v>Md Kaviul Hossain</v>
      </c>
      <c r="C8" s="86" t="str">
        <f t="array" ref="C8">IFERROR(INDEX('Junior Faculty'!$L$2:$L$401,MATCH(1,INDEX(('Junior Faculty'!$K$2:$K$401=$B$1)*('Junior Faculty'!$N$2:$N$401=1),0),0))&amp;"","")</f>
        <v>kaviul.hossain@ulab.edu.bd</v>
      </c>
      <c r="D8" s="86" t="str">
        <f t="array" ref="D8">IFERROR(INDEX('Junior Faculty'!$M$2:$M$401,MATCH(1,INDEX(('Junior Faculty'!$K$2:$K$401=$B$1)*('Junior Faculty'!$N$2:$N$401=1),0),0))&amp;"","")</f>
        <v>01775520904</v>
      </c>
      <c r="E8" s="64"/>
      <c r="F8" s="63"/>
      <c r="G8" s="63"/>
      <c r="H8" s="64"/>
      <c r="I8" s="64"/>
      <c r="J8" s="64"/>
      <c r="K8" s="64"/>
      <c r="L8" s="64"/>
      <c r="M8" s="64"/>
      <c r="N8" s="64"/>
      <c r="O8" s="64"/>
      <c r="P8" s="64"/>
      <c r="Q8" s="64"/>
      <c r="R8" s="64"/>
      <c r="S8" s="64"/>
      <c r="T8" s="64"/>
      <c r="U8" s="64"/>
      <c r="V8" s="64"/>
      <c r="W8" s="64"/>
      <c r="X8" s="64"/>
      <c r="Y8" s="64"/>
      <c r="Z8" s="64"/>
    </row>
    <row r="9" ht="12.75" customHeight="1">
      <c r="A9" s="119" t="s">
        <v>714</v>
      </c>
      <c r="B9" s="95" t="str">
        <f t="array" ref="B9">IFERROR(INDEX('Junior Faculty'!$J$2:$J$401,MATCH(1,INDEX(('Junior Faculty'!$K$2:$K$401=$B$1)*('Junior Faculty'!$N$2:$N$401=2),0),0)),"")</f>
        <v>Dewan Ahmed Muhtasim</v>
      </c>
      <c r="C9" s="95" t="str">
        <f t="array" ref="C9">IFERROR(INDEX('Junior Faculty'!$L$2:$L$401,MATCH(1,INDEX(('Junior Faculty'!$K$2:$K$401=$B$1)*('Junior Faculty'!$N$2:$N$401=2),0),0))&amp;"","")</f>
        <v>ahmed.muhtasim@ulab.edu.bd</v>
      </c>
      <c r="D9" s="95" t="str">
        <f t="array" ref="D9">IFERROR(INDEX('Junior Faculty'!$M$2:$M$401,MATCH(1,INDEX(('Junior Faculty'!$K$2:$K$401=$B$1)*('Junior Faculty'!$N$2:$N$401=2),0),0))&amp;"","")</f>
        <v>01602654504</v>
      </c>
      <c r="E9" s="64"/>
      <c r="F9" s="63"/>
      <c r="G9" s="63"/>
      <c r="H9" s="64"/>
      <c r="I9" s="64"/>
      <c r="J9" s="64"/>
      <c r="K9" s="64"/>
      <c r="L9" s="64"/>
      <c r="M9" s="64"/>
      <c r="N9" s="64"/>
      <c r="O9" s="64"/>
      <c r="P9" s="64"/>
      <c r="Q9" s="64"/>
      <c r="R9" s="64"/>
      <c r="S9" s="64"/>
      <c r="T9" s="64"/>
      <c r="U9" s="64"/>
      <c r="V9" s="64"/>
      <c r="W9" s="64"/>
      <c r="X9" s="64"/>
      <c r="Y9" s="64"/>
      <c r="Z9" s="64"/>
    </row>
    <row r="10" ht="12.75" customHeight="1">
      <c r="A10" s="108"/>
      <c r="B10" s="64"/>
      <c r="C10" s="64"/>
      <c r="D10" s="64"/>
      <c r="E10" s="64"/>
      <c r="F10" s="63"/>
      <c r="G10" s="63"/>
      <c r="H10" s="64"/>
      <c r="I10" s="64"/>
      <c r="J10" s="64"/>
      <c r="K10" s="64"/>
      <c r="L10" s="64"/>
      <c r="M10" s="64"/>
      <c r="N10" s="64"/>
      <c r="O10" s="64"/>
      <c r="P10" s="64"/>
      <c r="Q10" s="64"/>
      <c r="R10" s="64"/>
      <c r="S10" s="64"/>
      <c r="T10" s="64"/>
      <c r="U10" s="64"/>
      <c r="V10" s="64"/>
      <c r="W10" s="64"/>
      <c r="X10" s="64"/>
      <c r="Y10" s="64"/>
      <c r="Z10" s="64"/>
    </row>
    <row r="11" ht="12.75" customHeight="1">
      <c r="A11" s="121" t="s">
        <v>727</v>
      </c>
      <c r="B11" s="86"/>
      <c r="C11" s="86"/>
      <c r="D11" s="86"/>
      <c r="E11" s="64"/>
      <c r="F11" s="63"/>
      <c r="G11" s="63"/>
      <c r="H11" s="64"/>
      <c r="I11" s="64"/>
      <c r="J11" s="64"/>
      <c r="K11" s="64"/>
      <c r="L11" s="64"/>
      <c r="M11" s="64"/>
      <c r="N11" s="64"/>
      <c r="O11" s="64"/>
      <c r="P11" s="64"/>
      <c r="Q11" s="64"/>
      <c r="R11" s="64"/>
      <c r="S11" s="64"/>
      <c r="T11" s="64"/>
      <c r="U11" s="64"/>
      <c r="V11" s="64"/>
      <c r="W11" s="64"/>
      <c r="X11" s="64"/>
      <c r="Y11" s="64"/>
      <c r="Z11" s="64"/>
    </row>
    <row r="12" ht="15.0" customHeight="1">
      <c r="A12" s="122" t="s">
        <v>174</v>
      </c>
      <c r="B12" s="122" t="s">
        <v>256</v>
      </c>
      <c r="C12" s="123" t="s">
        <v>257</v>
      </c>
      <c r="D12" s="124"/>
      <c r="E12" s="61" t="s">
        <v>258</v>
      </c>
      <c r="F12" s="60" t="s">
        <v>265</v>
      </c>
      <c r="G12" s="64"/>
      <c r="H12" s="64"/>
      <c r="I12" s="64"/>
      <c r="J12" s="64"/>
      <c r="K12" s="64"/>
      <c r="L12" s="64"/>
      <c r="M12" s="64"/>
      <c r="N12" s="64"/>
      <c r="O12" s="64"/>
      <c r="P12" s="64"/>
      <c r="Q12" s="64"/>
      <c r="R12" s="64"/>
      <c r="S12" s="64"/>
      <c r="T12" s="64"/>
      <c r="U12" s="64"/>
      <c r="V12" s="64"/>
      <c r="W12" s="64"/>
      <c r="X12" s="64"/>
      <c r="Y12" s="64"/>
      <c r="Z12" s="64"/>
    </row>
    <row r="13" ht="12.75" customHeight="1">
      <c r="A13" s="113">
        <f t="array" ref="A13">IFERROR(INDEX(Papers!$A$2:$A$201,MATCH(1,INDEX((Papers!$G$2:$G$201=$B$1)*(Papers!$I$2:$I$201=1),0),0)),"")</f>
        <v>61</v>
      </c>
      <c r="B13" s="113" t="str">
        <f t="array" ref="B13">IFERROR(INDEX(Papers!$C$2:$C$201,MATCH(1,INDEX((Papers!$G$2:$G$201=$B$1)*(Papers!$I$2:$I$201=1),0),0)),"")</f>
        <v>Beyond Fragmentation: A Causal Analysis of Unicode NFKC Normalization Effects in Dialectal Bengali NER</v>
      </c>
      <c r="C13" s="113" t="str">
        <f t="array" ref="C13">IFERROR(INDEX(Papers!$D$2:$D$201,MATCH(1,INDEX((Papers!$G$2:$G$201=$B$1)*(Papers!$I$2:$I$201=1),0),0)),"")</f>
        <v>Touhidur  Rahman (American International University-Bangladesh); Alif Bin  Islam (American International University-Bangladesh); Kazi Tanvir (Universiti Kebangsaan Malaysia(UKM)); Kamruddin  Nur (American International University-Bangladesh)*</v>
      </c>
      <c r="D13" s="125"/>
      <c r="E13" s="86" t="str">
        <f t="array" ref="E13">IFERROR(INDEX(Papers!$E$2:$E$201,MATCH(1,INDEX((Papers!$G$2:$G$201=$B$1)*(Papers!$I$2:$I$201=1),0),0)),"")</f>
        <v>22-49381-3@student.aiub.edu; 22-49382-3@student.aiub.edu; p170862@siswa.ukm.edu.my; kamruddin@aiub.edu</v>
      </c>
      <c r="F13" s="67">
        <v>30.0</v>
      </c>
      <c r="G13" s="64"/>
      <c r="H13" s="64"/>
      <c r="I13" s="64"/>
      <c r="J13" s="64"/>
      <c r="K13" s="64"/>
      <c r="L13" s="64"/>
      <c r="M13" s="64"/>
      <c r="N13" s="64"/>
      <c r="O13" s="64"/>
      <c r="P13" s="64"/>
      <c r="Q13" s="64"/>
      <c r="R13" s="64"/>
      <c r="S13" s="64"/>
      <c r="T13" s="64"/>
      <c r="U13" s="64"/>
      <c r="V13" s="64"/>
      <c r="W13" s="64"/>
      <c r="X13" s="64"/>
      <c r="Y13" s="64"/>
      <c r="Z13" s="64"/>
    </row>
    <row r="14" ht="12.75" customHeight="1">
      <c r="A14" s="113">
        <f t="array" ref="A14">IFERROR(INDEX(Papers!$A$2:$A$201,MATCH(1,INDEX((Papers!$G$2:$G$201=$B$1)*(Papers!$I$2:$I$201=2),0),0)),"")</f>
        <v>66</v>
      </c>
      <c r="B14" s="113" t="str">
        <f t="array" ref="B14">IFERROR(INDEX(Papers!$C$2:$C$201,MATCH(1,INDEX((Papers!$G$2:$G$201=$B$1)*(Papers!$I$2:$I$201=2),0),0)),"")</f>
        <v>Interpretable Psoriatic Lesion Classification via Multi-Cohort Gene Expression Profiling</v>
      </c>
      <c r="C14" s="113" t="str">
        <f t="array" ref="C14">IFERROR(INDEX(Papers!$D$2:$D$201,MATCH(1,INDEX((Papers!$G$2:$G$201=$B$1)*(Papers!$I$2:$I$201=2),0),0)),"")</f>
        <v>Shah Salehin  Siddique Raduan (American International University-Bangladesh); Rayena  Rahman (American International University-Bangladesh); Kamrun Nahar  Sumaiya (American International University-Bangladesh); Kazi Tanvir (Universiti Kebangsaan Malaysia(UKM)); Kamruddin  Nur (American International University-Bangladesh)*</v>
      </c>
      <c r="D14" s="125"/>
      <c r="E14" s="86" t="str">
        <f t="array" ref="E14">IFERROR(INDEX(Papers!$E$2:$E$201,MATCH(1,INDEX((Papers!$G$2:$G$201=$B$1)*(Papers!$I$2:$I$201=2),0),0)),"")</f>
        <v>23-52038-2@student.aiub.edu; 23-52055-2@student.aiub.edu; 23-52047-2@student.aiub.edu; p170862@siswa.ukm.edu.my; kamruddin@aiub.edu</v>
      </c>
      <c r="F14" s="67"/>
      <c r="G14" s="64"/>
      <c r="H14" s="64"/>
      <c r="I14" s="64"/>
      <c r="J14" s="64"/>
      <c r="K14" s="64"/>
      <c r="L14" s="64"/>
      <c r="M14" s="64"/>
      <c r="N14" s="64"/>
      <c r="O14" s="64"/>
      <c r="P14" s="64"/>
      <c r="Q14" s="64"/>
      <c r="R14" s="64"/>
      <c r="S14" s="64"/>
      <c r="T14" s="64"/>
      <c r="U14" s="64"/>
      <c r="V14" s="64"/>
      <c r="W14" s="64"/>
      <c r="X14" s="64"/>
      <c r="Y14" s="64"/>
      <c r="Z14" s="64"/>
    </row>
    <row r="15" ht="12.75" customHeight="1">
      <c r="A15" s="113">
        <f t="array" ref="A15">IFERROR(INDEX(Papers!$A$2:$A$201,MATCH(1,INDEX((Papers!$G$2:$G$201=$B$1)*(Papers!$I$2:$I$201=3),0),0)),"")</f>
        <v>262</v>
      </c>
      <c r="B15" s="113" t="str">
        <f t="array" ref="B15">IFERROR(INDEX(Papers!$C$2:$C$201,MATCH(1,INDEX((Papers!$G$2:$G$201=$B$1)*(Papers!$I$2:$I$201=3),0),0)),"")</f>
        <v>MentalScreen: A Hybrid PHQ-9/GAD-7 and MentalRoBERTa Agentic Framework for Multi-Label Mental Health Detection with Deterministic Crisis Routing</v>
      </c>
      <c r="C15" s="113" t="str">
        <f t="array" ref="C15">IFERROR(INDEX(Papers!$D$2:$D$201,MATCH(1,INDEX((Papers!$G$2:$G$201=$B$1)*(Papers!$I$2:$I$201=3),0),0)),"")</f>
        <v>Md. Rakibul Hasan Nishat (Rajshahi University of Engineering &amp; Technology)*; S. M. Khalid Bin Zahid (Rajshahi University of Engineering &amp; Technology); Abdul Hasib (Rajshahi University of Engineering &amp; Technology); Md. Firoj Ali (Rajshahi University of Engineering &amp; Technology); Md. Ariful Islam Sagor (Rajshahi University of Engineering &amp; Technology)</v>
      </c>
      <c r="D15" s="125"/>
      <c r="E15" s="86" t="str">
        <f t="array" ref="E15">IFERROR(INDEX(Papers!$E$2:$E$201,MATCH(1,INDEX((Papers!$G$2:$G$201=$B$1)*(Papers!$I$2:$I$201=3),0),0)),"")</f>
        <v>rakibulnishat1864@gmail.com; smkhalidbz@gmail.com; sm.abdulhasib.bd@gmail.com; firoj@mte.ruet.ac.bd; ariful.islam200069@gmail.com</v>
      </c>
      <c r="F15" s="67"/>
      <c r="G15" s="64"/>
      <c r="H15" s="64"/>
      <c r="I15" s="64"/>
      <c r="J15" s="64"/>
      <c r="K15" s="64"/>
      <c r="L15" s="64"/>
      <c r="M15" s="64"/>
      <c r="N15" s="64"/>
      <c r="O15" s="64"/>
      <c r="P15" s="64"/>
      <c r="Q15" s="64"/>
      <c r="R15" s="64"/>
      <c r="S15" s="64"/>
      <c r="T15" s="64"/>
      <c r="U15" s="64"/>
      <c r="V15" s="64"/>
      <c r="W15" s="64"/>
      <c r="X15" s="64"/>
      <c r="Y15" s="64"/>
      <c r="Z15" s="64"/>
    </row>
    <row r="16" ht="12.75" customHeight="1">
      <c r="A16" s="113">
        <f t="array" ref="A16">IFERROR(INDEX(Papers!$A$2:$A$201,MATCH(1,INDEX((Papers!$G$2:$G$201=$B$1)*(Papers!$I$2:$I$201=4),0),0)),"")</f>
        <v>377</v>
      </c>
      <c r="B16" s="113" t="str">
        <f t="array" ref="B16">IFERROR(INDEX(Papers!$C$2:$C$201,MATCH(1,INDEX((Papers!$G$2:$G$201=$B$1)*(Papers!$I$2:$I$201=4),0),0)),"")</f>
        <v>Graph-Enhanced Causal Reinforcement Learning for Proactive Customer Retention: A Comparative Benchmark</v>
      </c>
      <c r="C16" s="113" t="str">
        <f t="array" ref="C16">IFERROR(INDEX(Papers!$D$2:$D$201,MATCH(1,INDEX((Papers!$G$2:$G$201=$B$1)*(Papers!$I$2:$I$201=4),0),0)),"")</f>
        <v>Kazi Tasfin Mahmud (BRAC University)*; Md. Zarif Latif (BRAC University); Sidratul Muntaha (BRAC University); Puja Banik (BRAC University); Azwad Aziz (BRAC University); Amitabha Chakrabarty (BRAC University)</v>
      </c>
      <c r="D16" s="125"/>
      <c r="E16" s="86" t="str">
        <f t="array" ref="E16">IFERROR(INDEX(Papers!$E$2:$E$201,MATCH(1,INDEX((Papers!$G$2:$G$201=$B$1)*(Papers!$I$2:$I$201=4),0),0)),"")</f>
        <v>kazi.tasfin.mahmud@g.bracu.ac.bd; md.zarif.latif@g.bracu.ac.bd; sidratul.muntaha1@g.bracu.ac.bd; puja.banik@g.bracu.ac.bd; azwad.aziz@bracu.ac.bd; amitabha@bracu.ac.bd</v>
      </c>
      <c r="F16" s="67"/>
      <c r="G16" s="64"/>
      <c r="H16" s="64"/>
      <c r="I16" s="64"/>
      <c r="J16" s="64"/>
      <c r="K16" s="64"/>
      <c r="L16" s="64"/>
      <c r="M16" s="64"/>
      <c r="N16" s="64"/>
      <c r="O16" s="64"/>
      <c r="P16" s="64"/>
      <c r="Q16" s="64"/>
      <c r="R16" s="64"/>
      <c r="S16" s="64"/>
      <c r="T16" s="64"/>
      <c r="U16" s="64"/>
      <c r="V16" s="64"/>
      <c r="W16" s="64"/>
      <c r="X16" s="64"/>
      <c r="Y16" s="64"/>
      <c r="Z16" s="64"/>
    </row>
    <row r="17" ht="12.75" customHeight="1">
      <c r="A17" s="113">
        <f t="array" ref="A17">IFERROR(INDEX(Papers!$A$2:$A$201,MATCH(1,INDEX((Papers!$G$2:$G$201=$B$1)*(Papers!$I$2:$I$201=5),0),0)),"")</f>
        <v>365</v>
      </c>
      <c r="B17" s="113" t="str">
        <f t="array" ref="B17">IFERROR(INDEX(Papers!$C$2:$C$201,MATCH(1,INDEX((Papers!$G$2:$G$201=$B$1)*(Papers!$I$2:$I$201=5),0),0)),"")</f>
        <v>PSO-Based Selective Harmonic Elimination with Smart Cell-Bypassing for a 15-Level Asymmetric Cascaded H-Bridge Inverter</v>
      </c>
      <c r="C17" s="113" t="str">
        <f t="array" ref="C17">IFERROR(INDEX(Papers!$D$2:$D$201,MATCH(1,INDEX((Papers!$G$2:$G$201=$B$1)*(Papers!$I$2:$I$201=5),0),0)),"")</f>
        <v>Hosen Miah (Green University of Bangladesh)*; Md. Ahsanul Alam (Green University of Bangladesh); Md. Asif  Hasan (Green University of Bangladesh);  Rajoyn Ahmed Rudro (Green University of Bangladesh); Md Zihad Alamin Tashfin (Green University of Bangladesh); Iftekhar Ahmmed (Green University of Bangladesh)</v>
      </c>
      <c r="D17" s="125"/>
      <c r="E17" s="86" t="str">
        <f t="array" ref="E17">IFERROR(INDEX(Papers!$E$2:$E$201,MATCH(1,INDEX((Papers!$G$2:$G$201=$B$1)*(Papers!$I$2:$I$201=5),0),0)),"")</f>
        <v>husseinbijoy7@gmail.com; ahsanul@eee.green.edu.bd; asifhasanpl90@gmail.com; rejwanahmedruddro@gmail.com; alaminzihad.mail@gmail.com; iftekhar215ac@gmail.com</v>
      </c>
      <c r="F17" s="67"/>
      <c r="G17" s="64"/>
      <c r="H17" s="64"/>
      <c r="I17" s="64"/>
      <c r="J17" s="64"/>
      <c r="K17" s="64"/>
      <c r="L17" s="64"/>
      <c r="M17" s="64"/>
      <c r="N17" s="64"/>
      <c r="O17" s="64"/>
      <c r="P17" s="64"/>
      <c r="Q17" s="64"/>
      <c r="R17" s="64"/>
      <c r="S17" s="64"/>
      <c r="T17" s="64"/>
      <c r="U17" s="64"/>
      <c r="V17" s="64"/>
      <c r="W17" s="64"/>
      <c r="X17" s="64"/>
      <c r="Y17" s="64"/>
      <c r="Z17" s="64"/>
    </row>
    <row r="18" ht="12.75" customHeight="1">
      <c r="A18" s="113">
        <f t="array" ref="A18">IFERROR(INDEX(Papers!$A$2:$A$201,MATCH(1,INDEX((Papers!$G$2:$G$201=$B$1)*(Papers!$I$2:$I$201=6),0),0)),"")</f>
        <v>230</v>
      </c>
      <c r="B18" s="113" t="str">
        <f t="array" ref="B18">IFERROR(INDEX(Papers!$C$2:$C$201,MATCH(1,INDEX((Papers!$G$2:$G$201=$B$1)*(Papers!$I$2:$I$201=6),0),0)),"")</f>
        <v>Comparing local GPT and Student Performance on Introductory Statistics MCQ Examinations</v>
      </c>
      <c r="C18" s="113" t="str">
        <f t="array" ref="C18">IFERROR(INDEX(Papers!$D$2:$D$201,MATCH(1,INDEX((Papers!$G$2:$G$201=$B$1)*(Papers!$I$2:$I$201=6),0),0)),"")</f>
        <v>Nipa Chowdhury (Technical University of Denmark (DTU)); Sumaya Ahmed Promi (Technical University of Denmark (DTU)); Nicolai Siim Larsen (Technical University of Denmark (DTU)); Md Saifuddin Khalid (Technical University of Denmark)*</v>
      </c>
      <c r="D18" s="125"/>
      <c r="E18" s="86" t="str">
        <f t="array" ref="E18">IFERROR(INDEX(Papers!$E$2:$E$201,MATCH(1,INDEX((Papers!$G$2:$G$201=$B$1)*(Papers!$I$2:$I$201=6),0),0)),"")</f>
        <v>nipachynipu@gmail.com; promi9425@gmail.com; nisi@dtu.dk; skhalid@dtu.dk</v>
      </c>
      <c r="F18" s="67"/>
      <c r="G18" s="64"/>
      <c r="H18" s="64"/>
      <c r="I18" s="64"/>
      <c r="J18" s="64"/>
      <c r="K18" s="64"/>
      <c r="L18" s="64"/>
      <c r="M18" s="64"/>
      <c r="N18" s="64"/>
      <c r="O18" s="64"/>
      <c r="P18" s="64"/>
      <c r="Q18" s="64"/>
      <c r="R18" s="64"/>
      <c r="S18" s="64"/>
      <c r="T18" s="64"/>
      <c r="U18" s="64"/>
      <c r="V18" s="64"/>
      <c r="W18" s="64"/>
      <c r="X18" s="64"/>
      <c r="Y18" s="64"/>
      <c r="Z18" s="64"/>
    </row>
    <row r="19" ht="12.75" customHeight="1">
      <c r="A19" s="113" t="str">
        <f t="array" ref="A19">IFERROR(INDEX(Papers!$A$2:$A$201,MATCH(1,INDEX((Papers!$G$2:$G$201=$B$1)*(Papers!$I$2:$I$201=7),0),0)),"")</f>
        <v/>
      </c>
      <c r="B19" s="113" t="str">
        <f t="array" ref="B19">IFERROR(INDEX(Papers!$C$2:$C$201,MATCH(1,INDEX((Papers!$G$2:$G$201=$B$1)*(Papers!$I$2:$I$201=7),0),0)),"")</f>
        <v/>
      </c>
      <c r="C19" s="113" t="str">
        <f t="array" ref="C19">IFERROR(INDEX(Papers!$D$2:$D$201,MATCH(1,INDEX((Papers!$G$2:$G$201=$B$1)*(Papers!$I$2:$I$201=7),0),0)),"")</f>
        <v/>
      </c>
      <c r="D19" s="125"/>
      <c r="E19" s="86" t="str">
        <f t="array" ref="E19">IFERROR(INDEX(Papers!$E$2:$E$201,MATCH(1,INDEX((Papers!$G$2:$G$201=$B$1)*(Papers!$I$2:$I$201=7),0),0)),"")</f>
        <v/>
      </c>
      <c r="F19" s="67"/>
      <c r="G19" s="64"/>
      <c r="H19" s="64"/>
      <c r="I19" s="64"/>
      <c r="J19" s="64"/>
      <c r="K19" s="64"/>
      <c r="L19" s="64"/>
      <c r="M19" s="64"/>
      <c r="N19" s="64"/>
      <c r="O19" s="64"/>
      <c r="P19" s="64"/>
      <c r="Q19" s="64"/>
      <c r="R19" s="64"/>
      <c r="S19" s="64"/>
      <c r="T19" s="64"/>
      <c r="U19" s="64"/>
      <c r="V19" s="64"/>
      <c r="W19" s="64"/>
      <c r="X19" s="64"/>
      <c r="Y19" s="64"/>
      <c r="Z19" s="64"/>
    </row>
    <row r="20" ht="12.75" customHeight="1">
      <c r="A20" s="113" t="str">
        <f t="array" ref="A20">IFERROR(INDEX(Papers!$A$2:$A$201,MATCH(1,INDEX((Papers!$G$2:$G$201=$B$1)*(Papers!$I$2:$I$201=8),0),0)),"")</f>
        <v/>
      </c>
      <c r="B20" s="113" t="str">
        <f t="array" ref="B20">IFERROR(INDEX(Papers!$C$2:$C$201,MATCH(1,INDEX((Papers!$G$2:$G$201=$B$1)*(Papers!$I$2:$I$201=8),0),0)),"")</f>
        <v/>
      </c>
      <c r="C20" s="113" t="str">
        <f t="array" ref="C20">IFERROR(INDEX(Papers!$D$2:$D$201,MATCH(1,INDEX((Papers!$G$2:$G$201=$B$1)*(Papers!$I$2:$I$201=8),0),0)),"")</f>
        <v/>
      </c>
      <c r="D20" s="125"/>
      <c r="E20" s="86" t="str">
        <f t="array" ref="E20">IFERROR(INDEX(Papers!$E$2:$E$201,MATCH(1,INDEX((Papers!$G$2:$G$201=$B$1)*(Papers!$I$2:$I$201=8),0),0)),"")</f>
        <v/>
      </c>
      <c r="F20" s="67"/>
      <c r="G20" s="64"/>
      <c r="H20" s="64"/>
      <c r="I20" s="64"/>
      <c r="J20" s="64"/>
      <c r="K20" s="64"/>
      <c r="L20" s="64"/>
      <c r="M20" s="64"/>
      <c r="N20" s="64"/>
      <c r="O20" s="64"/>
      <c r="P20" s="64"/>
      <c r="Q20" s="64"/>
      <c r="R20" s="64"/>
      <c r="S20" s="64"/>
      <c r="T20" s="64"/>
      <c r="U20" s="64"/>
      <c r="V20" s="64"/>
      <c r="W20" s="64"/>
      <c r="X20" s="64"/>
      <c r="Y20" s="64"/>
      <c r="Z20" s="64"/>
    </row>
    <row r="21" ht="12.75" customHeight="1">
      <c r="A21" s="108"/>
      <c r="B21" s="64"/>
      <c r="C21" s="64"/>
      <c r="E21" s="64"/>
      <c r="F21" s="63"/>
      <c r="G21" s="64"/>
      <c r="H21" s="64"/>
      <c r="I21" s="64"/>
      <c r="J21" s="64"/>
      <c r="K21" s="64"/>
      <c r="L21" s="64"/>
      <c r="M21" s="64"/>
      <c r="N21" s="64"/>
      <c r="O21" s="64"/>
      <c r="P21" s="64"/>
      <c r="Q21" s="64"/>
      <c r="R21" s="64"/>
      <c r="S21" s="64"/>
      <c r="T21" s="64"/>
      <c r="U21" s="64"/>
      <c r="V21" s="64"/>
      <c r="W21" s="64"/>
      <c r="X21" s="64"/>
      <c r="Y21" s="64"/>
      <c r="Z21" s="64"/>
    </row>
    <row r="22" ht="12.75" customHeight="1">
      <c r="A22" s="108"/>
      <c r="B22" s="64"/>
      <c r="C22" s="64"/>
      <c r="D22" s="64"/>
      <c r="E22" s="64"/>
      <c r="F22" s="63"/>
      <c r="G22" s="63"/>
      <c r="H22" s="64"/>
      <c r="I22" s="64"/>
      <c r="J22" s="64"/>
      <c r="K22" s="64"/>
      <c r="L22" s="64"/>
      <c r="M22" s="64"/>
      <c r="N22" s="64"/>
      <c r="O22" s="64"/>
      <c r="P22" s="64"/>
      <c r="Q22" s="64"/>
      <c r="R22" s="64"/>
      <c r="S22" s="64"/>
      <c r="T22" s="64"/>
      <c r="U22" s="64"/>
      <c r="V22" s="64"/>
      <c r="W22" s="64"/>
      <c r="X22" s="64"/>
      <c r="Y22" s="64"/>
      <c r="Z22" s="64"/>
    </row>
    <row r="23" ht="12.75" customHeight="1">
      <c r="A23" s="108"/>
      <c r="B23" s="64"/>
      <c r="C23" s="64"/>
      <c r="D23" s="64"/>
      <c r="E23" s="64"/>
      <c r="F23" s="63"/>
      <c r="G23" s="63"/>
      <c r="H23" s="64"/>
      <c r="I23" s="64"/>
      <c r="J23" s="64"/>
      <c r="K23" s="64"/>
      <c r="L23" s="64"/>
      <c r="M23" s="64"/>
      <c r="N23" s="64"/>
      <c r="O23" s="64"/>
      <c r="P23" s="64"/>
      <c r="Q23" s="64"/>
      <c r="R23" s="64"/>
      <c r="S23" s="64"/>
      <c r="T23" s="64"/>
      <c r="U23" s="64"/>
      <c r="V23" s="64"/>
      <c r="W23" s="64"/>
      <c r="X23" s="64"/>
      <c r="Y23" s="64"/>
      <c r="Z23" s="64"/>
    </row>
    <row r="24" ht="12.75" customHeight="1">
      <c r="A24" s="108"/>
      <c r="B24" s="64"/>
      <c r="C24" s="64"/>
      <c r="D24" s="64"/>
      <c r="E24" s="64"/>
      <c r="F24" s="63"/>
      <c r="G24" s="63"/>
      <c r="H24" s="64"/>
      <c r="I24" s="64"/>
      <c r="J24" s="64"/>
      <c r="K24" s="64"/>
      <c r="L24" s="64"/>
      <c r="M24" s="64"/>
      <c r="N24" s="64"/>
      <c r="O24" s="64"/>
      <c r="P24" s="64"/>
      <c r="Q24" s="64"/>
      <c r="R24" s="64"/>
      <c r="S24" s="64"/>
      <c r="T24" s="64"/>
      <c r="U24" s="64"/>
      <c r="V24" s="64"/>
      <c r="W24" s="64"/>
      <c r="X24" s="64"/>
      <c r="Y24" s="64"/>
      <c r="Z24" s="64"/>
    </row>
    <row r="25" ht="12.75" customHeight="1">
      <c r="A25" s="108"/>
      <c r="B25" s="64"/>
      <c r="C25" s="64"/>
      <c r="D25" s="64"/>
      <c r="E25" s="64"/>
      <c r="F25" s="63"/>
      <c r="G25" s="63"/>
      <c r="H25" s="64"/>
      <c r="I25" s="64"/>
      <c r="J25" s="64"/>
      <c r="K25" s="64"/>
      <c r="L25" s="64"/>
      <c r="M25" s="64"/>
      <c r="N25" s="64"/>
      <c r="O25" s="64"/>
      <c r="P25" s="64"/>
      <c r="Q25" s="64"/>
      <c r="R25" s="64"/>
      <c r="S25" s="64"/>
      <c r="T25" s="64"/>
      <c r="U25" s="64"/>
      <c r="V25" s="64"/>
      <c r="W25" s="64"/>
      <c r="X25" s="64"/>
      <c r="Y25" s="64"/>
      <c r="Z25" s="64"/>
    </row>
    <row r="26" ht="12.75" customHeight="1">
      <c r="A26" s="108"/>
      <c r="B26" s="64"/>
      <c r="C26" s="64"/>
      <c r="D26" s="64"/>
      <c r="E26" s="64"/>
      <c r="F26" s="63"/>
      <c r="G26" s="63"/>
      <c r="H26" s="64"/>
      <c r="I26" s="64"/>
      <c r="J26" s="64"/>
      <c r="K26" s="64"/>
      <c r="L26" s="64"/>
      <c r="M26" s="64"/>
      <c r="N26" s="64"/>
      <c r="O26" s="64"/>
      <c r="P26" s="64"/>
      <c r="Q26" s="64"/>
      <c r="R26" s="64"/>
      <c r="S26" s="64"/>
      <c r="T26" s="64"/>
      <c r="U26" s="64"/>
      <c r="V26" s="64"/>
      <c r="W26" s="64"/>
      <c r="X26" s="64"/>
      <c r="Y26" s="64"/>
      <c r="Z26" s="64"/>
    </row>
    <row r="27" ht="12.75" customHeight="1">
      <c r="A27" s="108"/>
      <c r="B27" s="64"/>
      <c r="C27" s="64"/>
      <c r="D27" s="64"/>
      <c r="E27" s="64"/>
      <c r="F27" s="63"/>
      <c r="G27" s="63"/>
      <c r="H27" s="64"/>
      <c r="I27" s="64"/>
      <c r="J27" s="64"/>
      <c r="K27" s="64"/>
      <c r="L27" s="64"/>
      <c r="M27" s="64"/>
      <c r="N27" s="64"/>
      <c r="O27" s="64"/>
      <c r="P27" s="64"/>
      <c r="Q27" s="64"/>
      <c r="R27" s="64"/>
      <c r="S27" s="64"/>
      <c r="T27" s="64"/>
      <c r="U27" s="64"/>
      <c r="V27" s="64"/>
      <c r="W27" s="64"/>
      <c r="X27" s="64"/>
      <c r="Y27" s="64"/>
      <c r="Z27" s="64"/>
    </row>
    <row r="28" ht="12.75" customHeight="1">
      <c r="A28" s="108"/>
      <c r="B28" s="64"/>
      <c r="C28" s="64"/>
      <c r="D28" s="64"/>
      <c r="E28" s="64"/>
      <c r="F28" s="63"/>
      <c r="G28" s="63"/>
      <c r="H28" s="64"/>
      <c r="I28" s="64"/>
      <c r="J28" s="64"/>
      <c r="K28" s="64"/>
      <c r="L28" s="64"/>
      <c r="M28" s="64"/>
      <c r="N28" s="64"/>
      <c r="O28" s="64"/>
      <c r="P28" s="64"/>
      <c r="Q28" s="64"/>
      <c r="R28" s="64"/>
      <c r="S28" s="64"/>
      <c r="T28" s="64"/>
      <c r="U28" s="64"/>
      <c r="V28" s="64"/>
      <c r="W28" s="64"/>
      <c r="X28" s="64"/>
      <c r="Y28" s="64"/>
      <c r="Z28" s="64"/>
    </row>
    <row r="29" ht="12.75" customHeight="1">
      <c r="A29" s="108"/>
      <c r="B29" s="64"/>
      <c r="C29" s="64"/>
      <c r="D29" s="64"/>
      <c r="E29" s="64"/>
      <c r="F29" s="63"/>
      <c r="G29" s="63"/>
      <c r="H29" s="64"/>
      <c r="I29" s="64"/>
      <c r="J29" s="64"/>
      <c r="K29" s="64"/>
      <c r="L29" s="64"/>
      <c r="M29" s="64"/>
      <c r="N29" s="64"/>
      <c r="O29" s="64"/>
      <c r="P29" s="64"/>
      <c r="Q29" s="64"/>
      <c r="R29" s="64"/>
      <c r="S29" s="64"/>
      <c r="T29" s="64"/>
      <c r="U29" s="64"/>
      <c r="V29" s="64"/>
      <c r="W29" s="64"/>
      <c r="X29" s="64"/>
      <c r="Y29" s="64"/>
      <c r="Z29" s="64"/>
    </row>
    <row r="30" ht="12.75" customHeight="1">
      <c r="A30" s="108"/>
      <c r="B30" s="64"/>
      <c r="C30" s="64"/>
      <c r="D30" s="64"/>
      <c r="E30" s="64"/>
      <c r="F30" s="63"/>
      <c r="G30" s="63"/>
      <c r="H30" s="64"/>
      <c r="I30" s="64"/>
      <c r="J30" s="64"/>
      <c r="K30" s="64"/>
      <c r="L30" s="64"/>
      <c r="M30" s="64"/>
      <c r="N30" s="64"/>
      <c r="O30" s="64"/>
      <c r="P30" s="64"/>
      <c r="Q30" s="64"/>
      <c r="R30" s="64"/>
      <c r="S30" s="64"/>
      <c r="T30" s="64"/>
      <c r="U30" s="64"/>
      <c r="V30" s="64"/>
      <c r="W30" s="64"/>
      <c r="X30" s="64"/>
      <c r="Y30" s="64"/>
      <c r="Z30" s="64"/>
    </row>
    <row r="31" ht="12.75" customHeight="1">
      <c r="A31" s="108"/>
      <c r="B31" s="64"/>
      <c r="C31" s="64"/>
      <c r="D31" s="64"/>
      <c r="E31" s="64"/>
      <c r="F31" s="63"/>
      <c r="G31" s="63"/>
      <c r="H31" s="64"/>
      <c r="I31" s="64"/>
      <c r="J31" s="64"/>
      <c r="K31" s="64"/>
      <c r="L31" s="64"/>
      <c r="M31" s="64"/>
      <c r="N31" s="64"/>
      <c r="O31" s="64"/>
      <c r="P31" s="64"/>
      <c r="Q31" s="64"/>
      <c r="R31" s="64"/>
      <c r="S31" s="64"/>
      <c r="T31" s="64"/>
      <c r="U31" s="64"/>
      <c r="V31" s="64"/>
      <c r="W31" s="64"/>
      <c r="X31" s="64"/>
      <c r="Y31" s="64"/>
      <c r="Z31" s="64"/>
    </row>
    <row r="32" ht="12.75" customHeight="1">
      <c r="A32" s="108"/>
      <c r="B32" s="64"/>
      <c r="C32" s="64"/>
      <c r="D32" s="64"/>
      <c r="E32" s="64"/>
      <c r="F32" s="63"/>
      <c r="G32" s="63"/>
      <c r="H32" s="64"/>
      <c r="I32" s="64"/>
      <c r="J32" s="64"/>
      <c r="K32" s="64"/>
      <c r="L32" s="64"/>
      <c r="M32" s="64"/>
      <c r="N32" s="64"/>
      <c r="O32" s="64"/>
      <c r="P32" s="64"/>
      <c r="Q32" s="64"/>
      <c r="R32" s="64"/>
      <c r="S32" s="64"/>
      <c r="T32" s="64"/>
      <c r="U32" s="64"/>
      <c r="V32" s="64"/>
      <c r="W32" s="64"/>
      <c r="X32" s="64"/>
      <c r="Y32" s="64"/>
      <c r="Z32" s="64"/>
    </row>
    <row r="33" ht="12.75" customHeight="1">
      <c r="A33" s="108"/>
      <c r="B33" s="64"/>
      <c r="C33" s="64"/>
      <c r="D33" s="64"/>
      <c r="E33" s="64"/>
      <c r="F33" s="63"/>
      <c r="G33" s="63"/>
      <c r="H33" s="64"/>
      <c r="I33" s="64"/>
      <c r="J33" s="64"/>
      <c r="K33" s="64"/>
      <c r="L33" s="64"/>
      <c r="M33" s="64"/>
      <c r="N33" s="64"/>
      <c r="O33" s="64"/>
      <c r="P33" s="64"/>
      <c r="Q33" s="64"/>
      <c r="R33" s="64"/>
      <c r="S33" s="64"/>
      <c r="T33" s="64"/>
      <c r="U33" s="64"/>
      <c r="V33" s="64"/>
      <c r="W33" s="64"/>
      <c r="X33" s="64"/>
      <c r="Y33" s="64"/>
      <c r="Z33" s="64"/>
    </row>
    <row r="34" ht="12.75" customHeight="1">
      <c r="A34" s="108"/>
      <c r="B34" s="64"/>
      <c r="C34" s="64"/>
      <c r="D34" s="64"/>
      <c r="E34" s="64"/>
      <c r="F34" s="63"/>
      <c r="G34" s="63"/>
      <c r="H34" s="64"/>
      <c r="I34" s="64"/>
      <c r="J34" s="64"/>
      <c r="K34" s="64"/>
      <c r="L34" s="64"/>
      <c r="M34" s="64"/>
      <c r="N34" s="64"/>
      <c r="O34" s="64"/>
      <c r="P34" s="64"/>
      <c r="Q34" s="64"/>
      <c r="R34" s="64"/>
      <c r="S34" s="64"/>
      <c r="T34" s="64"/>
      <c r="U34" s="64"/>
      <c r="V34" s="64"/>
      <c r="W34" s="64"/>
      <c r="X34" s="64"/>
      <c r="Y34" s="64"/>
      <c r="Z34" s="64"/>
    </row>
    <row r="35" ht="12.75" customHeight="1">
      <c r="A35" s="108"/>
      <c r="B35" s="64"/>
      <c r="C35" s="64"/>
      <c r="D35" s="64"/>
      <c r="E35" s="64"/>
      <c r="F35" s="63"/>
      <c r="G35" s="63"/>
      <c r="H35" s="64"/>
      <c r="I35" s="64"/>
      <c r="J35" s="64"/>
      <c r="K35" s="64"/>
      <c r="L35" s="64"/>
      <c r="M35" s="64"/>
      <c r="N35" s="64"/>
      <c r="O35" s="64"/>
      <c r="P35" s="64"/>
      <c r="Q35" s="64"/>
      <c r="R35" s="64"/>
      <c r="S35" s="64"/>
      <c r="T35" s="64"/>
      <c r="U35" s="64"/>
      <c r="V35" s="64"/>
      <c r="W35" s="64"/>
      <c r="X35" s="64"/>
      <c r="Y35" s="64"/>
      <c r="Z35" s="64"/>
    </row>
    <row r="36" ht="12.75" customHeight="1">
      <c r="A36" s="108"/>
      <c r="B36" s="64"/>
      <c r="C36" s="64"/>
      <c r="D36" s="64"/>
      <c r="E36" s="64"/>
      <c r="F36" s="63"/>
      <c r="G36" s="63"/>
      <c r="H36" s="64"/>
      <c r="I36" s="64"/>
      <c r="J36" s="64"/>
      <c r="K36" s="64"/>
      <c r="L36" s="64"/>
      <c r="M36" s="64"/>
      <c r="N36" s="64"/>
      <c r="O36" s="64"/>
      <c r="P36" s="64"/>
      <c r="Q36" s="64"/>
      <c r="R36" s="64"/>
      <c r="S36" s="64"/>
      <c r="T36" s="64"/>
      <c r="U36" s="64"/>
      <c r="V36" s="64"/>
      <c r="W36" s="64"/>
      <c r="X36" s="64"/>
      <c r="Y36" s="64"/>
      <c r="Z36" s="64"/>
    </row>
    <row r="37" ht="12.75" customHeight="1">
      <c r="A37" s="108"/>
      <c r="B37" s="64"/>
      <c r="C37" s="64"/>
      <c r="D37" s="64"/>
      <c r="E37" s="64"/>
      <c r="F37" s="63"/>
      <c r="G37" s="63"/>
      <c r="H37" s="64"/>
      <c r="I37" s="64"/>
      <c r="J37" s="64"/>
      <c r="K37" s="64"/>
      <c r="L37" s="64"/>
      <c r="M37" s="64"/>
      <c r="N37" s="64"/>
      <c r="O37" s="64"/>
      <c r="P37" s="64"/>
      <c r="Q37" s="64"/>
      <c r="R37" s="64"/>
      <c r="S37" s="64"/>
      <c r="T37" s="64"/>
      <c r="U37" s="64"/>
      <c r="V37" s="64"/>
      <c r="W37" s="64"/>
      <c r="X37" s="64"/>
      <c r="Y37" s="64"/>
      <c r="Z37" s="64"/>
    </row>
    <row r="38" ht="12.75" customHeight="1">
      <c r="A38" s="108"/>
      <c r="B38" s="64"/>
      <c r="C38" s="64"/>
      <c r="D38" s="64"/>
      <c r="E38" s="64"/>
      <c r="F38" s="63"/>
      <c r="G38" s="63"/>
      <c r="H38" s="64"/>
      <c r="I38" s="64"/>
      <c r="J38" s="64"/>
      <c r="K38" s="64"/>
      <c r="L38" s="64"/>
      <c r="M38" s="64"/>
      <c r="N38" s="64"/>
      <c r="O38" s="64"/>
      <c r="P38" s="64"/>
      <c r="Q38" s="64"/>
      <c r="R38" s="64"/>
      <c r="S38" s="64"/>
      <c r="T38" s="64"/>
      <c r="U38" s="64"/>
      <c r="V38" s="64"/>
      <c r="W38" s="64"/>
      <c r="X38" s="64"/>
      <c r="Y38" s="64"/>
      <c r="Z38" s="64"/>
    </row>
    <row r="39" ht="12.75" customHeight="1">
      <c r="A39" s="108"/>
      <c r="B39" s="64"/>
      <c r="C39" s="64"/>
      <c r="D39" s="64"/>
      <c r="E39" s="64"/>
      <c r="F39" s="63"/>
      <c r="G39" s="63"/>
      <c r="H39" s="64"/>
      <c r="I39" s="64"/>
      <c r="J39" s="64"/>
      <c r="K39" s="64"/>
      <c r="L39" s="64"/>
      <c r="M39" s="64"/>
      <c r="N39" s="64"/>
      <c r="O39" s="64"/>
      <c r="P39" s="64"/>
      <c r="Q39" s="64"/>
      <c r="R39" s="64"/>
      <c r="S39" s="64"/>
      <c r="T39" s="64"/>
      <c r="U39" s="64"/>
      <c r="V39" s="64"/>
      <c r="W39" s="64"/>
      <c r="X39" s="64"/>
      <c r="Y39" s="64"/>
      <c r="Z39" s="64"/>
    </row>
    <row r="40" ht="12.75" customHeight="1">
      <c r="A40" s="108"/>
      <c r="B40" s="64"/>
      <c r="C40" s="64"/>
      <c r="D40" s="64"/>
      <c r="E40" s="64"/>
      <c r="F40" s="63"/>
      <c r="G40" s="63"/>
      <c r="H40" s="64"/>
      <c r="I40" s="64"/>
      <c r="J40" s="64"/>
      <c r="K40" s="64"/>
      <c r="L40" s="64"/>
      <c r="M40" s="64"/>
      <c r="N40" s="64"/>
      <c r="O40" s="64"/>
      <c r="P40" s="64"/>
      <c r="Q40" s="64"/>
      <c r="R40" s="64"/>
      <c r="S40" s="64"/>
      <c r="T40" s="64"/>
      <c r="U40" s="64"/>
      <c r="V40" s="64"/>
      <c r="W40" s="64"/>
      <c r="X40" s="64"/>
      <c r="Y40" s="64"/>
      <c r="Z40" s="64"/>
    </row>
    <row r="41" ht="12.75" customHeight="1">
      <c r="A41" s="108"/>
      <c r="B41" s="64"/>
      <c r="C41" s="64"/>
      <c r="D41" s="64"/>
      <c r="E41" s="64"/>
      <c r="F41" s="63"/>
      <c r="G41" s="63"/>
      <c r="H41" s="64"/>
      <c r="I41" s="64"/>
      <c r="J41" s="64"/>
      <c r="K41" s="64"/>
      <c r="L41" s="64"/>
      <c r="M41" s="64"/>
      <c r="N41" s="64"/>
      <c r="O41" s="64"/>
      <c r="P41" s="64"/>
      <c r="Q41" s="64"/>
      <c r="R41" s="64"/>
      <c r="S41" s="64"/>
      <c r="T41" s="64"/>
      <c r="U41" s="64"/>
      <c r="V41" s="64"/>
      <c r="W41" s="64"/>
      <c r="X41" s="64"/>
      <c r="Y41" s="64"/>
      <c r="Z41" s="64"/>
    </row>
    <row r="42" ht="12.75" customHeight="1">
      <c r="A42" s="108"/>
      <c r="B42" s="64"/>
      <c r="C42" s="64"/>
      <c r="D42" s="64"/>
      <c r="E42" s="64"/>
      <c r="F42" s="63"/>
      <c r="G42" s="63"/>
      <c r="H42" s="64"/>
      <c r="I42" s="64"/>
      <c r="J42" s="64"/>
      <c r="K42" s="64"/>
      <c r="L42" s="64"/>
      <c r="M42" s="64"/>
      <c r="N42" s="64"/>
      <c r="O42" s="64"/>
      <c r="P42" s="64"/>
      <c r="Q42" s="64"/>
      <c r="R42" s="64"/>
      <c r="S42" s="64"/>
      <c r="T42" s="64"/>
      <c r="U42" s="64"/>
      <c r="V42" s="64"/>
      <c r="W42" s="64"/>
      <c r="X42" s="64"/>
      <c r="Y42" s="64"/>
      <c r="Z42" s="64"/>
    </row>
    <row r="43" ht="12.75" customHeight="1">
      <c r="A43" s="108"/>
      <c r="B43" s="64"/>
      <c r="C43" s="64"/>
      <c r="D43" s="64"/>
      <c r="E43" s="64"/>
      <c r="F43" s="63"/>
      <c r="G43" s="63"/>
      <c r="H43" s="64"/>
      <c r="I43" s="64"/>
      <c r="J43" s="64"/>
      <c r="K43" s="64"/>
      <c r="L43" s="64"/>
      <c r="M43" s="64"/>
      <c r="N43" s="64"/>
      <c r="O43" s="64"/>
      <c r="P43" s="64"/>
      <c r="Q43" s="64"/>
      <c r="R43" s="64"/>
      <c r="S43" s="64"/>
      <c r="T43" s="64"/>
      <c r="U43" s="64"/>
      <c r="V43" s="64"/>
      <c r="W43" s="64"/>
      <c r="X43" s="64"/>
      <c r="Y43" s="64"/>
      <c r="Z43" s="64"/>
    </row>
    <row r="44" ht="12.75" customHeight="1">
      <c r="A44" s="108"/>
      <c r="B44" s="64"/>
      <c r="C44" s="64"/>
      <c r="D44" s="64"/>
      <c r="E44" s="64"/>
      <c r="F44" s="63"/>
      <c r="G44" s="63"/>
      <c r="H44" s="64"/>
      <c r="I44" s="64"/>
      <c r="J44" s="64"/>
      <c r="K44" s="64"/>
      <c r="L44" s="64"/>
      <c r="M44" s="64"/>
      <c r="N44" s="64"/>
      <c r="O44" s="64"/>
      <c r="P44" s="64"/>
      <c r="Q44" s="64"/>
      <c r="R44" s="64"/>
      <c r="S44" s="64"/>
      <c r="T44" s="64"/>
      <c r="U44" s="64"/>
      <c r="V44" s="64"/>
      <c r="W44" s="64"/>
      <c r="X44" s="64"/>
      <c r="Y44" s="64"/>
      <c r="Z44" s="64"/>
    </row>
    <row r="45" ht="12.75" customHeight="1">
      <c r="A45" s="108"/>
      <c r="B45" s="64"/>
      <c r="C45" s="64"/>
      <c r="D45" s="64"/>
      <c r="E45" s="64"/>
      <c r="F45" s="63"/>
      <c r="G45" s="63"/>
      <c r="H45" s="64"/>
      <c r="I45" s="64"/>
      <c r="J45" s="64"/>
      <c r="K45" s="64"/>
      <c r="L45" s="64"/>
      <c r="M45" s="64"/>
      <c r="N45" s="64"/>
      <c r="O45" s="64"/>
      <c r="P45" s="64"/>
      <c r="Q45" s="64"/>
      <c r="R45" s="64"/>
      <c r="S45" s="64"/>
      <c r="T45" s="64"/>
      <c r="U45" s="64"/>
      <c r="V45" s="64"/>
      <c r="W45" s="64"/>
      <c r="X45" s="64"/>
      <c r="Y45" s="64"/>
      <c r="Z45" s="64"/>
    </row>
    <row r="46" ht="12.75" customHeight="1">
      <c r="A46" s="108"/>
      <c r="B46" s="64"/>
      <c r="C46" s="64"/>
      <c r="D46" s="64"/>
      <c r="E46" s="64"/>
      <c r="F46" s="63"/>
      <c r="G46" s="63"/>
      <c r="H46" s="64"/>
      <c r="I46" s="64"/>
      <c r="J46" s="64"/>
      <c r="K46" s="64"/>
      <c r="L46" s="64"/>
      <c r="M46" s="64"/>
      <c r="N46" s="64"/>
      <c r="O46" s="64"/>
      <c r="P46" s="64"/>
      <c r="Q46" s="64"/>
      <c r="R46" s="64"/>
      <c r="S46" s="64"/>
      <c r="T46" s="64"/>
      <c r="U46" s="64"/>
      <c r="V46" s="64"/>
      <c r="W46" s="64"/>
      <c r="X46" s="64"/>
      <c r="Y46" s="64"/>
      <c r="Z46" s="64"/>
    </row>
    <row r="47" ht="12.75" customHeight="1">
      <c r="A47" s="108"/>
      <c r="B47" s="64"/>
      <c r="C47" s="64"/>
      <c r="D47" s="64"/>
      <c r="E47" s="64"/>
      <c r="F47" s="63"/>
      <c r="G47" s="63"/>
      <c r="H47" s="64"/>
      <c r="I47" s="64"/>
      <c r="J47" s="64"/>
      <c r="K47" s="64"/>
      <c r="L47" s="64"/>
      <c r="M47" s="64"/>
      <c r="N47" s="64"/>
      <c r="O47" s="64"/>
      <c r="P47" s="64"/>
      <c r="Q47" s="64"/>
      <c r="R47" s="64"/>
      <c r="S47" s="64"/>
      <c r="T47" s="64"/>
      <c r="U47" s="64"/>
      <c r="V47" s="64"/>
      <c r="W47" s="64"/>
      <c r="X47" s="64"/>
      <c r="Y47" s="64"/>
      <c r="Z47" s="64"/>
    </row>
    <row r="48" ht="12.75" customHeight="1">
      <c r="A48" s="108"/>
      <c r="B48" s="64"/>
      <c r="C48" s="64"/>
      <c r="D48" s="64"/>
      <c r="E48" s="64"/>
      <c r="F48" s="63"/>
      <c r="G48" s="63"/>
      <c r="H48" s="64"/>
      <c r="I48" s="64"/>
      <c r="J48" s="64"/>
      <c r="K48" s="64"/>
      <c r="L48" s="64"/>
      <c r="M48" s="64"/>
      <c r="N48" s="64"/>
      <c r="O48" s="64"/>
      <c r="P48" s="64"/>
      <c r="Q48" s="64"/>
      <c r="R48" s="64"/>
      <c r="S48" s="64"/>
      <c r="T48" s="64"/>
      <c r="U48" s="64"/>
      <c r="V48" s="64"/>
      <c r="W48" s="64"/>
      <c r="X48" s="64"/>
      <c r="Y48" s="64"/>
      <c r="Z48" s="64"/>
    </row>
    <row r="49" ht="12.75" customHeight="1">
      <c r="A49" s="108"/>
      <c r="B49" s="64"/>
      <c r="C49" s="64"/>
      <c r="D49" s="64"/>
      <c r="E49" s="64"/>
      <c r="F49" s="63"/>
      <c r="G49" s="63"/>
      <c r="H49" s="64"/>
      <c r="I49" s="64"/>
      <c r="J49" s="64"/>
      <c r="K49" s="64"/>
      <c r="L49" s="64"/>
      <c r="M49" s="64"/>
      <c r="N49" s="64"/>
      <c r="O49" s="64"/>
      <c r="P49" s="64"/>
      <c r="Q49" s="64"/>
      <c r="R49" s="64"/>
      <c r="S49" s="64"/>
      <c r="T49" s="64"/>
      <c r="U49" s="64"/>
      <c r="V49" s="64"/>
      <c r="W49" s="64"/>
      <c r="X49" s="64"/>
      <c r="Y49" s="64"/>
      <c r="Z49" s="64"/>
    </row>
    <row r="50" ht="12.75" customHeight="1">
      <c r="A50" s="108"/>
      <c r="B50" s="64"/>
      <c r="C50" s="64"/>
      <c r="D50" s="64"/>
      <c r="E50" s="64"/>
      <c r="F50" s="63"/>
      <c r="G50" s="63"/>
      <c r="H50" s="64"/>
      <c r="I50" s="64"/>
      <c r="J50" s="64"/>
      <c r="K50" s="64"/>
      <c r="L50" s="64"/>
      <c r="M50" s="64"/>
      <c r="N50" s="64"/>
      <c r="O50" s="64"/>
      <c r="P50" s="64"/>
      <c r="Q50" s="64"/>
      <c r="R50" s="64"/>
      <c r="S50" s="64"/>
      <c r="T50" s="64"/>
      <c r="U50" s="64"/>
      <c r="V50" s="64"/>
      <c r="W50" s="64"/>
      <c r="X50" s="64"/>
      <c r="Y50" s="64"/>
      <c r="Z50" s="64"/>
    </row>
    <row r="51" ht="12.75" customHeight="1">
      <c r="A51" s="108"/>
      <c r="B51" s="64"/>
      <c r="C51" s="64"/>
      <c r="D51" s="64"/>
      <c r="E51" s="64"/>
      <c r="F51" s="63"/>
      <c r="G51" s="63"/>
      <c r="H51" s="64"/>
      <c r="I51" s="64"/>
      <c r="J51" s="64"/>
      <c r="K51" s="64"/>
      <c r="L51" s="64"/>
      <c r="M51" s="64"/>
      <c r="N51" s="64"/>
      <c r="O51" s="64"/>
      <c r="P51" s="64"/>
      <c r="Q51" s="64"/>
      <c r="R51" s="64"/>
      <c r="S51" s="64"/>
      <c r="T51" s="64"/>
      <c r="U51" s="64"/>
      <c r="V51" s="64"/>
      <c r="W51" s="64"/>
      <c r="X51" s="64"/>
      <c r="Y51" s="64"/>
      <c r="Z51" s="64"/>
    </row>
    <row r="52" ht="12.75" customHeight="1">
      <c r="A52" s="108"/>
      <c r="B52" s="64"/>
      <c r="C52" s="64"/>
      <c r="D52" s="64"/>
      <c r="E52" s="64"/>
      <c r="F52" s="63"/>
      <c r="G52" s="63"/>
      <c r="H52" s="64"/>
      <c r="I52" s="64"/>
      <c r="J52" s="64"/>
      <c r="K52" s="64"/>
      <c r="L52" s="64"/>
      <c r="M52" s="64"/>
      <c r="N52" s="64"/>
      <c r="O52" s="64"/>
      <c r="P52" s="64"/>
      <c r="Q52" s="64"/>
      <c r="R52" s="64"/>
      <c r="S52" s="64"/>
      <c r="T52" s="64"/>
      <c r="U52" s="64"/>
      <c r="V52" s="64"/>
      <c r="W52" s="64"/>
      <c r="X52" s="64"/>
      <c r="Y52" s="64"/>
      <c r="Z52" s="64"/>
    </row>
    <row r="53" ht="12.75" customHeight="1">
      <c r="A53" s="108"/>
      <c r="B53" s="64"/>
      <c r="C53" s="64"/>
      <c r="D53" s="64"/>
      <c r="E53" s="64"/>
      <c r="F53" s="63"/>
      <c r="G53" s="63"/>
      <c r="H53" s="64"/>
      <c r="I53" s="64"/>
      <c r="J53" s="64"/>
      <c r="K53" s="64"/>
      <c r="L53" s="64"/>
      <c r="M53" s="64"/>
      <c r="N53" s="64"/>
      <c r="O53" s="64"/>
      <c r="P53" s="64"/>
      <c r="Q53" s="64"/>
      <c r="R53" s="64"/>
      <c r="S53" s="64"/>
      <c r="T53" s="64"/>
      <c r="U53" s="64"/>
      <c r="V53" s="64"/>
      <c r="W53" s="64"/>
      <c r="X53" s="64"/>
      <c r="Y53" s="64"/>
      <c r="Z53" s="64"/>
    </row>
    <row r="54" ht="12.75" customHeight="1">
      <c r="A54" s="108"/>
      <c r="B54" s="64"/>
      <c r="C54" s="64"/>
      <c r="D54" s="64"/>
      <c r="E54" s="64"/>
      <c r="F54" s="63"/>
      <c r="G54" s="63"/>
      <c r="H54" s="64"/>
      <c r="I54" s="64"/>
      <c r="J54" s="64"/>
      <c r="K54" s="64"/>
      <c r="L54" s="64"/>
      <c r="M54" s="64"/>
      <c r="N54" s="64"/>
      <c r="O54" s="64"/>
      <c r="P54" s="64"/>
      <c r="Q54" s="64"/>
      <c r="R54" s="64"/>
      <c r="S54" s="64"/>
      <c r="T54" s="64"/>
      <c r="U54" s="64"/>
      <c r="V54" s="64"/>
      <c r="W54" s="64"/>
      <c r="X54" s="64"/>
      <c r="Y54" s="64"/>
      <c r="Z54" s="64"/>
    </row>
    <row r="55" ht="12.75" customHeight="1">
      <c r="A55" s="108"/>
      <c r="B55" s="64"/>
      <c r="C55" s="64"/>
      <c r="D55" s="64"/>
      <c r="E55" s="64"/>
      <c r="F55" s="63"/>
      <c r="G55" s="63"/>
      <c r="H55" s="64"/>
      <c r="I55" s="64"/>
      <c r="J55" s="64"/>
      <c r="K55" s="64"/>
      <c r="L55" s="64"/>
      <c r="M55" s="64"/>
      <c r="N55" s="64"/>
      <c r="O55" s="64"/>
      <c r="P55" s="64"/>
      <c r="Q55" s="64"/>
      <c r="R55" s="64"/>
      <c r="S55" s="64"/>
      <c r="T55" s="64"/>
      <c r="U55" s="64"/>
      <c r="V55" s="64"/>
      <c r="W55" s="64"/>
      <c r="X55" s="64"/>
      <c r="Y55" s="64"/>
      <c r="Z55" s="64"/>
    </row>
    <row r="56" ht="12.75" customHeight="1">
      <c r="A56" s="108"/>
      <c r="B56" s="64"/>
      <c r="C56" s="64"/>
      <c r="D56" s="64"/>
      <c r="E56" s="64"/>
      <c r="F56" s="63"/>
      <c r="G56" s="63"/>
      <c r="H56" s="64"/>
      <c r="I56" s="64"/>
      <c r="J56" s="64"/>
      <c r="K56" s="64"/>
      <c r="L56" s="64"/>
      <c r="M56" s="64"/>
      <c r="N56" s="64"/>
      <c r="O56" s="64"/>
      <c r="P56" s="64"/>
      <c r="Q56" s="64"/>
      <c r="R56" s="64"/>
      <c r="S56" s="64"/>
      <c r="T56" s="64"/>
      <c r="U56" s="64"/>
      <c r="V56" s="64"/>
      <c r="W56" s="64"/>
      <c r="X56" s="64"/>
      <c r="Y56" s="64"/>
      <c r="Z56" s="64"/>
    </row>
    <row r="57" ht="12.75" customHeight="1">
      <c r="A57" s="108"/>
      <c r="B57" s="64"/>
      <c r="C57" s="64"/>
      <c r="D57" s="64"/>
      <c r="E57" s="64"/>
      <c r="F57" s="63"/>
      <c r="G57" s="63"/>
      <c r="H57" s="64"/>
      <c r="I57" s="64"/>
      <c r="J57" s="64"/>
      <c r="K57" s="64"/>
      <c r="L57" s="64"/>
      <c r="M57" s="64"/>
      <c r="N57" s="64"/>
      <c r="O57" s="64"/>
      <c r="P57" s="64"/>
      <c r="Q57" s="64"/>
      <c r="R57" s="64"/>
      <c r="S57" s="64"/>
      <c r="T57" s="64"/>
      <c r="U57" s="64"/>
      <c r="V57" s="64"/>
      <c r="W57" s="64"/>
      <c r="X57" s="64"/>
      <c r="Y57" s="64"/>
      <c r="Z57" s="64"/>
    </row>
    <row r="58" ht="12.75" customHeight="1">
      <c r="A58" s="108"/>
      <c r="B58" s="64"/>
      <c r="C58" s="64"/>
      <c r="D58" s="64"/>
      <c r="E58" s="64"/>
      <c r="F58" s="63"/>
      <c r="G58" s="63"/>
      <c r="H58" s="64"/>
      <c r="I58" s="64"/>
      <c r="J58" s="64"/>
      <c r="K58" s="64"/>
      <c r="L58" s="64"/>
      <c r="M58" s="64"/>
      <c r="N58" s="64"/>
      <c r="O58" s="64"/>
      <c r="P58" s="64"/>
      <c r="Q58" s="64"/>
      <c r="R58" s="64"/>
      <c r="S58" s="64"/>
      <c r="T58" s="64"/>
      <c r="U58" s="64"/>
      <c r="V58" s="64"/>
      <c r="W58" s="64"/>
      <c r="X58" s="64"/>
      <c r="Y58" s="64"/>
      <c r="Z58" s="64"/>
    </row>
    <row r="59" ht="12.75" customHeight="1">
      <c r="A59" s="108"/>
      <c r="B59" s="64"/>
      <c r="C59" s="64"/>
      <c r="D59" s="64"/>
      <c r="E59" s="64"/>
      <c r="F59" s="63"/>
      <c r="G59" s="63"/>
      <c r="H59" s="64"/>
      <c r="I59" s="64"/>
      <c r="J59" s="64"/>
      <c r="K59" s="64"/>
      <c r="L59" s="64"/>
      <c r="M59" s="64"/>
      <c r="N59" s="64"/>
      <c r="O59" s="64"/>
      <c r="P59" s="64"/>
      <c r="Q59" s="64"/>
      <c r="R59" s="64"/>
      <c r="S59" s="64"/>
      <c r="T59" s="64"/>
      <c r="U59" s="64"/>
      <c r="V59" s="64"/>
      <c r="W59" s="64"/>
      <c r="X59" s="64"/>
      <c r="Y59" s="64"/>
      <c r="Z59" s="64"/>
    </row>
    <row r="60" ht="12.75" customHeight="1">
      <c r="A60" s="108"/>
      <c r="B60" s="64"/>
      <c r="C60" s="64"/>
      <c r="D60" s="64"/>
      <c r="E60" s="64"/>
      <c r="F60" s="63"/>
      <c r="G60" s="63"/>
      <c r="H60" s="64"/>
      <c r="I60" s="64"/>
      <c r="J60" s="64"/>
      <c r="K60" s="64"/>
      <c r="L60" s="64"/>
      <c r="M60" s="64"/>
      <c r="N60" s="64"/>
      <c r="O60" s="64"/>
      <c r="P60" s="64"/>
      <c r="Q60" s="64"/>
      <c r="R60" s="64"/>
      <c r="S60" s="64"/>
      <c r="T60" s="64"/>
      <c r="U60" s="64"/>
      <c r="V60" s="64"/>
      <c r="W60" s="64"/>
      <c r="X60" s="64"/>
      <c r="Y60" s="64"/>
      <c r="Z60" s="64"/>
    </row>
    <row r="61" ht="12.75" customHeight="1">
      <c r="A61" s="108"/>
      <c r="B61" s="64"/>
      <c r="C61" s="64"/>
      <c r="D61" s="64"/>
      <c r="E61" s="64"/>
      <c r="F61" s="63"/>
      <c r="G61" s="63"/>
      <c r="H61" s="64"/>
      <c r="I61" s="64"/>
      <c r="J61" s="64"/>
      <c r="K61" s="64"/>
      <c r="L61" s="64"/>
      <c r="M61" s="64"/>
      <c r="N61" s="64"/>
      <c r="O61" s="64"/>
      <c r="P61" s="64"/>
      <c r="Q61" s="64"/>
      <c r="R61" s="64"/>
      <c r="S61" s="64"/>
      <c r="T61" s="64"/>
      <c r="U61" s="64"/>
      <c r="V61" s="64"/>
      <c r="W61" s="64"/>
      <c r="X61" s="64"/>
      <c r="Y61" s="64"/>
      <c r="Z61" s="64"/>
    </row>
    <row r="62" ht="12.75" customHeight="1">
      <c r="A62" s="108"/>
      <c r="B62" s="64"/>
      <c r="C62" s="64"/>
      <c r="D62" s="64"/>
      <c r="E62" s="64"/>
      <c r="F62" s="63"/>
      <c r="G62" s="63"/>
      <c r="H62" s="64"/>
      <c r="I62" s="64"/>
      <c r="J62" s="64"/>
      <c r="K62" s="64"/>
      <c r="L62" s="64"/>
      <c r="M62" s="64"/>
      <c r="N62" s="64"/>
      <c r="O62" s="64"/>
      <c r="P62" s="64"/>
      <c r="Q62" s="64"/>
      <c r="R62" s="64"/>
      <c r="S62" s="64"/>
      <c r="T62" s="64"/>
      <c r="U62" s="64"/>
      <c r="V62" s="64"/>
      <c r="W62" s="64"/>
      <c r="X62" s="64"/>
      <c r="Y62" s="64"/>
      <c r="Z62" s="64"/>
    </row>
    <row r="63" ht="12.75" customHeight="1">
      <c r="A63" s="108"/>
      <c r="B63" s="64"/>
      <c r="C63" s="64"/>
      <c r="D63" s="64"/>
      <c r="E63" s="64"/>
      <c r="F63" s="63"/>
      <c r="G63" s="63"/>
      <c r="H63" s="64"/>
      <c r="I63" s="64"/>
      <c r="J63" s="64"/>
      <c r="K63" s="64"/>
      <c r="L63" s="64"/>
      <c r="M63" s="64"/>
      <c r="N63" s="64"/>
      <c r="O63" s="64"/>
      <c r="P63" s="64"/>
      <c r="Q63" s="64"/>
      <c r="R63" s="64"/>
      <c r="S63" s="64"/>
      <c r="T63" s="64"/>
      <c r="U63" s="64"/>
      <c r="V63" s="64"/>
      <c r="W63" s="64"/>
      <c r="X63" s="64"/>
      <c r="Y63" s="64"/>
      <c r="Z63" s="64"/>
    </row>
    <row r="64" ht="12.75" customHeight="1">
      <c r="A64" s="108"/>
      <c r="B64" s="64"/>
      <c r="C64" s="64"/>
      <c r="D64" s="64"/>
      <c r="E64" s="64"/>
      <c r="F64" s="63"/>
      <c r="G64" s="63"/>
      <c r="H64" s="64"/>
      <c r="I64" s="64"/>
      <c r="J64" s="64"/>
      <c r="K64" s="64"/>
      <c r="L64" s="64"/>
      <c r="M64" s="64"/>
      <c r="N64" s="64"/>
      <c r="O64" s="64"/>
      <c r="P64" s="64"/>
      <c r="Q64" s="64"/>
      <c r="R64" s="64"/>
      <c r="S64" s="64"/>
      <c r="T64" s="64"/>
      <c r="U64" s="64"/>
      <c r="V64" s="64"/>
      <c r="W64" s="64"/>
      <c r="X64" s="64"/>
      <c r="Y64" s="64"/>
      <c r="Z64" s="64"/>
    </row>
    <row r="65" ht="12.75" customHeight="1">
      <c r="A65" s="108"/>
      <c r="B65" s="64"/>
      <c r="C65" s="64"/>
      <c r="D65" s="64"/>
      <c r="E65" s="64"/>
      <c r="F65" s="63"/>
      <c r="G65" s="63"/>
      <c r="H65" s="64"/>
      <c r="I65" s="64"/>
      <c r="J65" s="64"/>
      <c r="K65" s="64"/>
      <c r="L65" s="64"/>
      <c r="M65" s="64"/>
      <c r="N65" s="64"/>
      <c r="O65" s="64"/>
      <c r="P65" s="64"/>
      <c r="Q65" s="64"/>
      <c r="R65" s="64"/>
      <c r="S65" s="64"/>
      <c r="T65" s="64"/>
      <c r="U65" s="64"/>
      <c r="V65" s="64"/>
      <c r="W65" s="64"/>
      <c r="X65" s="64"/>
      <c r="Y65" s="64"/>
      <c r="Z65" s="64"/>
    </row>
    <row r="66" ht="12.75" customHeight="1">
      <c r="A66" s="108"/>
      <c r="B66" s="64"/>
      <c r="C66" s="64"/>
      <c r="D66" s="64"/>
      <c r="E66" s="64"/>
      <c r="F66" s="63"/>
      <c r="G66" s="63"/>
      <c r="H66" s="64"/>
      <c r="I66" s="64"/>
      <c r="J66" s="64"/>
      <c r="K66" s="64"/>
      <c r="L66" s="64"/>
      <c r="M66" s="64"/>
      <c r="N66" s="64"/>
      <c r="O66" s="64"/>
      <c r="P66" s="64"/>
      <c r="Q66" s="64"/>
      <c r="R66" s="64"/>
      <c r="S66" s="64"/>
      <c r="T66" s="64"/>
      <c r="U66" s="64"/>
      <c r="V66" s="64"/>
      <c r="W66" s="64"/>
      <c r="X66" s="64"/>
      <c r="Y66" s="64"/>
      <c r="Z66" s="64"/>
    </row>
    <row r="67" ht="12.75" customHeight="1">
      <c r="A67" s="108"/>
      <c r="B67" s="64"/>
      <c r="C67" s="64"/>
      <c r="D67" s="64"/>
      <c r="E67" s="64"/>
      <c r="F67" s="63"/>
      <c r="G67" s="63"/>
      <c r="H67" s="64"/>
      <c r="I67" s="64"/>
      <c r="J67" s="64"/>
      <c r="K67" s="64"/>
      <c r="L67" s="64"/>
      <c r="M67" s="64"/>
      <c r="N67" s="64"/>
      <c r="O67" s="64"/>
      <c r="P67" s="64"/>
      <c r="Q67" s="64"/>
      <c r="R67" s="64"/>
      <c r="S67" s="64"/>
      <c r="T67" s="64"/>
      <c r="U67" s="64"/>
      <c r="V67" s="64"/>
      <c r="W67" s="64"/>
      <c r="X67" s="64"/>
      <c r="Y67" s="64"/>
      <c r="Z67" s="64"/>
    </row>
    <row r="68" ht="12.75" customHeight="1">
      <c r="A68" s="108"/>
      <c r="B68" s="64"/>
      <c r="C68" s="64"/>
      <c r="D68" s="64"/>
      <c r="E68" s="64"/>
      <c r="F68" s="63"/>
      <c r="G68" s="63"/>
      <c r="H68" s="64"/>
      <c r="I68" s="64"/>
      <c r="J68" s="64"/>
      <c r="K68" s="64"/>
      <c r="L68" s="64"/>
      <c r="M68" s="64"/>
      <c r="N68" s="64"/>
      <c r="O68" s="64"/>
      <c r="P68" s="64"/>
      <c r="Q68" s="64"/>
      <c r="R68" s="64"/>
      <c r="S68" s="64"/>
      <c r="T68" s="64"/>
      <c r="U68" s="64"/>
      <c r="V68" s="64"/>
      <c r="W68" s="64"/>
      <c r="X68" s="64"/>
      <c r="Y68" s="64"/>
      <c r="Z68" s="64"/>
    </row>
    <row r="69" ht="12.75" customHeight="1">
      <c r="A69" s="108"/>
      <c r="B69" s="64"/>
      <c r="C69" s="64"/>
      <c r="D69" s="64"/>
      <c r="E69" s="64"/>
      <c r="F69" s="63"/>
      <c r="G69" s="63"/>
      <c r="H69" s="64"/>
      <c r="I69" s="64"/>
      <c r="J69" s="64"/>
      <c r="K69" s="64"/>
      <c r="L69" s="64"/>
      <c r="M69" s="64"/>
      <c r="N69" s="64"/>
      <c r="O69" s="64"/>
      <c r="P69" s="64"/>
      <c r="Q69" s="64"/>
      <c r="R69" s="64"/>
      <c r="S69" s="64"/>
      <c r="T69" s="64"/>
      <c r="U69" s="64"/>
      <c r="V69" s="64"/>
      <c r="W69" s="64"/>
      <c r="X69" s="64"/>
      <c r="Y69" s="64"/>
      <c r="Z69" s="64"/>
    </row>
    <row r="70" ht="12.75" customHeight="1">
      <c r="A70" s="108"/>
      <c r="B70" s="64"/>
      <c r="C70" s="64"/>
      <c r="D70" s="64"/>
      <c r="E70" s="64"/>
      <c r="F70" s="63"/>
      <c r="G70" s="63"/>
      <c r="H70" s="64"/>
      <c r="I70" s="64"/>
      <c r="J70" s="64"/>
      <c r="K70" s="64"/>
      <c r="L70" s="64"/>
      <c r="M70" s="64"/>
      <c r="N70" s="64"/>
      <c r="O70" s="64"/>
      <c r="P70" s="64"/>
      <c r="Q70" s="64"/>
      <c r="R70" s="64"/>
      <c r="S70" s="64"/>
      <c r="T70" s="64"/>
      <c r="U70" s="64"/>
      <c r="V70" s="64"/>
      <c r="W70" s="64"/>
      <c r="X70" s="64"/>
      <c r="Y70" s="64"/>
      <c r="Z70" s="64"/>
    </row>
    <row r="71" ht="12.75" customHeight="1">
      <c r="A71" s="108"/>
      <c r="B71" s="64"/>
      <c r="C71" s="64"/>
      <c r="D71" s="64"/>
      <c r="E71" s="64"/>
      <c r="F71" s="63"/>
      <c r="G71" s="63"/>
      <c r="H71" s="64"/>
      <c r="I71" s="64"/>
      <c r="J71" s="64"/>
      <c r="K71" s="64"/>
      <c r="L71" s="64"/>
      <c r="M71" s="64"/>
      <c r="N71" s="64"/>
      <c r="O71" s="64"/>
      <c r="P71" s="64"/>
      <c r="Q71" s="64"/>
      <c r="R71" s="64"/>
      <c r="S71" s="64"/>
      <c r="T71" s="64"/>
      <c r="U71" s="64"/>
      <c r="V71" s="64"/>
      <c r="W71" s="64"/>
      <c r="X71" s="64"/>
      <c r="Y71" s="64"/>
      <c r="Z71" s="64"/>
    </row>
    <row r="72" ht="12.75" customHeight="1">
      <c r="A72" s="108"/>
      <c r="B72" s="64"/>
      <c r="C72" s="64"/>
      <c r="D72" s="64"/>
      <c r="E72" s="64"/>
      <c r="F72" s="63"/>
      <c r="G72" s="63"/>
      <c r="H72" s="64"/>
      <c r="I72" s="64"/>
      <c r="J72" s="64"/>
      <c r="K72" s="64"/>
      <c r="L72" s="64"/>
      <c r="M72" s="64"/>
      <c r="N72" s="64"/>
      <c r="O72" s="64"/>
      <c r="P72" s="64"/>
      <c r="Q72" s="64"/>
      <c r="R72" s="64"/>
      <c r="S72" s="64"/>
      <c r="T72" s="64"/>
      <c r="U72" s="64"/>
      <c r="V72" s="64"/>
      <c r="W72" s="64"/>
      <c r="X72" s="64"/>
      <c r="Y72" s="64"/>
      <c r="Z72" s="64"/>
    </row>
    <row r="73" ht="12.75" customHeight="1">
      <c r="A73" s="108"/>
      <c r="B73" s="64"/>
      <c r="C73" s="64"/>
      <c r="D73" s="64"/>
      <c r="E73" s="64"/>
      <c r="F73" s="63"/>
      <c r="G73" s="63"/>
      <c r="H73" s="64"/>
      <c r="I73" s="64"/>
      <c r="J73" s="64"/>
      <c r="K73" s="64"/>
      <c r="L73" s="64"/>
      <c r="M73" s="64"/>
      <c r="N73" s="64"/>
      <c r="O73" s="64"/>
      <c r="P73" s="64"/>
      <c r="Q73" s="64"/>
      <c r="R73" s="64"/>
      <c r="S73" s="64"/>
      <c r="T73" s="64"/>
      <c r="U73" s="64"/>
      <c r="V73" s="64"/>
      <c r="W73" s="64"/>
      <c r="X73" s="64"/>
      <c r="Y73" s="64"/>
      <c r="Z73" s="64"/>
    </row>
    <row r="74" ht="12.75" customHeight="1">
      <c r="A74" s="108"/>
      <c r="B74" s="64"/>
      <c r="C74" s="64"/>
      <c r="D74" s="64"/>
      <c r="E74" s="64"/>
      <c r="F74" s="63"/>
      <c r="G74" s="63"/>
      <c r="H74" s="64"/>
      <c r="I74" s="64"/>
      <c r="J74" s="64"/>
      <c r="K74" s="64"/>
      <c r="L74" s="64"/>
      <c r="M74" s="64"/>
      <c r="N74" s="64"/>
      <c r="O74" s="64"/>
      <c r="P74" s="64"/>
      <c r="Q74" s="64"/>
      <c r="R74" s="64"/>
      <c r="S74" s="64"/>
      <c r="T74" s="64"/>
      <c r="U74" s="64"/>
      <c r="V74" s="64"/>
      <c r="W74" s="64"/>
      <c r="X74" s="64"/>
      <c r="Y74" s="64"/>
      <c r="Z74" s="64"/>
    </row>
    <row r="75" ht="12.75" customHeight="1">
      <c r="A75" s="108"/>
      <c r="B75" s="64"/>
      <c r="C75" s="64"/>
      <c r="D75" s="64"/>
      <c r="E75" s="64"/>
      <c r="F75" s="63"/>
      <c r="G75" s="63"/>
      <c r="H75" s="64"/>
      <c r="I75" s="64"/>
      <c r="J75" s="64"/>
      <c r="K75" s="64"/>
      <c r="L75" s="64"/>
      <c r="M75" s="64"/>
      <c r="N75" s="64"/>
      <c r="O75" s="64"/>
      <c r="P75" s="64"/>
      <c r="Q75" s="64"/>
      <c r="R75" s="64"/>
      <c r="S75" s="64"/>
      <c r="T75" s="64"/>
      <c r="U75" s="64"/>
      <c r="V75" s="64"/>
      <c r="W75" s="64"/>
      <c r="X75" s="64"/>
      <c r="Y75" s="64"/>
      <c r="Z75" s="64"/>
    </row>
    <row r="76" ht="12.75" customHeight="1">
      <c r="A76" s="108"/>
      <c r="B76" s="64"/>
      <c r="C76" s="64"/>
      <c r="D76" s="64"/>
      <c r="E76" s="64"/>
      <c r="F76" s="63"/>
      <c r="G76" s="63"/>
      <c r="H76" s="64"/>
      <c r="I76" s="64"/>
      <c r="J76" s="64"/>
      <c r="K76" s="64"/>
      <c r="L76" s="64"/>
      <c r="M76" s="64"/>
      <c r="N76" s="64"/>
      <c r="O76" s="64"/>
      <c r="P76" s="64"/>
      <c r="Q76" s="64"/>
      <c r="R76" s="64"/>
      <c r="S76" s="64"/>
      <c r="T76" s="64"/>
      <c r="U76" s="64"/>
      <c r="V76" s="64"/>
      <c r="W76" s="64"/>
      <c r="X76" s="64"/>
      <c r="Y76" s="64"/>
      <c r="Z76" s="64"/>
    </row>
    <row r="77" ht="12.75" customHeight="1">
      <c r="A77" s="108"/>
      <c r="B77" s="64"/>
      <c r="C77" s="64"/>
      <c r="D77" s="64"/>
      <c r="E77" s="64"/>
      <c r="F77" s="63"/>
      <c r="G77" s="63"/>
      <c r="H77" s="64"/>
      <c r="I77" s="64"/>
      <c r="J77" s="64"/>
      <c r="K77" s="64"/>
      <c r="L77" s="64"/>
      <c r="M77" s="64"/>
      <c r="N77" s="64"/>
      <c r="O77" s="64"/>
      <c r="P77" s="64"/>
      <c r="Q77" s="64"/>
      <c r="R77" s="64"/>
      <c r="S77" s="64"/>
      <c r="T77" s="64"/>
      <c r="U77" s="64"/>
      <c r="V77" s="64"/>
      <c r="W77" s="64"/>
      <c r="X77" s="64"/>
      <c r="Y77" s="64"/>
      <c r="Z77" s="64"/>
    </row>
    <row r="78" ht="12.75" customHeight="1">
      <c r="A78" s="108"/>
      <c r="B78" s="64"/>
      <c r="C78" s="64"/>
      <c r="D78" s="64"/>
      <c r="E78" s="64"/>
      <c r="F78" s="63"/>
      <c r="G78" s="63"/>
      <c r="H78" s="64"/>
      <c r="I78" s="64"/>
      <c r="J78" s="64"/>
      <c r="K78" s="64"/>
      <c r="L78" s="64"/>
      <c r="M78" s="64"/>
      <c r="N78" s="64"/>
      <c r="O78" s="64"/>
      <c r="P78" s="64"/>
      <c r="Q78" s="64"/>
      <c r="R78" s="64"/>
      <c r="S78" s="64"/>
      <c r="T78" s="64"/>
      <c r="U78" s="64"/>
      <c r="V78" s="64"/>
      <c r="W78" s="64"/>
      <c r="X78" s="64"/>
      <c r="Y78" s="64"/>
      <c r="Z78" s="64"/>
    </row>
    <row r="79" ht="12.75" customHeight="1">
      <c r="A79" s="108"/>
      <c r="B79" s="64"/>
      <c r="C79" s="64"/>
      <c r="D79" s="64"/>
      <c r="E79" s="64"/>
      <c r="F79" s="63"/>
      <c r="G79" s="63"/>
      <c r="H79" s="64"/>
      <c r="I79" s="64"/>
      <c r="J79" s="64"/>
      <c r="K79" s="64"/>
      <c r="L79" s="64"/>
      <c r="M79" s="64"/>
      <c r="N79" s="64"/>
      <c r="O79" s="64"/>
      <c r="P79" s="64"/>
      <c r="Q79" s="64"/>
      <c r="R79" s="64"/>
      <c r="S79" s="64"/>
      <c r="T79" s="64"/>
      <c r="U79" s="64"/>
      <c r="V79" s="64"/>
      <c r="W79" s="64"/>
      <c r="X79" s="64"/>
      <c r="Y79" s="64"/>
      <c r="Z79" s="64"/>
    </row>
    <row r="80" ht="12.75" customHeight="1">
      <c r="A80" s="108"/>
      <c r="B80" s="64"/>
      <c r="C80" s="64"/>
      <c r="D80" s="64"/>
      <c r="E80" s="64"/>
      <c r="F80" s="63"/>
      <c r="G80" s="63"/>
      <c r="H80" s="64"/>
      <c r="I80" s="64"/>
      <c r="J80" s="64"/>
      <c r="K80" s="64"/>
      <c r="L80" s="64"/>
      <c r="M80" s="64"/>
      <c r="N80" s="64"/>
      <c r="O80" s="64"/>
      <c r="P80" s="64"/>
      <c r="Q80" s="64"/>
      <c r="R80" s="64"/>
      <c r="S80" s="64"/>
      <c r="T80" s="64"/>
      <c r="U80" s="64"/>
      <c r="V80" s="64"/>
      <c r="W80" s="64"/>
      <c r="X80" s="64"/>
      <c r="Y80" s="64"/>
      <c r="Z80" s="64"/>
    </row>
    <row r="81" ht="12.75" customHeight="1">
      <c r="A81" s="108"/>
      <c r="B81" s="64"/>
      <c r="C81" s="64"/>
      <c r="D81" s="64"/>
      <c r="E81" s="64"/>
      <c r="F81" s="63"/>
      <c r="G81" s="63"/>
      <c r="H81" s="64"/>
      <c r="I81" s="64"/>
      <c r="J81" s="64"/>
      <c r="K81" s="64"/>
      <c r="L81" s="64"/>
      <c r="M81" s="64"/>
      <c r="N81" s="64"/>
      <c r="O81" s="64"/>
      <c r="P81" s="64"/>
      <c r="Q81" s="64"/>
      <c r="R81" s="64"/>
      <c r="S81" s="64"/>
      <c r="T81" s="64"/>
      <c r="U81" s="64"/>
      <c r="V81" s="64"/>
      <c r="W81" s="64"/>
      <c r="X81" s="64"/>
      <c r="Y81" s="64"/>
      <c r="Z81" s="64"/>
    </row>
    <row r="82" ht="12.75" customHeight="1">
      <c r="A82" s="108"/>
      <c r="B82" s="64"/>
      <c r="C82" s="64"/>
      <c r="D82" s="64"/>
      <c r="E82" s="64"/>
      <c r="F82" s="63"/>
      <c r="G82" s="63"/>
      <c r="H82" s="64"/>
      <c r="I82" s="64"/>
      <c r="J82" s="64"/>
      <c r="K82" s="64"/>
      <c r="L82" s="64"/>
      <c r="M82" s="64"/>
      <c r="N82" s="64"/>
      <c r="O82" s="64"/>
      <c r="P82" s="64"/>
      <c r="Q82" s="64"/>
      <c r="R82" s="64"/>
      <c r="S82" s="64"/>
      <c r="T82" s="64"/>
      <c r="U82" s="64"/>
      <c r="V82" s="64"/>
      <c r="W82" s="64"/>
      <c r="X82" s="64"/>
      <c r="Y82" s="64"/>
      <c r="Z82" s="64"/>
    </row>
    <row r="83" ht="12.75" customHeight="1">
      <c r="A83" s="108"/>
      <c r="B83" s="64"/>
      <c r="C83" s="64"/>
      <c r="D83" s="64"/>
      <c r="E83" s="64"/>
      <c r="F83" s="63"/>
      <c r="G83" s="63"/>
      <c r="H83" s="64"/>
      <c r="I83" s="64"/>
      <c r="J83" s="64"/>
      <c r="K83" s="64"/>
      <c r="L83" s="64"/>
      <c r="M83" s="64"/>
      <c r="N83" s="64"/>
      <c r="O83" s="64"/>
      <c r="P83" s="64"/>
      <c r="Q83" s="64"/>
      <c r="R83" s="64"/>
      <c r="S83" s="64"/>
      <c r="T83" s="64"/>
      <c r="U83" s="64"/>
      <c r="V83" s="64"/>
      <c r="W83" s="64"/>
      <c r="X83" s="64"/>
      <c r="Y83" s="64"/>
      <c r="Z83" s="64"/>
    </row>
    <row r="84" ht="12.75" customHeight="1">
      <c r="A84" s="108"/>
      <c r="B84" s="64"/>
      <c r="C84" s="64"/>
      <c r="D84" s="64"/>
      <c r="E84" s="64"/>
      <c r="F84" s="63"/>
      <c r="G84" s="63"/>
      <c r="H84" s="64"/>
      <c r="I84" s="64"/>
      <c r="J84" s="64"/>
      <c r="K84" s="64"/>
      <c r="L84" s="64"/>
      <c r="M84" s="64"/>
      <c r="N84" s="64"/>
      <c r="O84" s="64"/>
      <c r="P84" s="64"/>
      <c r="Q84" s="64"/>
      <c r="R84" s="64"/>
      <c r="S84" s="64"/>
      <c r="T84" s="64"/>
      <c r="U84" s="64"/>
      <c r="V84" s="64"/>
      <c r="W84" s="64"/>
      <c r="X84" s="64"/>
      <c r="Y84" s="64"/>
      <c r="Z84" s="64"/>
    </row>
    <row r="85" ht="12.75" customHeight="1">
      <c r="A85" s="108"/>
      <c r="B85" s="64"/>
      <c r="C85" s="64"/>
      <c r="D85" s="64"/>
      <c r="E85" s="64"/>
      <c r="F85" s="63"/>
      <c r="G85" s="63"/>
      <c r="H85" s="64"/>
      <c r="I85" s="64"/>
      <c r="J85" s="64"/>
      <c r="K85" s="64"/>
      <c r="L85" s="64"/>
      <c r="M85" s="64"/>
      <c r="N85" s="64"/>
      <c r="O85" s="64"/>
      <c r="P85" s="64"/>
      <c r="Q85" s="64"/>
      <c r="R85" s="64"/>
      <c r="S85" s="64"/>
      <c r="T85" s="64"/>
      <c r="U85" s="64"/>
      <c r="V85" s="64"/>
      <c r="W85" s="64"/>
      <c r="X85" s="64"/>
      <c r="Y85" s="64"/>
      <c r="Z85" s="64"/>
    </row>
    <row r="86" ht="12.75" customHeight="1">
      <c r="A86" s="108"/>
      <c r="B86" s="64"/>
      <c r="C86" s="64"/>
      <c r="D86" s="64"/>
      <c r="E86" s="64"/>
      <c r="F86" s="63"/>
      <c r="G86" s="63"/>
      <c r="H86" s="64"/>
      <c r="I86" s="64"/>
      <c r="J86" s="64"/>
      <c r="K86" s="64"/>
      <c r="L86" s="64"/>
      <c r="M86" s="64"/>
      <c r="N86" s="64"/>
      <c r="O86" s="64"/>
      <c r="P86" s="64"/>
      <c r="Q86" s="64"/>
      <c r="R86" s="64"/>
      <c r="S86" s="64"/>
      <c r="T86" s="64"/>
      <c r="U86" s="64"/>
      <c r="V86" s="64"/>
      <c r="W86" s="64"/>
      <c r="X86" s="64"/>
      <c r="Y86" s="64"/>
      <c r="Z86" s="64"/>
    </row>
    <row r="87" ht="12.75" customHeight="1">
      <c r="A87" s="108"/>
      <c r="B87" s="64"/>
      <c r="C87" s="64"/>
      <c r="D87" s="64"/>
      <c r="E87" s="64"/>
      <c r="F87" s="63"/>
      <c r="G87" s="63"/>
      <c r="H87" s="64"/>
      <c r="I87" s="64"/>
      <c r="J87" s="64"/>
      <c r="K87" s="64"/>
      <c r="L87" s="64"/>
      <c r="M87" s="64"/>
      <c r="N87" s="64"/>
      <c r="O87" s="64"/>
      <c r="P87" s="64"/>
      <c r="Q87" s="64"/>
      <c r="R87" s="64"/>
      <c r="S87" s="64"/>
      <c r="T87" s="64"/>
      <c r="U87" s="64"/>
      <c r="V87" s="64"/>
      <c r="W87" s="64"/>
      <c r="X87" s="64"/>
      <c r="Y87" s="64"/>
      <c r="Z87" s="64"/>
    </row>
    <row r="88" ht="12.75" customHeight="1">
      <c r="A88" s="108"/>
      <c r="B88" s="64"/>
      <c r="C88" s="64"/>
      <c r="D88" s="64"/>
      <c r="E88" s="64"/>
      <c r="F88" s="63"/>
      <c r="G88" s="63"/>
      <c r="H88" s="64"/>
      <c r="I88" s="64"/>
      <c r="J88" s="64"/>
      <c r="K88" s="64"/>
      <c r="L88" s="64"/>
      <c r="M88" s="64"/>
      <c r="N88" s="64"/>
      <c r="O88" s="64"/>
      <c r="P88" s="64"/>
      <c r="Q88" s="64"/>
      <c r="R88" s="64"/>
      <c r="S88" s="64"/>
      <c r="T88" s="64"/>
      <c r="U88" s="64"/>
      <c r="V88" s="64"/>
      <c r="W88" s="64"/>
      <c r="X88" s="64"/>
      <c r="Y88" s="64"/>
      <c r="Z88" s="64"/>
    </row>
    <row r="89" ht="12.75" customHeight="1">
      <c r="A89" s="108"/>
      <c r="B89" s="64"/>
      <c r="C89" s="64"/>
      <c r="D89" s="64"/>
      <c r="E89" s="64"/>
      <c r="F89" s="63"/>
      <c r="G89" s="63"/>
      <c r="H89" s="64"/>
      <c r="I89" s="64"/>
      <c r="J89" s="64"/>
      <c r="K89" s="64"/>
      <c r="L89" s="64"/>
      <c r="M89" s="64"/>
      <c r="N89" s="64"/>
      <c r="O89" s="64"/>
      <c r="P89" s="64"/>
      <c r="Q89" s="64"/>
      <c r="R89" s="64"/>
      <c r="S89" s="64"/>
      <c r="T89" s="64"/>
      <c r="U89" s="64"/>
      <c r="V89" s="64"/>
      <c r="W89" s="64"/>
      <c r="X89" s="64"/>
      <c r="Y89" s="64"/>
      <c r="Z89" s="64"/>
    </row>
    <row r="90" ht="12.75" customHeight="1">
      <c r="A90" s="108"/>
      <c r="B90" s="64"/>
      <c r="C90" s="64"/>
      <c r="D90" s="64"/>
      <c r="E90" s="64"/>
      <c r="F90" s="63"/>
      <c r="G90" s="63"/>
      <c r="H90" s="64"/>
      <c r="I90" s="64"/>
      <c r="J90" s="64"/>
      <c r="K90" s="64"/>
      <c r="L90" s="64"/>
      <c r="M90" s="64"/>
      <c r="N90" s="64"/>
      <c r="O90" s="64"/>
      <c r="P90" s="64"/>
      <c r="Q90" s="64"/>
      <c r="R90" s="64"/>
      <c r="S90" s="64"/>
      <c r="T90" s="64"/>
      <c r="U90" s="64"/>
      <c r="V90" s="64"/>
      <c r="W90" s="64"/>
      <c r="X90" s="64"/>
      <c r="Y90" s="64"/>
      <c r="Z90" s="64"/>
    </row>
    <row r="91" ht="12.75" customHeight="1">
      <c r="A91" s="108"/>
      <c r="B91" s="64"/>
      <c r="C91" s="64"/>
      <c r="D91" s="64"/>
      <c r="E91" s="64"/>
      <c r="F91" s="63"/>
      <c r="G91" s="63"/>
      <c r="H91" s="64"/>
      <c r="I91" s="64"/>
      <c r="J91" s="64"/>
      <c r="K91" s="64"/>
      <c r="L91" s="64"/>
      <c r="M91" s="64"/>
      <c r="N91" s="64"/>
      <c r="O91" s="64"/>
      <c r="P91" s="64"/>
      <c r="Q91" s="64"/>
      <c r="R91" s="64"/>
      <c r="S91" s="64"/>
      <c r="T91" s="64"/>
      <c r="U91" s="64"/>
      <c r="V91" s="64"/>
      <c r="W91" s="64"/>
      <c r="X91" s="64"/>
      <c r="Y91" s="64"/>
      <c r="Z91" s="64"/>
    </row>
    <row r="92" ht="12.75" customHeight="1">
      <c r="A92" s="108"/>
      <c r="B92" s="64"/>
      <c r="C92" s="64"/>
      <c r="D92" s="64"/>
      <c r="E92" s="64"/>
      <c r="F92" s="63"/>
      <c r="G92" s="63"/>
      <c r="H92" s="64"/>
      <c r="I92" s="64"/>
      <c r="J92" s="64"/>
      <c r="K92" s="64"/>
      <c r="L92" s="64"/>
      <c r="M92" s="64"/>
      <c r="N92" s="64"/>
      <c r="O92" s="64"/>
      <c r="P92" s="64"/>
      <c r="Q92" s="64"/>
      <c r="R92" s="64"/>
      <c r="S92" s="64"/>
      <c r="T92" s="64"/>
      <c r="U92" s="64"/>
      <c r="V92" s="64"/>
      <c r="W92" s="64"/>
      <c r="X92" s="64"/>
      <c r="Y92" s="64"/>
      <c r="Z92" s="64"/>
    </row>
    <row r="93" ht="12.75" customHeight="1">
      <c r="A93" s="108"/>
      <c r="B93" s="64"/>
      <c r="C93" s="64"/>
      <c r="D93" s="64"/>
      <c r="E93" s="64"/>
      <c r="F93" s="63"/>
      <c r="G93" s="63"/>
      <c r="H93" s="64"/>
      <c r="I93" s="64"/>
      <c r="J93" s="64"/>
      <c r="K93" s="64"/>
      <c r="L93" s="64"/>
      <c r="M93" s="64"/>
      <c r="N93" s="64"/>
      <c r="O93" s="64"/>
      <c r="P93" s="64"/>
      <c r="Q93" s="64"/>
      <c r="R93" s="64"/>
      <c r="S93" s="64"/>
      <c r="T93" s="64"/>
      <c r="U93" s="64"/>
      <c r="V93" s="64"/>
      <c r="W93" s="64"/>
      <c r="X93" s="64"/>
      <c r="Y93" s="64"/>
      <c r="Z93" s="64"/>
    </row>
    <row r="94" ht="12.75" customHeight="1">
      <c r="A94" s="108"/>
      <c r="B94" s="64"/>
      <c r="C94" s="64"/>
      <c r="D94" s="64"/>
      <c r="E94" s="64"/>
      <c r="F94" s="63"/>
      <c r="G94" s="63"/>
      <c r="H94" s="64"/>
      <c r="I94" s="64"/>
      <c r="J94" s="64"/>
      <c r="K94" s="64"/>
      <c r="L94" s="64"/>
      <c r="M94" s="64"/>
      <c r="N94" s="64"/>
      <c r="O94" s="64"/>
      <c r="P94" s="64"/>
      <c r="Q94" s="64"/>
      <c r="R94" s="64"/>
      <c r="S94" s="64"/>
      <c r="T94" s="64"/>
      <c r="U94" s="64"/>
      <c r="V94" s="64"/>
      <c r="W94" s="64"/>
      <c r="X94" s="64"/>
      <c r="Y94" s="64"/>
      <c r="Z94" s="64"/>
    </row>
    <row r="95" ht="12.75" customHeight="1">
      <c r="A95" s="108"/>
      <c r="B95" s="64"/>
      <c r="C95" s="64"/>
      <c r="D95" s="64"/>
      <c r="E95" s="64"/>
      <c r="F95" s="63"/>
      <c r="G95" s="63"/>
      <c r="H95" s="64"/>
      <c r="I95" s="64"/>
      <c r="J95" s="64"/>
      <c r="K95" s="64"/>
      <c r="L95" s="64"/>
      <c r="M95" s="64"/>
      <c r="N95" s="64"/>
      <c r="O95" s="64"/>
      <c r="P95" s="64"/>
      <c r="Q95" s="64"/>
      <c r="R95" s="64"/>
      <c r="S95" s="64"/>
      <c r="T95" s="64"/>
      <c r="U95" s="64"/>
      <c r="V95" s="64"/>
      <c r="W95" s="64"/>
      <c r="X95" s="64"/>
      <c r="Y95" s="64"/>
      <c r="Z95" s="64"/>
    </row>
    <row r="96" ht="12.75" customHeight="1">
      <c r="A96" s="108"/>
      <c r="B96" s="64"/>
      <c r="C96" s="64"/>
      <c r="D96" s="64"/>
      <c r="E96" s="64"/>
      <c r="F96" s="63"/>
      <c r="G96" s="63"/>
      <c r="H96" s="64"/>
      <c r="I96" s="64"/>
      <c r="J96" s="64"/>
      <c r="K96" s="64"/>
      <c r="L96" s="64"/>
      <c r="M96" s="64"/>
      <c r="N96" s="64"/>
      <c r="O96" s="64"/>
      <c r="P96" s="64"/>
      <c r="Q96" s="64"/>
      <c r="R96" s="64"/>
      <c r="S96" s="64"/>
      <c r="T96" s="64"/>
      <c r="U96" s="64"/>
      <c r="V96" s="64"/>
      <c r="W96" s="64"/>
      <c r="X96" s="64"/>
      <c r="Y96" s="64"/>
      <c r="Z96" s="64"/>
    </row>
    <row r="97" ht="12.75" customHeight="1">
      <c r="A97" s="108"/>
      <c r="B97" s="64"/>
      <c r="C97" s="64"/>
      <c r="D97" s="64"/>
      <c r="E97" s="64"/>
      <c r="F97" s="63"/>
      <c r="G97" s="63"/>
      <c r="H97" s="64"/>
      <c r="I97" s="64"/>
      <c r="J97" s="64"/>
      <c r="K97" s="64"/>
      <c r="L97" s="64"/>
      <c r="M97" s="64"/>
      <c r="N97" s="64"/>
      <c r="O97" s="64"/>
      <c r="P97" s="64"/>
      <c r="Q97" s="64"/>
      <c r="R97" s="64"/>
      <c r="S97" s="64"/>
      <c r="T97" s="64"/>
      <c r="U97" s="64"/>
      <c r="V97" s="64"/>
      <c r="W97" s="64"/>
      <c r="X97" s="64"/>
      <c r="Y97" s="64"/>
      <c r="Z97" s="64"/>
    </row>
    <row r="98" ht="12.75" customHeight="1">
      <c r="A98" s="108"/>
      <c r="B98" s="64"/>
      <c r="C98" s="64"/>
      <c r="D98" s="64"/>
      <c r="E98" s="64"/>
      <c r="F98" s="63"/>
      <c r="G98" s="63"/>
      <c r="H98" s="64"/>
      <c r="I98" s="64"/>
      <c r="J98" s="64"/>
      <c r="K98" s="64"/>
      <c r="L98" s="64"/>
      <c r="M98" s="64"/>
      <c r="N98" s="64"/>
      <c r="O98" s="64"/>
      <c r="P98" s="64"/>
      <c r="Q98" s="64"/>
      <c r="R98" s="64"/>
      <c r="S98" s="64"/>
      <c r="T98" s="64"/>
      <c r="U98" s="64"/>
      <c r="V98" s="64"/>
      <c r="W98" s="64"/>
      <c r="X98" s="64"/>
      <c r="Y98" s="64"/>
      <c r="Z98" s="64"/>
    </row>
    <row r="99" ht="12.75" customHeight="1">
      <c r="A99" s="108"/>
      <c r="B99" s="64"/>
      <c r="C99" s="64"/>
      <c r="D99" s="64"/>
      <c r="E99" s="64"/>
      <c r="F99" s="63"/>
      <c r="G99" s="63"/>
      <c r="H99" s="64"/>
      <c r="I99" s="64"/>
      <c r="J99" s="64"/>
      <c r="K99" s="64"/>
      <c r="L99" s="64"/>
      <c r="M99" s="64"/>
      <c r="N99" s="64"/>
      <c r="O99" s="64"/>
      <c r="P99" s="64"/>
      <c r="Q99" s="64"/>
      <c r="R99" s="64"/>
      <c r="S99" s="64"/>
      <c r="T99" s="64"/>
      <c r="U99" s="64"/>
      <c r="V99" s="64"/>
      <c r="W99" s="64"/>
      <c r="X99" s="64"/>
      <c r="Y99" s="64"/>
      <c r="Z99" s="64"/>
    </row>
    <row r="100" ht="12.75" customHeight="1">
      <c r="A100" s="108"/>
      <c r="B100" s="64"/>
      <c r="C100" s="64"/>
      <c r="D100" s="64"/>
      <c r="E100" s="64"/>
      <c r="F100" s="63"/>
      <c r="G100" s="63"/>
      <c r="H100" s="64"/>
      <c r="I100" s="64"/>
      <c r="J100" s="64"/>
      <c r="K100" s="64"/>
      <c r="L100" s="64"/>
      <c r="M100" s="64"/>
      <c r="N100" s="64"/>
      <c r="O100" s="64"/>
      <c r="P100" s="64"/>
      <c r="Q100" s="64"/>
      <c r="R100" s="64"/>
      <c r="S100" s="64"/>
      <c r="T100" s="64"/>
      <c r="U100" s="64"/>
      <c r="V100" s="64"/>
      <c r="W100" s="64"/>
      <c r="X100" s="64"/>
      <c r="Y100" s="64"/>
      <c r="Z100" s="64"/>
    </row>
    <row r="101" ht="12.75" customHeight="1">
      <c r="A101" s="108"/>
      <c r="B101" s="64"/>
      <c r="C101" s="64"/>
      <c r="D101" s="64"/>
      <c r="E101" s="64"/>
      <c r="F101" s="63"/>
      <c r="G101" s="63"/>
      <c r="H101" s="64"/>
      <c r="I101" s="64"/>
      <c r="J101" s="64"/>
      <c r="K101" s="64"/>
      <c r="L101" s="64"/>
      <c r="M101" s="64"/>
      <c r="N101" s="64"/>
      <c r="O101" s="64"/>
      <c r="P101" s="64"/>
      <c r="Q101" s="64"/>
      <c r="R101" s="64"/>
      <c r="S101" s="64"/>
      <c r="T101" s="64"/>
      <c r="U101" s="64"/>
      <c r="V101" s="64"/>
      <c r="W101" s="64"/>
      <c r="X101" s="64"/>
      <c r="Y101" s="64"/>
      <c r="Z101" s="64"/>
    </row>
    <row r="102" ht="12.75" customHeight="1">
      <c r="A102" s="108"/>
      <c r="B102" s="64"/>
      <c r="C102" s="64"/>
      <c r="D102" s="64"/>
      <c r="E102" s="64"/>
      <c r="F102" s="63"/>
      <c r="G102" s="63"/>
      <c r="H102" s="64"/>
      <c r="I102" s="64"/>
      <c r="J102" s="64"/>
      <c r="K102" s="64"/>
      <c r="L102" s="64"/>
      <c r="M102" s="64"/>
      <c r="N102" s="64"/>
      <c r="O102" s="64"/>
      <c r="P102" s="64"/>
      <c r="Q102" s="64"/>
      <c r="R102" s="64"/>
      <c r="S102" s="64"/>
      <c r="T102" s="64"/>
      <c r="U102" s="64"/>
      <c r="V102" s="64"/>
      <c r="W102" s="64"/>
      <c r="X102" s="64"/>
      <c r="Y102" s="64"/>
      <c r="Z102" s="64"/>
    </row>
    <row r="103" ht="12.75" customHeight="1">
      <c r="A103" s="108"/>
      <c r="B103" s="64"/>
      <c r="C103" s="64"/>
      <c r="D103" s="64"/>
      <c r="E103" s="64"/>
      <c r="F103" s="63"/>
      <c r="G103" s="63"/>
      <c r="H103" s="64"/>
      <c r="I103" s="64"/>
      <c r="J103" s="64"/>
      <c r="K103" s="64"/>
      <c r="L103" s="64"/>
      <c r="M103" s="64"/>
      <c r="N103" s="64"/>
      <c r="O103" s="64"/>
      <c r="P103" s="64"/>
      <c r="Q103" s="64"/>
      <c r="R103" s="64"/>
      <c r="S103" s="64"/>
      <c r="T103" s="64"/>
      <c r="U103" s="64"/>
      <c r="V103" s="64"/>
      <c r="W103" s="64"/>
      <c r="X103" s="64"/>
      <c r="Y103" s="64"/>
      <c r="Z103" s="64"/>
    </row>
    <row r="104" ht="12.75" customHeight="1">
      <c r="A104" s="108"/>
      <c r="B104" s="64"/>
      <c r="C104" s="64"/>
      <c r="D104" s="64"/>
      <c r="E104" s="64"/>
      <c r="F104" s="63"/>
      <c r="G104" s="63"/>
      <c r="H104" s="64"/>
      <c r="I104" s="64"/>
      <c r="J104" s="64"/>
      <c r="K104" s="64"/>
      <c r="L104" s="64"/>
      <c r="M104" s="64"/>
      <c r="N104" s="64"/>
      <c r="O104" s="64"/>
      <c r="P104" s="64"/>
      <c r="Q104" s="64"/>
      <c r="R104" s="64"/>
      <c r="S104" s="64"/>
      <c r="T104" s="64"/>
      <c r="U104" s="64"/>
      <c r="V104" s="64"/>
      <c r="W104" s="64"/>
      <c r="X104" s="64"/>
      <c r="Y104" s="64"/>
      <c r="Z104" s="64"/>
    </row>
    <row r="105" ht="12.75" customHeight="1">
      <c r="A105" s="108"/>
      <c r="B105" s="64"/>
      <c r="C105" s="64"/>
      <c r="D105" s="64"/>
      <c r="E105" s="64"/>
      <c r="F105" s="63"/>
      <c r="G105" s="63"/>
      <c r="H105" s="64"/>
      <c r="I105" s="64"/>
      <c r="J105" s="64"/>
      <c r="K105" s="64"/>
      <c r="L105" s="64"/>
      <c r="M105" s="64"/>
      <c r="N105" s="64"/>
      <c r="O105" s="64"/>
      <c r="P105" s="64"/>
      <c r="Q105" s="64"/>
      <c r="R105" s="64"/>
      <c r="S105" s="64"/>
      <c r="T105" s="64"/>
      <c r="U105" s="64"/>
      <c r="V105" s="64"/>
      <c r="W105" s="64"/>
      <c r="X105" s="64"/>
      <c r="Y105" s="64"/>
      <c r="Z105" s="64"/>
    </row>
    <row r="106" ht="12.75" customHeight="1">
      <c r="A106" s="108"/>
      <c r="B106" s="64"/>
      <c r="C106" s="64"/>
      <c r="D106" s="64"/>
      <c r="E106" s="64"/>
      <c r="F106" s="63"/>
      <c r="G106" s="63"/>
      <c r="H106" s="64"/>
      <c r="I106" s="64"/>
      <c r="J106" s="64"/>
      <c r="K106" s="64"/>
      <c r="L106" s="64"/>
      <c r="M106" s="64"/>
      <c r="N106" s="64"/>
      <c r="O106" s="64"/>
      <c r="P106" s="64"/>
      <c r="Q106" s="64"/>
      <c r="R106" s="64"/>
      <c r="S106" s="64"/>
      <c r="T106" s="64"/>
      <c r="U106" s="64"/>
      <c r="V106" s="64"/>
      <c r="W106" s="64"/>
      <c r="X106" s="64"/>
      <c r="Y106" s="64"/>
      <c r="Z106" s="64"/>
    </row>
    <row r="107" ht="12.75" customHeight="1">
      <c r="A107" s="108"/>
      <c r="B107" s="64"/>
      <c r="C107" s="64"/>
      <c r="D107" s="64"/>
      <c r="E107" s="64"/>
      <c r="F107" s="63"/>
      <c r="G107" s="63"/>
      <c r="H107" s="64"/>
      <c r="I107" s="64"/>
      <c r="J107" s="64"/>
      <c r="K107" s="64"/>
      <c r="L107" s="64"/>
      <c r="M107" s="64"/>
      <c r="N107" s="64"/>
      <c r="O107" s="64"/>
      <c r="P107" s="64"/>
      <c r="Q107" s="64"/>
      <c r="R107" s="64"/>
      <c r="S107" s="64"/>
      <c r="T107" s="64"/>
      <c r="U107" s="64"/>
      <c r="V107" s="64"/>
      <c r="W107" s="64"/>
      <c r="X107" s="64"/>
      <c r="Y107" s="64"/>
      <c r="Z107" s="64"/>
    </row>
    <row r="108" ht="12.75" customHeight="1">
      <c r="A108" s="108"/>
      <c r="B108" s="64"/>
      <c r="C108" s="64"/>
      <c r="D108" s="64"/>
      <c r="E108" s="64"/>
      <c r="F108" s="63"/>
      <c r="G108" s="63"/>
      <c r="H108" s="64"/>
      <c r="I108" s="64"/>
      <c r="J108" s="64"/>
      <c r="K108" s="64"/>
      <c r="L108" s="64"/>
      <c r="M108" s="64"/>
      <c r="N108" s="64"/>
      <c r="O108" s="64"/>
      <c r="P108" s="64"/>
      <c r="Q108" s="64"/>
      <c r="R108" s="64"/>
      <c r="S108" s="64"/>
      <c r="T108" s="64"/>
      <c r="U108" s="64"/>
      <c r="V108" s="64"/>
      <c r="W108" s="64"/>
      <c r="X108" s="64"/>
      <c r="Y108" s="64"/>
      <c r="Z108" s="64"/>
    </row>
    <row r="109" ht="12.75" customHeight="1">
      <c r="A109" s="108"/>
      <c r="B109" s="64"/>
      <c r="C109" s="64"/>
      <c r="D109" s="64"/>
      <c r="E109" s="64"/>
      <c r="F109" s="63"/>
      <c r="G109" s="63"/>
      <c r="H109" s="64"/>
      <c r="I109" s="64"/>
      <c r="J109" s="64"/>
      <c r="K109" s="64"/>
      <c r="L109" s="64"/>
      <c r="M109" s="64"/>
      <c r="N109" s="64"/>
      <c r="O109" s="64"/>
      <c r="P109" s="64"/>
      <c r="Q109" s="64"/>
      <c r="R109" s="64"/>
      <c r="S109" s="64"/>
      <c r="T109" s="64"/>
      <c r="U109" s="64"/>
      <c r="V109" s="64"/>
      <c r="W109" s="64"/>
      <c r="X109" s="64"/>
      <c r="Y109" s="64"/>
      <c r="Z109" s="64"/>
    </row>
    <row r="110" ht="12.75" customHeight="1">
      <c r="A110" s="108"/>
      <c r="B110" s="64"/>
      <c r="C110" s="64"/>
      <c r="D110" s="64"/>
      <c r="E110" s="64"/>
      <c r="F110" s="63"/>
      <c r="G110" s="63"/>
      <c r="H110" s="64"/>
      <c r="I110" s="64"/>
      <c r="J110" s="64"/>
      <c r="K110" s="64"/>
      <c r="L110" s="64"/>
      <c r="M110" s="64"/>
      <c r="N110" s="64"/>
      <c r="O110" s="64"/>
      <c r="P110" s="64"/>
      <c r="Q110" s="64"/>
      <c r="R110" s="64"/>
      <c r="S110" s="64"/>
      <c r="T110" s="64"/>
      <c r="U110" s="64"/>
      <c r="V110" s="64"/>
      <c r="W110" s="64"/>
      <c r="X110" s="64"/>
      <c r="Y110" s="64"/>
      <c r="Z110" s="64"/>
    </row>
    <row r="111" ht="12.75" customHeight="1">
      <c r="A111" s="108"/>
      <c r="B111" s="64"/>
      <c r="C111" s="64"/>
      <c r="D111" s="64"/>
      <c r="E111" s="64"/>
      <c r="F111" s="63"/>
      <c r="G111" s="63"/>
      <c r="H111" s="64"/>
      <c r="I111" s="64"/>
      <c r="J111" s="64"/>
      <c r="K111" s="64"/>
      <c r="L111" s="64"/>
      <c r="M111" s="64"/>
      <c r="N111" s="64"/>
      <c r="O111" s="64"/>
      <c r="P111" s="64"/>
      <c r="Q111" s="64"/>
      <c r="R111" s="64"/>
      <c r="S111" s="64"/>
      <c r="T111" s="64"/>
      <c r="U111" s="64"/>
      <c r="V111" s="64"/>
      <c r="W111" s="64"/>
      <c r="X111" s="64"/>
      <c r="Y111" s="64"/>
      <c r="Z111" s="64"/>
    </row>
    <row r="112" ht="12.75" customHeight="1">
      <c r="A112" s="108"/>
      <c r="B112" s="64"/>
      <c r="C112" s="64"/>
      <c r="D112" s="64"/>
      <c r="E112" s="64"/>
      <c r="F112" s="63"/>
      <c r="G112" s="63"/>
      <c r="H112" s="64"/>
      <c r="I112" s="64"/>
      <c r="J112" s="64"/>
      <c r="K112" s="64"/>
      <c r="L112" s="64"/>
      <c r="M112" s="64"/>
      <c r="N112" s="64"/>
      <c r="O112" s="64"/>
      <c r="P112" s="64"/>
      <c r="Q112" s="64"/>
      <c r="R112" s="64"/>
      <c r="S112" s="64"/>
      <c r="T112" s="64"/>
      <c r="U112" s="64"/>
      <c r="V112" s="64"/>
      <c r="W112" s="64"/>
      <c r="X112" s="64"/>
      <c r="Y112" s="64"/>
      <c r="Z112" s="64"/>
    </row>
    <row r="113" ht="12.75" customHeight="1">
      <c r="A113" s="108"/>
      <c r="B113" s="64"/>
      <c r="C113" s="64"/>
      <c r="D113" s="64"/>
      <c r="E113" s="64"/>
      <c r="F113" s="63"/>
      <c r="G113" s="63"/>
      <c r="H113" s="64"/>
      <c r="I113" s="64"/>
      <c r="J113" s="64"/>
      <c r="K113" s="64"/>
      <c r="L113" s="64"/>
      <c r="M113" s="64"/>
      <c r="N113" s="64"/>
      <c r="O113" s="64"/>
      <c r="P113" s="64"/>
      <c r="Q113" s="64"/>
      <c r="R113" s="64"/>
      <c r="S113" s="64"/>
      <c r="T113" s="64"/>
      <c r="U113" s="64"/>
      <c r="V113" s="64"/>
      <c r="W113" s="64"/>
      <c r="X113" s="64"/>
      <c r="Y113" s="64"/>
      <c r="Z113" s="64"/>
    </row>
    <row r="114" ht="12.75" customHeight="1">
      <c r="A114" s="108"/>
      <c r="B114" s="64"/>
      <c r="C114" s="64"/>
      <c r="D114" s="64"/>
      <c r="E114" s="64"/>
      <c r="F114" s="63"/>
      <c r="G114" s="63"/>
      <c r="H114" s="64"/>
      <c r="I114" s="64"/>
      <c r="J114" s="64"/>
      <c r="K114" s="64"/>
      <c r="L114" s="64"/>
      <c r="M114" s="64"/>
      <c r="N114" s="64"/>
      <c r="O114" s="64"/>
      <c r="P114" s="64"/>
      <c r="Q114" s="64"/>
      <c r="R114" s="64"/>
      <c r="S114" s="64"/>
      <c r="T114" s="64"/>
      <c r="U114" s="64"/>
      <c r="V114" s="64"/>
      <c r="W114" s="64"/>
      <c r="X114" s="64"/>
      <c r="Y114" s="64"/>
      <c r="Z114" s="64"/>
    </row>
    <row r="115" ht="12.75" customHeight="1">
      <c r="A115" s="108"/>
      <c r="B115" s="64"/>
      <c r="C115" s="64"/>
      <c r="D115" s="64"/>
      <c r="E115" s="64"/>
      <c r="F115" s="63"/>
      <c r="G115" s="63"/>
      <c r="H115" s="64"/>
      <c r="I115" s="64"/>
      <c r="J115" s="64"/>
      <c r="K115" s="64"/>
      <c r="L115" s="64"/>
      <c r="M115" s="64"/>
      <c r="N115" s="64"/>
      <c r="O115" s="64"/>
      <c r="P115" s="64"/>
      <c r="Q115" s="64"/>
      <c r="R115" s="64"/>
      <c r="S115" s="64"/>
      <c r="T115" s="64"/>
      <c r="U115" s="64"/>
      <c r="V115" s="64"/>
      <c r="W115" s="64"/>
      <c r="X115" s="64"/>
      <c r="Y115" s="64"/>
      <c r="Z115" s="64"/>
    </row>
    <row r="116" ht="12.75" customHeight="1">
      <c r="A116" s="108"/>
      <c r="B116" s="64"/>
      <c r="C116" s="64"/>
      <c r="D116" s="64"/>
      <c r="E116" s="64"/>
      <c r="F116" s="63"/>
      <c r="G116" s="63"/>
      <c r="H116" s="64"/>
      <c r="I116" s="64"/>
      <c r="J116" s="64"/>
      <c r="K116" s="64"/>
      <c r="L116" s="64"/>
      <c r="M116" s="64"/>
      <c r="N116" s="64"/>
      <c r="O116" s="64"/>
      <c r="P116" s="64"/>
      <c r="Q116" s="64"/>
      <c r="R116" s="64"/>
      <c r="S116" s="64"/>
      <c r="T116" s="64"/>
      <c r="U116" s="64"/>
      <c r="V116" s="64"/>
      <c r="W116" s="64"/>
      <c r="X116" s="64"/>
      <c r="Y116" s="64"/>
      <c r="Z116" s="64"/>
    </row>
    <row r="117" ht="12.75" customHeight="1">
      <c r="A117" s="108"/>
      <c r="B117" s="64"/>
      <c r="C117" s="64"/>
      <c r="D117" s="64"/>
      <c r="E117" s="64"/>
      <c r="F117" s="63"/>
      <c r="G117" s="63"/>
      <c r="H117" s="64"/>
      <c r="I117" s="64"/>
      <c r="J117" s="64"/>
      <c r="K117" s="64"/>
      <c r="L117" s="64"/>
      <c r="M117" s="64"/>
      <c r="N117" s="64"/>
      <c r="O117" s="64"/>
      <c r="P117" s="64"/>
      <c r="Q117" s="64"/>
      <c r="R117" s="64"/>
      <c r="S117" s="64"/>
      <c r="T117" s="64"/>
      <c r="U117" s="64"/>
      <c r="V117" s="64"/>
      <c r="W117" s="64"/>
      <c r="X117" s="64"/>
      <c r="Y117" s="64"/>
      <c r="Z117" s="64"/>
    </row>
    <row r="118" ht="12.75" customHeight="1">
      <c r="A118" s="108"/>
      <c r="B118" s="64"/>
      <c r="C118" s="64"/>
      <c r="D118" s="64"/>
      <c r="E118" s="64"/>
      <c r="F118" s="63"/>
      <c r="G118" s="63"/>
      <c r="H118" s="64"/>
      <c r="I118" s="64"/>
      <c r="J118" s="64"/>
      <c r="K118" s="64"/>
      <c r="L118" s="64"/>
      <c r="M118" s="64"/>
      <c r="N118" s="64"/>
      <c r="O118" s="64"/>
      <c r="P118" s="64"/>
      <c r="Q118" s="64"/>
      <c r="R118" s="64"/>
      <c r="S118" s="64"/>
      <c r="T118" s="64"/>
      <c r="U118" s="64"/>
      <c r="V118" s="64"/>
      <c r="W118" s="64"/>
      <c r="X118" s="64"/>
      <c r="Y118" s="64"/>
      <c r="Z118" s="64"/>
    </row>
    <row r="119" ht="12.75" customHeight="1">
      <c r="A119" s="108"/>
      <c r="B119" s="64"/>
      <c r="C119" s="64"/>
      <c r="D119" s="64"/>
      <c r="E119" s="64"/>
      <c r="F119" s="63"/>
      <c r="G119" s="63"/>
      <c r="H119" s="64"/>
      <c r="I119" s="64"/>
      <c r="J119" s="64"/>
      <c r="K119" s="64"/>
      <c r="L119" s="64"/>
      <c r="M119" s="64"/>
      <c r="N119" s="64"/>
      <c r="O119" s="64"/>
      <c r="P119" s="64"/>
      <c r="Q119" s="64"/>
      <c r="R119" s="64"/>
      <c r="S119" s="64"/>
      <c r="T119" s="64"/>
      <c r="U119" s="64"/>
      <c r="V119" s="64"/>
      <c r="W119" s="64"/>
      <c r="X119" s="64"/>
      <c r="Y119" s="64"/>
      <c r="Z119" s="64"/>
    </row>
    <row r="120" ht="12.75" customHeight="1">
      <c r="A120" s="108"/>
      <c r="B120" s="64"/>
      <c r="C120" s="64"/>
      <c r="D120" s="64"/>
      <c r="E120" s="64"/>
      <c r="F120" s="63"/>
      <c r="G120" s="63"/>
      <c r="H120" s="64"/>
      <c r="I120" s="64"/>
      <c r="J120" s="64"/>
      <c r="K120" s="64"/>
      <c r="L120" s="64"/>
      <c r="M120" s="64"/>
      <c r="N120" s="64"/>
      <c r="O120" s="64"/>
      <c r="P120" s="64"/>
      <c r="Q120" s="64"/>
      <c r="R120" s="64"/>
      <c r="S120" s="64"/>
      <c r="T120" s="64"/>
      <c r="U120" s="64"/>
      <c r="V120" s="64"/>
      <c r="W120" s="64"/>
      <c r="X120" s="64"/>
      <c r="Y120" s="64"/>
      <c r="Z120" s="64"/>
    </row>
    <row r="121" ht="12.75" customHeight="1">
      <c r="A121" s="108"/>
      <c r="B121" s="64"/>
      <c r="C121" s="64"/>
      <c r="D121" s="64"/>
      <c r="E121" s="64"/>
      <c r="F121" s="63"/>
      <c r="G121" s="63"/>
      <c r="H121" s="64"/>
      <c r="I121" s="64"/>
      <c r="J121" s="64"/>
      <c r="K121" s="64"/>
      <c r="L121" s="64"/>
      <c r="M121" s="64"/>
      <c r="N121" s="64"/>
      <c r="O121" s="64"/>
      <c r="P121" s="64"/>
      <c r="Q121" s="64"/>
      <c r="R121" s="64"/>
      <c r="S121" s="64"/>
      <c r="T121" s="64"/>
      <c r="U121" s="64"/>
      <c r="V121" s="64"/>
      <c r="W121" s="64"/>
      <c r="X121" s="64"/>
      <c r="Y121" s="64"/>
      <c r="Z121" s="64"/>
    </row>
    <row r="122" ht="12.75" customHeight="1">
      <c r="A122" s="108"/>
      <c r="B122" s="64"/>
      <c r="C122" s="64"/>
      <c r="D122" s="64"/>
      <c r="E122" s="64"/>
      <c r="F122" s="63"/>
      <c r="G122" s="63"/>
      <c r="H122" s="64"/>
      <c r="I122" s="64"/>
      <c r="J122" s="64"/>
      <c r="K122" s="64"/>
      <c r="L122" s="64"/>
      <c r="M122" s="64"/>
      <c r="N122" s="64"/>
      <c r="O122" s="64"/>
      <c r="P122" s="64"/>
      <c r="Q122" s="64"/>
      <c r="R122" s="64"/>
      <c r="S122" s="64"/>
      <c r="T122" s="64"/>
      <c r="U122" s="64"/>
      <c r="V122" s="64"/>
      <c r="W122" s="64"/>
      <c r="X122" s="64"/>
      <c r="Y122" s="64"/>
      <c r="Z122" s="64"/>
    </row>
    <row r="123" ht="12.75" customHeight="1">
      <c r="A123" s="108"/>
      <c r="B123" s="64"/>
      <c r="C123" s="64"/>
      <c r="D123" s="64"/>
      <c r="E123" s="64"/>
      <c r="F123" s="63"/>
      <c r="G123" s="63"/>
      <c r="H123" s="64"/>
      <c r="I123" s="64"/>
      <c r="J123" s="64"/>
      <c r="K123" s="64"/>
      <c r="L123" s="64"/>
      <c r="M123" s="64"/>
      <c r="N123" s="64"/>
      <c r="O123" s="64"/>
      <c r="P123" s="64"/>
      <c r="Q123" s="64"/>
      <c r="R123" s="64"/>
      <c r="S123" s="64"/>
      <c r="T123" s="64"/>
      <c r="U123" s="64"/>
      <c r="V123" s="64"/>
      <c r="W123" s="64"/>
      <c r="X123" s="64"/>
      <c r="Y123" s="64"/>
      <c r="Z123" s="64"/>
    </row>
    <row r="124" ht="12.75" customHeight="1">
      <c r="A124" s="108"/>
      <c r="B124" s="64"/>
      <c r="C124" s="64"/>
      <c r="D124" s="64"/>
      <c r="E124" s="64"/>
      <c r="F124" s="63"/>
      <c r="G124" s="63"/>
      <c r="H124" s="64"/>
      <c r="I124" s="64"/>
      <c r="J124" s="64"/>
      <c r="K124" s="64"/>
      <c r="L124" s="64"/>
      <c r="M124" s="64"/>
      <c r="N124" s="64"/>
      <c r="O124" s="64"/>
      <c r="P124" s="64"/>
      <c r="Q124" s="64"/>
      <c r="R124" s="64"/>
      <c r="S124" s="64"/>
      <c r="T124" s="64"/>
      <c r="U124" s="64"/>
      <c r="V124" s="64"/>
      <c r="W124" s="64"/>
      <c r="X124" s="64"/>
      <c r="Y124" s="64"/>
      <c r="Z124" s="64"/>
    </row>
    <row r="125" ht="12.75" customHeight="1">
      <c r="A125" s="108"/>
      <c r="B125" s="64"/>
      <c r="C125" s="64"/>
      <c r="D125" s="64"/>
      <c r="E125" s="64"/>
      <c r="F125" s="63"/>
      <c r="G125" s="63"/>
      <c r="H125" s="64"/>
      <c r="I125" s="64"/>
      <c r="J125" s="64"/>
      <c r="K125" s="64"/>
      <c r="L125" s="64"/>
      <c r="M125" s="64"/>
      <c r="N125" s="64"/>
      <c r="O125" s="64"/>
      <c r="P125" s="64"/>
      <c r="Q125" s="64"/>
      <c r="R125" s="64"/>
      <c r="S125" s="64"/>
      <c r="T125" s="64"/>
      <c r="U125" s="64"/>
      <c r="V125" s="64"/>
      <c r="W125" s="64"/>
      <c r="X125" s="64"/>
      <c r="Y125" s="64"/>
      <c r="Z125" s="64"/>
    </row>
    <row r="126" ht="12.75" customHeight="1">
      <c r="A126" s="108"/>
      <c r="B126" s="64"/>
      <c r="C126" s="64"/>
      <c r="D126" s="64"/>
      <c r="E126" s="64"/>
      <c r="F126" s="63"/>
      <c r="G126" s="63"/>
      <c r="H126" s="64"/>
      <c r="I126" s="64"/>
      <c r="J126" s="64"/>
      <c r="K126" s="64"/>
      <c r="L126" s="64"/>
      <c r="M126" s="64"/>
      <c r="N126" s="64"/>
      <c r="O126" s="64"/>
      <c r="P126" s="64"/>
      <c r="Q126" s="64"/>
      <c r="R126" s="64"/>
      <c r="S126" s="64"/>
      <c r="T126" s="64"/>
      <c r="U126" s="64"/>
      <c r="V126" s="64"/>
      <c r="W126" s="64"/>
      <c r="X126" s="64"/>
      <c r="Y126" s="64"/>
      <c r="Z126" s="64"/>
    </row>
    <row r="127" ht="12.75" customHeight="1">
      <c r="A127" s="108"/>
      <c r="B127" s="64"/>
      <c r="C127" s="64"/>
      <c r="D127" s="64"/>
      <c r="E127" s="64"/>
      <c r="F127" s="63"/>
      <c r="G127" s="63"/>
      <c r="H127" s="64"/>
      <c r="I127" s="64"/>
      <c r="J127" s="64"/>
      <c r="K127" s="64"/>
      <c r="L127" s="64"/>
      <c r="M127" s="64"/>
      <c r="N127" s="64"/>
      <c r="O127" s="64"/>
      <c r="P127" s="64"/>
      <c r="Q127" s="64"/>
      <c r="R127" s="64"/>
      <c r="S127" s="64"/>
      <c r="T127" s="64"/>
      <c r="U127" s="64"/>
      <c r="V127" s="64"/>
      <c r="W127" s="64"/>
      <c r="X127" s="64"/>
      <c r="Y127" s="64"/>
      <c r="Z127" s="64"/>
    </row>
    <row r="128" ht="12.75" customHeight="1">
      <c r="A128" s="108"/>
      <c r="B128" s="64"/>
      <c r="C128" s="64"/>
      <c r="D128" s="64"/>
      <c r="E128" s="64"/>
      <c r="F128" s="63"/>
      <c r="G128" s="63"/>
      <c r="H128" s="64"/>
      <c r="I128" s="64"/>
      <c r="J128" s="64"/>
      <c r="K128" s="64"/>
      <c r="L128" s="64"/>
      <c r="M128" s="64"/>
      <c r="N128" s="64"/>
      <c r="O128" s="64"/>
      <c r="P128" s="64"/>
      <c r="Q128" s="64"/>
      <c r="R128" s="64"/>
      <c r="S128" s="64"/>
      <c r="T128" s="64"/>
      <c r="U128" s="64"/>
      <c r="V128" s="64"/>
      <c r="W128" s="64"/>
      <c r="X128" s="64"/>
      <c r="Y128" s="64"/>
      <c r="Z128" s="64"/>
    </row>
    <row r="129" ht="12.75" customHeight="1">
      <c r="A129" s="108"/>
      <c r="B129" s="64"/>
      <c r="C129" s="64"/>
      <c r="D129" s="64"/>
      <c r="E129" s="64"/>
      <c r="F129" s="63"/>
      <c r="G129" s="63"/>
      <c r="H129" s="64"/>
      <c r="I129" s="64"/>
      <c r="J129" s="64"/>
      <c r="K129" s="64"/>
      <c r="L129" s="64"/>
      <c r="M129" s="64"/>
      <c r="N129" s="64"/>
      <c r="O129" s="64"/>
      <c r="P129" s="64"/>
      <c r="Q129" s="64"/>
      <c r="R129" s="64"/>
      <c r="S129" s="64"/>
      <c r="T129" s="64"/>
      <c r="U129" s="64"/>
      <c r="V129" s="64"/>
      <c r="W129" s="64"/>
      <c r="X129" s="64"/>
      <c r="Y129" s="64"/>
      <c r="Z129" s="64"/>
    </row>
    <row r="130" ht="12.75" customHeight="1">
      <c r="A130" s="108"/>
      <c r="B130" s="64"/>
      <c r="C130" s="64"/>
      <c r="D130" s="64"/>
      <c r="E130" s="64"/>
      <c r="F130" s="63"/>
      <c r="G130" s="63"/>
      <c r="H130" s="64"/>
      <c r="I130" s="64"/>
      <c r="J130" s="64"/>
      <c r="K130" s="64"/>
      <c r="L130" s="64"/>
      <c r="M130" s="64"/>
      <c r="N130" s="64"/>
      <c r="O130" s="64"/>
      <c r="P130" s="64"/>
      <c r="Q130" s="64"/>
      <c r="R130" s="64"/>
      <c r="S130" s="64"/>
      <c r="T130" s="64"/>
      <c r="U130" s="64"/>
      <c r="V130" s="64"/>
      <c r="W130" s="64"/>
      <c r="X130" s="64"/>
      <c r="Y130" s="64"/>
      <c r="Z130" s="64"/>
    </row>
    <row r="131" ht="12.75" customHeight="1">
      <c r="A131" s="108"/>
      <c r="B131" s="64"/>
      <c r="C131" s="64"/>
      <c r="D131" s="64"/>
      <c r="E131" s="64"/>
      <c r="F131" s="63"/>
      <c r="G131" s="63"/>
      <c r="H131" s="64"/>
      <c r="I131" s="64"/>
      <c r="J131" s="64"/>
      <c r="K131" s="64"/>
      <c r="L131" s="64"/>
      <c r="M131" s="64"/>
      <c r="N131" s="64"/>
      <c r="O131" s="64"/>
      <c r="P131" s="64"/>
      <c r="Q131" s="64"/>
      <c r="R131" s="64"/>
      <c r="S131" s="64"/>
      <c r="T131" s="64"/>
      <c r="U131" s="64"/>
      <c r="V131" s="64"/>
      <c r="W131" s="64"/>
      <c r="X131" s="64"/>
      <c r="Y131" s="64"/>
      <c r="Z131" s="64"/>
    </row>
    <row r="132" ht="12.75" customHeight="1">
      <c r="A132" s="108"/>
      <c r="B132" s="64"/>
      <c r="C132" s="64"/>
      <c r="D132" s="64"/>
      <c r="E132" s="64"/>
      <c r="F132" s="63"/>
      <c r="G132" s="63"/>
      <c r="H132" s="64"/>
      <c r="I132" s="64"/>
      <c r="J132" s="64"/>
      <c r="K132" s="64"/>
      <c r="L132" s="64"/>
      <c r="M132" s="64"/>
      <c r="N132" s="64"/>
      <c r="O132" s="64"/>
      <c r="P132" s="64"/>
      <c r="Q132" s="64"/>
      <c r="R132" s="64"/>
      <c r="S132" s="64"/>
      <c r="T132" s="64"/>
      <c r="U132" s="64"/>
      <c r="V132" s="64"/>
      <c r="W132" s="64"/>
      <c r="X132" s="64"/>
      <c r="Y132" s="64"/>
      <c r="Z132" s="64"/>
    </row>
    <row r="133" ht="12.75" customHeight="1">
      <c r="A133" s="108"/>
      <c r="B133" s="64"/>
      <c r="C133" s="64"/>
      <c r="D133" s="64"/>
      <c r="E133" s="64"/>
      <c r="F133" s="63"/>
      <c r="G133" s="63"/>
      <c r="H133" s="64"/>
      <c r="I133" s="64"/>
      <c r="J133" s="64"/>
      <c r="K133" s="64"/>
      <c r="L133" s="64"/>
      <c r="M133" s="64"/>
      <c r="N133" s="64"/>
      <c r="O133" s="64"/>
      <c r="P133" s="64"/>
      <c r="Q133" s="64"/>
      <c r="R133" s="64"/>
      <c r="S133" s="64"/>
      <c r="T133" s="64"/>
      <c r="U133" s="64"/>
      <c r="V133" s="64"/>
      <c r="W133" s="64"/>
      <c r="X133" s="64"/>
      <c r="Y133" s="64"/>
      <c r="Z133" s="64"/>
    </row>
    <row r="134" ht="12.75" customHeight="1">
      <c r="A134" s="108"/>
      <c r="B134" s="64"/>
      <c r="C134" s="64"/>
      <c r="D134" s="64"/>
      <c r="E134" s="64"/>
      <c r="F134" s="63"/>
      <c r="G134" s="63"/>
      <c r="H134" s="64"/>
      <c r="I134" s="64"/>
      <c r="J134" s="64"/>
      <c r="K134" s="64"/>
      <c r="L134" s="64"/>
      <c r="M134" s="64"/>
      <c r="N134" s="64"/>
      <c r="O134" s="64"/>
      <c r="P134" s="64"/>
      <c r="Q134" s="64"/>
      <c r="R134" s="64"/>
      <c r="S134" s="64"/>
      <c r="T134" s="64"/>
      <c r="U134" s="64"/>
      <c r="V134" s="64"/>
      <c r="W134" s="64"/>
      <c r="X134" s="64"/>
      <c r="Y134" s="64"/>
      <c r="Z134" s="64"/>
    </row>
    <row r="135" ht="12.75" customHeight="1">
      <c r="A135" s="108"/>
      <c r="B135" s="64"/>
      <c r="C135" s="64"/>
      <c r="D135" s="64"/>
      <c r="E135" s="64"/>
      <c r="F135" s="63"/>
      <c r="G135" s="63"/>
      <c r="H135" s="64"/>
      <c r="I135" s="64"/>
      <c r="J135" s="64"/>
      <c r="K135" s="64"/>
      <c r="L135" s="64"/>
      <c r="M135" s="64"/>
      <c r="N135" s="64"/>
      <c r="O135" s="64"/>
      <c r="P135" s="64"/>
      <c r="Q135" s="64"/>
      <c r="R135" s="64"/>
      <c r="S135" s="64"/>
      <c r="T135" s="64"/>
      <c r="U135" s="64"/>
      <c r="V135" s="64"/>
      <c r="W135" s="64"/>
      <c r="X135" s="64"/>
      <c r="Y135" s="64"/>
      <c r="Z135" s="64"/>
    </row>
    <row r="136" ht="12.75" customHeight="1">
      <c r="A136" s="108"/>
      <c r="B136" s="64"/>
      <c r="C136" s="64"/>
      <c r="D136" s="64"/>
      <c r="E136" s="64"/>
      <c r="F136" s="63"/>
      <c r="G136" s="63"/>
      <c r="H136" s="64"/>
      <c r="I136" s="64"/>
      <c r="J136" s="64"/>
      <c r="K136" s="64"/>
      <c r="L136" s="64"/>
      <c r="M136" s="64"/>
      <c r="N136" s="64"/>
      <c r="O136" s="64"/>
      <c r="P136" s="64"/>
      <c r="Q136" s="64"/>
      <c r="R136" s="64"/>
      <c r="S136" s="64"/>
      <c r="T136" s="64"/>
      <c r="U136" s="64"/>
      <c r="V136" s="64"/>
      <c r="W136" s="64"/>
      <c r="X136" s="64"/>
      <c r="Y136" s="64"/>
      <c r="Z136" s="64"/>
    </row>
    <row r="137" ht="12.75" customHeight="1">
      <c r="A137" s="108"/>
      <c r="B137" s="64"/>
      <c r="C137" s="64"/>
      <c r="D137" s="64"/>
      <c r="E137" s="64"/>
      <c r="F137" s="63"/>
      <c r="G137" s="63"/>
      <c r="H137" s="64"/>
      <c r="I137" s="64"/>
      <c r="J137" s="64"/>
      <c r="K137" s="64"/>
      <c r="L137" s="64"/>
      <c r="M137" s="64"/>
      <c r="N137" s="64"/>
      <c r="O137" s="64"/>
      <c r="P137" s="64"/>
      <c r="Q137" s="64"/>
      <c r="R137" s="64"/>
      <c r="S137" s="64"/>
      <c r="T137" s="64"/>
      <c r="U137" s="64"/>
      <c r="V137" s="64"/>
      <c r="W137" s="64"/>
      <c r="X137" s="64"/>
      <c r="Y137" s="64"/>
      <c r="Z137" s="64"/>
    </row>
    <row r="138" ht="12.75" customHeight="1">
      <c r="A138" s="108"/>
      <c r="B138" s="64"/>
      <c r="C138" s="64"/>
      <c r="D138" s="64"/>
      <c r="E138" s="64"/>
      <c r="F138" s="63"/>
      <c r="G138" s="63"/>
      <c r="H138" s="64"/>
      <c r="I138" s="64"/>
      <c r="J138" s="64"/>
      <c r="K138" s="64"/>
      <c r="L138" s="64"/>
      <c r="M138" s="64"/>
      <c r="N138" s="64"/>
      <c r="O138" s="64"/>
      <c r="P138" s="64"/>
      <c r="Q138" s="64"/>
      <c r="R138" s="64"/>
      <c r="S138" s="64"/>
      <c r="T138" s="64"/>
      <c r="U138" s="64"/>
      <c r="V138" s="64"/>
      <c r="W138" s="64"/>
      <c r="X138" s="64"/>
      <c r="Y138" s="64"/>
      <c r="Z138" s="64"/>
    </row>
    <row r="139" ht="12.75" customHeight="1">
      <c r="A139" s="108"/>
      <c r="B139" s="64"/>
      <c r="C139" s="64"/>
      <c r="D139" s="64"/>
      <c r="E139" s="64"/>
      <c r="F139" s="63"/>
      <c r="G139" s="63"/>
      <c r="H139" s="64"/>
      <c r="I139" s="64"/>
      <c r="J139" s="64"/>
      <c r="K139" s="64"/>
      <c r="L139" s="64"/>
      <c r="M139" s="64"/>
      <c r="N139" s="64"/>
      <c r="O139" s="64"/>
      <c r="P139" s="64"/>
      <c r="Q139" s="64"/>
      <c r="R139" s="64"/>
      <c r="S139" s="64"/>
      <c r="T139" s="64"/>
      <c r="U139" s="64"/>
      <c r="V139" s="64"/>
      <c r="W139" s="64"/>
      <c r="X139" s="64"/>
      <c r="Y139" s="64"/>
      <c r="Z139" s="64"/>
    </row>
    <row r="140" ht="12.75" customHeight="1">
      <c r="A140" s="108"/>
      <c r="B140" s="64"/>
      <c r="C140" s="64"/>
      <c r="D140" s="64"/>
      <c r="E140" s="64"/>
      <c r="F140" s="63"/>
      <c r="G140" s="63"/>
      <c r="H140" s="64"/>
      <c r="I140" s="64"/>
      <c r="J140" s="64"/>
      <c r="K140" s="64"/>
      <c r="L140" s="64"/>
      <c r="M140" s="64"/>
      <c r="N140" s="64"/>
      <c r="O140" s="64"/>
      <c r="P140" s="64"/>
      <c r="Q140" s="64"/>
      <c r="R140" s="64"/>
      <c r="S140" s="64"/>
      <c r="T140" s="64"/>
      <c r="U140" s="64"/>
      <c r="V140" s="64"/>
      <c r="W140" s="64"/>
      <c r="X140" s="64"/>
      <c r="Y140" s="64"/>
      <c r="Z140" s="64"/>
    </row>
    <row r="141" ht="12.75" customHeight="1">
      <c r="A141" s="108"/>
      <c r="B141" s="64"/>
      <c r="C141" s="64"/>
      <c r="D141" s="64"/>
      <c r="E141" s="64"/>
      <c r="F141" s="63"/>
      <c r="G141" s="63"/>
      <c r="H141" s="64"/>
      <c r="I141" s="64"/>
      <c r="J141" s="64"/>
      <c r="K141" s="64"/>
      <c r="L141" s="64"/>
      <c r="M141" s="64"/>
      <c r="N141" s="64"/>
      <c r="O141" s="64"/>
      <c r="P141" s="64"/>
      <c r="Q141" s="64"/>
      <c r="R141" s="64"/>
      <c r="S141" s="64"/>
      <c r="T141" s="64"/>
      <c r="U141" s="64"/>
      <c r="V141" s="64"/>
      <c r="W141" s="64"/>
      <c r="X141" s="64"/>
      <c r="Y141" s="64"/>
      <c r="Z141" s="64"/>
    </row>
    <row r="142" ht="12.75" customHeight="1">
      <c r="A142" s="108"/>
      <c r="B142" s="64"/>
      <c r="C142" s="64"/>
      <c r="D142" s="64"/>
      <c r="E142" s="64"/>
      <c r="F142" s="63"/>
      <c r="G142" s="63"/>
      <c r="H142" s="64"/>
      <c r="I142" s="64"/>
      <c r="J142" s="64"/>
      <c r="K142" s="64"/>
      <c r="L142" s="64"/>
      <c r="M142" s="64"/>
      <c r="N142" s="64"/>
      <c r="O142" s="64"/>
      <c r="P142" s="64"/>
      <c r="Q142" s="64"/>
      <c r="R142" s="64"/>
      <c r="S142" s="64"/>
      <c r="T142" s="64"/>
      <c r="U142" s="64"/>
      <c r="V142" s="64"/>
      <c r="W142" s="64"/>
      <c r="X142" s="64"/>
      <c r="Y142" s="64"/>
      <c r="Z142" s="64"/>
    </row>
    <row r="143" ht="12.75" customHeight="1">
      <c r="A143" s="108"/>
      <c r="B143" s="64"/>
      <c r="C143" s="64"/>
      <c r="D143" s="64"/>
      <c r="E143" s="64"/>
      <c r="F143" s="63"/>
      <c r="G143" s="63"/>
      <c r="H143" s="64"/>
      <c r="I143" s="64"/>
      <c r="J143" s="64"/>
      <c r="K143" s="64"/>
      <c r="L143" s="64"/>
      <c r="M143" s="64"/>
      <c r="N143" s="64"/>
      <c r="O143" s="64"/>
      <c r="P143" s="64"/>
      <c r="Q143" s="64"/>
      <c r="R143" s="64"/>
      <c r="S143" s="64"/>
      <c r="T143" s="64"/>
      <c r="U143" s="64"/>
      <c r="V143" s="64"/>
      <c r="W143" s="64"/>
      <c r="X143" s="64"/>
      <c r="Y143" s="64"/>
      <c r="Z143" s="64"/>
    </row>
    <row r="144" ht="12.75" customHeight="1">
      <c r="A144" s="108"/>
      <c r="B144" s="64"/>
      <c r="C144" s="64"/>
      <c r="D144" s="64"/>
      <c r="E144" s="64"/>
      <c r="F144" s="63"/>
      <c r="G144" s="63"/>
      <c r="H144" s="64"/>
      <c r="I144" s="64"/>
      <c r="J144" s="64"/>
      <c r="K144" s="64"/>
      <c r="L144" s="64"/>
      <c r="M144" s="64"/>
      <c r="N144" s="64"/>
      <c r="O144" s="64"/>
      <c r="P144" s="64"/>
      <c r="Q144" s="64"/>
      <c r="R144" s="64"/>
      <c r="S144" s="64"/>
      <c r="T144" s="64"/>
      <c r="U144" s="64"/>
      <c r="V144" s="64"/>
      <c r="W144" s="64"/>
      <c r="X144" s="64"/>
      <c r="Y144" s="64"/>
      <c r="Z144" s="64"/>
    </row>
    <row r="145" ht="12.75" customHeight="1">
      <c r="A145" s="108"/>
      <c r="B145" s="64"/>
      <c r="C145" s="64"/>
      <c r="D145" s="64"/>
      <c r="E145" s="64"/>
      <c r="F145" s="63"/>
      <c r="G145" s="63"/>
      <c r="H145" s="64"/>
      <c r="I145" s="64"/>
      <c r="J145" s="64"/>
      <c r="K145" s="64"/>
      <c r="L145" s="64"/>
      <c r="M145" s="64"/>
      <c r="N145" s="64"/>
      <c r="O145" s="64"/>
      <c r="P145" s="64"/>
      <c r="Q145" s="64"/>
      <c r="R145" s="64"/>
      <c r="S145" s="64"/>
      <c r="T145" s="64"/>
      <c r="U145" s="64"/>
      <c r="V145" s="64"/>
      <c r="W145" s="64"/>
      <c r="X145" s="64"/>
      <c r="Y145" s="64"/>
      <c r="Z145" s="64"/>
    </row>
    <row r="146" ht="12.75" customHeight="1">
      <c r="A146" s="108"/>
      <c r="B146" s="64"/>
      <c r="C146" s="64"/>
      <c r="D146" s="64"/>
      <c r="E146" s="64"/>
      <c r="F146" s="63"/>
      <c r="G146" s="63"/>
      <c r="H146" s="64"/>
      <c r="I146" s="64"/>
      <c r="J146" s="64"/>
      <c r="K146" s="64"/>
      <c r="L146" s="64"/>
      <c r="M146" s="64"/>
      <c r="N146" s="64"/>
      <c r="O146" s="64"/>
      <c r="P146" s="64"/>
      <c r="Q146" s="64"/>
      <c r="R146" s="64"/>
      <c r="S146" s="64"/>
      <c r="T146" s="64"/>
      <c r="U146" s="64"/>
      <c r="V146" s="64"/>
      <c r="W146" s="64"/>
      <c r="X146" s="64"/>
      <c r="Y146" s="64"/>
      <c r="Z146" s="64"/>
    </row>
    <row r="147" ht="12.75" customHeight="1">
      <c r="A147" s="108"/>
      <c r="B147" s="64"/>
      <c r="C147" s="64"/>
      <c r="D147" s="64"/>
      <c r="E147" s="64"/>
      <c r="F147" s="63"/>
      <c r="G147" s="63"/>
      <c r="H147" s="64"/>
      <c r="I147" s="64"/>
      <c r="J147" s="64"/>
      <c r="K147" s="64"/>
      <c r="L147" s="64"/>
      <c r="M147" s="64"/>
      <c r="N147" s="64"/>
      <c r="O147" s="64"/>
      <c r="P147" s="64"/>
      <c r="Q147" s="64"/>
      <c r="R147" s="64"/>
      <c r="S147" s="64"/>
      <c r="T147" s="64"/>
      <c r="U147" s="64"/>
      <c r="V147" s="64"/>
      <c r="W147" s="64"/>
      <c r="X147" s="64"/>
      <c r="Y147" s="64"/>
      <c r="Z147" s="64"/>
    </row>
    <row r="148" ht="12.75" customHeight="1">
      <c r="A148" s="108"/>
      <c r="B148" s="64"/>
      <c r="C148" s="64"/>
      <c r="D148" s="64"/>
      <c r="E148" s="64"/>
      <c r="F148" s="63"/>
      <c r="G148" s="63"/>
      <c r="H148" s="64"/>
      <c r="I148" s="64"/>
      <c r="J148" s="64"/>
      <c r="K148" s="64"/>
      <c r="L148" s="64"/>
      <c r="M148" s="64"/>
      <c r="N148" s="64"/>
      <c r="O148" s="64"/>
      <c r="P148" s="64"/>
      <c r="Q148" s="64"/>
      <c r="R148" s="64"/>
      <c r="S148" s="64"/>
      <c r="T148" s="64"/>
      <c r="U148" s="64"/>
      <c r="V148" s="64"/>
      <c r="W148" s="64"/>
      <c r="X148" s="64"/>
      <c r="Y148" s="64"/>
      <c r="Z148" s="64"/>
    </row>
    <row r="149" ht="12.75" customHeight="1">
      <c r="A149" s="108"/>
      <c r="B149" s="64"/>
      <c r="C149" s="64"/>
      <c r="D149" s="64"/>
      <c r="E149" s="64"/>
      <c r="F149" s="63"/>
      <c r="G149" s="63"/>
      <c r="H149" s="64"/>
      <c r="I149" s="64"/>
      <c r="J149" s="64"/>
      <c r="K149" s="64"/>
      <c r="L149" s="64"/>
      <c r="M149" s="64"/>
      <c r="N149" s="64"/>
      <c r="O149" s="64"/>
      <c r="P149" s="64"/>
      <c r="Q149" s="64"/>
      <c r="R149" s="64"/>
      <c r="S149" s="64"/>
      <c r="T149" s="64"/>
      <c r="U149" s="64"/>
      <c r="V149" s="64"/>
      <c r="W149" s="64"/>
      <c r="X149" s="64"/>
      <c r="Y149" s="64"/>
      <c r="Z149" s="64"/>
    </row>
    <row r="150" ht="12.75" customHeight="1">
      <c r="A150" s="108"/>
      <c r="B150" s="64"/>
      <c r="C150" s="64"/>
      <c r="D150" s="64"/>
      <c r="E150" s="64"/>
      <c r="F150" s="63"/>
      <c r="G150" s="63"/>
      <c r="H150" s="64"/>
      <c r="I150" s="64"/>
      <c r="J150" s="64"/>
      <c r="K150" s="64"/>
      <c r="L150" s="64"/>
      <c r="M150" s="64"/>
      <c r="N150" s="64"/>
      <c r="O150" s="64"/>
      <c r="P150" s="64"/>
      <c r="Q150" s="64"/>
      <c r="R150" s="64"/>
      <c r="S150" s="64"/>
      <c r="T150" s="64"/>
      <c r="U150" s="64"/>
      <c r="V150" s="64"/>
      <c r="W150" s="64"/>
      <c r="X150" s="64"/>
      <c r="Y150" s="64"/>
      <c r="Z150" s="64"/>
    </row>
    <row r="151" ht="12.75" customHeight="1">
      <c r="A151" s="108"/>
      <c r="B151" s="64"/>
      <c r="C151" s="64"/>
      <c r="D151" s="64"/>
      <c r="E151" s="64"/>
      <c r="F151" s="63"/>
      <c r="G151" s="63"/>
      <c r="H151" s="64"/>
      <c r="I151" s="64"/>
      <c r="J151" s="64"/>
      <c r="K151" s="64"/>
      <c r="L151" s="64"/>
      <c r="M151" s="64"/>
      <c r="N151" s="64"/>
      <c r="O151" s="64"/>
      <c r="P151" s="64"/>
      <c r="Q151" s="64"/>
      <c r="R151" s="64"/>
      <c r="S151" s="64"/>
      <c r="T151" s="64"/>
      <c r="U151" s="64"/>
      <c r="V151" s="64"/>
      <c r="W151" s="64"/>
      <c r="X151" s="64"/>
      <c r="Y151" s="64"/>
      <c r="Z151" s="64"/>
    </row>
    <row r="152" ht="12.75" customHeight="1">
      <c r="A152" s="108"/>
      <c r="B152" s="64"/>
      <c r="C152" s="64"/>
      <c r="D152" s="64"/>
      <c r="E152" s="64"/>
      <c r="F152" s="63"/>
      <c r="G152" s="63"/>
      <c r="H152" s="64"/>
      <c r="I152" s="64"/>
      <c r="J152" s="64"/>
      <c r="K152" s="64"/>
      <c r="L152" s="64"/>
      <c r="M152" s="64"/>
      <c r="N152" s="64"/>
      <c r="O152" s="64"/>
      <c r="P152" s="64"/>
      <c r="Q152" s="64"/>
      <c r="R152" s="64"/>
      <c r="S152" s="64"/>
      <c r="T152" s="64"/>
      <c r="U152" s="64"/>
      <c r="V152" s="64"/>
      <c r="W152" s="64"/>
      <c r="X152" s="64"/>
      <c r="Y152" s="64"/>
      <c r="Z152" s="64"/>
    </row>
    <row r="153" ht="12.75" customHeight="1">
      <c r="A153" s="108"/>
      <c r="B153" s="64"/>
      <c r="C153" s="64"/>
      <c r="D153" s="64"/>
      <c r="E153" s="64"/>
      <c r="F153" s="63"/>
      <c r="G153" s="63"/>
      <c r="H153" s="64"/>
      <c r="I153" s="64"/>
      <c r="J153" s="64"/>
      <c r="K153" s="64"/>
      <c r="L153" s="64"/>
      <c r="M153" s="64"/>
      <c r="N153" s="64"/>
      <c r="O153" s="64"/>
      <c r="P153" s="64"/>
      <c r="Q153" s="64"/>
      <c r="R153" s="64"/>
      <c r="S153" s="64"/>
      <c r="T153" s="64"/>
      <c r="U153" s="64"/>
      <c r="V153" s="64"/>
      <c r="W153" s="64"/>
      <c r="X153" s="64"/>
      <c r="Y153" s="64"/>
      <c r="Z153" s="64"/>
    </row>
    <row r="154" ht="12.75" customHeight="1">
      <c r="A154" s="108"/>
      <c r="B154" s="64"/>
      <c r="C154" s="64"/>
      <c r="D154" s="64"/>
      <c r="E154" s="64"/>
      <c r="F154" s="63"/>
      <c r="G154" s="63"/>
      <c r="H154" s="64"/>
      <c r="I154" s="64"/>
      <c r="J154" s="64"/>
      <c r="K154" s="64"/>
      <c r="L154" s="64"/>
      <c r="M154" s="64"/>
      <c r="N154" s="64"/>
      <c r="O154" s="64"/>
      <c r="P154" s="64"/>
      <c r="Q154" s="64"/>
      <c r="R154" s="64"/>
      <c r="S154" s="64"/>
      <c r="T154" s="64"/>
      <c r="U154" s="64"/>
      <c r="V154" s="64"/>
      <c r="W154" s="64"/>
      <c r="X154" s="64"/>
      <c r="Y154" s="64"/>
      <c r="Z154" s="64"/>
    </row>
    <row r="155" ht="12.75" customHeight="1">
      <c r="A155" s="108"/>
      <c r="B155" s="64"/>
      <c r="C155" s="64"/>
      <c r="D155" s="64"/>
      <c r="E155" s="64"/>
      <c r="F155" s="63"/>
      <c r="G155" s="63"/>
      <c r="H155" s="64"/>
      <c r="I155" s="64"/>
      <c r="J155" s="64"/>
      <c r="K155" s="64"/>
      <c r="L155" s="64"/>
      <c r="M155" s="64"/>
      <c r="N155" s="64"/>
      <c r="O155" s="64"/>
      <c r="P155" s="64"/>
      <c r="Q155" s="64"/>
      <c r="R155" s="64"/>
      <c r="S155" s="64"/>
      <c r="T155" s="64"/>
      <c r="U155" s="64"/>
      <c r="V155" s="64"/>
      <c r="W155" s="64"/>
      <c r="X155" s="64"/>
      <c r="Y155" s="64"/>
      <c r="Z155" s="64"/>
    </row>
    <row r="156" ht="12.75" customHeight="1">
      <c r="A156" s="108"/>
      <c r="B156" s="64"/>
      <c r="C156" s="64"/>
      <c r="D156" s="64"/>
      <c r="E156" s="64"/>
      <c r="F156" s="63"/>
      <c r="G156" s="63"/>
      <c r="H156" s="64"/>
      <c r="I156" s="64"/>
      <c r="J156" s="64"/>
      <c r="K156" s="64"/>
      <c r="L156" s="64"/>
      <c r="M156" s="64"/>
      <c r="N156" s="64"/>
      <c r="O156" s="64"/>
      <c r="P156" s="64"/>
      <c r="Q156" s="64"/>
      <c r="R156" s="64"/>
      <c r="S156" s="64"/>
      <c r="T156" s="64"/>
      <c r="U156" s="64"/>
      <c r="V156" s="64"/>
      <c r="W156" s="64"/>
      <c r="X156" s="64"/>
      <c r="Y156" s="64"/>
      <c r="Z156" s="64"/>
    </row>
    <row r="157" ht="12.75" customHeight="1">
      <c r="A157" s="108"/>
      <c r="B157" s="64"/>
      <c r="C157" s="64"/>
      <c r="D157" s="64"/>
      <c r="E157" s="64"/>
      <c r="F157" s="63"/>
      <c r="G157" s="63"/>
      <c r="H157" s="64"/>
      <c r="I157" s="64"/>
      <c r="J157" s="64"/>
      <c r="K157" s="64"/>
      <c r="L157" s="64"/>
      <c r="M157" s="64"/>
      <c r="N157" s="64"/>
      <c r="O157" s="64"/>
      <c r="P157" s="64"/>
      <c r="Q157" s="64"/>
      <c r="R157" s="64"/>
      <c r="S157" s="64"/>
      <c r="T157" s="64"/>
      <c r="U157" s="64"/>
      <c r="V157" s="64"/>
      <c r="W157" s="64"/>
      <c r="X157" s="64"/>
      <c r="Y157" s="64"/>
      <c r="Z157" s="64"/>
    </row>
    <row r="158" ht="12.75" customHeight="1">
      <c r="A158" s="108"/>
      <c r="B158" s="64"/>
      <c r="C158" s="64"/>
      <c r="D158" s="64"/>
      <c r="E158" s="64"/>
      <c r="F158" s="63"/>
      <c r="G158" s="63"/>
      <c r="H158" s="64"/>
      <c r="I158" s="64"/>
      <c r="J158" s="64"/>
      <c r="K158" s="64"/>
      <c r="L158" s="64"/>
      <c r="M158" s="64"/>
      <c r="N158" s="64"/>
      <c r="O158" s="64"/>
      <c r="P158" s="64"/>
      <c r="Q158" s="64"/>
      <c r="R158" s="64"/>
      <c r="S158" s="64"/>
      <c r="T158" s="64"/>
      <c r="U158" s="64"/>
      <c r="V158" s="64"/>
      <c r="W158" s="64"/>
      <c r="X158" s="64"/>
      <c r="Y158" s="64"/>
      <c r="Z158" s="64"/>
    </row>
    <row r="159" ht="12.75" customHeight="1">
      <c r="A159" s="108"/>
      <c r="B159" s="64"/>
      <c r="C159" s="64"/>
      <c r="D159" s="64"/>
      <c r="E159" s="64"/>
      <c r="F159" s="63"/>
      <c r="G159" s="63"/>
      <c r="H159" s="64"/>
      <c r="I159" s="64"/>
      <c r="J159" s="64"/>
      <c r="K159" s="64"/>
      <c r="L159" s="64"/>
      <c r="M159" s="64"/>
      <c r="N159" s="64"/>
      <c r="O159" s="64"/>
      <c r="P159" s="64"/>
      <c r="Q159" s="64"/>
      <c r="R159" s="64"/>
      <c r="S159" s="64"/>
      <c r="T159" s="64"/>
      <c r="U159" s="64"/>
      <c r="V159" s="64"/>
      <c r="W159" s="64"/>
      <c r="X159" s="64"/>
      <c r="Y159" s="64"/>
      <c r="Z159" s="64"/>
    </row>
    <row r="160" ht="12.75" customHeight="1">
      <c r="A160" s="108"/>
      <c r="B160" s="64"/>
      <c r="C160" s="64"/>
      <c r="D160" s="64"/>
      <c r="E160" s="64"/>
      <c r="F160" s="63"/>
      <c r="G160" s="63"/>
      <c r="H160" s="64"/>
      <c r="I160" s="64"/>
      <c r="J160" s="64"/>
      <c r="K160" s="64"/>
      <c r="L160" s="64"/>
      <c r="M160" s="64"/>
      <c r="N160" s="64"/>
      <c r="O160" s="64"/>
      <c r="P160" s="64"/>
      <c r="Q160" s="64"/>
      <c r="R160" s="64"/>
      <c r="S160" s="64"/>
      <c r="T160" s="64"/>
      <c r="U160" s="64"/>
      <c r="V160" s="64"/>
      <c r="W160" s="64"/>
      <c r="X160" s="64"/>
      <c r="Y160" s="64"/>
      <c r="Z160" s="64"/>
    </row>
    <row r="161" ht="12.75" customHeight="1">
      <c r="A161" s="108"/>
      <c r="B161" s="64"/>
      <c r="C161" s="64"/>
      <c r="D161" s="64"/>
      <c r="E161" s="64"/>
      <c r="F161" s="63"/>
      <c r="G161" s="63"/>
      <c r="H161" s="64"/>
      <c r="I161" s="64"/>
      <c r="J161" s="64"/>
      <c r="K161" s="64"/>
      <c r="L161" s="64"/>
      <c r="M161" s="64"/>
      <c r="N161" s="64"/>
      <c r="O161" s="64"/>
      <c r="P161" s="64"/>
      <c r="Q161" s="64"/>
      <c r="R161" s="64"/>
      <c r="S161" s="64"/>
      <c r="T161" s="64"/>
      <c r="U161" s="64"/>
      <c r="V161" s="64"/>
      <c r="W161" s="64"/>
      <c r="X161" s="64"/>
      <c r="Y161" s="64"/>
      <c r="Z161" s="64"/>
    </row>
    <row r="162" ht="12.75" customHeight="1">
      <c r="A162" s="108"/>
      <c r="B162" s="64"/>
      <c r="C162" s="64"/>
      <c r="D162" s="64"/>
      <c r="E162" s="64"/>
      <c r="F162" s="63"/>
      <c r="G162" s="63"/>
      <c r="H162" s="64"/>
      <c r="I162" s="64"/>
      <c r="J162" s="64"/>
      <c r="K162" s="64"/>
      <c r="L162" s="64"/>
      <c r="M162" s="64"/>
      <c r="N162" s="64"/>
      <c r="O162" s="64"/>
      <c r="P162" s="64"/>
      <c r="Q162" s="64"/>
      <c r="R162" s="64"/>
      <c r="S162" s="64"/>
      <c r="T162" s="64"/>
      <c r="U162" s="64"/>
      <c r="V162" s="64"/>
      <c r="W162" s="64"/>
      <c r="X162" s="64"/>
      <c r="Y162" s="64"/>
      <c r="Z162" s="64"/>
    </row>
    <row r="163" ht="12.75" customHeight="1">
      <c r="A163" s="108"/>
      <c r="B163" s="64"/>
      <c r="C163" s="64"/>
      <c r="D163" s="64"/>
      <c r="E163" s="64"/>
      <c r="F163" s="63"/>
      <c r="G163" s="63"/>
      <c r="H163" s="64"/>
      <c r="I163" s="64"/>
      <c r="J163" s="64"/>
      <c r="K163" s="64"/>
      <c r="L163" s="64"/>
      <c r="M163" s="64"/>
      <c r="N163" s="64"/>
      <c r="O163" s="64"/>
      <c r="P163" s="64"/>
      <c r="Q163" s="64"/>
      <c r="R163" s="64"/>
      <c r="S163" s="64"/>
      <c r="T163" s="64"/>
      <c r="U163" s="64"/>
      <c r="V163" s="64"/>
      <c r="W163" s="64"/>
      <c r="X163" s="64"/>
      <c r="Y163" s="64"/>
      <c r="Z163" s="64"/>
    </row>
    <row r="164" ht="12.75" customHeight="1">
      <c r="A164" s="108"/>
      <c r="B164" s="64"/>
      <c r="C164" s="64"/>
      <c r="D164" s="64"/>
      <c r="E164" s="64"/>
      <c r="F164" s="63"/>
      <c r="G164" s="63"/>
      <c r="H164" s="64"/>
      <c r="I164" s="64"/>
      <c r="J164" s="64"/>
      <c r="K164" s="64"/>
      <c r="L164" s="64"/>
      <c r="M164" s="64"/>
      <c r="N164" s="64"/>
      <c r="O164" s="64"/>
      <c r="P164" s="64"/>
      <c r="Q164" s="64"/>
      <c r="R164" s="64"/>
      <c r="S164" s="64"/>
      <c r="T164" s="64"/>
      <c r="U164" s="64"/>
      <c r="V164" s="64"/>
      <c r="W164" s="64"/>
      <c r="X164" s="64"/>
      <c r="Y164" s="64"/>
      <c r="Z164" s="64"/>
    </row>
    <row r="165" ht="12.75" customHeight="1">
      <c r="A165" s="108"/>
      <c r="B165" s="64"/>
      <c r="C165" s="64"/>
      <c r="D165" s="64"/>
      <c r="E165" s="64"/>
      <c r="F165" s="63"/>
      <c r="G165" s="63"/>
      <c r="H165" s="64"/>
      <c r="I165" s="64"/>
      <c r="J165" s="64"/>
      <c r="K165" s="64"/>
      <c r="L165" s="64"/>
      <c r="M165" s="64"/>
      <c r="N165" s="64"/>
      <c r="O165" s="64"/>
      <c r="P165" s="64"/>
      <c r="Q165" s="64"/>
      <c r="R165" s="64"/>
      <c r="S165" s="64"/>
      <c r="T165" s="64"/>
      <c r="U165" s="64"/>
      <c r="V165" s="64"/>
      <c r="W165" s="64"/>
      <c r="X165" s="64"/>
      <c r="Y165" s="64"/>
      <c r="Z165" s="64"/>
    </row>
    <row r="166" ht="12.75" customHeight="1">
      <c r="A166" s="108"/>
      <c r="B166" s="64"/>
      <c r="C166" s="64"/>
      <c r="D166" s="64"/>
      <c r="E166" s="64"/>
      <c r="F166" s="63"/>
      <c r="G166" s="63"/>
      <c r="H166" s="64"/>
      <c r="I166" s="64"/>
      <c r="J166" s="64"/>
      <c r="K166" s="64"/>
      <c r="L166" s="64"/>
      <c r="M166" s="64"/>
      <c r="N166" s="64"/>
      <c r="O166" s="64"/>
      <c r="P166" s="64"/>
      <c r="Q166" s="64"/>
      <c r="R166" s="64"/>
      <c r="S166" s="64"/>
      <c r="T166" s="64"/>
      <c r="U166" s="64"/>
      <c r="V166" s="64"/>
      <c r="W166" s="64"/>
      <c r="X166" s="64"/>
      <c r="Y166" s="64"/>
      <c r="Z166" s="64"/>
    </row>
    <row r="167" ht="12.75" customHeight="1">
      <c r="A167" s="108"/>
      <c r="B167" s="64"/>
      <c r="C167" s="64"/>
      <c r="D167" s="64"/>
      <c r="E167" s="64"/>
      <c r="F167" s="63"/>
      <c r="G167" s="63"/>
      <c r="H167" s="64"/>
      <c r="I167" s="64"/>
      <c r="J167" s="64"/>
      <c r="K167" s="64"/>
      <c r="L167" s="64"/>
      <c r="M167" s="64"/>
      <c r="N167" s="64"/>
      <c r="O167" s="64"/>
      <c r="P167" s="64"/>
      <c r="Q167" s="64"/>
      <c r="R167" s="64"/>
      <c r="S167" s="64"/>
      <c r="T167" s="64"/>
      <c r="U167" s="64"/>
      <c r="V167" s="64"/>
      <c r="W167" s="64"/>
      <c r="X167" s="64"/>
      <c r="Y167" s="64"/>
      <c r="Z167" s="64"/>
    </row>
    <row r="168" ht="12.75" customHeight="1">
      <c r="A168" s="108"/>
      <c r="B168" s="64"/>
      <c r="C168" s="64"/>
      <c r="D168" s="64"/>
      <c r="E168" s="64"/>
      <c r="F168" s="63"/>
      <c r="G168" s="63"/>
      <c r="H168" s="64"/>
      <c r="I168" s="64"/>
      <c r="J168" s="64"/>
      <c r="K168" s="64"/>
      <c r="L168" s="64"/>
      <c r="M168" s="64"/>
      <c r="N168" s="64"/>
      <c r="O168" s="64"/>
      <c r="P168" s="64"/>
      <c r="Q168" s="64"/>
      <c r="R168" s="64"/>
      <c r="S168" s="64"/>
      <c r="T168" s="64"/>
      <c r="U168" s="64"/>
      <c r="V168" s="64"/>
      <c r="W168" s="64"/>
      <c r="X168" s="64"/>
      <c r="Y168" s="64"/>
      <c r="Z168" s="64"/>
    </row>
    <row r="169" ht="12.75" customHeight="1">
      <c r="A169" s="108"/>
      <c r="B169" s="64"/>
      <c r="C169" s="64"/>
      <c r="D169" s="64"/>
      <c r="E169" s="64"/>
      <c r="F169" s="63"/>
      <c r="G169" s="63"/>
      <c r="H169" s="64"/>
      <c r="I169" s="64"/>
      <c r="J169" s="64"/>
      <c r="K169" s="64"/>
      <c r="L169" s="64"/>
      <c r="M169" s="64"/>
      <c r="N169" s="64"/>
      <c r="O169" s="64"/>
      <c r="P169" s="64"/>
      <c r="Q169" s="64"/>
      <c r="R169" s="64"/>
      <c r="S169" s="64"/>
      <c r="T169" s="64"/>
      <c r="U169" s="64"/>
      <c r="V169" s="64"/>
      <c r="W169" s="64"/>
      <c r="X169" s="64"/>
      <c r="Y169" s="64"/>
      <c r="Z169" s="64"/>
    </row>
    <row r="170" ht="12.75" customHeight="1">
      <c r="A170" s="108"/>
      <c r="B170" s="64"/>
      <c r="C170" s="64"/>
      <c r="D170" s="64"/>
      <c r="E170" s="64"/>
      <c r="F170" s="63"/>
      <c r="G170" s="63"/>
      <c r="H170" s="64"/>
      <c r="I170" s="64"/>
      <c r="J170" s="64"/>
      <c r="K170" s="64"/>
      <c r="L170" s="64"/>
      <c r="M170" s="64"/>
      <c r="N170" s="64"/>
      <c r="O170" s="64"/>
      <c r="P170" s="64"/>
      <c r="Q170" s="64"/>
      <c r="R170" s="64"/>
      <c r="S170" s="64"/>
      <c r="T170" s="64"/>
      <c r="U170" s="64"/>
      <c r="V170" s="64"/>
      <c r="W170" s="64"/>
      <c r="X170" s="64"/>
      <c r="Y170" s="64"/>
      <c r="Z170" s="64"/>
    </row>
    <row r="171" ht="12.75" customHeight="1">
      <c r="A171" s="108"/>
      <c r="B171" s="64"/>
      <c r="C171" s="64"/>
      <c r="D171" s="64"/>
      <c r="E171" s="64"/>
      <c r="F171" s="63"/>
      <c r="G171" s="63"/>
      <c r="H171" s="64"/>
      <c r="I171" s="64"/>
      <c r="J171" s="64"/>
      <c r="K171" s="64"/>
      <c r="L171" s="64"/>
      <c r="M171" s="64"/>
      <c r="N171" s="64"/>
      <c r="O171" s="64"/>
      <c r="P171" s="64"/>
      <c r="Q171" s="64"/>
      <c r="R171" s="64"/>
      <c r="S171" s="64"/>
      <c r="T171" s="64"/>
      <c r="U171" s="64"/>
      <c r="V171" s="64"/>
      <c r="W171" s="64"/>
      <c r="X171" s="64"/>
      <c r="Y171" s="64"/>
      <c r="Z171" s="64"/>
    </row>
    <row r="172" ht="12.75" customHeight="1">
      <c r="A172" s="108"/>
      <c r="B172" s="64"/>
      <c r="C172" s="64"/>
      <c r="D172" s="64"/>
      <c r="E172" s="64"/>
      <c r="F172" s="63"/>
      <c r="G172" s="63"/>
      <c r="H172" s="64"/>
      <c r="I172" s="64"/>
      <c r="J172" s="64"/>
      <c r="K172" s="64"/>
      <c r="L172" s="64"/>
      <c r="M172" s="64"/>
      <c r="N172" s="64"/>
      <c r="O172" s="64"/>
      <c r="P172" s="64"/>
      <c r="Q172" s="64"/>
      <c r="R172" s="64"/>
      <c r="S172" s="64"/>
      <c r="T172" s="64"/>
      <c r="U172" s="64"/>
      <c r="V172" s="64"/>
      <c r="W172" s="64"/>
      <c r="X172" s="64"/>
      <c r="Y172" s="64"/>
      <c r="Z172" s="64"/>
    </row>
    <row r="173" ht="12.75" customHeight="1">
      <c r="A173" s="108"/>
      <c r="B173" s="64"/>
      <c r="C173" s="64"/>
      <c r="D173" s="64"/>
      <c r="E173" s="64"/>
      <c r="F173" s="63"/>
      <c r="G173" s="63"/>
      <c r="H173" s="64"/>
      <c r="I173" s="64"/>
      <c r="J173" s="64"/>
      <c r="K173" s="64"/>
      <c r="L173" s="64"/>
      <c r="M173" s="64"/>
      <c r="N173" s="64"/>
      <c r="O173" s="64"/>
      <c r="P173" s="64"/>
      <c r="Q173" s="64"/>
      <c r="R173" s="64"/>
      <c r="S173" s="64"/>
      <c r="T173" s="64"/>
      <c r="U173" s="64"/>
      <c r="V173" s="64"/>
      <c r="W173" s="64"/>
      <c r="X173" s="64"/>
      <c r="Y173" s="64"/>
      <c r="Z173" s="64"/>
    </row>
    <row r="174" ht="12.75" customHeight="1">
      <c r="A174" s="108"/>
      <c r="B174" s="64"/>
      <c r="C174" s="64"/>
      <c r="D174" s="64"/>
      <c r="E174" s="64"/>
      <c r="F174" s="63"/>
      <c r="G174" s="63"/>
      <c r="H174" s="64"/>
      <c r="I174" s="64"/>
      <c r="J174" s="64"/>
      <c r="K174" s="64"/>
      <c r="L174" s="64"/>
      <c r="M174" s="64"/>
      <c r="N174" s="64"/>
      <c r="O174" s="64"/>
      <c r="P174" s="64"/>
      <c r="Q174" s="64"/>
      <c r="R174" s="64"/>
      <c r="S174" s="64"/>
      <c r="T174" s="64"/>
      <c r="U174" s="64"/>
      <c r="V174" s="64"/>
      <c r="W174" s="64"/>
      <c r="X174" s="64"/>
      <c r="Y174" s="64"/>
      <c r="Z174" s="64"/>
    </row>
    <row r="175" ht="12.75" customHeight="1">
      <c r="A175" s="108"/>
      <c r="B175" s="64"/>
      <c r="C175" s="64"/>
      <c r="D175" s="64"/>
      <c r="E175" s="64"/>
      <c r="F175" s="63"/>
      <c r="G175" s="63"/>
      <c r="H175" s="64"/>
      <c r="I175" s="64"/>
      <c r="J175" s="64"/>
      <c r="K175" s="64"/>
      <c r="L175" s="64"/>
      <c r="M175" s="64"/>
      <c r="N175" s="64"/>
      <c r="O175" s="64"/>
      <c r="P175" s="64"/>
      <c r="Q175" s="64"/>
      <c r="R175" s="64"/>
      <c r="S175" s="64"/>
      <c r="T175" s="64"/>
      <c r="U175" s="64"/>
      <c r="V175" s="64"/>
      <c r="W175" s="64"/>
      <c r="X175" s="64"/>
      <c r="Y175" s="64"/>
      <c r="Z175" s="64"/>
    </row>
    <row r="176" ht="12.75" customHeight="1">
      <c r="A176" s="108"/>
      <c r="B176" s="64"/>
      <c r="C176" s="64"/>
      <c r="D176" s="64"/>
      <c r="E176" s="64"/>
      <c r="F176" s="63"/>
      <c r="G176" s="63"/>
      <c r="H176" s="64"/>
      <c r="I176" s="64"/>
      <c r="J176" s="64"/>
      <c r="K176" s="64"/>
      <c r="L176" s="64"/>
      <c r="M176" s="64"/>
      <c r="N176" s="64"/>
      <c r="O176" s="64"/>
      <c r="P176" s="64"/>
      <c r="Q176" s="64"/>
      <c r="R176" s="64"/>
      <c r="S176" s="64"/>
      <c r="T176" s="64"/>
      <c r="U176" s="64"/>
      <c r="V176" s="64"/>
      <c r="W176" s="64"/>
      <c r="X176" s="64"/>
      <c r="Y176" s="64"/>
      <c r="Z176" s="64"/>
    </row>
    <row r="177" ht="12.75" customHeight="1">
      <c r="A177" s="108"/>
      <c r="B177" s="64"/>
      <c r="C177" s="64"/>
      <c r="D177" s="64"/>
      <c r="E177" s="64"/>
      <c r="F177" s="63"/>
      <c r="G177" s="63"/>
      <c r="H177" s="64"/>
      <c r="I177" s="64"/>
      <c r="J177" s="64"/>
      <c r="K177" s="64"/>
      <c r="L177" s="64"/>
      <c r="M177" s="64"/>
      <c r="N177" s="64"/>
      <c r="O177" s="64"/>
      <c r="P177" s="64"/>
      <c r="Q177" s="64"/>
      <c r="R177" s="64"/>
      <c r="S177" s="64"/>
      <c r="T177" s="64"/>
      <c r="U177" s="64"/>
      <c r="V177" s="64"/>
      <c r="W177" s="64"/>
      <c r="X177" s="64"/>
      <c r="Y177" s="64"/>
      <c r="Z177" s="64"/>
    </row>
    <row r="178" ht="12.75" customHeight="1">
      <c r="A178" s="108"/>
      <c r="B178" s="64"/>
      <c r="C178" s="64"/>
      <c r="D178" s="64"/>
      <c r="E178" s="64"/>
      <c r="F178" s="63"/>
      <c r="G178" s="63"/>
      <c r="H178" s="64"/>
      <c r="I178" s="64"/>
      <c r="J178" s="64"/>
      <c r="K178" s="64"/>
      <c r="L178" s="64"/>
      <c r="M178" s="64"/>
      <c r="N178" s="64"/>
      <c r="O178" s="64"/>
      <c r="P178" s="64"/>
      <c r="Q178" s="64"/>
      <c r="R178" s="64"/>
      <c r="S178" s="64"/>
      <c r="T178" s="64"/>
      <c r="U178" s="64"/>
      <c r="V178" s="64"/>
      <c r="W178" s="64"/>
      <c r="X178" s="64"/>
      <c r="Y178" s="64"/>
      <c r="Z178" s="64"/>
    </row>
    <row r="179" ht="12.75" customHeight="1">
      <c r="A179" s="108"/>
      <c r="B179" s="64"/>
      <c r="C179" s="64"/>
      <c r="D179" s="64"/>
      <c r="E179" s="64"/>
      <c r="F179" s="63"/>
      <c r="G179" s="63"/>
      <c r="H179" s="64"/>
      <c r="I179" s="64"/>
      <c r="J179" s="64"/>
      <c r="K179" s="64"/>
      <c r="L179" s="64"/>
      <c r="M179" s="64"/>
      <c r="N179" s="64"/>
      <c r="O179" s="64"/>
      <c r="P179" s="64"/>
      <c r="Q179" s="64"/>
      <c r="R179" s="64"/>
      <c r="S179" s="64"/>
      <c r="T179" s="64"/>
      <c r="U179" s="64"/>
      <c r="V179" s="64"/>
      <c r="W179" s="64"/>
      <c r="X179" s="64"/>
      <c r="Y179" s="64"/>
      <c r="Z179" s="64"/>
    </row>
    <row r="180" ht="12.75" customHeight="1">
      <c r="A180" s="108"/>
      <c r="B180" s="64"/>
      <c r="C180" s="64"/>
      <c r="D180" s="64"/>
      <c r="E180" s="64"/>
      <c r="F180" s="63"/>
      <c r="G180" s="63"/>
      <c r="H180" s="64"/>
      <c r="I180" s="64"/>
      <c r="J180" s="64"/>
      <c r="K180" s="64"/>
      <c r="L180" s="64"/>
      <c r="M180" s="64"/>
      <c r="N180" s="64"/>
      <c r="O180" s="64"/>
      <c r="P180" s="64"/>
      <c r="Q180" s="64"/>
      <c r="R180" s="64"/>
      <c r="S180" s="64"/>
      <c r="T180" s="64"/>
      <c r="U180" s="64"/>
      <c r="V180" s="64"/>
      <c r="W180" s="64"/>
      <c r="X180" s="64"/>
      <c r="Y180" s="64"/>
      <c r="Z180" s="64"/>
    </row>
    <row r="181" ht="12.75" customHeight="1">
      <c r="A181" s="108"/>
      <c r="B181" s="64"/>
      <c r="C181" s="64"/>
      <c r="D181" s="64"/>
      <c r="E181" s="64"/>
      <c r="F181" s="63"/>
      <c r="G181" s="63"/>
      <c r="H181" s="64"/>
      <c r="I181" s="64"/>
      <c r="J181" s="64"/>
      <c r="K181" s="64"/>
      <c r="L181" s="64"/>
      <c r="M181" s="64"/>
      <c r="N181" s="64"/>
      <c r="O181" s="64"/>
      <c r="P181" s="64"/>
      <c r="Q181" s="64"/>
      <c r="R181" s="64"/>
      <c r="S181" s="64"/>
      <c r="T181" s="64"/>
      <c r="U181" s="64"/>
      <c r="V181" s="64"/>
      <c r="W181" s="64"/>
      <c r="X181" s="64"/>
      <c r="Y181" s="64"/>
      <c r="Z181" s="64"/>
    </row>
    <row r="182" ht="12.75" customHeight="1">
      <c r="A182" s="108"/>
      <c r="B182" s="64"/>
      <c r="C182" s="64"/>
      <c r="D182" s="64"/>
      <c r="E182" s="64"/>
      <c r="F182" s="63"/>
      <c r="G182" s="63"/>
      <c r="H182" s="64"/>
      <c r="I182" s="64"/>
      <c r="J182" s="64"/>
      <c r="K182" s="64"/>
      <c r="L182" s="64"/>
      <c r="M182" s="64"/>
      <c r="N182" s="64"/>
      <c r="O182" s="64"/>
      <c r="P182" s="64"/>
      <c r="Q182" s="64"/>
      <c r="R182" s="64"/>
      <c r="S182" s="64"/>
      <c r="T182" s="64"/>
      <c r="U182" s="64"/>
      <c r="V182" s="64"/>
      <c r="W182" s="64"/>
      <c r="X182" s="64"/>
      <c r="Y182" s="64"/>
      <c r="Z182" s="64"/>
    </row>
    <row r="183" ht="12.75" customHeight="1">
      <c r="A183" s="108"/>
      <c r="B183" s="64"/>
      <c r="C183" s="64"/>
      <c r="D183" s="64"/>
      <c r="E183" s="64"/>
      <c r="F183" s="63"/>
      <c r="G183" s="63"/>
      <c r="H183" s="64"/>
      <c r="I183" s="64"/>
      <c r="J183" s="64"/>
      <c r="K183" s="64"/>
      <c r="L183" s="64"/>
      <c r="M183" s="64"/>
      <c r="N183" s="64"/>
      <c r="O183" s="64"/>
      <c r="P183" s="64"/>
      <c r="Q183" s="64"/>
      <c r="R183" s="64"/>
      <c r="S183" s="64"/>
      <c r="T183" s="64"/>
      <c r="U183" s="64"/>
      <c r="V183" s="64"/>
      <c r="W183" s="64"/>
      <c r="X183" s="64"/>
      <c r="Y183" s="64"/>
      <c r="Z183" s="64"/>
    </row>
    <row r="184" ht="12.75" customHeight="1">
      <c r="A184" s="108"/>
      <c r="B184" s="64"/>
      <c r="C184" s="64"/>
      <c r="D184" s="64"/>
      <c r="E184" s="64"/>
      <c r="F184" s="63"/>
      <c r="G184" s="63"/>
      <c r="H184" s="64"/>
      <c r="I184" s="64"/>
      <c r="J184" s="64"/>
      <c r="K184" s="64"/>
      <c r="L184" s="64"/>
      <c r="M184" s="64"/>
      <c r="N184" s="64"/>
      <c r="O184" s="64"/>
      <c r="P184" s="64"/>
      <c r="Q184" s="64"/>
      <c r="R184" s="64"/>
      <c r="S184" s="64"/>
      <c r="T184" s="64"/>
      <c r="U184" s="64"/>
      <c r="V184" s="64"/>
      <c r="W184" s="64"/>
      <c r="X184" s="64"/>
      <c r="Y184" s="64"/>
      <c r="Z184" s="64"/>
    </row>
    <row r="185" ht="12.75" customHeight="1">
      <c r="A185" s="108"/>
      <c r="B185" s="64"/>
      <c r="C185" s="64"/>
      <c r="D185" s="64"/>
      <c r="E185" s="64"/>
      <c r="F185" s="63"/>
      <c r="G185" s="63"/>
      <c r="H185" s="64"/>
      <c r="I185" s="64"/>
      <c r="J185" s="64"/>
      <c r="K185" s="64"/>
      <c r="L185" s="64"/>
      <c r="M185" s="64"/>
      <c r="N185" s="64"/>
      <c r="O185" s="64"/>
      <c r="P185" s="64"/>
      <c r="Q185" s="64"/>
      <c r="R185" s="64"/>
      <c r="S185" s="64"/>
      <c r="T185" s="64"/>
      <c r="U185" s="64"/>
      <c r="V185" s="64"/>
      <c r="W185" s="64"/>
      <c r="X185" s="64"/>
      <c r="Y185" s="64"/>
      <c r="Z185" s="64"/>
    </row>
    <row r="186" ht="12.75" customHeight="1">
      <c r="A186" s="108"/>
      <c r="B186" s="64"/>
      <c r="C186" s="64"/>
      <c r="D186" s="64"/>
      <c r="E186" s="64"/>
      <c r="F186" s="63"/>
      <c r="G186" s="63"/>
      <c r="H186" s="64"/>
      <c r="I186" s="64"/>
      <c r="J186" s="64"/>
      <c r="K186" s="64"/>
      <c r="L186" s="64"/>
      <c r="M186" s="64"/>
      <c r="N186" s="64"/>
      <c r="O186" s="64"/>
      <c r="P186" s="64"/>
      <c r="Q186" s="64"/>
      <c r="R186" s="64"/>
      <c r="S186" s="64"/>
      <c r="T186" s="64"/>
      <c r="U186" s="64"/>
      <c r="V186" s="64"/>
      <c r="W186" s="64"/>
      <c r="X186" s="64"/>
      <c r="Y186" s="64"/>
      <c r="Z186" s="64"/>
    </row>
    <row r="187" ht="12.75" customHeight="1">
      <c r="A187" s="108"/>
      <c r="B187" s="64"/>
      <c r="C187" s="64"/>
      <c r="D187" s="64"/>
      <c r="E187" s="64"/>
      <c r="F187" s="63"/>
      <c r="G187" s="63"/>
      <c r="H187" s="64"/>
      <c r="I187" s="64"/>
      <c r="J187" s="64"/>
      <c r="K187" s="64"/>
      <c r="L187" s="64"/>
      <c r="M187" s="64"/>
      <c r="N187" s="64"/>
      <c r="O187" s="64"/>
      <c r="P187" s="64"/>
      <c r="Q187" s="64"/>
      <c r="R187" s="64"/>
      <c r="S187" s="64"/>
      <c r="T187" s="64"/>
      <c r="U187" s="64"/>
      <c r="V187" s="64"/>
      <c r="W187" s="64"/>
      <c r="X187" s="64"/>
      <c r="Y187" s="64"/>
      <c r="Z187" s="64"/>
    </row>
    <row r="188" ht="12.75" customHeight="1">
      <c r="A188" s="108"/>
      <c r="B188" s="64"/>
      <c r="C188" s="64"/>
      <c r="D188" s="64"/>
      <c r="E188" s="64"/>
      <c r="F188" s="63"/>
      <c r="G188" s="63"/>
      <c r="H188" s="64"/>
      <c r="I188" s="64"/>
      <c r="J188" s="64"/>
      <c r="K188" s="64"/>
      <c r="L188" s="64"/>
      <c r="M188" s="64"/>
      <c r="N188" s="64"/>
      <c r="O188" s="64"/>
      <c r="P188" s="64"/>
      <c r="Q188" s="64"/>
      <c r="R188" s="64"/>
      <c r="S188" s="64"/>
      <c r="T188" s="64"/>
      <c r="U188" s="64"/>
      <c r="V188" s="64"/>
      <c r="W188" s="64"/>
      <c r="X188" s="64"/>
      <c r="Y188" s="64"/>
      <c r="Z188" s="64"/>
    </row>
    <row r="189" ht="12.75" customHeight="1">
      <c r="A189" s="108"/>
      <c r="B189" s="64"/>
      <c r="C189" s="64"/>
      <c r="D189" s="64"/>
      <c r="E189" s="64"/>
      <c r="F189" s="63"/>
      <c r="G189" s="63"/>
      <c r="H189" s="64"/>
      <c r="I189" s="64"/>
      <c r="J189" s="64"/>
      <c r="K189" s="64"/>
      <c r="L189" s="64"/>
      <c r="M189" s="64"/>
      <c r="N189" s="64"/>
      <c r="O189" s="64"/>
      <c r="P189" s="64"/>
      <c r="Q189" s="64"/>
      <c r="R189" s="64"/>
      <c r="S189" s="64"/>
      <c r="T189" s="64"/>
      <c r="U189" s="64"/>
      <c r="V189" s="64"/>
      <c r="W189" s="64"/>
      <c r="X189" s="64"/>
      <c r="Y189" s="64"/>
      <c r="Z189" s="64"/>
    </row>
    <row r="190" ht="12.75" customHeight="1">
      <c r="A190" s="108"/>
      <c r="B190" s="64"/>
      <c r="C190" s="64"/>
      <c r="D190" s="64"/>
      <c r="E190" s="64"/>
      <c r="F190" s="63"/>
      <c r="G190" s="63"/>
      <c r="H190" s="64"/>
      <c r="I190" s="64"/>
      <c r="J190" s="64"/>
      <c r="K190" s="64"/>
      <c r="L190" s="64"/>
      <c r="M190" s="64"/>
      <c r="N190" s="64"/>
      <c r="O190" s="64"/>
      <c r="P190" s="64"/>
      <c r="Q190" s="64"/>
      <c r="R190" s="64"/>
      <c r="S190" s="64"/>
      <c r="T190" s="64"/>
      <c r="U190" s="64"/>
      <c r="V190" s="64"/>
      <c r="W190" s="64"/>
      <c r="X190" s="64"/>
      <c r="Y190" s="64"/>
      <c r="Z190" s="64"/>
    </row>
    <row r="191" ht="12.75" customHeight="1">
      <c r="A191" s="108"/>
      <c r="B191" s="64"/>
      <c r="C191" s="64"/>
      <c r="D191" s="64"/>
      <c r="E191" s="64"/>
      <c r="F191" s="63"/>
      <c r="G191" s="63"/>
      <c r="H191" s="64"/>
      <c r="I191" s="64"/>
      <c r="J191" s="64"/>
      <c r="K191" s="64"/>
      <c r="L191" s="64"/>
      <c r="M191" s="64"/>
      <c r="N191" s="64"/>
      <c r="O191" s="64"/>
      <c r="P191" s="64"/>
      <c r="Q191" s="64"/>
      <c r="R191" s="64"/>
      <c r="S191" s="64"/>
      <c r="T191" s="64"/>
      <c r="U191" s="64"/>
      <c r="V191" s="64"/>
      <c r="W191" s="64"/>
      <c r="X191" s="64"/>
      <c r="Y191" s="64"/>
      <c r="Z191" s="64"/>
    </row>
    <row r="192" ht="12.75" customHeight="1">
      <c r="A192" s="108"/>
      <c r="B192" s="64"/>
      <c r="C192" s="64"/>
      <c r="D192" s="64"/>
      <c r="E192" s="64"/>
      <c r="F192" s="63"/>
      <c r="G192" s="63"/>
      <c r="H192" s="64"/>
      <c r="I192" s="64"/>
      <c r="J192" s="64"/>
      <c r="K192" s="64"/>
      <c r="L192" s="64"/>
      <c r="M192" s="64"/>
      <c r="N192" s="64"/>
      <c r="O192" s="64"/>
      <c r="P192" s="64"/>
      <c r="Q192" s="64"/>
      <c r="R192" s="64"/>
      <c r="S192" s="64"/>
      <c r="T192" s="64"/>
      <c r="U192" s="64"/>
      <c r="V192" s="64"/>
      <c r="W192" s="64"/>
      <c r="X192" s="64"/>
      <c r="Y192" s="64"/>
      <c r="Z192" s="64"/>
    </row>
    <row r="193" ht="12.75" customHeight="1">
      <c r="A193" s="108"/>
      <c r="B193" s="64"/>
      <c r="C193" s="64"/>
      <c r="D193" s="64"/>
      <c r="E193" s="64"/>
      <c r="F193" s="63"/>
      <c r="G193" s="63"/>
      <c r="H193" s="64"/>
      <c r="I193" s="64"/>
      <c r="J193" s="64"/>
      <c r="K193" s="64"/>
      <c r="L193" s="64"/>
      <c r="M193" s="64"/>
      <c r="N193" s="64"/>
      <c r="O193" s="64"/>
      <c r="P193" s="64"/>
      <c r="Q193" s="64"/>
      <c r="R193" s="64"/>
      <c r="S193" s="64"/>
      <c r="T193" s="64"/>
      <c r="U193" s="64"/>
      <c r="V193" s="64"/>
      <c r="W193" s="64"/>
      <c r="X193" s="64"/>
      <c r="Y193" s="64"/>
      <c r="Z193" s="64"/>
    </row>
    <row r="194" ht="12.75" customHeight="1">
      <c r="A194" s="108"/>
      <c r="B194" s="64"/>
      <c r="C194" s="64"/>
      <c r="D194" s="64"/>
      <c r="E194" s="64"/>
      <c r="F194" s="63"/>
      <c r="G194" s="63"/>
      <c r="H194" s="64"/>
      <c r="I194" s="64"/>
      <c r="J194" s="64"/>
      <c r="K194" s="64"/>
      <c r="L194" s="64"/>
      <c r="M194" s="64"/>
      <c r="N194" s="64"/>
      <c r="O194" s="64"/>
      <c r="P194" s="64"/>
      <c r="Q194" s="64"/>
      <c r="R194" s="64"/>
      <c r="S194" s="64"/>
      <c r="T194" s="64"/>
      <c r="U194" s="64"/>
      <c r="V194" s="64"/>
      <c r="W194" s="64"/>
      <c r="X194" s="64"/>
      <c r="Y194" s="64"/>
      <c r="Z194" s="64"/>
    </row>
    <row r="195" ht="12.75" customHeight="1">
      <c r="A195" s="108"/>
      <c r="B195" s="64"/>
      <c r="C195" s="64"/>
      <c r="D195" s="64"/>
      <c r="E195" s="64"/>
      <c r="F195" s="63"/>
      <c r="G195" s="63"/>
      <c r="H195" s="64"/>
      <c r="I195" s="64"/>
      <c r="J195" s="64"/>
      <c r="K195" s="64"/>
      <c r="L195" s="64"/>
      <c r="M195" s="64"/>
      <c r="N195" s="64"/>
      <c r="O195" s="64"/>
      <c r="P195" s="64"/>
      <c r="Q195" s="64"/>
      <c r="R195" s="64"/>
      <c r="S195" s="64"/>
      <c r="T195" s="64"/>
      <c r="U195" s="64"/>
      <c r="V195" s="64"/>
      <c r="W195" s="64"/>
      <c r="X195" s="64"/>
      <c r="Y195" s="64"/>
      <c r="Z195" s="64"/>
    </row>
    <row r="196" ht="12.75" customHeight="1">
      <c r="A196" s="108"/>
      <c r="B196" s="64"/>
      <c r="C196" s="64"/>
      <c r="D196" s="64"/>
      <c r="E196" s="64"/>
      <c r="F196" s="63"/>
      <c r="G196" s="63"/>
      <c r="H196" s="64"/>
      <c r="I196" s="64"/>
      <c r="J196" s="64"/>
      <c r="K196" s="64"/>
      <c r="L196" s="64"/>
      <c r="M196" s="64"/>
      <c r="N196" s="64"/>
      <c r="O196" s="64"/>
      <c r="P196" s="64"/>
      <c r="Q196" s="64"/>
      <c r="R196" s="64"/>
      <c r="S196" s="64"/>
      <c r="T196" s="64"/>
      <c r="U196" s="64"/>
      <c r="V196" s="64"/>
      <c r="W196" s="64"/>
      <c r="X196" s="64"/>
      <c r="Y196" s="64"/>
      <c r="Z196" s="64"/>
    </row>
    <row r="197" ht="12.75" customHeight="1">
      <c r="A197" s="108"/>
      <c r="B197" s="64"/>
      <c r="C197" s="64"/>
      <c r="D197" s="64"/>
      <c r="E197" s="64"/>
      <c r="F197" s="63"/>
      <c r="G197" s="63"/>
      <c r="H197" s="64"/>
      <c r="I197" s="64"/>
      <c r="J197" s="64"/>
      <c r="K197" s="64"/>
      <c r="L197" s="64"/>
      <c r="M197" s="64"/>
      <c r="N197" s="64"/>
      <c r="O197" s="64"/>
      <c r="P197" s="64"/>
      <c r="Q197" s="64"/>
      <c r="R197" s="64"/>
      <c r="S197" s="64"/>
      <c r="T197" s="64"/>
      <c r="U197" s="64"/>
      <c r="V197" s="64"/>
      <c r="W197" s="64"/>
      <c r="X197" s="64"/>
      <c r="Y197" s="64"/>
      <c r="Z197" s="64"/>
    </row>
    <row r="198" ht="12.75" customHeight="1">
      <c r="A198" s="108"/>
      <c r="B198" s="64"/>
      <c r="C198" s="64"/>
      <c r="D198" s="64"/>
      <c r="E198" s="64"/>
      <c r="F198" s="63"/>
      <c r="G198" s="63"/>
      <c r="H198" s="64"/>
      <c r="I198" s="64"/>
      <c r="J198" s="64"/>
      <c r="K198" s="64"/>
      <c r="L198" s="64"/>
      <c r="M198" s="64"/>
      <c r="N198" s="64"/>
      <c r="O198" s="64"/>
      <c r="P198" s="64"/>
      <c r="Q198" s="64"/>
      <c r="R198" s="64"/>
      <c r="S198" s="64"/>
      <c r="T198" s="64"/>
      <c r="U198" s="64"/>
      <c r="V198" s="64"/>
      <c r="W198" s="64"/>
      <c r="X198" s="64"/>
      <c r="Y198" s="64"/>
      <c r="Z198" s="64"/>
    </row>
    <row r="199" ht="12.75" customHeight="1">
      <c r="A199" s="108"/>
      <c r="B199" s="64"/>
      <c r="C199" s="64"/>
      <c r="D199" s="64"/>
      <c r="E199" s="64"/>
      <c r="F199" s="63"/>
      <c r="G199" s="63"/>
      <c r="H199" s="64"/>
      <c r="I199" s="64"/>
      <c r="J199" s="64"/>
      <c r="K199" s="64"/>
      <c r="L199" s="64"/>
      <c r="M199" s="64"/>
      <c r="N199" s="64"/>
      <c r="O199" s="64"/>
      <c r="P199" s="64"/>
      <c r="Q199" s="64"/>
      <c r="R199" s="64"/>
      <c r="S199" s="64"/>
      <c r="T199" s="64"/>
      <c r="U199" s="64"/>
      <c r="V199" s="64"/>
      <c r="W199" s="64"/>
      <c r="X199" s="64"/>
      <c r="Y199" s="64"/>
      <c r="Z199" s="64"/>
    </row>
    <row r="200" ht="12.75" customHeight="1">
      <c r="A200" s="108"/>
      <c r="B200" s="64"/>
      <c r="C200" s="64"/>
      <c r="D200" s="64"/>
      <c r="E200" s="64"/>
      <c r="F200" s="63"/>
      <c r="G200" s="63"/>
      <c r="H200" s="64"/>
      <c r="I200" s="64"/>
      <c r="J200" s="64"/>
      <c r="K200" s="64"/>
      <c r="L200" s="64"/>
      <c r="M200" s="64"/>
      <c r="N200" s="64"/>
      <c r="O200" s="64"/>
      <c r="P200" s="64"/>
      <c r="Q200" s="64"/>
      <c r="R200" s="64"/>
      <c r="S200" s="64"/>
      <c r="T200" s="64"/>
      <c r="U200" s="64"/>
      <c r="V200" s="64"/>
      <c r="W200" s="64"/>
      <c r="X200" s="64"/>
      <c r="Y200" s="64"/>
      <c r="Z200" s="64"/>
    </row>
    <row r="201" ht="12.75" customHeight="1">
      <c r="A201" s="108"/>
      <c r="B201" s="64"/>
      <c r="C201" s="64"/>
      <c r="D201" s="64"/>
      <c r="E201" s="64"/>
      <c r="F201" s="63"/>
      <c r="G201" s="63"/>
      <c r="H201" s="64"/>
      <c r="I201" s="64"/>
      <c r="J201" s="64"/>
      <c r="K201" s="64"/>
      <c r="L201" s="64"/>
      <c r="M201" s="64"/>
      <c r="N201" s="64"/>
      <c r="O201" s="64"/>
      <c r="P201" s="64"/>
      <c r="Q201" s="64"/>
      <c r="R201" s="64"/>
      <c r="S201" s="64"/>
      <c r="T201" s="64"/>
      <c r="U201" s="64"/>
      <c r="V201" s="64"/>
      <c r="W201" s="64"/>
      <c r="X201" s="64"/>
      <c r="Y201" s="64"/>
      <c r="Z201" s="64"/>
    </row>
    <row r="202" ht="12.75" customHeight="1">
      <c r="A202" s="108"/>
      <c r="B202" s="64"/>
      <c r="C202" s="64"/>
      <c r="D202" s="64"/>
      <c r="E202" s="64"/>
      <c r="F202" s="63"/>
      <c r="G202" s="63"/>
      <c r="H202" s="64"/>
      <c r="I202" s="64"/>
      <c r="J202" s="64"/>
      <c r="K202" s="64"/>
      <c r="L202" s="64"/>
      <c r="M202" s="64"/>
      <c r="N202" s="64"/>
      <c r="O202" s="64"/>
      <c r="P202" s="64"/>
      <c r="Q202" s="64"/>
      <c r="R202" s="64"/>
      <c r="S202" s="64"/>
      <c r="T202" s="64"/>
      <c r="U202" s="64"/>
      <c r="V202" s="64"/>
      <c r="W202" s="64"/>
      <c r="X202" s="64"/>
      <c r="Y202" s="64"/>
      <c r="Z202" s="64"/>
    </row>
    <row r="203" ht="12.75" customHeight="1">
      <c r="A203" s="108"/>
      <c r="B203" s="64"/>
      <c r="C203" s="64"/>
      <c r="D203" s="64"/>
      <c r="E203" s="64"/>
      <c r="F203" s="63"/>
      <c r="G203" s="63"/>
      <c r="H203" s="64"/>
      <c r="I203" s="64"/>
      <c r="J203" s="64"/>
      <c r="K203" s="64"/>
      <c r="L203" s="64"/>
      <c r="M203" s="64"/>
      <c r="N203" s="64"/>
      <c r="O203" s="64"/>
      <c r="P203" s="64"/>
      <c r="Q203" s="64"/>
      <c r="R203" s="64"/>
      <c r="S203" s="64"/>
      <c r="T203" s="64"/>
      <c r="U203" s="64"/>
      <c r="V203" s="64"/>
      <c r="W203" s="64"/>
      <c r="X203" s="64"/>
      <c r="Y203" s="64"/>
      <c r="Z203" s="64"/>
    </row>
    <row r="204" ht="12.75" customHeight="1">
      <c r="A204" s="108"/>
      <c r="B204" s="64"/>
      <c r="C204" s="64"/>
      <c r="D204" s="64"/>
      <c r="E204" s="64"/>
      <c r="F204" s="63"/>
      <c r="G204" s="63"/>
      <c r="H204" s="64"/>
      <c r="I204" s="64"/>
      <c r="J204" s="64"/>
      <c r="K204" s="64"/>
      <c r="L204" s="64"/>
      <c r="M204" s="64"/>
      <c r="N204" s="64"/>
      <c r="O204" s="64"/>
      <c r="P204" s="64"/>
      <c r="Q204" s="64"/>
      <c r="R204" s="64"/>
      <c r="S204" s="64"/>
      <c r="T204" s="64"/>
      <c r="U204" s="64"/>
      <c r="V204" s="64"/>
      <c r="W204" s="64"/>
      <c r="X204" s="64"/>
      <c r="Y204" s="64"/>
      <c r="Z204" s="64"/>
    </row>
    <row r="205" ht="12.75" customHeight="1">
      <c r="A205" s="108"/>
      <c r="B205" s="64"/>
      <c r="C205" s="64"/>
      <c r="D205" s="64"/>
      <c r="E205" s="64"/>
      <c r="F205" s="63"/>
      <c r="G205" s="63"/>
      <c r="H205" s="64"/>
      <c r="I205" s="64"/>
      <c r="J205" s="64"/>
      <c r="K205" s="64"/>
      <c r="L205" s="64"/>
      <c r="M205" s="64"/>
      <c r="N205" s="64"/>
      <c r="O205" s="64"/>
      <c r="P205" s="64"/>
      <c r="Q205" s="64"/>
      <c r="R205" s="64"/>
      <c r="S205" s="64"/>
      <c r="T205" s="64"/>
      <c r="U205" s="64"/>
      <c r="V205" s="64"/>
      <c r="W205" s="64"/>
      <c r="X205" s="64"/>
      <c r="Y205" s="64"/>
      <c r="Z205" s="64"/>
    </row>
    <row r="206" ht="12.75" customHeight="1">
      <c r="A206" s="108"/>
      <c r="B206" s="64"/>
      <c r="C206" s="64"/>
      <c r="D206" s="64"/>
      <c r="E206" s="64"/>
      <c r="F206" s="63"/>
      <c r="G206" s="63"/>
      <c r="H206" s="64"/>
      <c r="I206" s="64"/>
      <c r="J206" s="64"/>
      <c r="K206" s="64"/>
      <c r="L206" s="64"/>
      <c r="M206" s="64"/>
      <c r="N206" s="64"/>
      <c r="O206" s="64"/>
      <c r="P206" s="64"/>
      <c r="Q206" s="64"/>
      <c r="R206" s="64"/>
      <c r="S206" s="64"/>
      <c r="T206" s="64"/>
      <c r="U206" s="64"/>
      <c r="V206" s="64"/>
      <c r="W206" s="64"/>
      <c r="X206" s="64"/>
      <c r="Y206" s="64"/>
      <c r="Z206" s="64"/>
    </row>
    <row r="207" ht="12.75" customHeight="1">
      <c r="A207" s="108"/>
      <c r="B207" s="64"/>
      <c r="C207" s="64"/>
      <c r="D207" s="64"/>
      <c r="E207" s="64"/>
      <c r="F207" s="63"/>
      <c r="G207" s="63"/>
      <c r="H207" s="64"/>
      <c r="I207" s="64"/>
      <c r="J207" s="64"/>
      <c r="K207" s="64"/>
      <c r="L207" s="64"/>
      <c r="M207" s="64"/>
      <c r="N207" s="64"/>
      <c r="O207" s="64"/>
      <c r="P207" s="64"/>
      <c r="Q207" s="64"/>
      <c r="R207" s="64"/>
      <c r="S207" s="64"/>
      <c r="T207" s="64"/>
      <c r="U207" s="64"/>
      <c r="V207" s="64"/>
      <c r="W207" s="64"/>
      <c r="X207" s="64"/>
      <c r="Y207" s="64"/>
      <c r="Z207" s="64"/>
    </row>
    <row r="208" ht="12.75" customHeight="1">
      <c r="A208" s="108"/>
      <c r="B208" s="64"/>
      <c r="C208" s="64"/>
      <c r="D208" s="64"/>
      <c r="E208" s="64"/>
      <c r="F208" s="63"/>
      <c r="G208" s="63"/>
      <c r="H208" s="64"/>
      <c r="I208" s="64"/>
      <c r="J208" s="64"/>
      <c r="K208" s="64"/>
      <c r="L208" s="64"/>
      <c r="M208" s="64"/>
      <c r="N208" s="64"/>
      <c r="O208" s="64"/>
      <c r="P208" s="64"/>
      <c r="Q208" s="64"/>
      <c r="R208" s="64"/>
      <c r="S208" s="64"/>
      <c r="T208" s="64"/>
      <c r="U208" s="64"/>
      <c r="V208" s="64"/>
      <c r="W208" s="64"/>
      <c r="X208" s="64"/>
      <c r="Y208" s="64"/>
      <c r="Z208" s="64"/>
    </row>
    <row r="209" ht="12.75" customHeight="1">
      <c r="A209" s="108"/>
      <c r="B209" s="64"/>
      <c r="C209" s="64"/>
      <c r="D209" s="64"/>
      <c r="E209" s="64"/>
      <c r="F209" s="63"/>
      <c r="G209" s="63"/>
      <c r="H209" s="64"/>
      <c r="I209" s="64"/>
      <c r="J209" s="64"/>
      <c r="K209" s="64"/>
      <c r="L209" s="64"/>
      <c r="M209" s="64"/>
      <c r="N209" s="64"/>
      <c r="O209" s="64"/>
      <c r="P209" s="64"/>
      <c r="Q209" s="64"/>
      <c r="R209" s="64"/>
      <c r="S209" s="64"/>
      <c r="T209" s="64"/>
      <c r="U209" s="64"/>
      <c r="V209" s="64"/>
      <c r="W209" s="64"/>
      <c r="X209" s="64"/>
      <c r="Y209" s="64"/>
      <c r="Z209" s="64"/>
    </row>
    <row r="210" ht="12.75" customHeight="1">
      <c r="A210" s="108"/>
      <c r="B210" s="64"/>
      <c r="C210" s="64"/>
      <c r="D210" s="64"/>
      <c r="E210" s="64"/>
      <c r="F210" s="63"/>
      <c r="G210" s="63"/>
      <c r="H210" s="64"/>
      <c r="I210" s="64"/>
      <c r="J210" s="64"/>
      <c r="K210" s="64"/>
      <c r="L210" s="64"/>
      <c r="M210" s="64"/>
      <c r="N210" s="64"/>
      <c r="O210" s="64"/>
      <c r="P210" s="64"/>
      <c r="Q210" s="64"/>
      <c r="R210" s="64"/>
      <c r="S210" s="64"/>
      <c r="T210" s="64"/>
      <c r="U210" s="64"/>
      <c r="V210" s="64"/>
      <c r="W210" s="64"/>
      <c r="X210" s="64"/>
      <c r="Y210" s="64"/>
      <c r="Z210" s="64"/>
    </row>
    <row r="211" ht="12.75" customHeight="1">
      <c r="A211" s="108"/>
      <c r="B211" s="64"/>
      <c r="C211" s="64"/>
      <c r="D211" s="64"/>
      <c r="E211" s="64"/>
      <c r="F211" s="63"/>
      <c r="G211" s="63"/>
      <c r="H211" s="64"/>
      <c r="I211" s="64"/>
      <c r="J211" s="64"/>
      <c r="K211" s="64"/>
      <c r="L211" s="64"/>
      <c r="M211" s="64"/>
      <c r="N211" s="64"/>
      <c r="O211" s="64"/>
      <c r="P211" s="64"/>
      <c r="Q211" s="64"/>
      <c r="R211" s="64"/>
      <c r="S211" s="64"/>
      <c r="T211" s="64"/>
      <c r="U211" s="64"/>
      <c r="V211" s="64"/>
      <c r="W211" s="64"/>
      <c r="X211" s="64"/>
      <c r="Y211" s="64"/>
      <c r="Z211" s="64"/>
    </row>
    <row r="212" ht="12.75" customHeight="1">
      <c r="A212" s="108"/>
      <c r="B212" s="64"/>
      <c r="C212" s="64"/>
      <c r="D212" s="64"/>
      <c r="E212" s="64"/>
      <c r="F212" s="63"/>
      <c r="G212" s="63"/>
      <c r="H212" s="64"/>
      <c r="I212" s="64"/>
      <c r="J212" s="64"/>
      <c r="K212" s="64"/>
      <c r="L212" s="64"/>
      <c r="M212" s="64"/>
      <c r="N212" s="64"/>
      <c r="O212" s="64"/>
      <c r="P212" s="64"/>
      <c r="Q212" s="64"/>
      <c r="R212" s="64"/>
      <c r="S212" s="64"/>
      <c r="T212" s="64"/>
      <c r="U212" s="64"/>
      <c r="V212" s="64"/>
      <c r="W212" s="64"/>
      <c r="X212" s="64"/>
      <c r="Y212" s="64"/>
      <c r="Z212" s="64"/>
    </row>
    <row r="213" ht="12.75" customHeight="1">
      <c r="A213" s="108"/>
      <c r="B213" s="64"/>
      <c r="C213" s="64"/>
      <c r="D213" s="64"/>
      <c r="E213" s="64"/>
      <c r="F213" s="63"/>
      <c r="G213" s="63"/>
      <c r="H213" s="64"/>
      <c r="I213" s="64"/>
      <c r="J213" s="64"/>
      <c r="K213" s="64"/>
      <c r="L213" s="64"/>
      <c r="M213" s="64"/>
      <c r="N213" s="64"/>
      <c r="O213" s="64"/>
      <c r="P213" s="64"/>
      <c r="Q213" s="64"/>
      <c r="R213" s="64"/>
      <c r="S213" s="64"/>
      <c r="T213" s="64"/>
      <c r="U213" s="64"/>
      <c r="V213" s="64"/>
      <c r="W213" s="64"/>
      <c r="X213" s="64"/>
      <c r="Y213" s="64"/>
      <c r="Z213" s="64"/>
    </row>
    <row r="214" ht="12.75" customHeight="1">
      <c r="A214" s="108"/>
      <c r="B214" s="64"/>
      <c r="C214" s="64"/>
      <c r="D214" s="64"/>
      <c r="E214" s="64"/>
      <c r="F214" s="63"/>
      <c r="G214" s="63"/>
      <c r="H214" s="64"/>
      <c r="I214" s="64"/>
      <c r="J214" s="64"/>
      <c r="K214" s="64"/>
      <c r="L214" s="64"/>
      <c r="M214" s="64"/>
      <c r="N214" s="64"/>
      <c r="O214" s="64"/>
      <c r="P214" s="64"/>
      <c r="Q214" s="64"/>
      <c r="R214" s="64"/>
      <c r="S214" s="64"/>
      <c r="T214" s="64"/>
      <c r="U214" s="64"/>
      <c r="V214" s="64"/>
      <c r="W214" s="64"/>
      <c r="X214" s="64"/>
      <c r="Y214" s="64"/>
      <c r="Z214" s="64"/>
    </row>
    <row r="215" ht="12.75" customHeight="1">
      <c r="A215" s="108"/>
      <c r="B215" s="64"/>
      <c r="C215" s="64"/>
      <c r="D215" s="64"/>
      <c r="E215" s="64"/>
      <c r="F215" s="63"/>
      <c r="G215" s="63"/>
      <c r="H215" s="64"/>
      <c r="I215" s="64"/>
      <c r="J215" s="64"/>
      <c r="K215" s="64"/>
      <c r="L215" s="64"/>
      <c r="M215" s="64"/>
      <c r="N215" s="64"/>
      <c r="O215" s="64"/>
      <c r="P215" s="64"/>
      <c r="Q215" s="64"/>
      <c r="R215" s="64"/>
      <c r="S215" s="64"/>
      <c r="T215" s="64"/>
      <c r="U215" s="64"/>
      <c r="V215" s="64"/>
      <c r="W215" s="64"/>
      <c r="X215" s="64"/>
      <c r="Y215" s="64"/>
      <c r="Z215" s="64"/>
    </row>
    <row r="216" ht="12.75" customHeight="1">
      <c r="A216" s="108"/>
      <c r="B216" s="64"/>
      <c r="C216" s="64"/>
      <c r="D216" s="64"/>
      <c r="E216" s="64"/>
      <c r="F216" s="63"/>
      <c r="G216" s="63"/>
      <c r="H216" s="64"/>
      <c r="I216" s="64"/>
      <c r="J216" s="64"/>
      <c r="K216" s="64"/>
      <c r="L216" s="64"/>
      <c r="M216" s="64"/>
      <c r="N216" s="64"/>
      <c r="O216" s="64"/>
      <c r="P216" s="64"/>
      <c r="Q216" s="64"/>
      <c r="R216" s="64"/>
      <c r="S216" s="64"/>
      <c r="T216" s="64"/>
      <c r="U216" s="64"/>
      <c r="V216" s="64"/>
      <c r="W216" s="64"/>
      <c r="X216" s="64"/>
      <c r="Y216" s="64"/>
      <c r="Z216" s="64"/>
    </row>
    <row r="217" ht="12.75" customHeight="1">
      <c r="A217" s="108"/>
      <c r="B217" s="64"/>
      <c r="C217" s="64"/>
      <c r="D217" s="64"/>
      <c r="E217" s="64"/>
      <c r="F217" s="63"/>
      <c r="G217" s="63"/>
      <c r="H217" s="64"/>
      <c r="I217" s="64"/>
      <c r="J217" s="64"/>
      <c r="K217" s="64"/>
      <c r="L217" s="64"/>
      <c r="M217" s="64"/>
      <c r="N217" s="64"/>
      <c r="O217" s="64"/>
      <c r="P217" s="64"/>
      <c r="Q217" s="64"/>
      <c r="R217" s="64"/>
      <c r="S217" s="64"/>
      <c r="T217" s="64"/>
      <c r="U217" s="64"/>
      <c r="V217" s="64"/>
      <c r="W217" s="64"/>
      <c r="X217" s="64"/>
      <c r="Y217" s="64"/>
      <c r="Z217" s="64"/>
    </row>
    <row r="218" ht="12.75" customHeight="1">
      <c r="A218" s="108"/>
      <c r="B218" s="64"/>
      <c r="C218" s="64"/>
      <c r="D218" s="64"/>
      <c r="E218" s="64"/>
      <c r="F218" s="63"/>
      <c r="G218" s="63"/>
      <c r="H218" s="64"/>
      <c r="I218" s="64"/>
      <c r="J218" s="64"/>
      <c r="K218" s="64"/>
      <c r="L218" s="64"/>
      <c r="M218" s="64"/>
      <c r="N218" s="64"/>
      <c r="O218" s="64"/>
      <c r="P218" s="64"/>
      <c r="Q218" s="64"/>
      <c r="R218" s="64"/>
      <c r="S218" s="64"/>
      <c r="T218" s="64"/>
      <c r="U218" s="64"/>
      <c r="V218" s="64"/>
      <c r="W218" s="64"/>
      <c r="X218" s="64"/>
      <c r="Y218" s="64"/>
      <c r="Z218" s="64"/>
    </row>
    <row r="219" ht="12.75" customHeight="1">
      <c r="A219" s="108"/>
      <c r="B219" s="64"/>
      <c r="C219" s="64"/>
      <c r="D219" s="64"/>
      <c r="E219" s="64"/>
      <c r="F219" s="63"/>
      <c r="G219" s="63"/>
      <c r="H219" s="64"/>
      <c r="I219" s="64"/>
      <c r="J219" s="64"/>
      <c r="K219" s="64"/>
      <c r="L219" s="64"/>
      <c r="M219" s="64"/>
      <c r="N219" s="64"/>
      <c r="O219" s="64"/>
      <c r="P219" s="64"/>
      <c r="Q219" s="64"/>
      <c r="R219" s="64"/>
      <c r="S219" s="64"/>
      <c r="T219" s="64"/>
      <c r="U219" s="64"/>
      <c r="V219" s="64"/>
      <c r="W219" s="64"/>
      <c r="X219" s="64"/>
      <c r="Y219" s="64"/>
      <c r="Z219" s="64"/>
    </row>
    <row r="220" ht="12.75" customHeight="1">
      <c r="A220" s="108"/>
      <c r="B220" s="64"/>
      <c r="C220" s="64"/>
      <c r="D220" s="64"/>
      <c r="E220" s="64"/>
      <c r="F220" s="63"/>
      <c r="G220" s="63"/>
      <c r="H220" s="64"/>
      <c r="I220" s="64"/>
      <c r="J220" s="64"/>
      <c r="K220" s="64"/>
      <c r="L220" s="64"/>
      <c r="M220" s="64"/>
      <c r="N220" s="64"/>
      <c r="O220" s="64"/>
      <c r="P220" s="64"/>
      <c r="Q220" s="64"/>
      <c r="R220" s="64"/>
      <c r="S220" s="64"/>
      <c r="T220" s="64"/>
      <c r="U220" s="64"/>
      <c r="V220" s="64"/>
      <c r="W220" s="64"/>
      <c r="X220" s="64"/>
      <c r="Y220" s="64"/>
      <c r="Z220" s="64"/>
    </row>
    <row r="221" ht="12.75" customHeight="1">
      <c r="A221" s="108"/>
      <c r="B221" s="64"/>
      <c r="C221" s="64"/>
      <c r="D221" s="64"/>
      <c r="E221" s="64"/>
      <c r="F221" s="63"/>
      <c r="G221" s="63"/>
      <c r="H221" s="64"/>
      <c r="I221" s="64"/>
      <c r="J221" s="64"/>
      <c r="K221" s="64"/>
      <c r="L221" s="64"/>
      <c r="M221" s="64"/>
      <c r="N221" s="64"/>
      <c r="O221" s="64"/>
      <c r="P221" s="64"/>
      <c r="Q221" s="64"/>
      <c r="R221" s="64"/>
      <c r="S221" s="64"/>
      <c r="T221" s="64"/>
      <c r="U221" s="64"/>
      <c r="V221" s="64"/>
      <c r="W221" s="64"/>
      <c r="X221" s="64"/>
      <c r="Y221" s="64"/>
      <c r="Z221" s="64"/>
    </row>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mergeCells count="10">
    <mergeCell ref="C19:D19"/>
    <mergeCell ref="C20:D20"/>
    <mergeCell ref="C21:D21"/>
    <mergeCell ref="C12:D12"/>
    <mergeCell ref="C13:D13"/>
    <mergeCell ref="C14:D14"/>
    <mergeCell ref="C15:D15"/>
    <mergeCell ref="C16:D16"/>
    <mergeCell ref="C17:D17"/>
    <mergeCell ref="C18:D18"/>
  </mergeCells>
  <conditionalFormatting sqref="C6:D6">
    <cfRule type="expression" dxfId="0" priority="1">
      <formula>$A6&lt;&gt;""</formula>
    </cfRule>
  </conditionalFormatting>
  <conditionalFormatting sqref="C6:D6">
    <cfRule type="expression" dxfId="1" priority="2">
      <formula>$A6=""</formula>
    </cfRule>
  </conditionalFormatting>
  <dataValidations>
    <dataValidation type="decimal" allowBlank="1" showErrorMessage="1" sqref="F13:F20">
      <formula1>0.0</formula1>
      <formula2>50.0</formula2>
    </dataValidation>
  </dataValidations>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4A3B8"/>
    <pageSetUpPr/>
  </sheetPr>
  <sheetViews>
    <sheetView showGridLines="0" workbookViewId="0"/>
  </sheetViews>
  <sheetFormatPr customHeight="1" defaultColWidth="12.63" defaultRowHeight="15.0"/>
  <cols>
    <col customWidth="1" min="1" max="1" width="16.38"/>
    <col customWidth="1" min="2" max="2" width="47.38"/>
    <col customWidth="1" min="3" max="3" width="27.0"/>
    <col customWidth="1" min="4" max="4" width="15.0"/>
    <col customWidth="1" min="5" max="5" width="23.63"/>
    <col customWidth="1" min="6" max="6" width="17.88"/>
    <col customWidth="1" min="7" max="7" width="15.0"/>
    <col customWidth="1" min="8" max="26" width="9.13"/>
  </cols>
  <sheetData>
    <row r="1" ht="12.75" customHeight="1">
      <c r="A1" s="105" t="s">
        <v>260</v>
      </c>
      <c r="B1" s="117" t="s">
        <v>49</v>
      </c>
      <c r="C1" s="78"/>
      <c r="D1" s="78"/>
      <c r="E1" s="64"/>
      <c r="F1" s="63"/>
      <c r="G1" s="63"/>
      <c r="H1" s="64"/>
      <c r="I1" s="64"/>
      <c r="J1" s="64"/>
      <c r="K1" s="64"/>
      <c r="L1" s="64"/>
      <c r="M1" s="64"/>
      <c r="N1" s="64"/>
      <c r="O1" s="64"/>
      <c r="P1" s="64"/>
      <c r="Q1" s="64"/>
      <c r="R1" s="64"/>
      <c r="S1" s="64"/>
      <c r="T1" s="64"/>
      <c r="U1" s="64"/>
      <c r="V1" s="64"/>
      <c r="W1" s="64"/>
      <c r="X1" s="64"/>
      <c r="Y1" s="64"/>
      <c r="Z1" s="64"/>
    </row>
    <row r="2" ht="12.75" customHeight="1">
      <c r="A2" s="110" t="s">
        <v>5</v>
      </c>
      <c r="B2" s="101" t="str">
        <f t="array" ref="B2">IFERROR(INDEX(Sessions!$C$2:$C$173,MATCH($B$1,Sessions!$B$2:$B$173,0))&amp;"","")</f>
        <v>Applied AI and Intelligent Computing Applications</v>
      </c>
      <c r="C2" s="64"/>
      <c r="D2" s="64"/>
      <c r="E2" s="64"/>
      <c r="F2" s="63"/>
      <c r="G2" s="63"/>
      <c r="H2" s="64"/>
      <c r="I2" s="64"/>
      <c r="J2" s="64"/>
      <c r="K2" s="64"/>
      <c r="L2" s="64"/>
      <c r="M2" s="64"/>
      <c r="N2" s="64"/>
      <c r="O2" s="64"/>
      <c r="P2" s="64"/>
      <c r="Q2" s="64"/>
      <c r="R2" s="64"/>
      <c r="S2" s="64"/>
      <c r="T2" s="64"/>
      <c r="U2" s="64"/>
      <c r="V2" s="64"/>
      <c r="W2" s="64"/>
      <c r="X2" s="64"/>
      <c r="Y2" s="64"/>
      <c r="Z2" s="64"/>
    </row>
    <row r="3" ht="12.75" customHeight="1">
      <c r="A3" s="112" t="s">
        <v>704</v>
      </c>
      <c r="B3" s="86" t="str">
        <f>IF(LEFT($B$1,2)="T1",Schedule!$A$4&amp;", "&amp;Schedule!$A$10,IF(LEFT($B$1,2)="T2",Schedule!$A$4&amp;", "&amp;Schedule!$A$12,IF(LEFT($B$1,2)="T3",Schedule!$A$4&amp;", "&amp;#REF!,IF(LEFT($B$1,2)="T4",Schedule!$A$16&amp;", "&amp;Schedule!$A$18,IF($B$1="Keynote 1",Schedule!$A$4&amp;", "&amp;Schedule!$A$8,IF($B$1="Keynote 2",Schedule!$A$4&amp;", "&amp;Schedule!$A$13,IF($B$1="Keynote 3",Schedule!$A$16&amp;", "&amp;Schedule!$A$19,IF($B$1="IEEE Workshop",Schedule!$A$16&amp;", "&amp;#REF!,""))))))))</f>
        <v>Day 1, 14:30-16:30</v>
      </c>
      <c r="C3" s="80"/>
      <c r="D3" s="80"/>
      <c r="E3" s="64"/>
      <c r="F3" s="63"/>
      <c r="G3" s="63"/>
      <c r="H3" s="64"/>
      <c r="I3" s="64"/>
      <c r="J3" s="64"/>
      <c r="K3" s="64"/>
      <c r="L3" s="64"/>
      <c r="M3" s="64"/>
      <c r="N3" s="64"/>
      <c r="O3" s="64"/>
      <c r="P3" s="64"/>
      <c r="Q3" s="64"/>
      <c r="R3" s="64"/>
      <c r="S3" s="64"/>
      <c r="T3" s="64"/>
      <c r="U3" s="64"/>
      <c r="V3" s="64"/>
      <c r="W3" s="64"/>
      <c r="X3" s="64"/>
      <c r="Y3" s="64"/>
      <c r="Z3" s="64"/>
    </row>
    <row r="4" ht="12.75" customHeight="1">
      <c r="A4" s="112" t="s">
        <v>11</v>
      </c>
      <c r="B4" s="115" t="s">
        <v>28</v>
      </c>
      <c r="C4" s="80"/>
      <c r="D4" s="80"/>
      <c r="E4" s="64"/>
      <c r="F4" s="63"/>
      <c r="G4" s="63"/>
      <c r="H4" s="64"/>
      <c r="I4" s="64"/>
      <c r="J4" s="64"/>
      <c r="K4" s="64"/>
      <c r="L4" s="64"/>
      <c r="M4" s="64"/>
      <c r="N4" s="64"/>
      <c r="O4" s="64"/>
      <c r="P4" s="64"/>
      <c r="Q4" s="64"/>
      <c r="R4" s="64"/>
      <c r="S4" s="64"/>
      <c r="T4" s="64"/>
      <c r="U4" s="64"/>
      <c r="V4" s="64"/>
      <c r="W4" s="64"/>
      <c r="X4" s="64"/>
      <c r="Y4" s="64"/>
      <c r="Z4" s="64"/>
    </row>
    <row r="5" ht="12.75" customHeight="1">
      <c r="A5" s="114" t="s">
        <v>725</v>
      </c>
      <c r="B5" s="86" t="str">
        <f t="array" ref="B5">IFERROR(INDEX(Chairs!$J$2:$J$359,MATCH(1,INDEX((Chairs!$K$2:$K$359=$B$1)*(Chairs!$N$2:$N$359=1),0),0)),"")</f>
        <v>Dr. Mohammad Nurul Huda</v>
      </c>
      <c r="C5" s="86" t="str">
        <f t="array" ref="C5">IFERROR(INDEX(Chairs!$L$2:$L$359,MATCH(1,INDEX((Chairs!$K$2:$K$359=$B$1)*(Chairs!$N$2:$N$359=1),0),0))&amp;"","")</f>
        <v>mnh@cse.uiu.ac.bd</v>
      </c>
      <c r="D5" s="86" t="str">
        <f t="array" ref="D5">IFERROR(INDEX(Chairs!$M$2:$M$359,MATCH(1,INDEX((Chairs!$K$2:$K$359=$B$1)*(Chairs!$N$2:$N$359=1),0),0))&amp;"","")</f>
        <v>01673476433</v>
      </c>
      <c r="E5" s="64"/>
      <c r="F5" s="63"/>
      <c r="G5" s="63"/>
      <c r="H5" s="64"/>
      <c r="I5" s="64"/>
      <c r="J5" s="64"/>
      <c r="K5" s="64"/>
      <c r="L5" s="64"/>
      <c r="M5" s="64"/>
      <c r="N5" s="64"/>
      <c r="O5" s="64"/>
      <c r="P5" s="64"/>
      <c r="Q5" s="64"/>
      <c r="R5" s="64"/>
      <c r="S5" s="64"/>
      <c r="T5" s="64"/>
      <c r="U5" s="64"/>
      <c r="V5" s="64"/>
      <c r="W5" s="64"/>
      <c r="X5" s="64"/>
      <c r="Y5" s="64"/>
      <c r="Z5" s="64"/>
    </row>
    <row r="6" ht="12.75" customHeight="1">
      <c r="A6" s="114" t="s">
        <v>726</v>
      </c>
      <c r="B6" s="118" t="s">
        <v>728</v>
      </c>
      <c r="C6" s="8" t="s">
        <v>315</v>
      </c>
      <c r="D6" s="59" t="s">
        <v>316</v>
      </c>
      <c r="E6" s="64"/>
      <c r="F6" s="63"/>
      <c r="G6" s="63"/>
      <c r="H6" s="64"/>
      <c r="I6" s="64"/>
      <c r="J6" s="64"/>
      <c r="K6" s="64"/>
      <c r="L6" s="64"/>
      <c r="M6" s="64"/>
      <c r="N6" s="64"/>
      <c r="O6" s="64"/>
      <c r="P6" s="64"/>
      <c r="Q6" s="64"/>
      <c r="R6" s="64"/>
      <c r="S6" s="64"/>
      <c r="T6" s="64"/>
      <c r="U6" s="64"/>
      <c r="V6" s="64"/>
      <c r="W6" s="64"/>
      <c r="X6" s="64"/>
      <c r="Y6" s="64"/>
      <c r="Z6" s="64"/>
    </row>
    <row r="7" ht="12.75" customHeight="1">
      <c r="A7" s="112" t="s">
        <v>709</v>
      </c>
      <c r="B7" s="86" t="str">
        <f t="array" ref="B7">IFERROR(INDEX('Senior Faculty'!$J$2:$J$401,MATCH(1,INDEX(('Senior Faculty'!$K$2:$K$401=$B$1)*('Senior Faculty'!$N$2:$N$401=1),0),0)),"")</f>
        <v>Dr. Mst. Taskia Khatun</v>
      </c>
      <c r="C7" s="86" t="str">
        <f t="array" ref="C7">IFERROR(INDEX('Senior Faculty'!$L$2:$L$401,MATCH(1,INDEX(('Senior Faculty'!$K$2:$K$401=$B$1)*('Senior Faculty'!$N$2:$N$401=1),0),0))&amp;"","")</f>
        <v>alamin.sheikh@ulab.edu.bd</v>
      </c>
      <c r="D7" s="86" t="str">
        <f t="array" ref="D7">IFERROR(INDEX('Senior Faculty'!$M$2:$M$401,MATCH(1,INDEX(('Senior Faculty'!$K$2:$K$401=$B$1)*('Senior Faculty'!$N$2:$N$401=1),0),0))&amp;"","")</f>
        <v>01764912222</v>
      </c>
      <c r="E7" s="64"/>
      <c r="F7" s="63"/>
      <c r="G7" s="63"/>
      <c r="H7" s="64"/>
      <c r="I7" s="64"/>
      <c r="J7" s="64"/>
      <c r="K7" s="64"/>
      <c r="L7" s="64"/>
      <c r="M7" s="64"/>
      <c r="N7" s="64"/>
      <c r="O7" s="64"/>
      <c r="P7" s="64"/>
      <c r="Q7" s="64"/>
      <c r="R7" s="64"/>
      <c r="S7" s="64"/>
      <c r="T7" s="64"/>
      <c r="U7" s="64"/>
      <c r="V7" s="64"/>
      <c r="W7" s="64"/>
      <c r="X7" s="64"/>
      <c r="Y7" s="64"/>
      <c r="Z7" s="64"/>
    </row>
    <row r="8" ht="12.75" customHeight="1">
      <c r="A8" s="112" t="s">
        <v>713</v>
      </c>
      <c r="B8" s="86" t="str">
        <f t="array" ref="B8">IFERROR(INDEX('Junior Faculty'!$J$2:$J$401,MATCH(1,INDEX(('Junior Faculty'!$K$2:$K$401=$B$1)*('Junior Faculty'!$N$2:$N$401=1),0),0)),"")</f>
        <v>Nasir Uddin Ahmed</v>
      </c>
      <c r="C8" s="86" t="str">
        <f t="array" ref="C8">IFERROR(INDEX('Junior Faculty'!$L$2:$L$401,MATCH(1,INDEX(('Junior Faculty'!$K$2:$K$401=$B$1)*('Junior Faculty'!$N$2:$N$401=1),0),0))&amp;"","")</f>
        <v>nasir.uddin1@ulab.edu.bd</v>
      </c>
      <c r="D8" s="86" t="str">
        <f t="array" ref="D8">IFERROR(INDEX('Junior Faculty'!$M$2:$M$401,MATCH(1,INDEX(('Junior Faculty'!$K$2:$K$401=$B$1)*('Junior Faculty'!$N$2:$N$401=1),0),0))&amp;"","")</f>
        <v>01818009809</v>
      </c>
      <c r="E8" s="64"/>
      <c r="F8" s="63"/>
      <c r="G8" s="63"/>
      <c r="H8" s="64"/>
      <c r="I8" s="64"/>
      <c r="J8" s="64"/>
      <c r="K8" s="64"/>
      <c r="L8" s="64"/>
      <c r="M8" s="64"/>
      <c r="N8" s="64"/>
      <c r="O8" s="64"/>
      <c r="P8" s="64"/>
      <c r="Q8" s="64"/>
      <c r="R8" s="64"/>
      <c r="S8" s="64"/>
      <c r="T8" s="64"/>
      <c r="U8" s="64"/>
      <c r="V8" s="64"/>
      <c r="W8" s="64"/>
      <c r="X8" s="64"/>
      <c r="Y8" s="64"/>
      <c r="Z8" s="64"/>
    </row>
    <row r="9" ht="12.75" customHeight="1">
      <c r="A9" s="119" t="s">
        <v>714</v>
      </c>
      <c r="B9" s="95" t="str">
        <f t="array" ref="B9">IFERROR(INDEX('Junior Faculty'!$J$2:$J$401,MATCH(1,INDEX(('Junior Faculty'!$K$2:$K$401=$B$1)*('Junior Faculty'!$N$2:$N$401=2),0),0)),"")</f>
        <v>Shah Jafor Sadeek Quaderi</v>
      </c>
      <c r="C9" s="95" t="str">
        <f t="array" ref="C9">IFERROR(INDEX('Junior Faculty'!$L$2:$L$401,MATCH(1,INDEX(('Junior Faculty'!$K$2:$K$401=$B$1)*('Junior Faculty'!$N$2:$N$401=2),0),0))&amp;"","")</f>
        <v>jafor.sadeek@ulab.edu.bd</v>
      </c>
      <c r="D9" s="95" t="str">
        <f t="array" ref="D9">IFERROR(INDEX('Junior Faculty'!$M$2:$M$401,MATCH(1,INDEX(('Junior Faculty'!$K$2:$K$401=$B$1)*('Junior Faculty'!$N$2:$N$401=2),0),0))&amp;"","")</f>
        <v>01725828062</v>
      </c>
      <c r="E9" s="64"/>
      <c r="F9" s="63"/>
      <c r="G9" s="63"/>
      <c r="H9" s="64"/>
      <c r="I9" s="64"/>
      <c r="J9" s="64"/>
      <c r="K9" s="64"/>
      <c r="L9" s="64"/>
      <c r="M9" s="64"/>
      <c r="N9" s="64"/>
      <c r="O9" s="64"/>
      <c r="P9" s="64"/>
      <c r="Q9" s="64"/>
      <c r="R9" s="64"/>
      <c r="S9" s="64"/>
      <c r="T9" s="64"/>
      <c r="U9" s="64"/>
      <c r="V9" s="64"/>
      <c r="W9" s="64"/>
      <c r="X9" s="64"/>
      <c r="Y9" s="64"/>
      <c r="Z9" s="64"/>
    </row>
    <row r="10" ht="12.75" customHeight="1">
      <c r="A10" s="108"/>
      <c r="B10" s="64"/>
      <c r="C10" s="64"/>
      <c r="D10" s="64"/>
      <c r="E10" s="64"/>
      <c r="F10" s="63"/>
      <c r="G10" s="63"/>
      <c r="H10" s="64"/>
      <c r="I10" s="64"/>
      <c r="J10" s="64"/>
      <c r="K10" s="64"/>
      <c r="L10" s="64"/>
      <c r="M10" s="64"/>
      <c r="N10" s="64"/>
      <c r="O10" s="64"/>
      <c r="P10" s="64"/>
      <c r="Q10" s="64"/>
      <c r="R10" s="64"/>
      <c r="S10" s="64"/>
      <c r="T10" s="64"/>
      <c r="U10" s="64"/>
      <c r="V10" s="64"/>
      <c r="W10" s="64"/>
      <c r="X10" s="64"/>
      <c r="Y10" s="64"/>
      <c r="Z10" s="64"/>
    </row>
    <row r="11" ht="12.75" customHeight="1">
      <c r="A11" s="121" t="s">
        <v>727</v>
      </c>
      <c r="B11" s="86"/>
      <c r="C11" s="86"/>
      <c r="D11" s="86"/>
      <c r="E11" s="64"/>
      <c r="F11" s="63"/>
      <c r="G11" s="63"/>
      <c r="H11" s="64"/>
      <c r="I11" s="64"/>
      <c r="J11" s="64"/>
      <c r="K11" s="64"/>
      <c r="L11" s="64"/>
      <c r="M11" s="64"/>
      <c r="N11" s="64"/>
      <c r="O11" s="64"/>
      <c r="P11" s="64"/>
      <c r="Q11" s="64"/>
      <c r="R11" s="64"/>
      <c r="S11" s="64"/>
      <c r="T11" s="64"/>
      <c r="U11" s="64"/>
      <c r="V11" s="64"/>
      <c r="W11" s="64"/>
      <c r="X11" s="64"/>
      <c r="Y11" s="64"/>
      <c r="Z11" s="64"/>
    </row>
    <row r="12" ht="15.0" customHeight="1">
      <c r="A12" s="122" t="s">
        <v>174</v>
      </c>
      <c r="B12" s="122" t="s">
        <v>256</v>
      </c>
      <c r="C12" s="123" t="s">
        <v>257</v>
      </c>
      <c r="D12" s="124"/>
      <c r="E12" s="61" t="s">
        <v>258</v>
      </c>
      <c r="F12" s="60" t="s">
        <v>265</v>
      </c>
      <c r="G12" s="64"/>
      <c r="H12" s="64"/>
      <c r="I12" s="64"/>
      <c r="J12" s="64"/>
      <c r="K12" s="64"/>
      <c r="L12" s="64"/>
      <c r="M12" s="64"/>
      <c r="N12" s="64"/>
      <c r="O12" s="64"/>
      <c r="P12" s="64"/>
      <c r="Q12" s="64"/>
      <c r="R12" s="64"/>
      <c r="S12" s="64"/>
      <c r="T12" s="64"/>
      <c r="U12" s="64"/>
      <c r="V12" s="64"/>
      <c r="W12" s="64"/>
      <c r="X12" s="64"/>
      <c r="Y12" s="64"/>
      <c r="Z12" s="64"/>
    </row>
    <row r="13" ht="12.75" customHeight="1">
      <c r="A13" s="113">
        <f t="array" ref="A13">IFERROR(INDEX(Papers!$A$2:$A$201,MATCH(1,INDEX((Papers!$G$2:$G$201=$B$1)*(Papers!$I$2:$I$201=1),0),0)),"")</f>
        <v>124</v>
      </c>
      <c r="B13" s="113" t="str">
        <f t="array" ref="B13">IFERROR(INDEX(Papers!$C$2:$C$201,MATCH(1,INDEX((Papers!$G$2:$G$201=$B$1)*(Papers!$I$2:$I$201=1),0),0)),"")</f>
        <v>HybridOsteoX: A Knee Osteoporosis Explainable AI Framework Using Hybrid CNN-ViT Fusion</v>
      </c>
      <c r="C13" s="113" t="str">
        <f t="array" ref="C13">IFERROR(INDEX(Papers!$D$2:$D$201,MATCH(1,INDEX((Papers!$G$2:$G$201=$B$1)*(Papers!$I$2:$I$201=1),0),0)),"")</f>
        <v>Zarin Tasnim Rahman Tarin (North South University); Nawar Nooren Orpa (North South University)*; Sifat Momen (North South University)</v>
      </c>
      <c r="D13" s="125"/>
      <c r="E13" s="86" t="str">
        <f t="array" ref="E13">IFERROR(INDEX(Papers!$E$2:$E$201,MATCH(1,INDEX((Papers!$G$2:$G$201=$B$1)*(Papers!$I$2:$I$201=1),0),0)),"")</f>
        <v>zarin.tarin@northsouth.edu; nawar.orpa@northsouth.edu; sifat.momen@northsouth.edu</v>
      </c>
      <c r="F13" s="67"/>
      <c r="G13" s="64"/>
      <c r="H13" s="64"/>
      <c r="I13" s="64"/>
      <c r="J13" s="64"/>
      <c r="K13" s="64"/>
      <c r="L13" s="64"/>
      <c r="M13" s="64"/>
      <c r="N13" s="64"/>
      <c r="O13" s="64"/>
      <c r="P13" s="64"/>
      <c r="Q13" s="64"/>
      <c r="R13" s="64"/>
      <c r="S13" s="64"/>
      <c r="T13" s="64"/>
      <c r="U13" s="64"/>
      <c r="V13" s="64"/>
      <c r="W13" s="64"/>
      <c r="X13" s="64"/>
      <c r="Y13" s="64"/>
      <c r="Z13" s="64"/>
    </row>
    <row r="14" ht="12.75" customHeight="1">
      <c r="A14" s="113">
        <f t="array" ref="A14">IFERROR(INDEX(Papers!$A$2:$A$201,MATCH(1,INDEX((Papers!$G$2:$G$201=$B$1)*(Papers!$I$2:$I$201=2),0),0)),"")</f>
        <v>127</v>
      </c>
      <c r="B14" s="113" t="str">
        <f t="array" ref="B14">IFERROR(INDEX(Papers!$C$2:$C$201,MATCH(1,INDEX((Papers!$G$2:$G$201=$B$1)*(Papers!$I$2:$I$201=2),0),0)),"")</f>
        <v>BanglaRhet: Benchmarking Classical and Transformer Models for Rhetorical and Persuasion Detection in Bangla Political Speech</v>
      </c>
      <c r="C14" s="113" t="str">
        <f t="array" ref="C14">IFERROR(INDEX(Papers!$D$2:$D$201,MATCH(1,INDEX((Papers!$G$2:$G$201=$B$1)*(Papers!$I$2:$I$201=2),0),0)),"")</f>
        <v>Rohit Kumar Sen (North East University Bangladesh)*; Anik Chowdhury (North East University Bangladesh)</v>
      </c>
      <c r="D14" s="125"/>
      <c r="E14" s="86" t="str">
        <f t="array" ref="E14">IFERROR(INDEX(Papers!$E$2:$E$201,MATCH(1,INDEX((Papers!$G$2:$G$201=$B$1)*(Papers!$I$2:$I$201=2),0),0)),"")</f>
        <v>rohit.k.sen.neub@gmail.com; anikchowdhuryraj.neub@gmail.com</v>
      </c>
      <c r="F14" s="67"/>
      <c r="G14" s="64"/>
      <c r="H14" s="64"/>
      <c r="I14" s="64"/>
      <c r="J14" s="64"/>
      <c r="K14" s="64"/>
      <c r="L14" s="64"/>
      <c r="M14" s="64"/>
      <c r="N14" s="64"/>
      <c r="O14" s="64"/>
      <c r="P14" s="64"/>
      <c r="Q14" s="64"/>
      <c r="R14" s="64"/>
      <c r="S14" s="64"/>
      <c r="T14" s="64"/>
      <c r="U14" s="64"/>
      <c r="V14" s="64"/>
      <c r="W14" s="64"/>
      <c r="X14" s="64"/>
      <c r="Y14" s="64"/>
      <c r="Z14" s="64"/>
    </row>
    <row r="15" ht="12.75" customHeight="1">
      <c r="A15" s="113">
        <f t="array" ref="A15">IFERROR(INDEX(Papers!$A$2:$A$201,MATCH(1,INDEX((Papers!$G$2:$G$201=$B$1)*(Papers!$I$2:$I$201=3),0),0)),"")</f>
        <v>147</v>
      </c>
      <c r="B15" s="113" t="str">
        <f t="array" ref="B15">IFERROR(INDEX(Papers!$C$2:$C$201,MATCH(1,INDEX((Papers!$G$2:$G$201=$B$1)*(Papers!$I$2:$I$201=3),0),0)),"")</f>
        <v>SplitSeg: Generalizable Skin Lesion Segmentation with ResNeSt-UNet</v>
      </c>
      <c r="C15" s="113" t="str">
        <f t="array" ref="C15">IFERROR(INDEX(Papers!$D$2:$D$201,MATCH(1,INDEX((Papers!$G$2:$G$201=$B$1)*(Papers!$I$2:$I$201=3),0),0)),"")</f>
        <v>Saalim Araf (North South University)*; Khurshed . (North South University); Shaheer Shamsi (North South University); Saiba Adnan (North South University); Sifat Momen (North South University)</v>
      </c>
      <c r="D15" s="125"/>
      <c r="E15" s="86" t="str">
        <f t="array" ref="E15">IFERROR(INDEX(Papers!$E$2:$E$201,MATCH(1,INDEX((Papers!$G$2:$G$201=$B$1)*(Papers!$I$2:$I$201=3),0),0)),"")</f>
        <v>saalim.araf@northsouth.edu; khurshed@northsouth.edu; shaheer.shamsi@northsouth.edu; saiba.adnan@northsouth.edu; sifat.momen@northsouth.edu</v>
      </c>
      <c r="F15" s="67"/>
      <c r="G15" s="64"/>
      <c r="H15" s="64"/>
      <c r="I15" s="64"/>
      <c r="J15" s="64"/>
      <c r="K15" s="64"/>
      <c r="L15" s="64"/>
      <c r="M15" s="64"/>
      <c r="N15" s="64"/>
      <c r="O15" s="64"/>
      <c r="P15" s="64"/>
      <c r="Q15" s="64"/>
      <c r="R15" s="64"/>
      <c r="S15" s="64"/>
      <c r="T15" s="64"/>
      <c r="U15" s="64"/>
      <c r="V15" s="64"/>
      <c r="W15" s="64"/>
      <c r="X15" s="64"/>
      <c r="Y15" s="64"/>
      <c r="Z15" s="64"/>
    </row>
    <row r="16" ht="12.75" customHeight="1">
      <c r="A16" s="113">
        <f t="array" ref="A16">IFERROR(INDEX(Papers!$A$2:$A$201,MATCH(1,INDEX((Papers!$G$2:$G$201=$B$1)*(Papers!$I$2:$I$201=4),0),0)),"")</f>
        <v>375</v>
      </c>
      <c r="B16" s="113" t="str">
        <f t="array" ref="B16">IFERROR(INDEX(Papers!$C$2:$C$201,MATCH(1,INDEX((Papers!$G$2:$G$201=$B$1)*(Papers!$I$2:$I$201=4),0),0)),"")</f>
        <v>Adapting BitNet b1.58 techniques in Convolutional Neural Networks for Efficient Deep Learning</v>
      </c>
      <c r="C16" s="113" t="str">
        <f t="array" ref="C16">IFERROR(INDEX(Papers!$D$2:$D$201,MATCH(1,INDEX((Papers!$G$2:$G$201=$B$1)*(Papers!$I$2:$I$201=4),0),0)),"")</f>
        <v>Jayed Bin Jamil (BRAC University)*; Lazin Shimran (BRAC University); Maimuna Esha (BRAC University); Amitabha Chakrabarty (BRAC University); Swakkhar Shatabda (BRAC University); Atanu Roy (BRAC University); Azwad Aziz (BRAC University)</v>
      </c>
      <c r="D16" s="125"/>
      <c r="E16" s="86" t="str">
        <f t="array" ref="E16">IFERROR(INDEX(Papers!$E$2:$E$201,MATCH(1,INDEX((Papers!$G$2:$G$201=$B$1)*(Papers!$I$2:$I$201=4),0),0)),"")</f>
        <v>jayed.bin.jamil@g.bracu.ac.bd; lazin.shimran@g.bracu.ac.bd; maimuna.fairuz.esha@g.bracu.ac.bd; amitabha@bracu.ac.bd; swakkhar.shatabda@bracu.ac.bd; atanu.roy@bracu.ac.bd; azwad.aziz@bracu.ac.bd</v>
      </c>
      <c r="F16" s="67"/>
      <c r="G16" s="64"/>
      <c r="H16" s="64"/>
      <c r="I16" s="64"/>
      <c r="J16" s="64"/>
      <c r="K16" s="64"/>
      <c r="L16" s="64"/>
      <c r="M16" s="64"/>
      <c r="N16" s="64"/>
      <c r="O16" s="64"/>
      <c r="P16" s="64"/>
      <c r="Q16" s="64"/>
      <c r="R16" s="64"/>
      <c r="S16" s="64"/>
      <c r="T16" s="64"/>
      <c r="U16" s="64"/>
      <c r="V16" s="64"/>
      <c r="W16" s="64"/>
      <c r="X16" s="64"/>
      <c r="Y16" s="64"/>
      <c r="Z16" s="64"/>
    </row>
    <row r="17" ht="12.75" customHeight="1">
      <c r="A17" s="113">
        <f t="array" ref="A17">IFERROR(INDEX(Papers!$A$2:$A$201,MATCH(1,INDEX((Papers!$G$2:$G$201=$B$1)*(Papers!$I$2:$I$201=5),0),0)),"")</f>
        <v>160</v>
      </c>
      <c r="B17" s="113" t="str">
        <f t="array" ref="B17">IFERROR(INDEX(Papers!$C$2:$C$201,MATCH(1,INDEX((Papers!$G$2:$G$201=$B$1)*(Papers!$I$2:$I$201=5),0),0)),"")</f>
        <v>Numerical Investigation of a Corrugated PDMS Diaphragm-based Fiber Optic Fabry-Perot Sensor for Acoustic Sensing</v>
      </c>
      <c r="C17" s="113" t="str">
        <f t="array" ref="C17">IFERROR(INDEX(Papers!$D$2:$D$201,MATCH(1,INDEX((Papers!$G$2:$G$201=$B$1)*(Papers!$I$2:$I$201=5),0),0)),"")</f>
        <v>Sinthia Islam (Khulna University of Engineering &amp; Technology)*; Dr. Md Jahirul  Islam (	Khulna University of Engineering &amp; Technology); Nafisa  Pervin (Khulna University of Engineering &amp; Technology)</v>
      </c>
      <c r="D17" s="125"/>
      <c r="E17" s="86" t="str">
        <f t="array" ref="E17">IFERROR(INDEX(Papers!$E$2:$E$201,MATCH(1,INDEX((Papers!$G$2:$G$201=$B$1)*(Papers!$I$2:$I$201=5),0),0)),"")</f>
        <v>islam1903063@stud.kuet.ac.bd; jahirul@eee.kuet.ac.bd; pervin1903041@stud.kuet.ac.bd</v>
      </c>
      <c r="F17" s="67"/>
      <c r="G17" s="64"/>
      <c r="H17" s="64"/>
      <c r="I17" s="64"/>
      <c r="J17" s="64"/>
      <c r="K17" s="64"/>
      <c r="L17" s="64"/>
      <c r="M17" s="64"/>
      <c r="N17" s="64"/>
      <c r="O17" s="64"/>
      <c r="P17" s="64"/>
      <c r="Q17" s="64"/>
      <c r="R17" s="64"/>
      <c r="S17" s="64"/>
      <c r="T17" s="64"/>
      <c r="U17" s="64"/>
      <c r="V17" s="64"/>
      <c r="W17" s="64"/>
      <c r="X17" s="64"/>
      <c r="Y17" s="64"/>
      <c r="Z17" s="64"/>
    </row>
    <row r="18" ht="12.75" customHeight="1">
      <c r="A18" s="113">
        <f t="array" ref="A18">IFERROR(INDEX(Papers!$A$2:$A$201,MATCH(1,INDEX((Papers!$G$2:$G$201=$B$1)*(Papers!$I$2:$I$201=6),0),0)),"")</f>
        <v>210</v>
      </c>
      <c r="B18" s="113" t="str">
        <f t="array" ref="B18">IFERROR(INDEX(Papers!$C$2:$C$201,MATCH(1,INDEX((Papers!$G$2:$G$201=$B$1)*(Papers!$I$2:$I$201=6),0),0)),"")</f>
        <v>A 16.1-fJ/conv.-step 8-bit 100-MS/s SAR ADC for WLAN Receiver Baseband in 65-nm CMOS</v>
      </c>
      <c r="C18" s="113" t="str">
        <f t="array" ref="C18">IFERROR(INDEX(Papers!$D$2:$D$201,MATCH(1,INDEX((Papers!$G$2:$G$201=$B$1)*(Papers!$I$2:$I$201=6),0),0)),"")</f>
        <v>Junayet Hossain (BUET)*; Mithon   Rahman (BUET)</v>
      </c>
      <c r="D18" s="125"/>
      <c r="E18" s="86" t="str">
        <f t="array" ref="E18">IFERROR(INDEX(Papers!$E$2:$E$201,MATCH(1,INDEX((Papers!$G$2:$G$201=$B$1)*(Papers!$I$2:$I$201=6),0),0)),"")</f>
        <v>junayethossain260@gmail.com; mithonrahman24@gmail.com</v>
      </c>
      <c r="F18" s="67"/>
      <c r="G18" s="64"/>
      <c r="H18" s="64"/>
      <c r="I18" s="64"/>
      <c r="J18" s="64"/>
      <c r="K18" s="64"/>
      <c r="L18" s="64"/>
      <c r="M18" s="64"/>
      <c r="N18" s="64"/>
      <c r="O18" s="64"/>
      <c r="P18" s="64"/>
      <c r="Q18" s="64"/>
      <c r="R18" s="64"/>
      <c r="S18" s="64"/>
      <c r="T18" s="64"/>
      <c r="U18" s="64"/>
      <c r="V18" s="64"/>
      <c r="W18" s="64"/>
      <c r="X18" s="64"/>
      <c r="Y18" s="64"/>
      <c r="Z18" s="64"/>
    </row>
    <row r="19" ht="12.75" customHeight="1">
      <c r="A19" s="113">
        <f t="array" ref="A19">IFERROR(INDEX(Papers!$A$2:$A$201,MATCH(1,INDEX((Papers!$G$2:$G$201=$B$1)*(Papers!$I$2:$I$201=7),0),0)),"")</f>
        <v>187</v>
      </c>
      <c r="B19" s="113" t="str">
        <f t="array" ref="B19">IFERROR(INDEX(Papers!$C$2:$C$201,MATCH(1,INDEX((Papers!$G$2:$G$201=$B$1)*(Papers!$I$2:$I$201=7),0),0)),"")</f>
        <v>Design of a generative AI agent as a learning support tool for special education needs students</v>
      </c>
      <c r="C19" s="113" t="str">
        <f t="array" ref="C19">IFERROR(INDEX(Papers!$D$2:$D$201,MATCH(1,INDEX((Papers!$G$2:$G$201=$B$1)*(Papers!$I$2:$I$201=7),0),0)),"")</f>
        <v>Franciszek Gorczyca (GradeAid); Md Saifuddin Khalid (Technical University of Denmark)*</v>
      </c>
      <c r="D19" s="125"/>
      <c r="E19" s="86" t="str">
        <f t="array" ref="E19">IFERROR(INDEX(Papers!$E$2:$E$201,MATCH(1,INDEX((Papers!$G$2:$G$201=$B$1)*(Papers!$I$2:$I$201=7),0),0)),"")</f>
        <v>franciszek@gradeaid.ai; skhalid@dtu.dk</v>
      </c>
      <c r="F19" s="67"/>
      <c r="G19" s="64"/>
      <c r="H19" s="64"/>
      <c r="I19" s="64"/>
      <c r="J19" s="64"/>
      <c r="K19" s="64"/>
      <c r="L19" s="64"/>
      <c r="M19" s="64"/>
      <c r="N19" s="64"/>
      <c r="O19" s="64"/>
      <c r="P19" s="64"/>
      <c r="Q19" s="64"/>
      <c r="R19" s="64"/>
      <c r="S19" s="64"/>
      <c r="T19" s="64"/>
      <c r="U19" s="64"/>
      <c r="V19" s="64"/>
      <c r="W19" s="64"/>
      <c r="X19" s="64"/>
      <c r="Y19" s="64"/>
      <c r="Z19" s="64"/>
    </row>
    <row r="20" ht="12.75" customHeight="1">
      <c r="A20" s="113" t="str">
        <f t="array" ref="A20">IFERROR(INDEX(Papers!$A$2:$A$201,MATCH(1,INDEX((Papers!$G$2:$G$201=$B$1)*(Papers!$I$2:$I$201=8),0),0)),"")</f>
        <v/>
      </c>
      <c r="B20" s="113" t="str">
        <f t="array" ref="B20">IFERROR(INDEX(Papers!$C$2:$C$201,MATCH(1,INDEX((Papers!$G$2:$G$201=$B$1)*(Papers!$I$2:$I$201=8),0),0)),"")</f>
        <v/>
      </c>
      <c r="C20" s="113" t="str">
        <f t="array" ref="C20">IFERROR(INDEX(Papers!$D$2:$D$201,MATCH(1,INDEX((Papers!$G$2:$G$201=$B$1)*(Papers!$I$2:$I$201=8),0),0)),"")</f>
        <v/>
      </c>
      <c r="D20" s="125"/>
      <c r="E20" s="86" t="str">
        <f t="array" ref="E20">IFERROR(INDEX(Papers!$E$2:$E$201,MATCH(1,INDEX((Papers!$G$2:$G$201=$B$1)*(Papers!$I$2:$I$201=8),0),0)),"")</f>
        <v/>
      </c>
      <c r="F20" s="67"/>
      <c r="G20" s="64"/>
      <c r="H20" s="64"/>
      <c r="I20" s="64"/>
      <c r="J20" s="64"/>
      <c r="K20" s="64"/>
      <c r="L20" s="64"/>
      <c r="M20" s="64"/>
      <c r="N20" s="64"/>
      <c r="O20" s="64"/>
      <c r="P20" s="64"/>
      <c r="Q20" s="64"/>
      <c r="R20" s="64"/>
      <c r="S20" s="64"/>
      <c r="T20" s="64"/>
      <c r="U20" s="64"/>
      <c r="V20" s="64"/>
      <c r="W20" s="64"/>
      <c r="X20" s="64"/>
      <c r="Y20" s="64"/>
      <c r="Z20" s="64"/>
    </row>
    <row r="21" ht="12.75" customHeight="1">
      <c r="A21" s="108"/>
      <c r="B21" s="64"/>
      <c r="C21" s="64"/>
      <c r="E21" s="64"/>
      <c r="F21" s="63"/>
      <c r="G21" s="64"/>
      <c r="H21" s="64"/>
      <c r="I21" s="64"/>
      <c r="J21" s="64"/>
      <c r="K21" s="64"/>
      <c r="L21" s="64"/>
      <c r="M21" s="64"/>
      <c r="N21" s="64"/>
      <c r="O21" s="64"/>
      <c r="P21" s="64"/>
      <c r="Q21" s="64"/>
      <c r="R21" s="64"/>
      <c r="S21" s="64"/>
      <c r="T21" s="64"/>
      <c r="U21" s="64"/>
      <c r="V21" s="64"/>
      <c r="W21" s="64"/>
      <c r="X21" s="64"/>
      <c r="Y21" s="64"/>
      <c r="Z21" s="64"/>
    </row>
    <row r="22" ht="12.75" customHeight="1">
      <c r="A22" s="108"/>
      <c r="B22" s="64"/>
      <c r="C22" s="64"/>
      <c r="D22" s="64"/>
      <c r="E22" s="64"/>
      <c r="F22" s="63"/>
      <c r="G22" s="63"/>
      <c r="H22" s="64"/>
      <c r="I22" s="64"/>
      <c r="J22" s="64"/>
      <c r="K22" s="64"/>
      <c r="L22" s="64"/>
      <c r="M22" s="64"/>
      <c r="N22" s="64"/>
      <c r="O22" s="64"/>
      <c r="P22" s="64"/>
      <c r="Q22" s="64"/>
      <c r="R22" s="64"/>
      <c r="S22" s="64"/>
      <c r="T22" s="64"/>
      <c r="U22" s="64"/>
      <c r="V22" s="64"/>
      <c r="W22" s="64"/>
      <c r="X22" s="64"/>
      <c r="Y22" s="64"/>
      <c r="Z22" s="64"/>
    </row>
    <row r="23" ht="12.75" customHeight="1">
      <c r="A23" s="108"/>
      <c r="B23" s="64"/>
      <c r="C23" s="64"/>
      <c r="D23" s="64"/>
      <c r="E23" s="64"/>
      <c r="F23" s="63"/>
      <c r="G23" s="63"/>
      <c r="H23" s="64"/>
      <c r="I23" s="64"/>
      <c r="J23" s="64"/>
      <c r="K23" s="64"/>
      <c r="L23" s="64"/>
      <c r="M23" s="64"/>
      <c r="N23" s="64"/>
      <c r="O23" s="64"/>
      <c r="P23" s="64"/>
      <c r="Q23" s="64"/>
      <c r="R23" s="64"/>
      <c r="S23" s="64"/>
      <c r="T23" s="64"/>
      <c r="U23" s="64"/>
      <c r="V23" s="64"/>
      <c r="W23" s="64"/>
      <c r="X23" s="64"/>
      <c r="Y23" s="64"/>
      <c r="Z23" s="64"/>
    </row>
    <row r="24" ht="12.75" customHeight="1">
      <c r="A24" s="108"/>
      <c r="B24" s="64"/>
      <c r="C24" s="64"/>
      <c r="D24" s="64"/>
      <c r="E24" s="64"/>
      <c r="F24" s="63"/>
      <c r="G24" s="63"/>
      <c r="H24" s="64"/>
      <c r="I24" s="64"/>
      <c r="J24" s="64"/>
      <c r="K24" s="64"/>
      <c r="L24" s="64"/>
      <c r="M24" s="64"/>
      <c r="N24" s="64"/>
      <c r="O24" s="64"/>
      <c r="P24" s="64"/>
      <c r="Q24" s="64"/>
      <c r="R24" s="64"/>
      <c r="S24" s="64"/>
      <c r="T24" s="64"/>
      <c r="U24" s="64"/>
      <c r="V24" s="64"/>
      <c r="W24" s="64"/>
      <c r="X24" s="64"/>
      <c r="Y24" s="64"/>
      <c r="Z24" s="64"/>
    </row>
    <row r="25" ht="12.75" customHeight="1">
      <c r="A25" s="108"/>
      <c r="B25" s="64"/>
      <c r="C25" s="64"/>
      <c r="D25" s="64"/>
      <c r="E25" s="64"/>
      <c r="F25" s="63"/>
      <c r="G25" s="63"/>
      <c r="H25" s="64"/>
      <c r="I25" s="64"/>
      <c r="J25" s="64"/>
      <c r="K25" s="64"/>
      <c r="L25" s="64"/>
      <c r="M25" s="64"/>
      <c r="N25" s="64"/>
      <c r="O25" s="64"/>
      <c r="P25" s="64"/>
      <c r="Q25" s="64"/>
      <c r="R25" s="64"/>
      <c r="S25" s="64"/>
      <c r="T25" s="64"/>
      <c r="U25" s="64"/>
      <c r="V25" s="64"/>
      <c r="W25" s="64"/>
      <c r="X25" s="64"/>
      <c r="Y25" s="64"/>
      <c r="Z25" s="64"/>
    </row>
    <row r="26" ht="12.75" customHeight="1">
      <c r="A26" s="108"/>
      <c r="B26" s="64"/>
      <c r="C26" s="64"/>
      <c r="D26" s="64"/>
      <c r="E26" s="64"/>
      <c r="F26" s="63"/>
      <c r="G26" s="63"/>
      <c r="H26" s="64"/>
      <c r="I26" s="64"/>
      <c r="J26" s="64"/>
      <c r="K26" s="64"/>
      <c r="L26" s="64"/>
      <c r="M26" s="64"/>
      <c r="N26" s="64"/>
      <c r="O26" s="64"/>
      <c r="P26" s="64"/>
      <c r="Q26" s="64"/>
      <c r="R26" s="64"/>
      <c r="S26" s="64"/>
      <c r="T26" s="64"/>
      <c r="U26" s="64"/>
      <c r="V26" s="64"/>
      <c r="W26" s="64"/>
      <c r="X26" s="64"/>
      <c r="Y26" s="64"/>
      <c r="Z26" s="64"/>
    </row>
    <row r="27" ht="12.75" customHeight="1">
      <c r="A27" s="108"/>
      <c r="B27" s="64"/>
      <c r="C27" s="64"/>
      <c r="D27" s="64"/>
      <c r="E27" s="64"/>
      <c r="F27" s="63"/>
      <c r="G27" s="63"/>
      <c r="H27" s="64"/>
      <c r="I27" s="64"/>
      <c r="J27" s="64"/>
      <c r="K27" s="64"/>
      <c r="L27" s="64"/>
      <c r="M27" s="64"/>
      <c r="N27" s="64"/>
      <c r="O27" s="64"/>
      <c r="P27" s="64"/>
      <c r="Q27" s="64"/>
      <c r="R27" s="64"/>
      <c r="S27" s="64"/>
      <c r="T27" s="64"/>
      <c r="U27" s="64"/>
      <c r="V27" s="64"/>
      <c r="W27" s="64"/>
      <c r="X27" s="64"/>
      <c r="Y27" s="64"/>
      <c r="Z27" s="64"/>
    </row>
    <row r="28" ht="12.75" customHeight="1">
      <c r="A28" s="108"/>
      <c r="B28" s="64"/>
      <c r="C28" s="64"/>
      <c r="D28" s="64"/>
      <c r="E28" s="64"/>
      <c r="F28" s="63"/>
      <c r="G28" s="63"/>
      <c r="H28" s="64"/>
      <c r="I28" s="64"/>
      <c r="J28" s="64"/>
      <c r="K28" s="64"/>
      <c r="L28" s="64"/>
      <c r="M28" s="64"/>
      <c r="N28" s="64"/>
      <c r="O28" s="64"/>
      <c r="P28" s="64"/>
      <c r="Q28" s="64"/>
      <c r="R28" s="64"/>
      <c r="S28" s="64"/>
      <c r="T28" s="64"/>
      <c r="U28" s="64"/>
      <c r="V28" s="64"/>
      <c r="W28" s="64"/>
      <c r="X28" s="64"/>
      <c r="Y28" s="64"/>
      <c r="Z28" s="64"/>
    </row>
    <row r="29" ht="12.75" customHeight="1">
      <c r="A29" s="108"/>
      <c r="B29" s="64"/>
      <c r="C29" s="64"/>
      <c r="D29" s="64"/>
      <c r="E29" s="64"/>
      <c r="F29" s="63"/>
      <c r="G29" s="63"/>
      <c r="H29" s="64"/>
      <c r="I29" s="64"/>
      <c r="J29" s="64"/>
      <c r="K29" s="64"/>
      <c r="L29" s="64"/>
      <c r="M29" s="64"/>
      <c r="N29" s="64"/>
      <c r="O29" s="64"/>
      <c r="P29" s="64"/>
      <c r="Q29" s="64"/>
      <c r="R29" s="64"/>
      <c r="S29" s="64"/>
      <c r="T29" s="64"/>
      <c r="U29" s="64"/>
      <c r="V29" s="64"/>
      <c r="W29" s="64"/>
      <c r="X29" s="64"/>
      <c r="Y29" s="64"/>
      <c r="Z29" s="64"/>
    </row>
    <row r="30" ht="12.75" customHeight="1">
      <c r="A30" s="108"/>
      <c r="B30" s="64"/>
      <c r="C30" s="64"/>
      <c r="D30" s="64"/>
      <c r="E30" s="64"/>
      <c r="F30" s="63"/>
      <c r="G30" s="63"/>
      <c r="H30" s="64"/>
      <c r="I30" s="64"/>
      <c r="J30" s="64"/>
      <c r="K30" s="64"/>
      <c r="L30" s="64"/>
      <c r="M30" s="64"/>
      <c r="N30" s="64"/>
      <c r="O30" s="64"/>
      <c r="P30" s="64"/>
      <c r="Q30" s="64"/>
      <c r="R30" s="64"/>
      <c r="S30" s="64"/>
      <c r="T30" s="64"/>
      <c r="U30" s="64"/>
      <c r="V30" s="64"/>
      <c r="W30" s="64"/>
      <c r="X30" s="64"/>
      <c r="Y30" s="64"/>
      <c r="Z30" s="64"/>
    </row>
    <row r="31" ht="12.75" customHeight="1">
      <c r="A31" s="108"/>
      <c r="B31" s="64"/>
      <c r="C31" s="64"/>
      <c r="D31" s="64"/>
      <c r="E31" s="64"/>
      <c r="F31" s="63"/>
      <c r="G31" s="63"/>
      <c r="H31" s="64"/>
      <c r="I31" s="64"/>
      <c r="J31" s="64"/>
      <c r="K31" s="64"/>
      <c r="L31" s="64"/>
      <c r="M31" s="64"/>
      <c r="N31" s="64"/>
      <c r="O31" s="64"/>
      <c r="P31" s="64"/>
      <c r="Q31" s="64"/>
      <c r="R31" s="64"/>
      <c r="S31" s="64"/>
      <c r="T31" s="64"/>
      <c r="U31" s="64"/>
      <c r="V31" s="64"/>
      <c r="W31" s="64"/>
      <c r="X31" s="64"/>
      <c r="Y31" s="64"/>
      <c r="Z31" s="64"/>
    </row>
    <row r="32" ht="12.75" customHeight="1">
      <c r="A32" s="108"/>
      <c r="B32" s="64"/>
      <c r="C32" s="64"/>
      <c r="D32" s="64"/>
      <c r="E32" s="64"/>
      <c r="F32" s="63"/>
      <c r="G32" s="63"/>
      <c r="H32" s="64"/>
      <c r="I32" s="64"/>
      <c r="J32" s="64"/>
      <c r="K32" s="64"/>
      <c r="L32" s="64"/>
      <c r="M32" s="64"/>
      <c r="N32" s="64"/>
      <c r="O32" s="64"/>
      <c r="P32" s="64"/>
      <c r="Q32" s="64"/>
      <c r="R32" s="64"/>
      <c r="S32" s="64"/>
      <c r="T32" s="64"/>
      <c r="U32" s="64"/>
      <c r="V32" s="64"/>
      <c r="W32" s="64"/>
      <c r="X32" s="64"/>
      <c r="Y32" s="64"/>
      <c r="Z32" s="64"/>
    </row>
    <row r="33" ht="12.75" customHeight="1">
      <c r="A33" s="108"/>
      <c r="B33" s="64"/>
      <c r="C33" s="64"/>
      <c r="D33" s="64"/>
      <c r="E33" s="64"/>
      <c r="F33" s="63"/>
      <c r="G33" s="63"/>
      <c r="H33" s="64"/>
      <c r="I33" s="64"/>
      <c r="J33" s="64"/>
      <c r="K33" s="64"/>
      <c r="L33" s="64"/>
      <c r="M33" s="64"/>
      <c r="N33" s="64"/>
      <c r="O33" s="64"/>
      <c r="P33" s="64"/>
      <c r="Q33" s="64"/>
      <c r="R33" s="64"/>
      <c r="S33" s="64"/>
      <c r="T33" s="64"/>
      <c r="U33" s="64"/>
      <c r="V33" s="64"/>
      <c r="W33" s="64"/>
      <c r="X33" s="64"/>
      <c r="Y33" s="64"/>
      <c r="Z33" s="64"/>
    </row>
    <row r="34" ht="12.75" customHeight="1">
      <c r="A34" s="108"/>
      <c r="B34" s="64"/>
      <c r="C34" s="64"/>
      <c r="D34" s="64"/>
      <c r="E34" s="64"/>
      <c r="F34" s="63"/>
      <c r="G34" s="63"/>
      <c r="H34" s="64"/>
      <c r="I34" s="64"/>
      <c r="J34" s="64"/>
      <c r="K34" s="64"/>
      <c r="L34" s="64"/>
      <c r="M34" s="64"/>
      <c r="N34" s="64"/>
      <c r="O34" s="64"/>
      <c r="P34" s="64"/>
      <c r="Q34" s="64"/>
      <c r="R34" s="64"/>
      <c r="S34" s="64"/>
      <c r="T34" s="64"/>
      <c r="U34" s="64"/>
      <c r="V34" s="64"/>
      <c r="W34" s="64"/>
      <c r="X34" s="64"/>
      <c r="Y34" s="64"/>
      <c r="Z34" s="64"/>
    </row>
    <row r="35" ht="12.75" customHeight="1">
      <c r="A35" s="108"/>
      <c r="B35" s="64"/>
      <c r="C35" s="64"/>
      <c r="D35" s="64"/>
      <c r="E35" s="64"/>
      <c r="F35" s="63"/>
      <c r="G35" s="63"/>
      <c r="H35" s="64"/>
      <c r="I35" s="64"/>
      <c r="J35" s="64"/>
      <c r="K35" s="64"/>
      <c r="L35" s="64"/>
      <c r="M35" s="64"/>
      <c r="N35" s="64"/>
      <c r="O35" s="64"/>
      <c r="P35" s="64"/>
      <c r="Q35" s="64"/>
      <c r="R35" s="64"/>
      <c r="S35" s="64"/>
      <c r="T35" s="64"/>
      <c r="U35" s="64"/>
      <c r="V35" s="64"/>
      <c r="W35" s="64"/>
      <c r="X35" s="64"/>
      <c r="Y35" s="64"/>
      <c r="Z35" s="64"/>
    </row>
    <row r="36" ht="12.75" customHeight="1">
      <c r="A36" s="108"/>
      <c r="B36" s="64"/>
      <c r="C36" s="64"/>
      <c r="D36" s="64"/>
      <c r="E36" s="64"/>
      <c r="F36" s="63"/>
      <c r="G36" s="63"/>
      <c r="H36" s="64"/>
      <c r="I36" s="64"/>
      <c r="J36" s="64"/>
      <c r="K36" s="64"/>
      <c r="L36" s="64"/>
      <c r="M36" s="64"/>
      <c r="N36" s="64"/>
      <c r="O36" s="64"/>
      <c r="P36" s="64"/>
      <c r="Q36" s="64"/>
      <c r="R36" s="64"/>
      <c r="S36" s="64"/>
      <c r="T36" s="64"/>
      <c r="U36" s="64"/>
      <c r="V36" s="64"/>
      <c r="W36" s="64"/>
      <c r="X36" s="64"/>
      <c r="Y36" s="64"/>
      <c r="Z36" s="64"/>
    </row>
    <row r="37" ht="12.75" customHeight="1">
      <c r="A37" s="108"/>
      <c r="B37" s="64"/>
      <c r="C37" s="64"/>
      <c r="D37" s="64"/>
      <c r="E37" s="64"/>
      <c r="F37" s="63"/>
      <c r="G37" s="63"/>
      <c r="H37" s="64"/>
      <c r="I37" s="64"/>
      <c r="J37" s="64"/>
      <c r="K37" s="64"/>
      <c r="L37" s="64"/>
      <c r="M37" s="64"/>
      <c r="N37" s="64"/>
      <c r="O37" s="64"/>
      <c r="P37" s="64"/>
      <c r="Q37" s="64"/>
      <c r="R37" s="64"/>
      <c r="S37" s="64"/>
      <c r="T37" s="64"/>
      <c r="U37" s="64"/>
      <c r="V37" s="64"/>
      <c r="W37" s="64"/>
      <c r="X37" s="64"/>
      <c r="Y37" s="64"/>
      <c r="Z37" s="64"/>
    </row>
    <row r="38" ht="12.75" customHeight="1">
      <c r="A38" s="108"/>
      <c r="B38" s="64"/>
      <c r="C38" s="64"/>
      <c r="D38" s="64"/>
      <c r="E38" s="64"/>
      <c r="F38" s="63"/>
      <c r="G38" s="63"/>
      <c r="H38" s="64"/>
      <c r="I38" s="64"/>
      <c r="J38" s="64"/>
      <c r="K38" s="64"/>
      <c r="L38" s="64"/>
      <c r="M38" s="64"/>
      <c r="N38" s="64"/>
      <c r="O38" s="64"/>
      <c r="P38" s="64"/>
      <c r="Q38" s="64"/>
      <c r="R38" s="64"/>
      <c r="S38" s="64"/>
      <c r="T38" s="64"/>
      <c r="U38" s="64"/>
      <c r="V38" s="64"/>
      <c r="W38" s="64"/>
      <c r="X38" s="64"/>
      <c r="Y38" s="64"/>
      <c r="Z38" s="64"/>
    </row>
    <row r="39" ht="12.75" customHeight="1">
      <c r="A39" s="108"/>
      <c r="B39" s="64"/>
      <c r="C39" s="64"/>
      <c r="D39" s="64"/>
      <c r="E39" s="64"/>
      <c r="F39" s="63"/>
      <c r="G39" s="63"/>
      <c r="H39" s="64"/>
      <c r="I39" s="64"/>
      <c r="J39" s="64"/>
      <c r="K39" s="64"/>
      <c r="L39" s="64"/>
      <c r="M39" s="64"/>
      <c r="N39" s="64"/>
      <c r="O39" s="64"/>
      <c r="P39" s="64"/>
      <c r="Q39" s="64"/>
      <c r="R39" s="64"/>
      <c r="S39" s="64"/>
      <c r="T39" s="64"/>
      <c r="U39" s="64"/>
      <c r="V39" s="64"/>
      <c r="W39" s="64"/>
      <c r="X39" s="64"/>
      <c r="Y39" s="64"/>
      <c r="Z39" s="64"/>
    </row>
    <row r="40" ht="12.75" customHeight="1">
      <c r="A40" s="108"/>
      <c r="B40" s="64"/>
      <c r="C40" s="64"/>
      <c r="D40" s="64"/>
      <c r="E40" s="64"/>
      <c r="F40" s="63"/>
      <c r="G40" s="63"/>
      <c r="H40" s="64"/>
      <c r="I40" s="64"/>
      <c r="J40" s="64"/>
      <c r="K40" s="64"/>
      <c r="L40" s="64"/>
      <c r="M40" s="64"/>
      <c r="N40" s="64"/>
      <c r="O40" s="64"/>
      <c r="P40" s="64"/>
      <c r="Q40" s="64"/>
      <c r="R40" s="64"/>
      <c r="S40" s="64"/>
      <c r="T40" s="64"/>
      <c r="U40" s="64"/>
      <c r="V40" s="64"/>
      <c r="W40" s="64"/>
      <c r="X40" s="64"/>
      <c r="Y40" s="64"/>
      <c r="Z40" s="64"/>
    </row>
    <row r="41" ht="12.75" customHeight="1">
      <c r="A41" s="108"/>
      <c r="B41" s="64"/>
      <c r="C41" s="64"/>
      <c r="D41" s="64"/>
      <c r="E41" s="64"/>
      <c r="F41" s="63"/>
      <c r="G41" s="63"/>
      <c r="H41" s="64"/>
      <c r="I41" s="64"/>
      <c r="J41" s="64"/>
      <c r="K41" s="64"/>
      <c r="L41" s="64"/>
      <c r="M41" s="64"/>
      <c r="N41" s="64"/>
      <c r="O41" s="64"/>
      <c r="P41" s="64"/>
      <c r="Q41" s="64"/>
      <c r="R41" s="64"/>
      <c r="S41" s="64"/>
      <c r="T41" s="64"/>
      <c r="U41" s="64"/>
      <c r="V41" s="64"/>
      <c r="W41" s="64"/>
      <c r="X41" s="64"/>
      <c r="Y41" s="64"/>
      <c r="Z41" s="64"/>
    </row>
    <row r="42" ht="12.75" customHeight="1">
      <c r="A42" s="108"/>
      <c r="B42" s="64"/>
      <c r="C42" s="64"/>
      <c r="D42" s="64"/>
      <c r="E42" s="64"/>
      <c r="F42" s="63"/>
      <c r="G42" s="63"/>
      <c r="H42" s="64"/>
      <c r="I42" s="64"/>
      <c r="J42" s="64"/>
      <c r="K42" s="64"/>
      <c r="L42" s="64"/>
      <c r="M42" s="64"/>
      <c r="N42" s="64"/>
      <c r="O42" s="64"/>
      <c r="P42" s="64"/>
      <c r="Q42" s="64"/>
      <c r="R42" s="64"/>
      <c r="S42" s="64"/>
      <c r="T42" s="64"/>
      <c r="U42" s="64"/>
      <c r="V42" s="64"/>
      <c r="W42" s="64"/>
      <c r="X42" s="64"/>
      <c r="Y42" s="64"/>
      <c r="Z42" s="64"/>
    </row>
    <row r="43" ht="12.75" customHeight="1">
      <c r="A43" s="108"/>
      <c r="B43" s="64"/>
      <c r="C43" s="64"/>
      <c r="D43" s="64"/>
      <c r="E43" s="64"/>
      <c r="F43" s="63"/>
      <c r="G43" s="63"/>
      <c r="H43" s="64"/>
      <c r="I43" s="64"/>
      <c r="J43" s="64"/>
      <c r="K43" s="64"/>
      <c r="L43" s="64"/>
      <c r="M43" s="64"/>
      <c r="N43" s="64"/>
      <c r="O43" s="64"/>
      <c r="P43" s="64"/>
      <c r="Q43" s="64"/>
      <c r="R43" s="64"/>
      <c r="S43" s="64"/>
      <c r="T43" s="64"/>
      <c r="U43" s="64"/>
      <c r="V43" s="64"/>
      <c r="W43" s="64"/>
      <c r="X43" s="64"/>
      <c r="Y43" s="64"/>
      <c r="Z43" s="64"/>
    </row>
    <row r="44" ht="12.75" customHeight="1">
      <c r="A44" s="108"/>
      <c r="B44" s="64"/>
      <c r="C44" s="64"/>
      <c r="D44" s="64"/>
      <c r="E44" s="64"/>
      <c r="F44" s="63"/>
      <c r="G44" s="63"/>
      <c r="H44" s="64"/>
      <c r="I44" s="64"/>
      <c r="J44" s="64"/>
      <c r="K44" s="64"/>
      <c r="L44" s="64"/>
      <c r="M44" s="64"/>
      <c r="N44" s="64"/>
      <c r="O44" s="64"/>
      <c r="P44" s="64"/>
      <c r="Q44" s="64"/>
      <c r="R44" s="64"/>
      <c r="S44" s="64"/>
      <c r="T44" s="64"/>
      <c r="U44" s="64"/>
      <c r="V44" s="64"/>
      <c r="W44" s="64"/>
      <c r="X44" s="64"/>
      <c r="Y44" s="64"/>
      <c r="Z44" s="64"/>
    </row>
    <row r="45" ht="12.75" customHeight="1">
      <c r="A45" s="108"/>
      <c r="B45" s="64"/>
      <c r="C45" s="64"/>
      <c r="D45" s="64"/>
      <c r="E45" s="64"/>
      <c r="F45" s="63"/>
      <c r="G45" s="63"/>
      <c r="H45" s="64"/>
      <c r="I45" s="64"/>
      <c r="J45" s="64"/>
      <c r="K45" s="64"/>
      <c r="L45" s="64"/>
      <c r="M45" s="64"/>
      <c r="N45" s="64"/>
      <c r="O45" s="64"/>
      <c r="P45" s="64"/>
      <c r="Q45" s="64"/>
      <c r="R45" s="64"/>
      <c r="S45" s="64"/>
      <c r="T45" s="64"/>
      <c r="U45" s="64"/>
      <c r="V45" s="64"/>
      <c r="W45" s="64"/>
      <c r="X45" s="64"/>
      <c r="Y45" s="64"/>
      <c r="Z45" s="64"/>
    </row>
    <row r="46" ht="12.75" customHeight="1">
      <c r="A46" s="108"/>
      <c r="B46" s="64"/>
      <c r="C46" s="64"/>
      <c r="D46" s="64"/>
      <c r="E46" s="64"/>
      <c r="F46" s="63"/>
      <c r="G46" s="63"/>
      <c r="H46" s="64"/>
      <c r="I46" s="64"/>
      <c r="J46" s="64"/>
      <c r="K46" s="64"/>
      <c r="L46" s="64"/>
      <c r="M46" s="64"/>
      <c r="N46" s="64"/>
      <c r="O46" s="64"/>
      <c r="P46" s="64"/>
      <c r="Q46" s="64"/>
      <c r="R46" s="64"/>
      <c r="S46" s="64"/>
      <c r="T46" s="64"/>
      <c r="U46" s="64"/>
      <c r="V46" s="64"/>
      <c r="W46" s="64"/>
      <c r="X46" s="64"/>
      <c r="Y46" s="64"/>
      <c r="Z46" s="64"/>
    </row>
    <row r="47" ht="12.75" customHeight="1">
      <c r="A47" s="108"/>
      <c r="B47" s="64"/>
      <c r="C47" s="64"/>
      <c r="D47" s="64"/>
      <c r="E47" s="64"/>
      <c r="F47" s="63"/>
      <c r="G47" s="63"/>
      <c r="H47" s="64"/>
      <c r="I47" s="64"/>
      <c r="J47" s="64"/>
      <c r="K47" s="64"/>
      <c r="L47" s="64"/>
      <c r="M47" s="64"/>
      <c r="N47" s="64"/>
      <c r="O47" s="64"/>
      <c r="P47" s="64"/>
      <c r="Q47" s="64"/>
      <c r="R47" s="64"/>
      <c r="S47" s="64"/>
      <c r="T47" s="64"/>
      <c r="U47" s="64"/>
      <c r="V47" s="64"/>
      <c r="W47" s="64"/>
      <c r="X47" s="64"/>
      <c r="Y47" s="64"/>
      <c r="Z47" s="64"/>
    </row>
    <row r="48" ht="12.75" customHeight="1">
      <c r="A48" s="108"/>
      <c r="B48" s="64"/>
      <c r="C48" s="64"/>
      <c r="D48" s="64"/>
      <c r="E48" s="64"/>
      <c r="F48" s="63"/>
      <c r="G48" s="63"/>
      <c r="H48" s="64"/>
      <c r="I48" s="64"/>
      <c r="J48" s="64"/>
      <c r="K48" s="64"/>
      <c r="L48" s="64"/>
      <c r="M48" s="64"/>
      <c r="N48" s="64"/>
      <c r="O48" s="64"/>
      <c r="P48" s="64"/>
      <c r="Q48" s="64"/>
      <c r="R48" s="64"/>
      <c r="S48" s="64"/>
      <c r="T48" s="64"/>
      <c r="U48" s="64"/>
      <c r="V48" s="64"/>
      <c r="W48" s="64"/>
      <c r="X48" s="64"/>
      <c r="Y48" s="64"/>
      <c r="Z48" s="64"/>
    </row>
    <row r="49" ht="12.75" customHeight="1">
      <c r="A49" s="108"/>
      <c r="B49" s="64"/>
      <c r="C49" s="64"/>
      <c r="D49" s="64"/>
      <c r="E49" s="64"/>
      <c r="F49" s="63"/>
      <c r="G49" s="63"/>
      <c r="H49" s="64"/>
      <c r="I49" s="64"/>
      <c r="J49" s="64"/>
      <c r="K49" s="64"/>
      <c r="L49" s="64"/>
      <c r="M49" s="64"/>
      <c r="N49" s="64"/>
      <c r="O49" s="64"/>
      <c r="P49" s="64"/>
      <c r="Q49" s="64"/>
      <c r="R49" s="64"/>
      <c r="S49" s="64"/>
      <c r="T49" s="64"/>
      <c r="U49" s="64"/>
      <c r="V49" s="64"/>
      <c r="W49" s="64"/>
      <c r="X49" s="64"/>
      <c r="Y49" s="64"/>
      <c r="Z49" s="64"/>
    </row>
    <row r="50" ht="12.75" customHeight="1">
      <c r="A50" s="108"/>
      <c r="B50" s="64"/>
      <c r="C50" s="64"/>
      <c r="D50" s="64"/>
      <c r="E50" s="64"/>
      <c r="F50" s="63"/>
      <c r="G50" s="63"/>
      <c r="H50" s="64"/>
      <c r="I50" s="64"/>
      <c r="J50" s="64"/>
      <c r="K50" s="64"/>
      <c r="L50" s="64"/>
      <c r="M50" s="64"/>
      <c r="N50" s="64"/>
      <c r="O50" s="64"/>
      <c r="P50" s="64"/>
      <c r="Q50" s="64"/>
      <c r="R50" s="64"/>
      <c r="S50" s="64"/>
      <c r="T50" s="64"/>
      <c r="U50" s="64"/>
      <c r="V50" s="64"/>
      <c r="W50" s="64"/>
      <c r="X50" s="64"/>
      <c r="Y50" s="64"/>
      <c r="Z50" s="64"/>
    </row>
    <row r="51" ht="12.75" customHeight="1">
      <c r="A51" s="108"/>
      <c r="B51" s="64"/>
      <c r="C51" s="64"/>
      <c r="D51" s="64"/>
      <c r="E51" s="64"/>
      <c r="F51" s="63"/>
      <c r="G51" s="63"/>
      <c r="H51" s="64"/>
      <c r="I51" s="64"/>
      <c r="J51" s="64"/>
      <c r="K51" s="64"/>
      <c r="L51" s="64"/>
      <c r="M51" s="64"/>
      <c r="N51" s="64"/>
      <c r="O51" s="64"/>
      <c r="P51" s="64"/>
      <c r="Q51" s="64"/>
      <c r="R51" s="64"/>
      <c r="S51" s="64"/>
      <c r="T51" s="64"/>
      <c r="U51" s="64"/>
      <c r="V51" s="64"/>
      <c r="W51" s="64"/>
      <c r="X51" s="64"/>
      <c r="Y51" s="64"/>
      <c r="Z51" s="64"/>
    </row>
    <row r="52" ht="12.75" customHeight="1">
      <c r="A52" s="108"/>
      <c r="B52" s="64"/>
      <c r="C52" s="64"/>
      <c r="D52" s="64"/>
      <c r="E52" s="64"/>
      <c r="F52" s="63"/>
      <c r="G52" s="63"/>
      <c r="H52" s="64"/>
      <c r="I52" s="64"/>
      <c r="J52" s="64"/>
      <c r="K52" s="64"/>
      <c r="L52" s="64"/>
      <c r="M52" s="64"/>
      <c r="N52" s="64"/>
      <c r="O52" s="64"/>
      <c r="P52" s="64"/>
      <c r="Q52" s="64"/>
      <c r="R52" s="64"/>
      <c r="S52" s="64"/>
      <c r="T52" s="64"/>
      <c r="U52" s="64"/>
      <c r="V52" s="64"/>
      <c r="W52" s="64"/>
      <c r="X52" s="64"/>
      <c r="Y52" s="64"/>
      <c r="Z52" s="64"/>
    </row>
    <row r="53" ht="12.75" customHeight="1">
      <c r="A53" s="108"/>
      <c r="B53" s="64"/>
      <c r="C53" s="64"/>
      <c r="D53" s="64"/>
      <c r="E53" s="64"/>
      <c r="F53" s="63"/>
      <c r="G53" s="63"/>
      <c r="H53" s="64"/>
      <c r="I53" s="64"/>
      <c r="J53" s="64"/>
      <c r="K53" s="64"/>
      <c r="L53" s="64"/>
      <c r="M53" s="64"/>
      <c r="N53" s="64"/>
      <c r="O53" s="64"/>
      <c r="P53" s="64"/>
      <c r="Q53" s="64"/>
      <c r="R53" s="64"/>
      <c r="S53" s="64"/>
      <c r="T53" s="64"/>
      <c r="U53" s="64"/>
      <c r="V53" s="64"/>
      <c r="W53" s="64"/>
      <c r="X53" s="64"/>
      <c r="Y53" s="64"/>
      <c r="Z53" s="64"/>
    </row>
    <row r="54" ht="12.75" customHeight="1">
      <c r="A54" s="108"/>
      <c r="B54" s="64"/>
      <c r="C54" s="64"/>
      <c r="D54" s="64"/>
      <c r="E54" s="64"/>
      <c r="F54" s="63"/>
      <c r="G54" s="63"/>
      <c r="H54" s="64"/>
      <c r="I54" s="64"/>
      <c r="J54" s="64"/>
      <c r="K54" s="64"/>
      <c r="L54" s="64"/>
      <c r="M54" s="64"/>
      <c r="N54" s="64"/>
      <c r="O54" s="64"/>
      <c r="P54" s="64"/>
      <c r="Q54" s="64"/>
      <c r="R54" s="64"/>
      <c r="S54" s="64"/>
      <c r="T54" s="64"/>
      <c r="U54" s="64"/>
      <c r="V54" s="64"/>
      <c r="W54" s="64"/>
      <c r="X54" s="64"/>
      <c r="Y54" s="64"/>
      <c r="Z54" s="64"/>
    </row>
    <row r="55" ht="12.75" customHeight="1">
      <c r="A55" s="108"/>
      <c r="B55" s="64"/>
      <c r="C55" s="64"/>
      <c r="D55" s="64"/>
      <c r="E55" s="64"/>
      <c r="F55" s="63"/>
      <c r="G55" s="63"/>
      <c r="H55" s="64"/>
      <c r="I55" s="64"/>
      <c r="J55" s="64"/>
      <c r="K55" s="64"/>
      <c r="L55" s="64"/>
      <c r="M55" s="64"/>
      <c r="N55" s="64"/>
      <c r="O55" s="64"/>
      <c r="P55" s="64"/>
      <c r="Q55" s="64"/>
      <c r="R55" s="64"/>
      <c r="S55" s="64"/>
      <c r="T55" s="64"/>
      <c r="U55" s="64"/>
      <c r="V55" s="64"/>
      <c r="W55" s="64"/>
      <c r="X55" s="64"/>
      <c r="Y55" s="64"/>
      <c r="Z55" s="64"/>
    </row>
    <row r="56" ht="12.75" customHeight="1">
      <c r="A56" s="108"/>
      <c r="B56" s="64"/>
      <c r="C56" s="64"/>
      <c r="D56" s="64"/>
      <c r="E56" s="64"/>
      <c r="F56" s="63"/>
      <c r="G56" s="63"/>
      <c r="H56" s="64"/>
      <c r="I56" s="64"/>
      <c r="J56" s="64"/>
      <c r="K56" s="64"/>
      <c r="L56" s="64"/>
      <c r="M56" s="64"/>
      <c r="N56" s="64"/>
      <c r="O56" s="64"/>
      <c r="P56" s="64"/>
      <c r="Q56" s="64"/>
      <c r="R56" s="64"/>
      <c r="S56" s="64"/>
      <c r="T56" s="64"/>
      <c r="U56" s="64"/>
      <c r="V56" s="64"/>
      <c r="W56" s="64"/>
      <c r="X56" s="64"/>
      <c r="Y56" s="64"/>
      <c r="Z56" s="64"/>
    </row>
    <row r="57" ht="12.75" customHeight="1">
      <c r="A57" s="108"/>
      <c r="B57" s="64"/>
      <c r="C57" s="64"/>
      <c r="D57" s="64"/>
      <c r="E57" s="64"/>
      <c r="F57" s="63"/>
      <c r="G57" s="63"/>
      <c r="H57" s="64"/>
      <c r="I57" s="64"/>
      <c r="J57" s="64"/>
      <c r="K57" s="64"/>
      <c r="L57" s="64"/>
      <c r="M57" s="64"/>
      <c r="N57" s="64"/>
      <c r="O57" s="64"/>
      <c r="P57" s="64"/>
      <c r="Q57" s="64"/>
      <c r="R57" s="64"/>
      <c r="S57" s="64"/>
      <c r="T57" s="64"/>
      <c r="U57" s="64"/>
      <c r="V57" s="64"/>
      <c r="W57" s="64"/>
      <c r="X57" s="64"/>
      <c r="Y57" s="64"/>
      <c r="Z57" s="64"/>
    </row>
    <row r="58" ht="12.75" customHeight="1">
      <c r="A58" s="108"/>
      <c r="B58" s="64"/>
      <c r="C58" s="64"/>
      <c r="D58" s="64"/>
      <c r="E58" s="64"/>
      <c r="F58" s="63"/>
      <c r="G58" s="63"/>
      <c r="H58" s="64"/>
      <c r="I58" s="64"/>
      <c r="J58" s="64"/>
      <c r="K58" s="64"/>
      <c r="L58" s="64"/>
      <c r="M58" s="64"/>
      <c r="N58" s="64"/>
      <c r="O58" s="64"/>
      <c r="P58" s="64"/>
      <c r="Q58" s="64"/>
      <c r="R58" s="64"/>
      <c r="S58" s="64"/>
      <c r="T58" s="64"/>
      <c r="U58" s="64"/>
      <c r="V58" s="64"/>
      <c r="W58" s="64"/>
      <c r="X58" s="64"/>
      <c r="Y58" s="64"/>
      <c r="Z58" s="64"/>
    </row>
    <row r="59" ht="12.75" customHeight="1">
      <c r="A59" s="108"/>
      <c r="B59" s="64"/>
      <c r="C59" s="64"/>
      <c r="D59" s="64"/>
      <c r="E59" s="64"/>
      <c r="F59" s="63"/>
      <c r="G59" s="63"/>
      <c r="H59" s="64"/>
      <c r="I59" s="64"/>
      <c r="J59" s="64"/>
      <c r="K59" s="64"/>
      <c r="L59" s="64"/>
      <c r="M59" s="64"/>
      <c r="N59" s="64"/>
      <c r="O59" s="64"/>
      <c r="P59" s="64"/>
      <c r="Q59" s="64"/>
      <c r="R59" s="64"/>
      <c r="S59" s="64"/>
      <c r="T59" s="64"/>
      <c r="U59" s="64"/>
      <c r="V59" s="64"/>
      <c r="W59" s="64"/>
      <c r="X59" s="64"/>
      <c r="Y59" s="64"/>
      <c r="Z59" s="64"/>
    </row>
    <row r="60" ht="12.75" customHeight="1">
      <c r="A60" s="108"/>
      <c r="B60" s="64"/>
      <c r="C60" s="64"/>
      <c r="D60" s="64"/>
      <c r="E60" s="64"/>
      <c r="F60" s="63"/>
      <c r="G60" s="63"/>
      <c r="H60" s="64"/>
      <c r="I60" s="64"/>
      <c r="J60" s="64"/>
      <c r="K60" s="64"/>
      <c r="L60" s="64"/>
      <c r="M60" s="64"/>
      <c r="N60" s="64"/>
      <c r="O60" s="64"/>
      <c r="P60" s="64"/>
      <c r="Q60" s="64"/>
      <c r="R60" s="64"/>
      <c r="S60" s="64"/>
      <c r="T60" s="64"/>
      <c r="U60" s="64"/>
      <c r="V60" s="64"/>
      <c r="W60" s="64"/>
      <c r="X60" s="64"/>
      <c r="Y60" s="64"/>
      <c r="Z60" s="64"/>
    </row>
    <row r="61" ht="12.75" customHeight="1">
      <c r="A61" s="108"/>
      <c r="B61" s="64"/>
      <c r="C61" s="64"/>
      <c r="D61" s="64"/>
      <c r="E61" s="64"/>
      <c r="F61" s="63"/>
      <c r="G61" s="63"/>
      <c r="H61" s="64"/>
      <c r="I61" s="64"/>
      <c r="J61" s="64"/>
      <c r="K61" s="64"/>
      <c r="L61" s="64"/>
      <c r="M61" s="64"/>
      <c r="N61" s="64"/>
      <c r="O61" s="64"/>
      <c r="P61" s="64"/>
      <c r="Q61" s="64"/>
      <c r="R61" s="64"/>
      <c r="S61" s="64"/>
      <c r="T61" s="64"/>
      <c r="U61" s="64"/>
      <c r="V61" s="64"/>
      <c r="W61" s="64"/>
      <c r="X61" s="64"/>
      <c r="Y61" s="64"/>
      <c r="Z61" s="64"/>
    </row>
    <row r="62" ht="12.75" customHeight="1">
      <c r="A62" s="108"/>
      <c r="B62" s="64"/>
      <c r="C62" s="64"/>
      <c r="D62" s="64"/>
      <c r="E62" s="64"/>
      <c r="F62" s="63"/>
      <c r="G62" s="63"/>
      <c r="H62" s="64"/>
      <c r="I62" s="64"/>
      <c r="J62" s="64"/>
      <c r="K62" s="64"/>
      <c r="L62" s="64"/>
      <c r="M62" s="64"/>
      <c r="N62" s="64"/>
      <c r="O62" s="64"/>
      <c r="P62" s="64"/>
      <c r="Q62" s="64"/>
      <c r="R62" s="64"/>
      <c r="S62" s="64"/>
      <c r="T62" s="64"/>
      <c r="U62" s="64"/>
      <c r="V62" s="64"/>
      <c r="W62" s="64"/>
      <c r="X62" s="64"/>
      <c r="Y62" s="64"/>
      <c r="Z62" s="64"/>
    </row>
    <row r="63" ht="12.75" customHeight="1">
      <c r="A63" s="108"/>
      <c r="B63" s="64"/>
      <c r="C63" s="64"/>
      <c r="D63" s="64"/>
      <c r="E63" s="64"/>
      <c r="F63" s="63"/>
      <c r="G63" s="63"/>
      <c r="H63" s="64"/>
      <c r="I63" s="64"/>
      <c r="J63" s="64"/>
      <c r="K63" s="64"/>
      <c r="L63" s="64"/>
      <c r="M63" s="64"/>
      <c r="N63" s="64"/>
      <c r="O63" s="64"/>
      <c r="P63" s="64"/>
      <c r="Q63" s="64"/>
      <c r="R63" s="64"/>
      <c r="S63" s="64"/>
      <c r="T63" s="64"/>
      <c r="U63" s="64"/>
      <c r="V63" s="64"/>
      <c r="W63" s="64"/>
      <c r="X63" s="64"/>
      <c r="Y63" s="64"/>
      <c r="Z63" s="64"/>
    </row>
    <row r="64" ht="12.75" customHeight="1">
      <c r="A64" s="108"/>
      <c r="B64" s="64"/>
      <c r="C64" s="64"/>
      <c r="D64" s="64"/>
      <c r="E64" s="64"/>
      <c r="F64" s="63"/>
      <c r="G64" s="63"/>
      <c r="H64" s="64"/>
      <c r="I64" s="64"/>
      <c r="J64" s="64"/>
      <c r="K64" s="64"/>
      <c r="L64" s="64"/>
      <c r="M64" s="64"/>
      <c r="N64" s="64"/>
      <c r="O64" s="64"/>
      <c r="P64" s="64"/>
      <c r="Q64" s="64"/>
      <c r="R64" s="64"/>
      <c r="S64" s="64"/>
      <c r="T64" s="64"/>
      <c r="U64" s="64"/>
      <c r="V64" s="64"/>
      <c r="W64" s="64"/>
      <c r="X64" s="64"/>
      <c r="Y64" s="64"/>
      <c r="Z64" s="64"/>
    </row>
    <row r="65" ht="12.75" customHeight="1">
      <c r="A65" s="108"/>
      <c r="B65" s="64"/>
      <c r="C65" s="64"/>
      <c r="D65" s="64"/>
      <c r="E65" s="64"/>
      <c r="F65" s="63"/>
      <c r="G65" s="63"/>
      <c r="H65" s="64"/>
      <c r="I65" s="64"/>
      <c r="J65" s="64"/>
      <c r="K65" s="64"/>
      <c r="L65" s="64"/>
      <c r="M65" s="64"/>
      <c r="N65" s="64"/>
      <c r="O65" s="64"/>
      <c r="P65" s="64"/>
      <c r="Q65" s="64"/>
      <c r="R65" s="64"/>
      <c r="S65" s="64"/>
      <c r="T65" s="64"/>
      <c r="U65" s="64"/>
      <c r="V65" s="64"/>
      <c r="W65" s="64"/>
      <c r="X65" s="64"/>
      <c r="Y65" s="64"/>
      <c r="Z65" s="64"/>
    </row>
    <row r="66" ht="12.75" customHeight="1">
      <c r="A66" s="108"/>
      <c r="B66" s="64"/>
      <c r="C66" s="64"/>
      <c r="D66" s="64"/>
      <c r="E66" s="64"/>
      <c r="F66" s="63"/>
      <c r="G66" s="63"/>
      <c r="H66" s="64"/>
      <c r="I66" s="64"/>
      <c r="J66" s="64"/>
      <c r="K66" s="64"/>
      <c r="L66" s="64"/>
      <c r="M66" s="64"/>
      <c r="N66" s="64"/>
      <c r="O66" s="64"/>
      <c r="P66" s="64"/>
      <c r="Q66" s="64"/>
      <c r="R66" s="64"/>
      <c r="S66" s="64"/>
      <c r="T66" s="64"/>
      <c r="U66" s="64"/>
      <c r="V66" s="64"/>
      <c r="W66" s="64"/>
      <c r="X66" s="64"/>
      <c r="Y66" s="64"/>
      <c r="Z66" s="64"/>
    </row>
    <row r="67" ht="12.75" customHeight="1">
      <c r="A67" s="108"/>
      <c r="B67" s="64"/>
      <c r="C67" s="64"/>
      <c r="D67" s="64"/>
      <c r="E67" s="64"/>
      <c r="F67" s="63"/>
      <c r="G67" s="63"/>
      <c r="H67" s="64"/>
      <c r="I67" s="64"/>
      <c r="J67" s="64"/>
      <c r="K67" s="64"/>
      <c r="L67" s="64"/>
      <c r="M67" s="64"/>
      <c r="N67" s="64"/>
      <c r="O67" s="64"/>
      <c r="P67" s="64"/>
      <c r="Q67" s="64"/>
      <c r="R67" s="64"/>
      <c r="S67" s="64"/>
      <c r="T67" s="64"/>
      <c r="U67" s="64"/>
      <c r="V67" s="64"/>
      <c r="W67" s="64"/>
      <c r="X67" s="64"/>
      <c r="Y67" s="64"/>
      <c r="Z67" s="64"/>
    </row>
    <row r="68" ht="12.75" customHeight="1">
      <c r="A68" s="108"/>
      <c r="B68" s="64"/>
      <c r="C68" s="64"/>
      <c r="D68" s="64"/>
      <c r="E68" s="64"/>
      <c r="F68" s="63"/>
      <c r="G68" s="63"/>
      <c r="H68" s="64"/>
      <c r="I68" s="64"/>
      <c r="J68" s="64"/>
      <c r="K68" s="64"/>
      <c r="L68" s="64"/>
      <c r="M68" s="64"/>
      <c r="N68" s="64"/>
      <c r="O68" s="64"/>
      <c r="P68" s="64"/>
      <c r="Q68" s="64"/>
      <c r="R68" s="64"/>
      <c r="S68" s="64"/>
      <c r="T68" s="64"/>
      <c r="U68" s="64"/>
      <c r="V68" s="64"/>
      <c r="W68" s="64"/>
      <c r="X68" s="64"/>
      <c r="Y68" s="64"/>
      <c r="Z68" s="64"/>
    </row>
    <row r="69" ht="12.75" customHeight="1">
      <c r="A69" s="108"/>
      <c r="B69" s="64"/>
      <c r="C69" s="64"/>
      <c r="D69" s="64"/>
      <c r="E69" s="64"/>
      <c r="F69" s="63"/>
      <c r="G69" s="63"/>
      <c r="H69" s="64"/>
      <c r="I69" s="64"/>
      <c r="J69" s="64"/>
      <c r="K69" s="64"/>
      <c r="L69" s="64"/>
      <c r="M69" s="64"/>
      <c r="N69" s="64"/>
      <c r="O69" s="64"/>
      <c r="P69" s="64"/>
      <c r="Q69" s="64"/>
      <c r="R69" s="64"/>
      <c r="S69" s="64"/>
      <c r="T69" s="64"/>
      <c r="U69" s="64"/>
      <c r="V69" s="64"/>
      <c r="W69" s="64"/>
      <c r="X69" s="64"/>
      <c r="Y69" s="64"/>
      <c r="Z69" s="64"/>
    </row>
    <row r="70" ht="12.75" customHeight="1">
      <c r="A70" s="108"/>
      <c r="B70" s="64"/>
      <c r="C70" s="64"/>
      <c r="D70" s="64"/>
      <c r="E70" s="64"/>
      <c r="F70" s="63"/>
      <c r="G70" s="63"/>
      <c r="H70" s="64"/>
      <c r="I70" s="64"/>
      <c r="J70" s="64"/>
      <c r="K70" s="64"/>
      <c r="L70" s="64"/>
      <c r="M70" s="64"/>
      <c r="N70" s="64"/>
      <c r="O70" s="64"/>
      <c r="P70" s="64"/>
      <c r="Q70" s="64"/>
      <c r="R70" s="64"/>
      <c r="S70" s="64"/>
      <c r="T70" s="64"/>
      <c r="U70" s="64"/>
      <c r="V70" s="64"/>
      <c r="W70" s="64"/>
      <c r="X70" s="64"/>
      <c r="Y70" s="64"/>
      <c r="Z70" s="64"/>
    </row>
    <row r="71" ht="12.75" customHeight="1">
      <c r="A71" s="108"/>
      <c r="B71" s="64"/>
      <c r="C71" s="64"/>
      <c r="D71" s="64"/>
      <c r="E71" s="64"/>
      <c r="F71" s="63"/>
      <c r="G71" s="63"/>
      <c r="H71" s="64"/>
      <c r="I71" s="64"/>
      <c r="J71" s="64"/>
      <c r="K71" s="64"/>
      <c r="L71" s="64"/>
      <c r="M71" s="64"/>
      <c r="N71" s="64"/>
      <c r="O71" s="64"/>
      <c r="P71" s="64"/>
      <c r="Q71" s="64"/>
      <c r="R71" s="64"/>
      <c r="S71" s="64"/>
      <c r="T71" s="64"/>
      <c r="U71" s="64"/>
      <c r="V71" s="64"/>
      <c r="W71" s="64"/>
      <c r="X71" s="64"/>
      <c r="Y71" s="64"/>
      <c r="Z71" s="64"/>
    </row>
    <row r="72" ht="12.75" customHeight="1">
      <c r="A72" s="108"/>
      <c r="B72" s="64"/>
      <c r="C72" s="64"/>
      <c r="D72" s="64"/>
      <c r="E72" s="64"/>
      <c r="F72" s="63"/>
      <c r="G72" s="63"/>
      <c r="H72" s="64"/>
      <c r="I72" s="64"/>
      <c r="J72" s="64"/>
      <c r="K72" s="64"/>
      <c r="L72" s="64"/>
      <c r="M72" s="64"/>
      <c r="N72" s="64"/>
      <c r="O72" s="64"/>
      <c r="P72" s="64"/>
      <c r="Q72" s="64"/>
      <c r="R72" s="64"/>
      <c r="S72" s="64"/>
      <c r="T72" s="64"/>
      <c r="U72" s="64"/>
      <c r="V72" s="64"/>
      <c r="W72" s="64"/>
      <c r="X72" s="64"/>
      <c r="Y72" s="64"/>
      <c r="Z72" s="64"/>
    </row>
    <row r="73" ht="12.75" customHeight="1">
      <c r="A73" s="108"/>
      <c r="B73" s="64"/>
      <c r="C73" s="64"/>
      <c r="D73" s="64"/>
      <c r="E73" s="64"/>
      <c r="F73" s="63"/>
      <c r="G73" s="63"/>
      <c r="H73" s="64"/>
      <c r="I73" s="64"/>
      <c r="J73" s="64"/>
      <c r="K73" s="64"/>
      <c r="L73" s="64"/>
      <c r="M73" s="64"/>
      <c r="N73" s="64"/>
      <c r="O73" s="64"/>
      <c r="P73" s="64"/>
      <c r="Q73" s="64"/>
      <c r="R73" s="64"/>
      <c r="S73" s="64"/>
      <c r="T73" s="64"/>
      <c r="U73" s="64"/>
      <c r="V73" s="64"/>
      <c r="W73" s="64"/>
      <c r="X73" s="64"/>
      <c r="Y73" s="64"/>
      <c r="Z73" s="64"/>
    </row>
    <row r="74" ht="12.75" customHeight="1">
      <c r="A74" s="108"/>
      <c r="B74" s="64"/>
      <c r="C74" s="64"/>
      <c r="D74" s="64"/>
      <c r="E74" s="64"/>
      <c r="F74" s="63"/>
      <c r="G74" s="63"/>
      <c r="H74" s="64"/>
      <c r="I74" s="64"/>
      <c r="J74" s="64"/>
      <c r="K74" s="64"/>
      <c r="L74" s="64"/>
      <c r="M74" s="64"/>
      <c r="N74" s="64"/>
      <c r="O74" s="64"/>
      <c r="P74" s="64"/>
      <c r="Q74" s="64"/>
      <c r="R74" s="64"/>
      <c r="S74" s="64"/>
      <c r="T74" s="64"/>
      <c r="U74" s="64"/>
      <c r="V74" s="64"/>
      <c r="W74" s="64"/>
      <c r="X74" s="64"/>
      <c r="Y74" s="64"/>
      <c r="Z74" s="64"/>
    </row>
    <row r="75" ht="12.75" customHeight="1">
      <c r="A75" s="108"/>
      <c r="B75" s="64"/>
      <c r="C75" s="64"/>
      <c r="D75" s="64"/>
      <c r="E75" s="64"/>
      <c r="F75" s="63"/>
      <c r="G75" s="63"/>
      <c r="H75" s="64"/>
      <c r="I75" s="64"/>
      <c r="J75" s="64"/>
      <c r="K75" s="64"/>
      <c r="L75" s="64"/>
      <c r="M75" s="64"/>
      <c r="N75" s="64"/>
      <c r="O75" s="64"/>
      <c r="P75" s="64"/>
      <c r="Q75" s="64"/>
      <c r="R75" s="64"/>
      <c r="S75" s="64"/>
      <c r="T75" s="64"/>
      <c r="U75" s="64"/>
      <c r="V75" s="64"/>
      <c r="W75" s="64"/>
      <c r="X75" s="64"/>
      <c r="Y75" s="64"/>
      <c r="Z75" s="64"/>
    </row>
    <row r="76" ht="12.75" customHeight="1">
      <c r="A76" s="108"/>
      <c r="B76" s="64"/>
      <c r="C76" s="64"/>
      <c r="D76" s="64"/>
      <c r="E76" s="64"/>
      <c r="F76" s="63"/>
      <c r="G76" s="63"/>
      <c r="H76" s="64"/>
      <c r="I76" s="64"/>
      <c r="J76" s="64"/>
      <c r="K76" s="64"/>
      <c r="L76" s="64"/>
      <c r="M76" s="64"/>
      <c r="N76" s="64"/>
      <c r="O76" s="64"/>
      <c r="P76" s="64"/>
      <c r="Q76" s="64"/>
      <c r="R76" s="64"/>
      <c r="S76" s="64"/>
      <c r="T76" s="64"/>
      <c r="U76" s="64"/>
      <c r="V76" s="64"/>
      <c r="W76" s="64"/>
      <c r="X76" s="64"/>
      <c r="Y76" s="64"/>
      <c r="Z76" s="64"/>
    </row>
    <row r="77" ht="12.75" customHeight="1">
      <c r="A77" s="108"/>
      <c r="B77" s="64"/>
      <c r="C77" s="64"/>
      <c r="D77" s="64"/>
      <c r="E77" s="64"/>
      <c r="F77" s="63"/>
      <c r="G77" s="63"/>
      <c r="H77" s="64"/>
      <c r="I77" s="64"/>
      <c r="J77" s="64"/>
      <c r="K77" s="64"/>
      <c r="L77" s="64"/>
      <c r="M77" s="64"/>
      <c r="N77" s="64"/>
      <c r="O77" s="64"/>
      <c r="P77" s="64"/>
      <c r="Q77" s="64"/>
      <c r="R77" s="64"/>
      <c r="S77" s="64"/>
      <c r="T77" s="64"/>
      <c r="U77" s="64"/>
      <c r="V77" s="64"/>
      <c r="W77" s="64"/>
      <c r="X77" s="64"/>
      <c r="Y77" s="64"/>
      <c r="Z77" s="64"/>
    </row>
    <row r="78" ht="12.75" customHeight="1">
      <c r="A78" s="108"/>
      <c r="B78" s="64"/>
      <c r="C78" s="64"/>
      <c r="D78" s="64"/>
      <c r="E78" s="64"/>
      <c r="F78" s="63"/>
      <c r="G78" s="63"/>
      <c r="H78" s="64"/>
      <c r="I78" s="64"/>
      <c r="J78" s="64"/>
      <c r="K78" s="64"/>
      <c r="L78" s="64"/>
      <c r="M78" s="64"/>
      <c r="N78" s="64"/>
      <c r="O78" s="64"/>
      <c r="P78" s="64"/>
      <c r="Q78" s="64"/>
      <c r="R78" s="64"/>
      <c r="S78" s="64"/>
      <c r="T78" s="64"/>
      <c r="U78" s="64"/>
      <c r="V78" s="64"/>
      <c r="W78" s="64"/>
      <c r="X78" s="64"/>
      <c r="Y78" s="64"/>
      <c r="Z78" s="64"/>
    </row>
    <row r="79" ht="12.75" customHeight="1">
      <c r="A79" s="108"/>
      <c r="B79" s="64"/>
      <c r="C79" s="64"/>
      <c r="D79" s="64"/>
      <c r="E79" s="64"/>
      <c r="F79" s="63"/>
      <c r="G79" s="63"/>
      <c r="H79" s="64"/>
      <c r="I79" s="64"/>
      <c r="J79" s="64"/>
      <c r="K79" s="64"/>
      <c r="L79" s="64"/>
      <c r="M79" s="64"/>
      <c r="N79" s="64"/>
      <c r="O79" s="64"/>
      <c r="P79" s="64"/>
      <c r="Q79" s="64"/>
      <c r="R79" s="64"/>
      <c r="S79" s="64"/>
      <c r="T79" s="64"/>
      <c r="U79" s="64"/>
      <c r="V79" s="64"/>
      <c r="W79" s="64"/>
      <c r="X79" s="64"/>
      <c r="Y79" s="64"/>
      <c r="Z79" s="64"/>
    </row>
    <row r="80" ht="12.75" customHeight="1">
      <c r="A80" s="108"/>
      <c r="B80" s="64"/>
      <c r="C80" s="64"/>
      <c r="D80" s="64"/>
      <c r="E80" s="64"/>
      <c r="F80" s="63"/>
      <c r="G80" s="63"/>
      <c r="H80" s="64"/>
      <c r="I80" s="64"/>
      <c r="J80" s="64"/>
      <c r="K80" s="64"/>
      <c r="L80" s="64"/>
      <c r="M80" s="64"/>
      <c r="N80" s="64"/>
      <c r="O80" s="64"/>
      <c r="P80" s="64"/>
      <c r="Q80" s="64"/>
      <c r="R80" s="64"/>
      <c r="S80" s="64"/>
      <c r="T80" s="64"/>
      <c r="U80" s="64"/>
      <c r="V80" s="64"/>
      <c r="W80" s="64"/>
      <c r="X80" s="64"/>
      <c r="Y80" s="64"/>
      <c r="Z80" s="64"/>
    </row>
    <row r="81" ht="12.75" customHeight="1">
      <c r="A81" s="108"/>
      <c r="B81" s="64"/>
      <c r="C81" s="64"/>
      <c r="D81" s="64"/>
      <c r="E81" s="64"/>
      <c r="F81" s="63"/>
      <c r="G81" s="63"/>
      <c r="H81" s="64"/>
      <c r="I81" s="64"/>
      <c r="J81" s="64"/>
      <c r="K81" s="64"/>
      <c r="L81" s="64"/>
      <c r="M81" s="64"/>
      <c r="N81" s="64"/>
      <c r="O81" s="64"/>
      <c r="P81" s="64"/>
      <c r="Q81" s="64"/>
      <c r="R81" s="64"/>
      <c r="S81" s="64"/>
      <c r="T81" s="64"/>
      <c r="U81" s="64"/>
      <c r="V81" s="64"/>
      <c r="W81" s="64"/>
      <c r="X81" s="64"/>
      <c r="Y81" s="64"/>
      <c r="Z81" s="64"/>
    </row>
    <row r="82" ht="12.75" customHeight="1">
      <c r="A82" s="108"/>
      <c r="B82" s="64"/>
      <c r="C82" s="64"/>
      <c r="D82" s="64"/>
      <c r="E82" s="64"/>
      <c r="F82" s="63"/>
      <c r="G82" s="63"/>
      <c r="H82" s="64"/>
      <c r="I82" s="64"/>
      <c r="J82" s="64"/>
      <c r="K82" s="64"/>
      <c r="L82" s="64"/>
      <c r="M82" s="64"/>
      <c r="N82" s="64"/>
      <c r="O82" s="64"/>
      <c r="P82" s="64"/>
      <c r="Q82" s="64"/>
      <c r="R82" s="64"/>
      <c r="S82" s="64"/>
      <c r="T82" s="64"/>
      <c r="U82" s="64"/>
      <c r="V82" s="64"/>
      <c r="W82" s="64"/>
      <c r="X82" s="64"/>
      <c r="Y82" s="64"/>
      <c r="Z82" s="64"/>
    </row>
    <row r="83" ht="12.75" customHeight="1">
      <c r="A83" s="108"/>
      <c r="B83" s="64"/>
      <c r="C83" s="64"/>
      <c r="D83" s="64"/>
      <c r="E83" s="64"/>
      <c r="F83" s="63"/>
      <c r="G83" s="63"/>
      <c r="H83" s="64"/>
      <c r="I83" s="64"/>
      <c r="J83" s="64"/>
      <c r="K83" s="64"/>
      <c r="L83" s="64"/>
      <c r="M83" s="64"/>
      <c r="N83" s="64"/>
      <c r="O83" s="64"/>
      <c r="P83" s="64"/>
      <c r="Q83" s="64"/>
      <c r="R83" s="64"/>
      <c r="S83" s="64"/>
      <c r="T83" s="64"/>
      <c r="U83" s="64"/>
      <c r="V83" s="64"/>
      <c r="W83" s="64"/>
      <c r="X83" s="64"/>
      <c r="Y83" s="64"/>
      <c r="Z83" s="64"/>
    </row>
    <row r="84" ht="12.75" customHeight="1">
      <c r="A84" s="108"/>
      <c r="B84" s="64"/>
      <c r="C84" s="64"/>
      <c r="D84" s="64"/>
      <c r="E84" s="64"/>
      <c r="F84" s="63"/>
      <c r="G84" s="63"/>
      <c r="H84" s="64"/>
      <c r="I84" s="64"/>
      <c r="J84" s="64"/>
      <c r="K84" s="64"/>
      <c r="L84" s="64"/>
      <c r="M84" s="64"/>
      <c r="N84" s="64"/>
      <c r="O84" s="64"/>
      <c r="P84" s="64"/>
      <c r="Q84" s="64"/>
      <c r="R84" s="64"/>
      <c r="S84" s="64"/>
      <c r="T84" s="64"/>
      <c r="U84" s="64"/>
      <c r="V84" s="64"/>
      <c r="W84" s="64"/>
      <c r="X84" s="64"/>
      <c r="Y84" s="64"/>
      <c r="Z84" s="64"/>
    </row>
    <row r="85" ht="12.75" customHeight="1">
      <c r="A85" s="108"/>
      <c r="B85" s="64"/>
      <c r="C85" s="64"/>
      <c r="D85" s="64"/>
      <c r="E85" s="64"/>
      <c r="F85" s="63"/>
      <c r="G85" s="63"/>
      <c r="H85" s="64"/>
      <c r="I85" s="64"/>
      <c r="J85" s="64"/>
      <c r="K85" s="64"/>
      <c r="L85" s="64"/>
      <c r="M85" s="64"/>
      <c r="N85" s="64"/>
      <c r="O85" s="64"/>
      <c r="P85" s="64"/>
      <c r="Q85" s="64"/>
      <c r="R85" s="64"/>
      <c r="S85" s="64"/>
      <c r="T85" s="64"/>
      <c r="U85" s="64"/>
      <c r="V85" s="64"/>
      <c r="W85" s="64"/>
      <c r="X85" s="64"/>
      <c r="Y85" s="64"/>
      <c r="Z85" s="64"/>
    </row>
    <row r="86" ht="12.75" customHeight="1">
      <c r="A86" s="108"/>
      <c r="B86" s="64"/>
      <c r="C86" s="64"/>
      <c r="D86" s="64"/>
      <c r="E86" s="64"/>
      <c r="F86" s="63"/>
      <c r="G86" s="63"/>
      <c r="H86" s="64"/>
      <c r="I86" s="64"/>
      <c r="J86" s="64"/>
      <c r="K86" s="64"/>
      <c r="L86" s="64"/>
      <c r="M86" s="64"/>
      <c r="N86" s="64"/>
      <c r="O86" s="64"/>
      <c r="P86" s="64"/>
      <c r="Q86" s="64"/>
      <c r="R86" s="64"/>
      <c r="S86" s="64"/>
      <c r="T86" s="64"/>
      <c r="U86" s="64"/>
      <c r="V86" s="64"/>
      <c r="W86" s="64"/>
      <c r="X86" s="64"/>
      <c r="Y86" s="64"/>
      <c r="Z86" s="64"/>
    </row>
    <row r="87" ht="12.75" customHeight="1">
      <c r="A87" s="108"/>
      <c r="B87" s="64"/>
      <c r="C87" s="64"/>
      <c r="D87" s="64"/>
      <c r="E87" s="64"/>
      <c r="F87" s="63"/>
      <c r="G87" s="63"/>
      <c r="H87" s="64"/>
      <c r="I87" s="64"/>
      <c r="J87" s="64"/>
      <c r="K87" s="64"/>
      <c r="L87" s="64"/>
      <c r="M87" s="64"/>
      <c r="N87" s="64"/>
      <c r="O87" s="64"/>
      <c r="P87" s="64"/>
      <c r="Q87" s="64"/>
      <c r="R87" s="64"/>
      <c r="S87" s="64"/>
      <c r="T87" s="64"/>
      <c r="U87" s="64"/>
      <c r="V87" s="64"/>
      <c r="W87" s="64"/>
      <c r="X87" s="64"/>
      <c r="Y87" s="64"/>
      <c r="Z87" s="64"/>
    </row>
    <row r="88" ht="12.75" customHeight="1">
      <c r="A88" s="108"/>
      <c r="B88" s="64"/>
      <c r="C88" s="64"/>
      <c r="D88" s="64"/>
      <c r="E88" s="64"/>
      <c r="F88" s="63"/>
      <c r="G88" s="63"/>
      <c r="H88" s="64"/>
      <c r="I88" s="64"/>
      <c r="J88" s="64"/>
      <c r="K88" s="64"/>
      <c r="L88" s="64"/>
      <c r="M88" s="64"/>
      <c r="N88" s="64"/>
      <c r="O88" s="64"/>
      <c r="P88" s="64"/>
      <c r="Q88" s="64"/>
      <c r="R88" s="64"/>
      <c r="S88" s="64"/>
      <c r="T88" s="64"/>
      <c r="U88" s="64"/>
      <c r="V88" s="64"/>
      <c r="W88" s="64"/>
      <c r="X88" s="64"/>
      <c r="Y88" s="64"/>
      <c r="Z88" s="64"/>
    </row>
    <row r="89" ht="12.75" customHeight="1">
      <c r="A89" s="108"/>
      <c r="B89" s="64"/>
      <c r="C89" s="64"/>
      <c r="D89" s="64"/>
      <c r="E89" s="64"/>
      <c r="F89" s="63"/>
      <c r="G89" s="63"/>
      <c r="H89" s="64"/>
      <c r="I89" s="64"/>
      <c r="J89" s="64"/>
      <c r="K89" s="64"/>
      <c r="L89" s="64"/>
      <c r="M89" s="64"/>
      <c r="N89" s="64"/>
      <c r="O89" s="64"/>
      <c r="P89" s="64"/>
      <c r="Q89" s="64"/>
      <c r="R89" s="64"/>
      <c r="S89" s="64"/>
      <c r="T89" s="64"/>
      <c r="U89" s="64"/>
      <c r="V89" s="64"/>
      <c r="W89" s="64"/>
      <c r="X89" s="64"/>
      <c r="Y89" s="64"/>
      <c r="Z89" s="64"/>
    </row>
    <row r="90" ht="12.75" customHeight="1">
      <c r="A90" s="108"/>
      <c r="B90" s="64"/>
      <c r="C90" s="64"/>
      <c r="D90" s="64"/>
      <c r="E90" s="64"/>
      <c r="F90" s="63"/>
      <c r="G90" s="63"/>
      <c r="H90" s="64"/>
      <c r="I90" s="64"/>
      <c r="J90" s="64"/>
      <c r="K90" s="64"/>
      <c r="L90" s="64"/>
      <c r="M90" s="64"/>
      <c r="N90" s="64"/>
      <c r="O90" s="64"/>
      <c r="P90" s="64"/>
      <c r="Q90" s="64"/>
      <c r="R90" s="64"/>
      <c r="S90" s="64"/>
      <c r="T90" s="64"/>
      <c r="U90" s="64"/>
      <c r="V90" s="64"/>
      <c r="W90" s="64"/>
      <c r="X90" s="64"/>
      <c r="Y90" s="64"/>
      <c r="Z90" s="64"/>
    </row>
    <row r="91" ht="12.75" customHeight="1">
      <c r="A91" s="108"/>
      <c r="B91" s="64"/>
      <c r="C91" s="64"/>
      <c r="D91" s="64"/>
      <c r="E91" s="64"/>
      <c r="F91" s="63"/>
      <c r="G91" s="63"/>
      <c r="H91" s="64"/>
      <c r="I91" s="64"/>
      <c r="J91" s="64"/>
      <c r="K91" s="64"/>
      <c r="L91" s="64"/>
      <c r="M91" s="64"/>
      <c r="N91" s="64"/>
      <c r="O91" s="64"/>
      <c r="P91" s="64"/>
      <c r="Q91" s="64"/>
      <c r="R91" s="64"/>
      <c r="S91" s="64"/>
      <c r="T91" s="64"/>
      <c r="U91" s="64"/>
      <c r="V91" s="64"/>
      <c r="W91" s="64"/>
      <c r="X91" s="64"/>
      <c r="Y91" s="64"/>
      <c r="Z91" s="64"/>
    </row>
    <row r="92" ht="12.75" customHeight="1">
      <c r="A92" s="108"/>
      <c r="B92" s="64"/>
      <c r="C92" s="64"/>
      <c r="D92" s="64"/>
      <c r="E92" s="64"/>
      <c r="F92" s="63"/>
      <c r="G92" s="63"/>
      <c r="H92" s="64"/>
      <c r="I92" s="64"/>
      <c r="J92" s="64"/>
      <c r="K92" s="64"/>
      <c r="L92" s="64"/>
      <c r="M92" s="64"/>
      <c r="N92" s="64"/>
      <c r="O92" s="64"/>
      <c r="P92" s="64"/>
      <c r="Q92" s="64"/>
      <c r="R92" s="64"/>
      <c r="S92" s="64"/>
      <c r="T92" s="64"/>
      <c r="U92" s="64"/>
      <c r="V92" s="64"/>
      <c r="W92" s="64"/>
      <c r="X92" s="64"/>
      <c r="Y92" s="64"/>
      <c r="Z92" s="64"/>
    </row>
    <row r="93" ht="12.75" customHeight="1">
      <c r="A93" s="108"/>
      <c r="B93" s="64"/>
      <c r="C93" s="64"/>
      <c r="D93" s="64"/>
      <c r="E93" s="64"/>
      <c r="F93" s="63"/>
      <c r="G93" s="63"/>
      <c r="H93" s="64"/>
      <c r="I93" s="64"/>
      <c r="J93" s="64"/>
      <c r="K93" s="64"/>
      <c r="L93" s="64"/>
      <c r="M93" s="64"/>
      <c r="N93" s="64"/>
      <c r="O93" s="64"/>
      <c r="P93" s="64"/>
      <c r="Q93" s="64"/>
      <c r="R93" s="64"/>
      <c r="S93" s="64"/>
      <c r="T93" s="64"/>
      <c r="U93" s="64"/>
      <c r="V93" s="64"/>
      <c r="W93" s="64"/>
      <c r="X93" s="64"/>
      <c r="Y93" s="64"/>
      <c r="Z93" s="64"/>
    </row>
    <row r="94" ht="12.75" customHeight="1">
      <c r="A94" s="108"/>
      <c r="B94" s="64"/>
      <c r="C94" s="64"/>
      <c r="D94" s="64"/>
      <c r="E94" s="64"/>
      <c r="F94" s="63"/>
      <c r="G94" s="63"/>
      <c r="H94" s="64"/>
      <c r="I94" s="64"/>
      <c r="J94" s="64"/>
      <c r="K94" s="64"/>
      <c r="L94" s="64"/>
      <c r="M94" s="64"/>
      <c r="N94" s="64"/>
      <c r="O94" s="64"/>
      <c r="P94" s="64"/>
      <c r="Q94" s="64"/>
      <c r="R94" s="64"/>
      <c r="S94" s="64"/>
      <c r="T94" s="64"/>
      <c r="U94" s="64"/>
      <c r="V94" s="64"/>
      <c r="W94" s="64"/>
      <c r="X94" s="64"/>
      <c r="Y94" s="64"/>
      <c r="Z94" s="64"/>
    </row>
    <row r="95" ht="12.75" customHeight="1">
      <c r="A95" s="108"/>
      <c r="B95" s="64"/>
      <c r="C95" s="64"/>
      <c r="D95" s="64"/>
      <c r="E95" s="64"/>
      <c r="F95" s="63"/>
      <c r="G95" s="63"/>
      <c r="H95" s="64"/>
      <c r="I95" s="64"/>
      <c r="J95" s="64"/>
      <c r="K95" s="64"/>
      <c r="L95" s="64"/>
      <c r="M95" s="64"/>
      <c r="N95" s="64"/>
      <c r="O95" s="64"/>
      <c r="P95" s="64"/>
      <c r="Q95" s="64"/>
      <c r="R95" s="64"/>
      <c r="S95" s="64"/>
      <c r="T95" s="64"/>
      <c r="U95" s="64"/>
      <c r="V95" s="64"/>
      <c r="W95" s="64"/>
      <c r="X95" s="64"/>
      <c r="Y95" s="64"/>
      <c r="Z95" s="64"/>
    </row>
    <row r="96" ht="12.75" customHeight="1">
      <c r="A96" s="108"/>
      <c r="B96" s="64"/>
      <c r="C96" s="64"/>
      <c r="D96" s="64"/>
      <c r="E96" s="64"/>
      <c r="F96" s="63"/>
      <c r="G96" s="63"/>
      <c r="H96" s="64"/>
      <c r="I96" s="64"/>
      <c r="J96" s="64"/>
      <c r="K96" s="64"/>
      <c r="L96" s="64"/>
      <c r="M96" s="64"/>
      <c r="N96" s="64"/>
      <c r="O96" s="64"/>
      <c r="P96" s="64"/>
      <c r="Q96" s="64"/>
      <c r="R96" s="64"/>
      <c r="S96" s="64"/>
      <c r="T96" s="64"/>
      <c r="U96" s="64"/>
      <c r="V96" s="64"/>
      <c r="W96" s="64"/>
      <c r="X96" s="64"/>
      <c r="Y96" s="64"/>
      <c r="Z96" s="64"/>
    </row>
    <row r="97" ht="12.75" customHeight="1">
      <c r="A97" s="108"/>
      <c r="B97" s="64"/>
      <c r="C97" s="64"/>
      <c r="D97" s="64"/>
      <c r="E97" s="64"/>
      <c r="F97" s="63"/>
      <c r="G97" s="63"/>
      <c r="H97" s="64"/>
      <c r="I97" s="64"/>
      <c r="J97" s="64"/>
      <c r="K97" s="64"/>
      <c r="L97" s="64"/>
      <c r="M97" s="64"/>
      <c r="N97" s="64"/>
      <c r="O97" s="64"/>
      <c r="P97" s="64"/>
      <c r="Q97" s="64"/>
      <c r="R97" s="64"/>
      <c r="S97" s="64"/>
      <c r="T97" s="64"/>
      <c r="U97" s="64"/>
      <c r="V97" s="64"/>
      <c r="W97" s="64"/>
      <c r="X97" s="64"/>
      <c r="Y97" s="64"/>
      <c r="Z97" s="64"/>
    </row>
    <row r="98" ht="12.75" customHeight="1">
      <c r="A98" s="108"/>
      <c r="B98" s="64"/>
      <c r="C98" s="64"/>
      <c r="D98" s="64"/>
      <c r="E98" s="64"/>
      <c r="F98" s="63"/>
      <c r="G98" s="63"/>
      <c r="H98" s="64"/>
      <c r="I98" s="64"/>
      <c r="J98" s="64"/>
      <c r="K98" s="64"/>
      <c r="L98" s="64"/>
      <c r="M98" s="64"/>
      <c r="N98" s="64"/>
      <c r="O98" s="64"/>
      <c r="P98" s="64"/>
      <c r="Q98" s="64"/>
      <c r="R98" s="64"/>
      <c r="S98" s="64"/>
      <c r="T98" s="64"/>
      <c r="U98" s="64"/>
      <c r="V98" s="64"/>
      <c r="W98" s="64"/>
      <c r="X98" s="64"/>
      <c r="Y98" s="64"/>
      <c r="Z98" s="64"/>
    </row>
    <row r="99" ht="12.75" customHeight="1">
      <c r="A99" s="108"/>
      <c r="B99" s="64"/>
      <c r="C99" s="64"/>
      <c r="D99" s="64"/>
      <c r="E99" s="64"/>
      <c r="F99" s="63"/>
      <c r="G99" s="63"/>
      <c r="H99" s="64"/>
      <c r="I99" s="64"/>
      <c r="J99" s="64"/>
      <c r="K99" s="64"/>
      <c r="L99" s="64"/>
      <c r="M99" s="64"/>
      <c r="N99" s="64"/>
      <c r="O99" s="64"/>
      <c r="P99" s="64"/>
      <c r="Q99" s="64"/>
      <c r="R99" s="64"/>
      <c r="S99" s="64"/>
      <c r="T99" s="64"/>
      <c r="U99" s="64"/>
      <c r="V99" s="64"/>
      <c r="W99" s="64"/>
      <c r="X99" s="64"/>
      <c r="Y99" s="64"/>
      <c r="Z99" s="64"/>
    </row>
    <row r="100" ht="12.75" customHeight="1">
      <c r="A100" s="108"/>
      <c r="B100" s="64"/>
      <c r="C100" s="64"/>
      <c r="D100" s="64"/>
      <c r="E100" s="64"/>
      <c r="F100" s="63"/>
      <c r="G100" s="63"/>
      <c r="H100" s="64"/>
      <c r="I100" s="64"/>
      <c r="J100" s="64"/>
      <c r="K100" s="64"/>
      <c r="L100" s="64"/>
      <c r="M100" s="64"/>
      <c r="N100" s="64"/>
      <c r="O100" s="64"/>
      <c r="P100" s="64"/>
      <c r="Q100" s="64"/>
      <c r="R100" s="64"/>
      <c r="S100" s="64"/>
      <c r="T100" s="64"/>
      <c r="U100" s="64"/>
      <c r="V100" s="64"/>
      <c r="W100" s="64"/>
      <c r="X100" s="64"/>
      <c r="Y100" s="64"/>
      <c r="Z100" s="64"/>
    </row>
    <row r="101" ht="12.75" customHeight="1">
      <c r="A101" s="108"/>
      <c r="B101" s="64"/>
      <c r="C101" s="64"/>
      <c r="D101" s="64"/>
      <c r="E101" s="64"/>
      <c r="F101" s="63"/>
      <c r="G101" s="63"/>
      <c r="H101" s="64"/>
      <c r="I101" s="64"/>
      <c r="J101" s="64"/>
      <c r="K101" s="64"/>
      <c r="L101" s="64"/>
      <c r="M101" s="64"/>
      <c r="N101" s="64"/>
      <c r="O101" s="64"/>
      <c r="P101" s="64"/>
      <c r="Q101" s="64"/>
      <c r="R101" s="64"/>
      <c r="S101" s="64"/>
      <c r="T101" s="64"/>
      <c r="U101" s="64"/>
      <c r="V101" s="64"/>
      <c r="W101" s="64"/>
      <c r="X101" s="64"/>
      <c r="Y101" s="64"/>
      <c r="Z101" s="64"/>
    </row>
    <row r="102" ht="12.75" customHeight="1">
      <c r="A102" s="108"/>
      <c r="B102" s="64"/>
      <c r="C102" s="64"/>
      <c r="D102" s="64"/>
      <c r="E102" s="64"/>
      <c r="F102" s="63"/>
      <c r="G102" s="63"/>
      <c r="H102" s="64"/>
      <c r="I102" s="64"/>
      <c r="J102" s="64"/>
      <c r="K102" s="64"/>
      <c r="L102" s="64"/>
      <c r="M102" s="64"/>
      <c r="N102" s="64"/>
      <c r="O102" s="64"/>
      <c r="P102" s="64"/>
      <c r="Q102" s="64"/>
      <c r="R102" s="64"/>
      <c r="S102" s="64"/>
      <c r="T102" s="64"/>
      <c r="U102" s="64"/>
      <c r="V102" s="64"/>
      <c r="W102" s="64"/>
      <c r="X102" s="64"/>
      <c r="Y102" s="64"/>
      <c r="Z102" s="64"/>
    </row>
    <row r="103" ht="12.75" customHeight="1">
      <c r="A103" s="108"/>
      <c r="B103" s="64"/>
      <c r="C103" s="64"/>
      <c r="D103" s="64"/>
      <c r="E103" s="64"/>
      <c r="F103" s="63"/>
      <c r="G103" s="63"/>
      <c r="H103" s="64"/>
      <c r="I103" s="64"/>
      <c r="J103" s="64"/>
      <c r="K103" s="64"/>
      <c r="L103" s="64"/>
      <c r="M103" s="64"/>
      <c r="N103" s="64"/>
      <c r="O103" s="64"/>
      <c r="P103" s="64"/>
      <c r="Q103" s="64"/>
      <c r="R103" s="64"/>
      <c r="S103" s="64"/>
      <c r="T103" s="64"/>
      <c r="U103" s="64"/>
      <c r="V103" s="64"/>
      <c r="W103" s="64"/>
      <c r="X103" s="64"/>
      <c r="Y103" s="64"/>
      <c r="Z103" s="64"/>
    </row>
    <row r="104" ht="12.75" customHeight="1">
      <c r="A104" s="108"/>
      <c r="B104" s="64"/>
      <c r="C104" s="64"/>
      <c r="D104" s="64"/>
      <c r="E104" s="64"/>
      <c r="F104" s="63"/>
      <c r="G104" s="63"/>
      <c r="H104" s="64"/>
      <c r="I104" s="64"/>
      <c r="J104" s="64"/>
      <c r="K104" s="64"/>
      <c r="L104" s="64"/>
      <c r="M104" s="64"/>
      <c r="N104" s="64"/>
      <c r="O104" s="64"/>
      <c r="P104" s="64"/>
      <c r="Q104" s="64"/>
      <c r="R104" s="64"/>
      <c r="S104" s="64"/>
      <c r="T104" s="64"/>
      <c r="U104" s="64"/>
      <c r="V104" s="64"/>
      <c r="W104" s="64"/>
      <c r="X104" s="64"/>
      <c r="Y104" s="64"/>
      <c r="Z104" s="64"/>
    </row>
    <row r="105" ht="12.75" customHeight="1">
      <c r="A105" s="108"/>
      <c r="B105" s="64"/>
      <c r="C105" s="64"/>
      <c r="D105" s="64"/>
      <c r="E105" s="64"/>
      <c r="F105" s="63"/>
      <c r="G105" s="63"/>
      <c r="H105" s="64"/>
      <c r="I105" s="64"/>
      <c r="J105" s="64"/>
      <c r="K105" s="64"/>
      <c r="L105" s="64"/>
      <c r="M105" s="64"/>
      <c r="N105" s="64"/>
      <c r="O105" s="64"/>
      <c r="P105" s="64"/>
      <c r="Q105" s="64"/>
      <c r="R105" s="64"/>
      <c r="S105" s="64"/>
      <c r="T105" s="64"/>
      <c r="U105" s="64"/>
      <c r="V105" s="64"/>
      <c r="W105" s="64"/>
      <c r="X105" s="64"/>
      <c r="Y105" s="64"/>
      <c r="Z105" s="64"/>
    </row>
    <row r="106" ht="12.75" customHeight="1">
      <c r="A106" s="108"/>
      <c r="B106" s="64"/>
      <c r="C106" s="64"/>
      <c r="D106" s="64"/>
      <c r="E106" s="64"/>
      <c r="F106" s="63"/>
      <c r="G106" s="63"/>
      <c r="H106" s="64"/>
      <c r="I106" s="64"/>
      <c r="J106" s="64"/>
      <c r="K106" s="64"/>
      <c r="L106" s="64"/>
      <c r="M106" s="64"/>
      <c r="N106" s="64"/>
      <c r="O106" s="64"/>
      <c r="P106" s="64"/>
      <c r="Q106" s="64"/>
      <c r="R106" s="64"/>
      <c r="S106" s="64"/>
      <c r="T106" s="64"/>
      <c r="U106" s="64"/>
      <c r="V106" s="64"/>
      <c r="W106" s="64"/>
      <c r="X106" s="64"/>
      <c r="Y106" s="64"/>
      <c r="Z106" s="64"/>
    </row>
    <row r="107" ht="12.75" customHeight="1">
      <c r="A107" s="108"/>
      <c r="B107" s="64"/>
      <c r="C107" s="64"/>
      <c r="D107" s="64"/>
      <c r="E107" s="64"/>
      <c r="F107" s="63"/>
      <c r="G107" s="63"/>
      <c r="H107" s="64"/>
      <c r="I107" s="64"/>
      <c r="J107" s="64"/>
      <c r="K107" s="64"/>
      <c r="L107" s="64"/>
      <c r="M107" s="64"/>
      <c r="N107" s="64"/>
      <c r="O107" s="64"/>
      <c r="P107" s="64"/>
      <c r="Q107" s="64"/>
      <c r="R107" s="64"/>
      <c r="S107" s="64"/>
      <c r="T107" s="64"/>
      <c r="U107" s="64"/>
      <c r="V107" s="64"/>
      <c r="W107" s="64"/>
      <c r="X107" s="64"/>
      <c r="Y107" s="64"/>
      <c r="Z107" s="64"/>
    </row>
    <row r="108" ht="12.75" customHeight="1">
      <c r="A108" s="108"/>
      <c r="B108" s="64"/>
      <c r="C108" s="64"/>
      <c r="D108" s="64"/>
      <c r="E108" s="64"/>
      <c r="F108" s="63"/>
      <c r="G108" s="63"/>
      <c r="H108" s="64"/>
      <c r="I108" s="64"/>
      <c r="J108" s="64"/>
      <c r="K108" s="64"/>
      <c r="L108" s="64"/>
      <c r="M108" s="64"/>
      <c r="N108" s="64"/>
      <c r="O108" s="64"/>
      <c r="P108" s="64"/>
      <c r="Q108" s="64"/>
      <c r="R108" s="64"/>
      <c r="S108" s="64"/>
      <c r="T108" s="64"/>
      <c r="U108" s="64"/>
      <c r="V108" s="64"/>
      <c r="W108" s="64"/>
      <c r="X108" s="64"/>
      <c r="Y108" s="64"/>
      <c r="Z108" s="64"/>
    </row>
    <row r="109" ht="12.75" customHeight="1">
      <c r="A109" s="108"/>
      <c r="B109" s="64"/>
      <c r="C109" s="64"/>
      <c r="D109" s="64"/>
      <c r="E109" s="64"/>
      <c r="F109" s="63"/>
      <c r="G109" s="63"/>
      <c r="H109" s="64"/>
      <c r="I109" s="64"/>
      <c r="J109" s="64"/>
      <c r="K109" s="64"/>
      <c r="L109" s="64"/>
      <c r="M109" s="64"/>
      <c r="N109" s="64"/>
      <c r="O109" s="64"/>
      <c r="P109" s="64"/>
      <c r="Q109" s="64"/>
      <c r="R109" s="64"/>
      <c r="S109" s="64"/>
      <c r="T109" s="64"/>
      <c r="U109" s="64"/>
      <c r="V109" s="64"/>
      <c r="W109" s="64"/>
      <c r="X109" s="64"/>
      <c r="Y109" s="64"/>
      <c r="Z109" s="64"/>
    </row>
    <row r="110" ht="12.75" customHeight="1">
      <c r="A110" s="108"/>
      <c r="B110" s="64"/>
      <c r="C110" s="64"/>
      <c r="D110" s="64"/>
      <c r="E110" s="64"/>
      <c r="F110" s="63"/>
      <c r="G110" s="63"/>
      <c r="H110" s="64"/>
      <c r="I110" s="64"/>
      <c r="J110" s="64"/>
      <c r="K110" s="64"/>
      <c r="L110" s="64"/>
      <c r="M110" s="64"/>
      <c r="N110" s="64"/>
      <c r="O110" s="64"/>
      <c r="P110" s="64"/>
      <c r="Q110" s="64"/>
      <c r="R110" s="64"/>
      <c r="S110" s="64"/>
      <c r="T110" s="64"/>
      <c r="U110" s="64"/>
      <c r="V110" s="64"/>
      <c r="W110" s="64"/>
      <c r="X110" s="64"/>
      <c r="Y110" s="64"/>
      <c r="Z110" s="64"/>
    </row>
    <row r="111" ht="12.75" customHeight="1">
      <c r="A111" s="108"/>
      <c r="B111" s="64"/>
      <c r="C111" s="64"/>
      <c r="D111" s="64"/>
      <c r="E111" s="64"/>
      <c r="F111" s="63"/>
      <c r="G111" s="63"/>
      <c r="H111" s="64"/>
      <c r="I111" s="64"/>
      <c r="J111" s="64"/>
      <c r="K111" s="64"/>
      <c r="L111" s="64"/>
      <c r="M111" s="64"/>
      <c r="N111" s="64"/>
      <c r="O111" s="64"/>
      <c r="P111" s="64"/>
      <c r="Q111" s="64"/>
      <c r="R111" s="64"/>
      <c r="S111" s="64"/>
      <c r="T111" s="64"/>
      <c r="U111" s="64"/>
      <c r="V111" s="64"/>
      <c r="W111" s="64"/>
      <c r="X111" s="64"/>
      <c r="Y111" s="64"/>
      <c r="Z111" s="64"/>
    </row>
    <row r="112" ht="12.75" customHeight="1">
      <c r="A112" s="108"/>
      <c r="B112" s="64"/>
      <c r="C112" s="64"/>
      <c r="D112" s="64"/>
      <c r="E112" s="64"/>
      <c r="F112" s="63"/>
      <c r="G112" s="63"/>
      <c r="H112" s="64"/>
      <c r="I112" s="64"/>
      <c r="J112" s="64"/>
      <c r="K112" s="64"/>
      <c r="L112" s="64"/>
      <c r="M112" s="64"/>
      <c r="N112" s="64"/>
      <c r="O112" s="64"/>
      <c r="P112" s="64"/>
      <c r="Q112" s="64"/>
      <c r="R112" s="64"/>
      <c r="S112" s="64"/>
      <c r="T112" s="64"/>
      <c r="U112" s="64"/>
      <c r="V112" s="64"/>
      <c r="W112" s="64"/>
      <c r="X112" s="64"/>
      <c r="Y112" s="64"/>
      <c r="Z112" s="64"/>
    </row>
    <row r="113" ht="12.75" customHeight="1">
      <c r="A113" s="108"/>
      <c r="B113" s="64"/>
      <c r="C113" s="64"/>
      <c r="D113" s="64"/>
      <c r="E113" s="64"/>
      <c r="F113" s="63"/>
      <c r="G113" s="63"/>
      <c r="H113" s="64"/>
      <c r="I113" s="64"/>
      <c r="J113" s="64"/>
      <c r="K113" s="64"/>
      <c r="L113" s="64"/>
      <c r="M113" s="64"/>
      <c r="N113" s="64"/>
      <c r="O113" s="64"/>
      <c r="P113" s="64"/>
      <c r="Q113" s="64"/>
      <c r="R113" s="64"/>
      <c r="S113" s="64"/>
      <c r="T113" s="64"/>
      <c r="U113" s="64"/>
      <c r="V113" s="64"/>
      <c r="W113" s="64"/>
      <c r="X113" s="64"/>
      <c r="Y113" s="64"/>
      <c r="Z113" s="64"/>
    </row>
    <row r="114" ht="12.75" customHeight="1">
      <c r="A114" s="108"/>
      <c r="B114" s="64"/>
      <c r="C114" s="64"/>
      <c r="D114" s="64"/>
      <c r="E114" s="64"/>
      <c r="F114" s="63"/>
      <c r="G114" s="63"/>
      <c r="H114" s="64"/>
      <c r="I114" s="64"/>
      <c r="J114" s="64"/>
      <c r="K114" s="64"/>
      <c r="L114" s="64"/>
      <c r="M114" s="64"/>
      <c r="N114" s="64"/>
      <c r="O114" s="64"/>
      <c r="P114" s="64"/>
      <c r="Q114" s="64"/>
      <c r="R114" s="64"/>
      <c r="S114" s="64"/>
      <c r="T114" s="64"/>
      <c r="U114" s="64"/>
      <c r="V114" s="64"/>
      <c r="W114" s="64"/>
      <c r="X114" s="64"/>
      <c r="Y114" s="64"/>
      <c r="Z114" s="64"/>
    </row>
    <row r="115" ht="12.75" customHeight="1">
      <c r="A115" s="108"/>
      <c r="B115" s="64"/>
      <c r="C115" s="64"/>
      <c r="D115" s="64"/>
      <c r="E115" s="64"/>
      <c r="F115" s="63"/>
      <c r="G115" s="63"/>
      <c r="H115" s="64"/>
      <c r="I115" s="64"/>
      <c r="J115" s="64"/>
      <c r="K115" s="64"/>
      <c r="L115" s="64"/>
      <c r="M115" s="64"/>
      <c r="N115" s="64"/>
      <c r="O115" s="64"/>
      <c r="P115" s="64"/>
      <c r="Q115" s="64"/>
      <c r="R115" s="64"/>
      <c r="S115" s="64"/>
      <c r="T115" s="64"/>
      <c r="U115" s="64"/>
      <c r="V115" s="64"/>
      <c r="W115" s="64"/>
      <c r="X115" s="64"/>
      <c r="Y115" s="64"/>
      <c r="Z115" s="64"/>
    </row>
    <row r="116" ht="12.75" customHeight="1">
      <c r="A116" s="108"/>
      <c r="B116" s="64"/>
      <c r="C116" s="64"/>
      <c r="D116" s="64"/>
      <c r="E116" s="64"/>
      <c r="F116" s="63"/>
      <c r="G116" s="63"/>
      <c r="H116" s="64"/>
      <c r="I116" s="64"/>
      <c r="J116" s="64"/>
      <c r="K116" s="64"/>
      <c r="L116" s="64"/>
      <c r="M116" s="64"/>
      <c r="N116" s="64"/>
      <c r="O116" s="64"/>
      <c r="P116" s="64"/>
      <c r="Q116" s="64"/>
      <c r="R116" s="64"/>
      <c r="S116" s="64"/>
      <c r="T116" s="64"/>
      <c r="U116" s="64"/>
      <c r="V116" s="64"/>
      <c r="W116" s="64"/>
      <c r="X116" s="64"/>
      <c r="Y116" s="64"/>
      <c r="Z116" s="64"/>
    </row>
    <row r="117" ht="12.75" customHeight="1">
      <c r="A117" s="108"/>
      <c r="B117" s="64"/>
      <c r="C117" s="64"/>
      <c r="D117" s="64"/>
      <c r="E117" s="64"/>
      <c r="F117" s="63"/>
      <c r="G117" s="63"/>
      <c r="H117" s="64"/>
      <c r="I117" s="64"/>
      <c r="J117" s="64"/>
      <c r="K117" s="64"/>
      <c r="L117" s="64"/>
      <c r="M117" s="64"/>
      <c r="N117" s="64"/>
      <c r="O117" s="64"/>
      <c r="P117" s="64"/>
      <c r="Q117" s="64"/>
      <c r="R117" s="64"/>
      <c r="S117" s="64"/>
      <c r="T117" s="64"/>
      <c r="U117" s="64"/>
      <c r="V117" s="64"/>
      <c r="W117" s="64"/>
      <c r="X117" s="64"/>
      <c r="Y117" s="64"/>
      <c r="Z117" s="64"/>
    </row>
    <row r="118" ht="12.75" customHeight="1">
      <c r="A118" s="108"/>
      <c r="B118" s="64"/>
      <c r="C118" s="64"/>
      <c r="D118" s="64"/>
      <c r="E118" s="64"/>
      <c r="F118" s="63"/>
      <c r="G118" s="63"/>
      <c r="H118" s="64"/>
      <c r="I118" s="64"/>
      <c r="J118" s="64"/>
      <c r="K118" s="64"/>
      <c r="L118" s="64"/>
      <c r="M118" s="64"/>
      <c r="N118" s="64"/>
      <c r="O118" s="64"/>
      <c r="P118" s="64"/>
      <c r="Q118" s="64"/>
      <c r="R118" s="64"/>
      <c r="S118" s="64"/>
      <c r="T118" s="64"/>
      <c r="U118" s="64"/>
      <c r="V118" s="64"/>
      <c r="W118" s="64"/>
      <c r="X118" s="64"/>
      <c r="Y118" s="64"/>
      <c r="Z118" s="64"/>
    </row>
    <row r="119" ht="12.75" customHeight="1">
      <c r="A119" s="108"/>
      <c r="B119" s="64"/>
      <c r="C119" s="64"/>
      <c r="D119" s="64"/>
      <c r="E119" s="64"/>
      <c r="F119" s="63"/>
      <c r="G119" s="63"/>
      <c r="H119" s="64"/>
      <c r="I119" s="64"/>
      <c r="J119" s="64"/>
      <c r="K119" s="64"/>
      <c r="L119" s="64"/>
      <c r="M119" s="64"/>
      <c r="N119" s="64"/>
      <c r="O119" s="64"/>
      <c r="P119" s="64"/>
      <c r="Q119" s="64"/>
      <c r="R119" s="64"/>
      <c r="S119" s="64"/>
      <c r="T119" s="64"/>
      <c r="U119" s="64"/>
      <c r="V119" s="64"/>
      <c r="W119" s="64"/>
      <c r="X119" s="64"/>
      <c r="Y119" s="64"/>
      <c r="Z119" s="64"/>
    </row>
    <row r="120" ht="12.75" customHeight="1">
      <c r="A120" s="108"/>
      <c r="B120" s="64"/>
      <c r="C120" s="64"/>
      <c r="D120" s="64"/>
      <c r="E120" s="64"/>
      <c r="F120" s="63"/>
      <c r="G120" s="63"/>
      <c r="H120" s="64"/>
      <c r="I120" s="64"/>
      <c r="J120" s="64"/>
      <c r="K120" s="64"/>
      <c r="L120" s="64"/>
      <c r="M120" s="64"/>
      <c r="N120" s="64"/>
      <c r="O120" s="64"/>
      <c r="P120" s="64"/>
      <c r="Q120" s="64"/>
      <c r="R120" s="64"/>
      <c r="S120" s="64"/>
      <c r="T120" s="64"/>
      <c r="U120" s="64"/>
      <c r="V120" s="64"/>
      <c r="W120" s="64"/>
      <c r="X120" s="64"/>
      <c r="Y120" s="64"/>
      <c r="Z120" s="64"/>
    </row>
    <row r="121" ht="12.75" customHeight="1">
      <c r="A121" s="108"/>
      <c r="B121" s="64"/>
      <c r="C121" s="64"/>
      <c r="D121" s="64"/>
      <c r="E121" s="64"/>
      <c r="F121" s="63"/>
      <c r="G121" s="63"/>
      <c r="H121" s="64"/>
      <c r="I121" s="64"/>
      <c r="J121" s="64"/>
      <c r="K121" s="64"/>
      <c r="L121" s="64"/>
      <c r="M121" s="64"/>
      <c r="N121" s="64"/>
      <c r="O121" s="64"/>
      <c r="P121" s="64"/>
      <c r="Q121" s="64"/>
      <c r="R121" s="64"/>
      <c r="S121" s="64"/>
      <c r="T121" s="64"/>
      <c r="U121" s="64"/>
      <c r="V121" s="64"/>
      <c r="W121" s="64"/>
      <c r="X121" s="64"/>
      <c r="Y121" s="64"/>
      <c r="Z121" s="64"/>
    </row>
    <row r="122" ht="12.75" customHeight="1">
      <c r="A122" s="108"/>
      <c r="B122" s="64"/>
      <c r="C122" s="64"/>
      <c r="D122" s="64"/>
      <c r="E122" s="64"/>
      <c r="F122" s="63"/>
      <c r="G122" s="63"/>
      <c r="H122" s="64"/>
      <c r="I122" s="64"/>
      <c r="J122" s="64"/>
      <c r="K122" s="64"/>
      <c r="L122" s="64"/>
      <c r="M122" s="64"/>
      <c r="N122" s="64"/>
      <c r="O122" s="64"/>
      <c r="P122" s="64"/>
      <c r="Q122" s="64"/>
      <c r="R122" s="64"/>
      <c r="S122" s="64"/>
      <c r="T122" s="64"/>
      <c r="U122" s="64"/>
      <c r="V122" s="64"/>
      <c r="W122" s="64"/>
      <c r="X122" s="64"/>
      <c r="Y122" s="64"/>
      <c r="Z122" s="64"/>
    </row>
    <row r="123" ht="12.75" customHeight="1">
      <c r="A123" s="108"/>
      <c r="B123" s="64"/>
      <c r="C123" s="64"/>
      <c r="D123" s="64"/>
      <c r="E123" s="64"/>
      <c r="F123" s="63"/>
      <c r="G123" s="63"/>
      <c r="H123" s="64"/>
      <c r="I123" s="64"/>
      <c r="J123" s="64"/>
      <c r="K123" s="64"/>
      <c r="L123" s="64"/>
      <c r="M123" s="64"/>
      <c r="N123" s="64"/>
      <c r="O123" s="64"/>
      <c r="P123" s="64"/>
      <c r="Q123" s="64"/>
      <c r="R123" s="64"/>
      <c r="S123" s="64"/>
      <c r="T123" s="64"/>
      <c r="U123" s="64"/>
      <c r="V123" s="64"/>
      <c r="W123" s="64"/>
      <c r="X123" s="64"/>
      <c r="Y123" s="64"/>
      <c r="Z123" s="64"/>
    </row>
    <row r="124" ht="12.75" customHeight="1">
      <c r="A124" s="108"/>
      <c r="B124" s="64"/>
      <c r="C124" s="64"/>
      <c r="D124" s="64"/>
      <c r="E124" s="64"/>
      <c r="F124" s="63"/>
      <c r="G124" s="63"/>
      <c r="H124" s="64"/>
      <c r="I124" s="64"/>
      <c r="J124" s="64"/>
      <c r="K124" s="64"/>
      <c r="L124" s="64"/>
      <c r="M124" s="64"/>
      <c r="N124" s="64"/>
      <c r="O124" s="64"/>
      <c r="P124" s="64"/>
      <c r="Q124" s="64"/>
      <c r="R124" s="64"/>
      <c r="S124" s="64"/>
      <c r="T124" s="64"/>
      <c r="U124" s="64"/>
      <c r="V124" s="64"/>
      <c r="W124" s="64"/>
      <c r="X124" s="64"/>
      <c r="Y124" s="64"/>
      <c r="Z124" s="64"/>
    </row>
    <row r="125" ht="12.75" customHeight="1">
      <c r="A125" s="108"/>
      <c r="B125" s="64"/>
      <c r="C125" s="64"/>
      <c r="D125" s="64"/>
      <c r="E125" s="64"/>
      <c r="F125" s="63"/>
      <c r="G125" s="63"/>
      <c r="H125" s="64"/>
      <c r="I125" s="64"/>
      <c r="J125" s="64"/>
      <c r="K125" s="64"/>
      <c r="L125" s="64"/>
      <c r="M125" s="64"/>
      <c r="N125" s="64"/>
      <c r="O125" s="64"/>
      <c r="P125" s="64"/>
      <c r="Q125" s="64"/>
      <c r="R125" s="64"/>
      <c r="S125" s="64"/>
      <c r="T125" s="64"/>
      <c r="U125" s="64"/>
      <c r="V125" s="64"/>
      <c r="W125" s="64"/>
      <c r="X125" s="64"/>
      <c r="Y125" s="64"/>
      <c r="Z125" s="64"/>
    </row>
    <row r="126" ht="12.75" customHeight="1">
      <c r="A126" s="108"/>
      <c r="B126" s="64"/>
      <c r="C126" s="64"/>
      <c r="D126" s="64"/>
      <c r="E126" s="64"/>
      <c r="F126" s="63"/>
      <c r="G126" s="63"/>
      <c r="H126" s="64"/>
      <c r="I126" s="64"/>
      <c r="J126" s="64"/>
      <c r="K126" s="64"/>
      <c r="L126" s="64"/>
      <c r="M126" s="64"/>
      <c r="N126" s="64"/>
      <c r="O126" s="64"/>
      <c r="P126" s="64"/>
      <c r="Q126" s="64"/>
      <c r="R126" s="64"/>
      <c r="S126" s="64"/>
      <c r="T126" s="64"/>
      <c r="U126" s="64"/>
      <c r="V126" s="64"/>
      <c r="W126" s="64"/>
      <c r="X126" s="64"/>
      <c r="Y126" s="64"/>
      <c r="Z126" s="64"/>
    </row>
    <row r="127" ht="12.75" customHeight="1">
      <c r="A127" s="108"/>
      <c r="B127" s="64"/>
      <c r="C127" s="64"/>
      <c r="D127" s="64"/>
      <c r="E127" s="64"/>
      <c r="F127" s="63"/>
      <c r="G127" s="63"/>
      <c r="H127" s="64"/>
      <c r="I127" s="64"/>
      <c r="J127" s="64"/>
      <c r="K127" s="64"/>
      <c r="L127" s="64"/>
      <c r="M127" s="64"/>
      <c r="N127" s="64"/>
      <c r="O127" s="64"/>
      <c r="P127" s="64"/>
      <c r="Q127" s="64"/>
      <c r="R127" s="64"/>
      <c r="S127" s="64"/>
      <c r="T127" s="64"/>
      <c r="U127" s="64"/>
      <c r="V127" s="64"/>
      <c r="W127" s="64"/>
      <c r="X127" s="64"/>
      <c r="Y127" s="64"/>
      <c r="Z127" s="64"/>
    </row>
    <row r="128" ht="12.75" customHeight="1">
      <c r="A128" s="108"/>
      <c r="B128" s="64"/>
      <c r="C128" s="64"/>
      <c r="D128" s="64"/>
      <c r="E128" s="64"/>
      <c r="F128" s="63"/>
      <c r="G128" s="63"/>
      <c r="H128" s="64"/>
      <c r="I128" s="64"/>
      <c r="J128" s="64"/>
      <c r="K128" s="64"/>
      <c r="L128" s="64"/>
      <c r="M128" s="64"/>
      <c r="N128" s="64"/>
      <c r="O128" s="64"/>
      <c r="P128" s="64"/>
      <c r="Q128" s="64"/>
      <c r="R128" s="64"/>
      <c r="S128" s="64"/>
      <c r="T128" s="64"/>
      <c r="U128" s="64"/>
      <c r="V128" s="64"/>
      <c r="W128" s="64"/>
      <c r="X128" s="64"/>
      <c r="Y128" s="64"/>
      <c r="Z128" s="64"/>
    </row>
    <row r="129" ht="12.75" customHeight="1">
      <c r="A129" s="108"/>
      <c r="B129" s="64"/>
      <c r="C129" s="64"/>
      <c r="D129" s="64"/>
      <c r="E129" s="64"/>
      <c r="F129" s="63"/>
      <c r="G129" s="63"/>
      <c r="H129" s="64"/>
      <c r="I129" s="64"/>
      <c r="J129" s="64"/>
      <c r="K129" s="64"/>
      <c r="L129" s="64"/>
      <c r="M129" s="64"/>
      <c r="N129" s="64"/>
      <c r="O129" s="64"/>
      <c r="P129" s="64"/>
      <c r="Q129" s="64"/>
      <c r="R129" s="64"/>
      <c r="S129" s="64"/>
      <c r="T129" s="64"/>
      <c r="U129" s="64"/>
      <c r="V129" s="64"/>
      <c r="W129" s="64"/>
      <c r="X129" s="64"/>
      <c r="Y129" s="64"/>
      <c r="Z129" s="64"/>
    </row>
    <row r="130" ht="12.75" customHeight="1">
      <c r="A130" s="108"/>
      <c r="B130" s="64"/>
      <c r="C130" s="64"/>
      <c r="D130" s="64"/>
      <c r="E130" s="64"/>
      <c r="F130" s="63"/>
      <c r="G130" s="63"/>
      <c r="H130" s="64"/>
      <c r="I130" s="64"/>
      <c r="J130" s="64"/>
      <c r="K130" s="64"/>
      <c r="L130" s="64"/>
      <c r="M130" s="64"/>
      <c r="N130" s="64"/>
      <c r="O130" s="64"/>
      <c r="P130" s="64"/>
      <c r="Q130" s="64"/>
      <c r="R130" s="64"/>
      <c r="S130" s="64"/>
      <c r="T130" s="64"/>
      <c r="U130" s="64"/>
      <c r="V130" s="64"/>
      <c r="W130" s="64"/>
      <c r="X130" s="64"/>
      <c r="Y130" s="64"/>
      <c r="Z130" s="64"/>
    </row>
    <row r="131" ht="12.75" customHeight="1">
      <c r="A131" s="108"/>
      <c r="B131" s="64"/>
      <c r="C131" s="64"/>
      <c r="D131" s="64"/>
      <c r="E131" s="64"/>
      <c r="F131" s="63"/>
      <c r="G131" s="63"/>
      <c r="H131" s="64"/>
      <c r="I131" s="64"/>
      <c r="J131" s="64"/>
      <c r="K131" s="64"/>
      <c r="L131" s="64"/>
      <c r="M131" s="64"/>
      <c r="N131" s="64"/>
      <c r="O131" s="64"/>
      <c r="P131" s="64"/>
      <c r="Q131" s="64"/>
      <c r="R131" s="64"/>
      <c r="S131" s="64"/>
      <c r="T131" s="64"/>
      <c r="U131" s="64"/>
      <c r="V131" s="64"/>
      <c r="W131" s="64"/>
      <c r="X131" s="64"/>
      <c r="Y131" s="64"/>
      <c r="Z131" s="64"/>
    </row>
    <row r="132" ht="12.75" customHeight="1">
      <c r="A132" s="108"/>
      <c r="B132" s="64"/>
      <c r="C132" s="64"/>
      <c r="D132" s="64"/>
      <c r="E132" s="64"/>
      <c r="F132" s="63"/>
      <c r="G132" s="63"/>
      <c r="H132" s="64"/>
      <c r="I132" s="64"/>
      <c r="J132" s="64"/>
      <c r="K132" s="64"/>
      <c r="L132" s="64"/>
      <c r="M132" s="64"/>
      <c r="N132" s="64"/>
      <c r="O132" s="64"/>
      <c r="P132" s="64"/>
      <c r="Q132" s="64"/>
      <c r="R132" s="64"/>
      <c r="S132" s="64"/>
      <c r="T132" s="64"/>
      <c r="U132" s="64"/>
      <c r="V132" s="64"/>
      <c r="W132" s="64"/>
      <c r="X132" s="64"/>
      <c r="Y132" s="64"/>
      <c r="Z132" s="64"/>
    </row>
    <row r="133" ht="12.75" customHeight="1">
      <c r="A133" s="108"/>
      <c r="B133" s="64"/>
      <c r="C133" s="64"/>
      <c r="D133" s="64"/>
      <c r="E133" s="64"/>
      <c r="F133" s="63"/>
      <c r="G133" s="63"/>
      <c r="H133" s="64"/>
      <c r="I133" s="64"/>
      <c r="J133" s="64"/>
      <c r="K133" s="64"/>
      <c r="L133" s="64"/>
      <c r="M133" s="64"/>
      <c r="N133" s="64"/>
      <c r="O133" s="64"/>
      <c r="P133" s="64"/>
      <c r="Q133" s="64"/>
      <c r="R133" s="64"/>
      <c r="S133" s="64"/>
      <c r="T133" s="64"/>
      <c r="U133" s="64"/>
      <c r="V133" s="64"/>
      <c r="W133" s="64"/>
      <c r="X133" s="64"/>
      <c r="Y133" s="64"/>
      <c r="Z133" s="64"/>
    </row>
    <row r="134" ht="12.75" customHeight="1">
      <c r="A134" s="108"/>
      <c r="B134" s="64"/>
      <c r="C134" s="64"/>
      <c r="D134" s="64"/>
      <c r="E134" s="64"/>
      <c r="F134" s="63"/>
      <c r="G134" s="63"/>
      <c r="H134" s="64"/>
      <c r="I134" s="64"/>
      <c r="J134" s="64"/>
      <c r="K134" s="64"/>
      <c r="L134" s="64"/>
      <c r="M134" s="64"/>
      <c r="N134" s="64"/>
      <c r="O134" s="64"/>
      <c r="P134" s="64"/>
      <c r="Q134" s="64"/>
      <c r="R134" s="64"/>
      <c r="S134" s="64"/>
      <c r="T134" s="64"/>
      <c r="U134" s="64"/>
      <c r="V134" s="64"/>
      <c r="W134" s="64"/>
      <c r="X134" s="64"/>
      <c r="Y134" s="64"/>
      <c r="Z134" s="64"/>
    </row>
    <row r="135" ht="12.75" customHeight="1">
      <c r="A135" s="108"/>
      <c r="B135" s="64"/>
      <c r="C135" s="64"/>
      <c r="D135" s="64"/>
      <c r="E135" s="64"/>
      <c r="F135" s="63"/>
      <c r="G135" s="63"/>
      <c r="H135" s="64"/>
      <c r="I135" s="64"/>
      <c r="J135" s="64"/>
      <c r="K135" s="64"/>
      <c r="L135" s="64"/>
      <c r="M135" s="64"/>
      <c r="N135" s="64"/>
      <c r="O135" s="64"/>
      <c r="P135" s="64"/>
      <c r="Q135" s="64"/>
      <c r="R135" s="64"/>
      <c r="S135" s="64"/>
      <c r="T135" s="64"/>
      <c r="U135" s="64"/>
      <c r="V135" s="64"/>
      <c r="W135" s="64"/>
      <c r="X135" s="64"/>
      <c r="Y135" s="64"/>
      <c r="Z135" s="64"/>
    </row>
    <row r="136" ht="12.75" customHeight="1">
      <c r="A136" s="108"/>
      <c r="B136" s="64"/>
      <c r="C136" s="64"/>
      <c r="D136" s="64"/>
      <c r="E136" s="64"/>
      <c r="F136" s="63"/>
      <c r="G136" s="63"/>
      <c r="H136" s="64"/>
      <c r="I136" s="64"/>
      <c r="J136" s="64"/>
      <c r="K136" s="64"/>
      <c r="L136" s="64"/>
      <c r="M136" s="64"/>
      <c r="N136" s="64"/>
      <c r="O136" s="64"/>
      <c r="P136" s="64"/>
      <c r="Q136" s="64"/>
      <c r="R136" s="64"/>
      <c r="S136" s="64"/>
      <c r="T136" s="64"/>
      <c r="U136" s="64"/>
      <c r="V136" s="64"/>
      <c r="W136" s="64"/>
      <c r="X136" s="64"/>
      <c r="Y136" s="64"/>
      <c r="Z136" s="64"/>
    </row>
    <row r="137" ht="12.75" customHeight="1">
      <c r="A137" s="108"/>
      <c r="B137" s="64"/>
      <c r="C137" s="64"/>
      <c r="D137" s="64"/>
      <c r="E137" s="64"/>
      <c r="F137" s="63"/>
      <c r="G137" s="63"/>
      <c r="H137" s="64"/>
      <c r="I137" s="64"/>
      <c r="J137" s="64"/>
      <c r="K137" s="64"/>
      <c r="L137" s="64"/>
      <c r="M137" s="64"/>
      <c r="N137" s="64"/>
      <c r="O137" s="64"/>
      <c r="P137" s="64"/>
      <c r="Q137" s="64"/>
      <c r="R137" s="64"/>
      <c r="S137" s="64"/>
      <c r="T137" s="64"/>
      <c r="U137" s="64"/>
      <c r="V137" s="64"/>
      <c r="W137" s="64"/>
      <c r="X137" s="64"/>
      <c r="Y137" s="64"/>
      <c r="Z137" s="64"/>
    </row>
    <row r="138" ht="12.75" customHeight="1">
      <c r="A138" s="108"/>
      <c r="B138" s="64"/>
      <c r="C138" s="64"/>
      <c r="D138" s="64"/>
      <c r="E138" s="64"/>
      <c r="F138" s="63"/>
      <c r="G138" s="63"/>
      <c r="H138" s="64"/>
      <c r="I138" s="64"/>
      <c r="J138" s="64"/>
      <c r="K138" s="64"/>
      <c r="L138" s="64"/>
      <c r="M138" s="64"/>
      <c r="N138" s="64"/>
      <c r="O138" s="64"/>
      <c r="P138" s="64"/>
      <c r="Q138" s="64"/>
      <c r="R138" s="64"/>
      <c r="S138" s="64"/>
      <c r="T138" s="64"/>
      <c r="U138" s="64"/>
      <c r="V138" s="64"/>
      <c r="W138" s="64"/>
      <c r="X138" s="64"/>
      <c r="Y138" s="64"/>
      <c r="Z138" s="64"/>
    </row>
    <row r="139" ht="12.75" customHeight="1">
      <c r="A139" s="108"/>
      <c r="B139" s="64"/>
      <c r="C139" s="64"/>
      <c r="D139" s="64"/>
      <c r="E139" s="64"/>
      <c r="F139" s="63"/>
      <c r="G139" s="63"/>
      <c r="H139" s="64"/>
      <c r="I139" s="64"/>
      <c r="J139" s="64"/>
      <c r="K139" s="64"/>
      <c r="L139" s="64"/>
      <c r="M139" s="64"/>
      <c r="N139" s="64"/>
      <c r="O139" s="64"/>
      <c r="P139" s="64"/>
      <c r="Q139" s="64"/>
      <c r="R139" s="64"/>
      <c r="S139" s="64"/>
      <c r="T139" s="64"/>
      <c r="U139" s="64"/>
      <c r="V139" s="64"/>
      <c r="W139" s="64"/>
      <c r="X139" s="64"/>
      <c r="Y139" s="64"/>
      <c r="Z139" s="64"/>
    </row>
    <row r="140" ht="12.75" customHeight="1">
      <c r="A140" s="108"/>
      <c r="B140" s="64"/>
      <c r="C140" s="64"/>
      <c r="D140" s="64"/>
      <c r="E140" s="64"/>
      <c r="F140" s="63"/>
      <c r="G140" s="63"/>
      <c r="H140" s="64"/>
      <c r="I140" s="64"/>
      <c r="J140" s="64"/>
      <c r="K140" s="64"/>
      <c r="L140" s="64"/>
      <c r="M140" s="64"/>
      <c r="N140" s="64"/>
      <c r="O140" s="64"/>
      <c r="P140" s="64"/>
      <c r="Q140" s="64"/>
      <c r="R140" s="64"/>
      <c r="S140" s="64"/>
      <c r="T140" s="64"/>
      <c r="U140" s="64"/>
      <c r="V140" s="64"/>
      <c r="W140" s="64"/>
      <c r="X140" s="64"/>
      <c r="Y140" s="64"/>
      <c r="Z140" s="64"/>
    </row>
    <row r="141" ht="12.75" customHeight="1">
      <c r="A141" s="108"/>
      <c r="B141" s="64"/>
      <c r="C141" s="64"/>
      <c r="D141" s="64"/>
      <c r="E141" s="64"/>
      <c r="F141" s="63"/>
      <c r="G141" s="63"/>
      <c r="H141" s="64"/>
      <c r="I141" s="64"/>
      <c r="J141" s="64"/>
      <c r="K141" s="64"/>
      <c r="L141" s="64"/>
      <c r="M141" s="64"/>
      <c r="N141" s="64"/>
      <c r="O141" s="64"/>
      <c r="P141" s="64"/>
      <c r="Q141" s="64"/>
      <c r="R141" s="64"/>
      <c r="S141" s="64"/>
      <c r="T141" s="64"/>
      <c r="U141" s="64"/>
      <c r="V141" s="64"/>
      <c r="W141" s="64"/>
      <c r="X141" s="64"/>
      <c r="Y141" s="64"/>
      <c r="Z141" s="64"/>
    </row>
    <row r="142" ht="12.75" customHeight="1">
      <c r="A142" s="108"/>
      <c r="B142" s="64"/>
      <c r="C142" s="64"/>
      <c r="D142" s="64"/>
      <c r="E142" s="64"/>
      <c r="F142" s="63"/>
      <c r="G142" s="63"/>
      <c r="H142" s="64"/>
      <c r="I142" s="64"/>
      <c r="J142" s="64"/>
      <c r="K142" s="64"/>
      <c r="L142" s="64"/>
      <c r="M142" s="64"/>
      <c r="N142" s="64"/>
      <c r="O142" s="64"/>
      <c r="P142" s="64"/>
      <c r="Q142" s="64"/>
      <c r="R142" s="64"/>
      <c r="S142" s="64"/>
      <c r="T142" s="64"/>
      <c r="U142" s="64"/>
      <c r="V142" s="64"/>
      <c r="W142" s="64"/>
      <c r="X142" s="64"/>
      <c r="Y142" s="64"/>
      <c r="Z142" s="64"/>
    </row>
    <row r="143" ht="12.75" customHeight="1">
      <c r="A143" s="108"/>
      <c r="B143" s="64"/>
      <c r="C143" s="64"/>
      <c r="D143" s="64"/>
      <c r="E143" s="64"/>
      <c r="F143" s="63"/>
      <c r="G143" s="63"/>
      <c r="H143" s="64"/>
      <c r="I143" s="64"/>
      <c r="J143" s="64"/>
      <c r="K143" s="64"/>
      <c r="L143" s="64"/>
      <c r="M143" s="64"/>
      <c r="N143" s="64"/>
      <c r="O143" s="64"/>
      <c r="P143" s="64"/>
      <c r="Q143" s="64"/>
      <c r="R143" s="64"/>
      <c r="S143" s="64"/>
      <c r="T143" s="64"/>
      <c r="U143" s="64"/>
      <c r="V143" s="64"/>
      <c r="W143" s="64"/>
      <c r="X143" s="64"/>
      <c r="Y143" s="64"/>
      <c r="Z143" s="64"/>
    </row>
    <row r="144" ht="12.75" customHeight="1">
      <c r="A144" s="108"/>
      <c r="B144" s="64"/>
      <c r="C144" s="64"/>
      <c r="D144" s="64"/>
      <c r="E144" s="64"/>
      <c r="F144" s="63"/>
      <c r="G144" s="63"/>
      <c r="H144" s="64"/>
      <c r="I144" s="64"/>
      <c r="J144" s="64"/>
      <c r="K144" s="64"/>
      <c r="L144" s="64"/>
      <c r="M144" s="64"/>
      <c r="N144" s="64"/>
      <c r="O144" s="64"/>
      <c r="P144" s="64"/>
      <c r="Q144" s="64"/>
      <c r="R144" s="64"/>
      <c r="S144" s="64"/>
      <c r="T144" s="64"/>
      <c r="U144" s="64"/>
      <c r="V144" s="64"/>
      <c r="W144" s="64"/>
      <c r="X144" s="64"/>
      <c r="Y144" s="64"/>
      <c r="Z144" s="64"/>
    </row>
    <row r="145" ht="12.75" customHeight="1">
      <c r="A145" s="108"/>
      <c r="B145" s="64"/>
      <c r="C145" s="64"/>
      <c r="D145" s="64"/>
      <c r="E145" s="64"/>
      <c r="F145" s="63"/>
      <c r="G145" s="63"/>
      <c r="H145" s="64"/>
      <c r="I145" s="64"/>
      <c r="J145" s="64"/>
      <c r="K145" s="64"/>
      <c r="L145" s="64"/>
      <c r="M145" s="64"/>
      <c r="N145" s="64"/>
      <c r="O145" s="64"/>
      <c r="P145" s="64"/>
      <c r="Q145" s="64"/>
      <c r="R145" s="64"/>
      <c r="S145" s="64"/>
      <c r="T145" s="64"/>
      <c r="U145" s="64"/>
      <c r="V145" s="64"/>
      <c r="W145" s="64"/>
      <c r="X145" s="64"/>
      <c r="Y145" s="64"/>
      <c r="Z145" s="64"/>
    </row>
    <row r="146" ht="12.75" customHeight="1">
      <c r="A146" s="108"/>
      <c r="B146" s="64"/>
      <c r="C146" s="64"/>
      <c r="D146" s="64"/>
      <c r="E146" s="64"/>
      <c r="F146" s="63"/>
      <c r="G146" s="63"/>
      <c r="H146" s="64"/>
      <c r="I146" s="64"/>
      <c r="J146" s="64"/>
      <c r="K146" s="64"/>
      <c r="L146" s="64"/>
      <c r="M146" s="64"/>
      <c r="N146" s="64"/>
      <c r="O146" s="64"/>
      <c r="P146" s="64"/>
      <c r="Q146" s="64"/>
      <c r="R146" s="64"/>
      <c r="S146" s="64"/>
      <c r="T146" s="64"/>
      <c r="U146" s="64"/>
      <c r="V146" s="64"/>
      <c r="W146" s="64"/>
      <c r="X146" s="64"/>
      <c r="Y146" s="64"/>
      <c r="Z146" s="64"/>
    </row>
    <row r="147" ht="12.75" customHeight="1">
      <c r="A147" s="108"/>
      <c r="B147" s="64"/>
      <c r="C147" s="64"/>
      <c r="D147" s="64"/>
      <c r="E147" s="64"/>
      <c r="F147" s="63"/>
      <c r="G147" s="63"/>
      <c r="H147" s="64"/>
      <c r="I147" s="64"/>
      <c r="J147" s="64"/>
      <c r="K147" s="64"/>
      <c r="L147" s="64"/>
      <c r="M147" s="64"/>
      <c r="N147" s="64"/>
      <c r="O147" s="64"/>
      <c r="P147" s="64"/>
      <c r="Q147" s="64"/>
      <c r="R147" s="64"/>
      <c r="S147" s="64"/>
      <c r="T147" s="64"/>
      <c r="U147" s="64"/>
      <c r="V147" s="64"/>
      <c r="W147" s="64"/>
      <c r="X147" s="64"/>
      <c r="Y147" s="64"/>
      <c r="Z147" s="64"/>
    </row>
    <row r="148" ht="12.75" customHeight="1">
      <c r="A148" s="108"/>
      <c r="B148" s="64"/>
      <c r="C148" s="64"/>
      <c r="D148" s="64"/>
      <c r="E148" s="64"/>
      <c r="F148" s="63"/>
      <c r="G148" s="63"/>
      <c r="H148" s="64"/>
      <c r="I148" s="64"/>
      <c r="J148" s="64"/>
      <c r="K148" s="64"/>
      <c r="L148" s="64"/>
      <c r="M148" s="64"/>
      <c r="N148" s="64"/>
      <c r="O148" s="64"/>
      <c r="P148" s="64"/>
      <c r="Q148" s="64"/>
      <c r="R148" s="64"/>
      <c r="S148" s="64"/>
      <c r="T148" s="64"/>
      <c r="U148" s="64"/>
      <c r="V148" s="64"/>
      <c r="W148" s="64"/>
      <c r="X148" s="64"/>
      <c r="Y148" s="64"/>
      <c r="Z148" s="64"/>
    </row>
    <row r="149" ht="12.75" customHeight="1">
      <c r="A149" s="108"/>
      <c r="B149" s="64"/>
      <c r="C149" s="64"/>
      <c r="D149" s="64"/>
      <c r="E149" s="64"/>
      <c r="F149" s="63"/>
      <c r="G149" s="63"/>
      <c r="H149" s="64"/>
      <c r="I149" s="64"/>
      <c r="J149" s="64"/>
      <c r="K149" s="64"/>
      <c r="L149" s="64"/>
      <c r="M149" s="64"/>
      <c r="N149" s="64"/>
      <c r="O149" s="64"/>
      <c r="P149" s="64"/>
      <c r="Q149" s="64"/>
      <c r="R149" s="64"/>
      <c r="S149" s="64"/>
      <c r="T149" s="64"/>
      <c r="U149" s="64"/>
      <c r="V149" s="64"/>
      <c r="W149" s="64"/>
      <c r="X149" s="64"/>
      <c r="Y149" s="64"/>
      <c r="Z149" s="64"/>
    </row>
    <row r="150" ht="12.75" customHeight="1">
      <c r="A150" s="108"/>
      <c r="B150" s="64"/>
      <c r="C150" s="64"/>
      <c r="D150" s="64"/>
      <c r="E150" s="64"/>
      <c r="F150" s="63"/>
      <c r="G150" s="63"/>
      <c r="H150" s="64"/>
      <c r="I150" s="64"/>
      <c r="J150" s="64"/>
      <c r="K150" s="64"/>
      <c r="L150" s="64"/>
      <c r="M150" s="64"/>
      <c r="N150" s="64"/>
      <c r="O150" s="64"/>
      <c r="P150" s="64"/>
      <c r="Q150" s="64"/>
      <c r="R150" s="64"/>
      <c r="S150" s="64"/>
      <c r="T150" s="64"/>
      <c r="U150" s="64"/>
      <c r="V150" s="64"/>
      <c r="W150" s="64"/>
      <c r="X150" s="64"/>
      <c r="Y150" s="64"/>
      <c r="Z150" s="64"/>
    </row>
    <row r="151" ht="12.75" customHeight="1">
      <c r="A151" s="108"/>
      <c r="B151" s="64"/>
      <c r="C151" s="64"/>
      <c r="D151" s="64"/>
      <c r="E151" s="64"/>
      <c r="F151" s="63"/>
      <c r="G151" s="63"/>
      <c r="H151" s="64"/>
      <c r="I151" s="64"/>
      <c r="J151" s="64"/>
      <c r="K151" s="64"/>
      <c r="L151" s="64"/>
      <c r="M151" s="64"/>
      <c r="N151" s="64"/>
      <c r="O151" s="64"/>
      <c r="P151" s="64"/>
      <c r="Q151" s="64"/>
      <c r="R151" s="64"/>
      <c r="S151" s="64"/>
      <c r="T151" s="64"/>
      <c r="U151" s="64"/>
      <c r="V151" s="64"/>
      <c r="W151" s="64"/>
      <c r="X151" s="64"/>
      <c r="Y151" s="64"/>
      <c r="Z151" s="64"/>
    </row>
    <row r="152" ht="12.75" customHeight="1">
      <c r="A152" s="108"/>
      <c r="B152" s="64"/>
      <c r="C152" s="64"/>
      <c r="D152" s="64"/>
      <c r="E152" s="64"/>
      <c r="F152" s="63"/>
      <c r="G152" s="63"/>
      <c r="H152" s="64"/>
      <c r="I152" s="64"/>
      <c r="J152" s="64"/>
      <c r="K152" s="64"/>
      <c r="L152" s="64"/>
      <c r="M152" s="64"/>
      <c r="N152" s="64"/>
      <c r="O152" s="64"/>
      <c r="P152" s="64"/>
      <c r="Q152" s="64"/>
      <c r="R152" s="64"/>
      <c r="S152" s="64"/>
      <c r="T152" s="64"/>
      <c r="U152" s="64"/>
      <c r="V152" s="64"/>
      <c r="W152" s="64"/>
      <c r="X152" s="64"/>
      <c r="Y152" s="64"/>
      <c r="Z152" s="64"/>
    </row>
    <row r="153" ht="12.75" customHeight="1">
      <c r="A153" s="108"/>
      <c r="B153" s="64"/>
      <c r="C153" s="64"/>
      <c r="D153" s="64"/>
      <c r="E153" s="64"/>
      <c r="F153" s="63"/>
      <c r="G153" s="63"/>
      <c r="H153" s="64"/>
      <c r="I153" s="64"/>
      <c r="J153" s="64"/>
      <c r="K153" s="64"/>
      <c r="L153" s="64"/>
      <c r="M153" s="64"/>
      <c r="N153" s="64"/>
      <c r="O153" s="64"/>
      <c r="P153" s="64"/>
      <c r="Q153" s="64"/>
      <c r="R153" s="64"/>
      <c r="S153" s="64"/>
      <c r="T153" s="64"/>
      <c r="U153" s="64"/>
      <c r="V153" s="64"/>
      <c r="W153" s="64"/>
      <c r="X153" s="64"/>
      <c r="Y153" s="64"/>
      <c r="Z153" s="64"/>
    </row>
    <row r="154" ht="12.75" customHeight="1">
      <c r="A154" s="108"/>
      <c r="B154" s="64"/>
      <c r="C154" s="64"/>
      <c r="D154" s="64"/>
      <c r="E154" s="64"/>
      <c r="F154" s="63"/>
      <c r="G154" s="63"/>
      <c r="H154" s="64"/>
      <c r="I154" s="64"/>
      <c r="J154" s="64"/>
      <c r="K154" s="64"/>
      <c r="L154" s="64"/>
      <c r="M154" s="64"/>
      <c r="N154" s="64"/>
      <c r="O154" s="64"/>
      <c r="P154" s="64"/>
      <c r="Q154" s="64"/>
      <c r="R154" s="64"/>
      <c r="S154" s="64"/>
      <c r="T154" s="64"/>
      <c r="U154" s="64"/>
      <c r="V154" s="64"/>
      <c r="W154" s="64"/>
      <c r="X154" s="64"/>
      <c r="Y154" s="64"/>
      <c r="Z154" s="64"/>
    </row>
    <row r="155" ht="12.75" customHeight="1">
      <c r="A155" s="108"/>
      <c r="B155" s="64"/>
      <c r="C155" s="64"/>
      <c r="D155" s="64"/>
      <c r="E155" s="64"/>
      <c r="F155" s="63"/>
      <c r="G155" s="63"/>
      <c r="H155" s="64"/>
      <c r="I155" s="64"/>
      <c r="J155" s="64"/>
      <c r="K155" s="64"/>
      <c r="L155" s="64"/>
      <c r="M155" s="64"/>
      <c r="N155" s="64"/>
      <c r="O155" s="64"/>
      <c r="P155" s="64"/>
      <c r="Q155" s="64"/>
      <c r="R155" s="64"/>
      <c r="S155" s="64"/>
      <c r="T155" s="64"/>
      <c r="U155" s="64"/>
      <c r="V155" s="64"/>
      <c r="W155" s="64"/>
      <c r="X155" s="64"/>
      <c r="Y155" s="64"/>
      <c r="Z155" s="64"/>
    </row>
    <row r="156" ht="12.75" customHeight="1">
      <c r="A156" s="108"/>
      <c r="B156" s="64"/>
      <c r="C156" s="64"/>
      <c r="D156" s="64"/>
      <c r="E156" s="64"/>
      <c r="F156" s="63"/>
      <c r="G156" s="63"/>
      <c r="H156" s="64"/>
      <c r="I156" s="64"/>
      <c r="J156" s="64"/>
      <c r="K156" s="64"/>
      <c r="L156" s="64"/>
      <c r="M156" s="64"/>
      <c r="N156" s="64"/>
      <c r="O156" s="64"/>
      <c r="P156" s="64"/>
      <c r="Q156" s="64"/>
      <c r="R156" s="64"/>
      <c r="S156" s="64"/>
      <c r="T156" s="64"/>
      <c r="U156" s="64"/>
      <c r="V156" s="64"/>
      <c r="W156" s="64"/>
      <c r="X156" s="64"/>
      <c r="Y156" s="64"/>
      <c r="Z156" s="64"/>
    </row>
    <row r="157" ht="12.75" customHeight="1">
      <c r="A157" s="108"/>
      <c r="B157" s="64"/>
      <c r="C157" s="64"/>
      <c r="D157" s="64"/>
      <c r="E157" s="64"/>
      <c r="F157" s="63"/>
      <c r="G157" s="63"/>
      <c r="H157" s="64"/>
      <c r="I157" s="64"/>
      <c r="J157" s="64"/>
      <c r="K157" s="64"/>
      <c r="L157" s="64"/>
      <c r="M157" s="64"/>
      <c r="N157" s="64"/>
      <c r="O157" s="64"/>
      <c r="P157" s="64"/>
      <c r="Q157" s="64"/>
      <c r="R157" s="64"/>
      <c r="S157" s="64"/>
      <c r="T157" s="64"/>
      <c r="U157" s="64"/>
      <c r="V157" s="64"/>
      <c r="W157" s="64"/>
      <c r="X157" s="64"/>
      <c r="Y157" s="64"/>
      <c r="Z157" s="64"/>
    </row>
    <row r="158" ht="12.75" customHeight="1">
      <c r="A158" s="108"/>
      <c r="B158" s="64"/>
      <c r="C158" s="64"/>
      <c r="D158" s="64"/>
      <c r="E158" s="64"/>
      <c r="F158" s="63"/>
      <c r="G158" s="63"/>
      <c r="H158" s="64"/>
      <c r="I158" s="64"/>
      <c r="J158" s="64"/>
      <c r="K158" s="64"/>
      <c r="L158" s="64"/>
      <c r="M158" s="64"/>
      <c r="N158" s="64"/>
      <c r="O158" s="64"/>
      <c r="P158" s="64"/>
      <c r="Q158" s="64"/>
      <c r="R158" s="64"/>
      <c r="S158" s="64"/>
      <c r="T158" s="64"/>
      <c r="U158" s="64"/>
      <c r="V158" s="64"/>
      <c r="W158" s="64"/>
      <c r="X158" s="64"/>
      <c r="Y158" s="64"/>
      <c r="Z158" s="64"/>
    </row>
    <row r="159" ht="12.75" customHeight="1">
      <c r="A159" s="108"/>
      <c r="B159" s="64"/>
      <c r="C159" s="64"/>
      <c r="D159" s="64"/>
      <c r="E159" s="64"/>
      <c r="F159" s="63"/>
      <c r="G159" s="63"/>
      <c r="H159" s="64"/>
      <c r="I159" s="64"/>
      <c r="J159" s="64"/>
      <c r="K159" s="64"/>
      <c r="L159" s="64"/>
      <c r="M159" s="64"/>
      <c r="N159" s="64"/>
      <c r="O159" s="64"/>
      <c r="P159" s="64"/>
      <c r="Q159" s="64"/>
      <c r="R159" s="64"/>
      <c r="S159" s="64"/>
      <c r="T159" s="64"/>
      <c r="U159" s="64"/>
      <c r="V159" s="64"/>
      <c r="W159" s="64"/>
      <c r="X159" s="64"/>
      <c r="Y159" s="64"/>
      <c r="Z159" s="64"/>
    </row>
    <row r="160" ht="12.75" customHeight="1">
      <c r="A160" s="108"/>
      <c r="B160" s="64"/>
      <c r="C160" s="64"/>
      <c r="D160" s="64"/>
      <c r="E160" s="64"/>
      <c r="F160" s="63"/>
      <c r="G160" s="63"/>
      <c r="H160" s="64"/>
      <c r="I160" s="64"/>
      <c r="J160" s="64"/>
      <c r="K160" s="64"/>
      <c r="L160" s="64"/>
      <c r="M160" s="64"/>
      <c r="N160" s="64"/>
      <c r="O160" s="64"/>
      <c r="P160" s="64"/>
      <c r="Q160" s="64"/>
      <c r="R160" s="64"/>
      <c r="S160" s="64"/>
      <c r="T160" s="64"/>
      <c r="U160" s="64"/>
      <c r="V160" s="64"/>
      <c r="W160" s="64"/>
      <c r="X160" s="64"/>
      <c r="Y160" s="64"/>
      <c r="Z160" s="64"/>
    </row>
    <row r="161" ht="12.75" customHeight="1">
      <c r="A161" s="108"/>
      <c r="B161" s="64"/>
      <c r="C161" s="64"/>
      <c r="D161" s="64"/>
      <c r="E161" s="64"/>
      <c r="F161" s="63"/>
      <c r="G161" s="63"/>
      <c r="H161" s="64"/>
      <c r="I161" s="64"/>
      <c r="J161" s="64"/>
      <c r="K161" s="64"/>
      <c r="L161" s="64"/>
      <c r="M161" s="64"/>
      <c r="N161" s="64"/>
      <c r="O161" s="64"/>
      <c r="P161" s="64"/>
      <c r="Q161" s="64"/>
      <c r="R161" s="64"/>
      <c r="S161" s="64"/>
      <c r="T161" s="64"/>
      <c r="U161" s="64"/>
      <c r="V161" s="64"/>
      <c r="W161" s="64"/>
      <c r="X161" s="64"/>
      <c r="Y161" s="64"/>
      <c r="Z161" s="64"/>
    </row>
    <row r="162" ht="12.75" customHeight="1">
      <c r="A162" s="108"/>
      <c r="B162" s="64"/>
      <c r="C162" s="64"/>
      <c r="D162" s="64"/>
      <c r="E162" s="64"/>
      <c r="F162" s="63"/>
      <c r="G162" s="63"/>
      <c r="H162" s="64"/>
      <c r="I162" s="64"/>
      <c r="J162" s="64"/>
      <c r="K162" s="64"/>
      <c r="L162" s="64"/>
      <c r="M162" s="64"/>
      <c r="N162" s="64"/>
      <c r="O162" s="64"/>
      <c r="P162" s="64"/>
      <c r="Q162" s="64"/>
      <c r="R162" s="64"/>
      <c r="S162" s="64"/>
      <c r="T162" s="64"/>
      <c r="U162" s="64"/>
      <c r="V162" s="64"/>
      <c r="W162" s="64"/>
      <c r="X162" s="64"/>
      <c r="Y162" s="64"/>
      <c r="Z162" s="64"/>
    </row>
    <row r="163" ht="12.75" customHeight="1">
      <c r="A163" s="108"/>
      <c r="B163" s="64"/>
      <c r="C163" s="64"/>
      <c r="D163" s="64"/>
      <c r="E163" s="64"/>
      <c r="F163" s="63"/>
      <c r="G163" s="63"/>
      <c r="H163" s="64"/>
      <c r="I163" s="64"/>
      <c r="J163" s="64"/>
      <c r="K163" s="64"/>
      <c r="L163" s="64"/>
      <c r="M163" s="64"/>
      <c r="N163" s="64"/>
      <c r="O163" s="64"/>
      <c r="P163" s="64"/>
      <c r="Q163" s="64"/>
      <c r="R163" s="64"/>
      <c r="S163" s="64"/>
      <c r="T163" s="64"/>
      <c r="U163" s="64"/>
      <c r="V163" s="64"/>
      <c r="W163" s="64"/>
      <c r="X163" s="64"/>
      <c r="Y163" s="64"/>
      <c r="Z163" s="64"/>
    </row>
    <row r="164" ht="12.75" customHeight="1">
      <c r="A164" s="108"/>
      <c r="B164" s="64"/>
      <c r="C164" s="64"/>
      <c r="D164" s="64"/>
      <c r="E164" s="64"/>
      <c r="F164" s="63"/>
      <c r="G164" s="63"/>
      <c r="H164" s="64"/>
      <c r="I164" s="64"/>
      <c r="J164" s="64"/>
      <c r="K164" s="64"/>
      <c r="L164" s="64"/>
      <c r="M164" s="64"/>
      <c r="N164" s="64"/>
      <c r="O164" s="64"/>
      <c r="P164" s="64"/>
      <c r="Q164" s="64"/>
      <c r="R164" s="64"/>
      <c r="S164" s="64"/>
      <c r="T164" s="64"/>
      <c r="U164" s="64"/>
      <c r="V164" s="64"/>
      <c r="W164" s="64"/>
      <c r="X164" s="64"/>
      <c r="Y164" s="64"/>
      <c r="Z164" s="64"/>
    </row>
    <row r="165" ht="12.75" customHeight="1">
      <c r="A165" s="108"/>
      <c r="B165" s="64"/>
      <c r="C165" s="64"/>
      <c r="D165" s="64"/>
      <c r="E165" s="64"/>
      <c r="F165" s="63"/>
      <c r="G165" s="63"/>
      <c r="H165" s="64"/>
      <c r="I165" s="64"/>
      <c r="J165" s="64"/>
      <c r="K165" s="64"/>
      <c r="L165" s="64"/>
      <c r="M165" s="64"/>
      <c r="N165" s="64"/>
      <c r="O165" s="64"/>
      <c r="P165" s="64"/>
      <c r="Q165" s="64"/>
      <c r="R165" s="64"/>
      <c r="S165" s="64"/>
      <c r="T165" s="64"/>
      <c r="U165" s="64"/>
      <c r="V165" s="64"/>
      <c r="W165" s="64"/>
      <c r="X165" s="64"/>
      <c r="Y165" s="64"/>
      <c r="Z165" s="64"/>
    </row>
    <row r="166" ht="12.75" customHeight="1">
      <c r="A166" s="108"/>
      <c r="B166" s="64"/>
      <c r="C166" s="64"/>
      <c r="D166" s="64"/>
      <c r="E166" s="64"/>
      <c r="F166" s="63"/>
      <c r="G166" s="63"/>
      <c r="H166" s="64"/>
      <c r="I166" s="64"/>
      <c r="J166" s="64"/>
      <c r="K166" s="64"/>
      <c r="L166" s="64"/>
      <c r="M166" s="64"/>
      <c r="N166" s="64"/>
      <c r="O166" s="64"/>
      <c r="P166" s="64"/>
      <c r="Q166" s="64"/>
      <c r="R166" s="64"/>
      <c r="S166" s="64"/>
      <c r="T166" s="64"/>
      <c r="U166" s="64"/>
      <c r="V166" s="64"/>
      <c r="W166" s="64"/>
      <c r="X166" s="64"/>
      <c r="Y166" s="64"/>
      <c r="Z166" s="64"/>
    </row>
    <row r="167" ht="12.75" customHeight="1">
      <c r="A167" s="108"/>
      <c r="B167" s="64"/>
      <c r="C167" s="64"/>
      <c r="D167" s="64"/>
      <c r="E167" s="64"/>
      <c r="F167" s="63"/>
      <c r="G167" s="63"/>
      <c r="H167" s="64"/>
      <c r="I167" s="64"/>
      <c r="J167" s="64"/>
      <c r="K167" s="64"/>
      <c r="L167" s="64"/>
      <c r="M167" s="64"/>
      <c r="N167" s="64"/>
      <c r="O167" s="64"/>
      <c r="P167" s="64"/>
      <c r="Q167" s="64"/>
      <c r="R167" s="64"/>
      <c r="S167" s="64"/>
      <c r="T167" s="64"/>
      <c r="U167" s="64"/>
      <c r="V167" s="64"/>
      <c r="W167" s="64"/>
      <c r="X167" s="64"/>
      <c r="Y167" s="64"/>
      <c r="Z167" s="64"/>
    </row>
    <row r="168" ht="12.75" customHeight="1">
      <c r="A168" s="108"/>
      <c r="B168" s="64"/>
      <c r="C168" s="64"/>
      <c r="D168" s="64"/>
      <c r="E168" s="64"/>
      <c r="F168" s="63"/>
      <c r="G168" s="63"/>
      <c r="H168" s="64"/>
      <c r="I168" s="64"/>
      <c r="J168" s="64"/>
      <c r="K168" s="64"/>
      <c r="L168" s="64"/>
      <c r="M168" s="64"/>
      <c r="N168" s="64"/>
      <c r="O168" s="64"/>
      <c r="P168" s="64"/>
      <c r="Q168" s="64"/>
      <c r="R168" s="64"/>
      <c r="S168" s="64"/>
      <c r="T168" s="64"/>
      <c r="U168" s="64"/>
      <c r="V168" s="64"/>
      <c r="W168" s="64"/>
      <c r="X168" s="64"/>
      <c r="Y168" s="64"/>
      <c r="Z168" s="64"/>
    </row>
    <row r="169" ht="12.75" customHeight="1">
      <c r="A169" s="108"/>
      <c r="B169" s="64"/>
      <c r="C169" s="64"/>
      <c r="D169" s="64"/>
      <c r="E169" s="64"/>
      <c r="F169" s="63"/>
      <c r="G169" s="63"/>
      <c r="H169" s="64"/>
      <c r="I169" s="64"/>
      <c r="J169" s="64"/>
      <c r="K169" s="64"/>
      <c r="L169" s="64"/>
      <c r="M169" s="64"/>
      <c r="N169" s="64"/>
      <c r="O169" s="64"/>
      <c r="P169" s="64"/>
      <c r="Q169" s="64"/>
      <c r="R169" s="64"/>
      <c r="S169" s="64"/>
      <c r="T169" s="64"/>
      <c r="U169" s="64"/>
      <c r="V169" s="64"/>
      <c r="W169" s="64"/>
      <c r="X169" s="64"/>
      <c r="Y169" s="64"/>
      <c r="Z169" s="64"/>
    </row>
    <row r="170" ht="12.75" customHeight="1">
      <c r="A170" s="108"/>
      <c r="B170" s="64"/>
      <c r="C170" s="64"/>
      <c r="D170" s="64"/>
      <c r="E170" s="64"/>
      <c r="F170" s="63"/>
      <c r="G170" s="63"/>
      <c r="H170" s="64"/>
      <c r="I170" s="64"/>
      <c r="J170" s="64"/>
      <c r="K170" s="64"/>
      <c r="L170" s="64"/>
      <c r="M170" s="64"/>
      <c r="N170" s="64"/>
      <c r="O170" s="64"/>
      <c r="P170" s="64"/>
      <c r="Q170" s="64"/>
      <c r="R170" s="64"/>
      <c r="S170" s="64"/>
      <c r="T170" s="64"/>
      <c r="U170" s="64"/>
      <c r="V170" s="64"/>
      <c r="W170" s="64"/>
      <c r="X170" s="64"/>
      <c r="Y170" s="64"/>
      <c r="Z170" s="64"/>
    </row>
    <row r="171" ht="12.75" customHeight="1">
      <c r="A171" s="108"/>
      <c r="B171" s="64"/>
      <c r="C171" s="64"/>
      <c r="D171" s="64"/>
      <c r="E171" s="64"/>
      <c r="F171" s="63"/>
      <c r="G171" s="63"/>
      <c r="H171" s="64"/>
      <c r="I171" s="64"/>
      <c r="J171" s="64"/>
      <c r="K171" s="64"/>
      <c r="L171" s="64"/>
      <c r="M171" s="64"/>
      <c r="N171" s="64"/>
      <c r="O171" s="64"/>
      <c r="P171" s="64"/>
      <c r="Q171" s="64"/>
      <c r="R171" s="64"/>
      <c r="S171" s="64"/>
      <c r="T171" s="64"/>
      <c r="U171" s="64"/>
      <c r="V171" s="64"/>
      <c r="W171" s="64"/>
      <c r="X171" s="64"/>
      <c r="Y171" s="64"/>
      <c r="Z171" s="64"/>
    </row>
    <row r="172" ht="12.75" customHeight="1">
      <c r="A172" s="108"/>
      <c r="B172" s="64"/>
      <c r="C172" s="64"/>
      <c r="D172" s="64"/>
      <c r="E172" s="64"/>
      <c r="F172" s="63"/>
      <c r="G172" s="63"/>
      <c r="H172" s="64"/>
      <c r="I172" s="64"/>
      <c r="J172" s="64"/>
      <c r="K172" s="64"/>
      <c r="L172" s="64"/>
      <c r="M172" s="64"/>
      <c r="N172" s="64"/>
      <c r="O172" s="64"/>
      <c r="P172" s="64"/>
      <c r="Q172" s="64"/>
      <c r="R172" s="64"/>
      <c r="S172" s="64"/>
      <c r="T172" s="64"/>
      <c r="U172" s="64"/>
      <c r="V172" s="64"/>
      <c r="W172" s="64"/>
      <c r="X172" s="64"/>
      <c r="Y172" s="64"/>
      <c r="Z172" s="64"/>
    </row>
    <row r="173" ht="12.75" customHeight="1">
      <c r="A173" s="108"/>
      <c r="B173" s="64"/>
      <c r="C173" s="64"/>
      <c r="D173" s="64"/>
      <c r="E173" s="64"/>
      <c r="F173" s="63"/>
      <c r="G173" s="63"/>
      <c r="H173" s="64"/>
      <c r="I173" s="64"/>
      <c r="J173" s="64"/>
      <c r="K173" s="64"/>
      <c r="L173" s="64"/>
      <c r="M173" s="64"/>
      <c r="N173" s="64"/>
      <c r="O173" s="64"/>
      <c r="P173" s="64"/>
      <c r="Q173" s="64"/>
      <c r="R173" s="64"/>
      <c r="S173" s="64"/>
      <c r="T173" s="64"/>
      <c r="U173" s="64"/>
      <c r="V173" s="64"/>
      <c r="W173" s="64"/>
      <c r="X173" s="64"/>
      <c r="Y173" s="64"/>
      <c r="Z173" s="64"/>
    </row>
    <row r="174" ht="12.75" customHeight="1">
      <c r="A174" s="108"/>
      <c r="B174" s="64"/>
      <c r="C174" s="64"/>
      <c r="D174" s="64"/>
      <c r="E174" s="64"/>
      <c r="F174" s="63"/>
      <c r="G174" s="63"/>
      <c r="H174" s="64"/>
      <c r="I174" s="64"/>
      <c r="J174" s="64"/>
      <c r="K174" s="64"/>
      <c r="L174" s="64"/>
      <c r="M174" s="64"/>
      <c r="N174" s="64"/>
      <c r="O174" s="64"/>
      <c r="P174" s="64"/>
      <c r="Q174" s="64"/>
      <c r="R174" s="64"/>
      <c r="S174" s="64"/>
      <c r="T174" s="64"/>
      <c r="U174" s="64"/>
      <c r="V174" s="64"/>
      <c r="W174" s="64"/>
      <c r="X174" s="64"/>
      <c r="Y174" s="64"/>
      <c r="Z174" s="64"/>
    </row>
    <row r="175" ht="12.75" customHeight="1">
      <c r="A175" s="108"/>
      <c r="B175" s="64"/>
      <c r="C175" s="64"/>
      <c r="D175" s="64"/>
      <c r="E175" s="64"/>
      <c r="F175" s="63"/>
      <c r="G175" s="63"/>
      <c r="H175" s="64"/>
      <c r="I175" s="64"/>
      <c r="J175" s="64"/>
      <c r="K175" s="64"/>
      <c r="L175" s="64"/>
      <c r="M175" s="64"/>
      <c r="N175" s="64"/>
      <c r="O175" s="64"/>
      <c r="P175" s="64"/>
      <c r="Q175" s="64"/>
      <c r="R175" s="64"/>
      <c r="S175" s="64"/>
      <c r="T175" s="64"/>
      <c r="U175" s="64"/>
      <c r="V175" s="64"/>
      <c r="W175" s="64"/>
      <c r="X175" s="64"/>
      <c r="Y175" s="64"/>
      <c r="Z175" s="64"/>
    </row>
    <row r="176" ht="12.75" customHeight="1">
      <c r="A176" s="108"/>
      <c r="B176" s="64"/>
      <c r="C176" s="64"/>
      <c r="D176" s="64"/>
      <c r="E176" s="64"/>
      <c r="F176" s="63"/>
      <c r="G176" s="63"/>
      <c r="H176" s="64"/>
      <c r="I176" s="64"/>
      <c r="J176" s="64"/>
      <c r="K176" s="64"/>
      <c r="L176" s="64"/>
      <c r="M176" s="64"/>
      <c r="N176" s="64"/>
      <c r="O176" s="64"/>
      <c r="P176" s="64"/>
      <c r="Q176" s="64"/>
      <c r="R176" s="64"/>
      <c r="S176" s="64"/>
      <c r="T176" s="64"/>
      <c r="U176" s="64"/>
      <c r="V176" s="64"/>
      <c r="W176" s="64"/>
      <c r="X176" s="64"/>
      <c r="Y176" s="64"/>
      <c r="Z176" s="64"/>
    </row>
    <row r="177" ht="12.75" customHeight="1">
      <c r="A177" s="108"/>
      <c r="B177" s="64"/>
      <c r="C177" s="64"/>
      <c r="D177" s="64"/>
      <c r="E177" s="64"/>
      <c r="F177" s="63"/>
      <c r="G177" s="63"/>
      <c r="H177" s="64"/>
      <c r="I177" s="64"/>
      <c r="J177" s="64"/>
      <c r="K177" s="64"/>
      <c r="L177" s="64"/>
      <c r="M177" s="64"/>
      <c r="N177" s="64"/>
      <c r="O177" s="64"/>
      <c r="P177" s="64"/>
      <c r="Q177" s="64"/>
      <c r="R177" s="64"/>
      <c r="S177" s="64"/>
      <c r="T177" s="64"/>
      <c r="U177" s="64"/>
      <c r="V177" s="64"/>
      <c r="W177" s="64"/>
      <c r="X177" s="64"/>
      <c r="Y177" s="64"/>
      <c r="Z177" s="64"/>
    </row>
    <row r="178" ht="12.75" customHeight="1">
      <c r="A178" s="108"/>
      <c r="B178" s="64"/>
      <c r="C178" s="64"/>
      <c r="D178" s="64"/>
      <c r="E178" s="64"/>
      <c r="F178" s="63"/>
      <c r="G178" s="63"/>
      <c r="H178" s="64"/>
      <c r="I178" s="64"/>
      <c r="J178" s="64"/>
      <c r="K178" s="64"/>
      <c r="L178" s="64"/>
      <c r="M178" s="64"/>
      <c r="N178" s="64"/>
      <c r="O178" s="64"/>
      <c r="P178" s="64"/>
      <c r="Q178" s="64"/>
      <c r="R178" s="64"/>
      <c r="S178" s="64"/>
      <c r="T178" s="64"/>
      <c r="U178" s="64"/>
      <c r="V178" s="64"/>
      <c r="W178" s="64"/>
      <c r="X178" s="64"/>
      <c r="Y178" s="64"/>
      <c r="Z178" s="64"/>
    </row>
    <row r="179" ht="12.75" customHeight="1">
      <c r="A179" s="108"/>
      <c r="B179" s="64"/>
      <c r="C179" s="64"/>
      <c r="D179" s="64"/>
      <c r="E179" s="64"/>
      <c r="F179" s="63"/>
      <c r="G179" s="63"/>
      <c r="H179" s="64"/>
      <c r="I179" s="64"/>
      <c r="J179" s="64"/>
      <c r="K179" s="64"/>
      <c r="L179" s="64"/>
      <c r="M179" s="64"/>
      <c r="N179" s="64"/>
      <c r="O179" s="64"/>
      <c r="P179" s="64"/>
      <c r="Q179" s="64"/>
      <c r="R179" s="64"/>
      <c r="S179" s="64"/>
      <c r="T179" s="64"/>
      <c r="U179" s="64"/>
      <c r="V179" s="64"/>
      <c r="W179" s="64"/>
      <c r="X179" s="64"/>
      <c r="Y179" s="64"/>
      <c r="Z179" s="64"/>
    </row>
    <row r="180" ht="12.75" customHeight="1">
      <c r="A180" s="108"/>
      <c r="B180" s="64"/>
      <c r="C180" s="64"/>
      <c r="D180" s="64"/>
      <c r="E180" s="64"/>
      <c r="F180" s="63"/>
      <c r="G180" s="63"/>
      <c r="H180" s="64"/>
      <c r="I180" s="64"/>
      <c r="J180" s="64"/>
      <c r="K180" s="64"/>
      <c r="L180" s="64"/>
      <c r="M180" s="64"/>
      <c r="N180" s="64"/>
      <c r="O180" s="64"/>
      <c r="P180" s="64"/>
      <c r="Q180" s="64"/>
      <c r="R180" s="64"/>
      <c r="S180" s="64"/>
      <c r="T180" s="64"/>
      <c r="U180" s="64"/>
      <c r="V180" s="64"/>
      <c r="W180" s="64"/>
      <c r="X180" s="64"/>
      <c r="Y180" s="64"/>
      <c r="Z180" s="64"/>
    </row>
    <row r="181" ht="12.75" customHeight="1">
      <c r="A181" s="108"/>
      <c r="B181" s="64"/>
      <c r="C181" s="64"/>
      <c r="D181" s="64"/>
      <c r="E181" s="64"/>
      <c r="F181" s="63"/>
      <c r="G181" s="63"/>
      <c r="H181" s="64"/>
      <c r="I181" s="64"/>
      <c r="J181" s="64"/>
      <c r="K181" s="64"/>
      <c r="L181" s="64"/>
      <c r="M181" s="64"/>
      <c r="N181" s="64"/>
      <c r="O181" s="64"/>
      <c r="P181" s="64"/>
      <c r="Q181" s="64"/>
      <c r="R181" s="64"/>
      <c r="S181" s="64"/>
      <c r="T181" s="64"/>
      <c r="U181" s="64"/>
      <c r="V181" s="64"/>
      <c r="W181" s="64"/>
      <c r="X181" s="64"/>
      <c r="Y181" s="64"/>
      <c r="Z181" s="64"/>
    </row>
    <row r="182" ht="12.75" customHeight="1">
      <c r="A182" s="108"/>
      <c r="B182" s="64"/>
      <c r="C182" s="64"/>
      <c r="D182" s="64"/>
      <c r="E182" s="64"/>
      <c r="F182" s="63"/>
      <c r="G182" s="63"/>
      <c r="H182" s="64"/>
      <c r="I182" s="64"/>
      <c r="J182" s="64"/>
      <c r="K182" s="64"/>
      <c r="L182" s="64"/>
      <c r="M182" s="64"/>
      <c r="N182" s="64"/>
      <c r="O182" s="64"/>
      <c r="P182" s="64"/>
      <c r="Q182" s="64"/>
      <c r="R182" s="64"/>
      <c r="S182" s="64"/>
      <c r="T182" s="64"/>
      <c r="U182" s="64"/>
      <c r="V182" s="64"/>
      <c r="W182" s="64"/>
      <c r="X182" s="64"/>
      <c r="Y182" s="64"/>
      <c r="Z182" s="64"/>
    </row>
    <row r="183" ht="12.75" customHeight="1">
      <c r="A183" s="108"/>
      <c r="B183" s="64"/>
      <c r="C183" s="64"/>
      <c r="D183" s="64"/>
      <c r="E183" s="64"/>
      <c r="F183" s="63"/>
      <c r="G183" s="63"/>
      <c r="H183" s="64"/>
      <c r="I183" s="64"/>
      <c r="J183" s="64"/>
      <c r="K183" s="64"/>
      <c r="L183" s="64"/>
      <c r="M183" s="64"/>
      <c r="N183" s="64"/>
      <c r="O183" s="64"/>
      <c r="P183" s="64"/>
      <c r="Q183" s="64"/>
      <c r="R183" s="64"/>
      <c r="S183" s="64"/>
      <c r="T183" s="64"/>
      <c r="U183" s="64"/>
      <c r="V183" s="64"/>
      <c r="W183" s="64"/>
      <c r="X183" s="64"/>
      <c r="Y183" s="64"/>
      <c r="Z183" s="64"/>
    </row>
    <row r="184" ht="12.75" customHeight="1">
      <c r="A184" s="108"/>
      <c r="B184" s="64"/>
      <c r="C184" s="64"/>
      <c r="D184" s="64"/>
      <c r="E184" s="64"/>
      <c r="F184" s="63"/>
      <c r="G184" s="63"/>
      <c r="H184" s="64"/>
      <c r="I184" s="64"/>
      <c r="J184" s="64"/>
      <c r="K184" s="64"/>
      <c r="L184" s="64"/>
      <c r="M184" s="64"/>
      <c r="N184" s="64"/>
      <c r="O184" s="64"/>
      <c r="P184" s="64"/>
      <c r="Q184" s="64"/>
      <c r="R184" s="64"/>
      <c r="S184" s="64"/>
      <c r="T184" s="64"/>
      <c r="U184" s="64"/>
      <c r="V184" s="64"/>
      <c r="W184" s="64"/>
      <c r="X184" s="64"/>
      <c r="Y184" s="64"/>
      <c r="Z184" s="64"/>
    </row>
    <row r="185" ht="12.75" customHeight="1">
      <c r="A185" s="108"/>
      <c r="B185" s="64"/>
      <c r="C185" s="64"/>
      <c r="D185" s="64"/>
      <c r="E185" s="64"/>
      <c r="F185" s="63"/>
      <c r="G185" s="63"/>
      <c r="H185" s="64"/>
      <c r="I185" s="64"/>
      <c r="J185" s="64"/>
      <c r="K185" s="64"/>
      <c r="L185" s="64"/>
      <c r="M185" s="64"/>
      <c r="N185" s="64"/>
      <c r="O185" s="64"/>
      <c r="P185" s="64"/>
      <c r="Q185" s="64"/>
      <c r="R185" s="64"/>
      <c r="S185" s="64"/>
      <c r="T185" s="64"/>
      <c r="U185" s="64"/>
      <c r="V185" s="64"/>
      <c r="W185" s="64"/>
      <c r="X185" s="64"/>
      <c r="Y185" s="64"/>
      <c r="Z185" s="64"/>
    </row>
    <row r="186" ht="12.75" customHeight="1">
      <c r="A186" s="108"/>
      <c r="B186" s="64"/>
      <c r="C186" s="64"/>
      <c r="D186" s="64"/>
      <c r="E186" s="64"/>
      <c r="F186" s="63"/>
      <c r="G186" s="63"/>
      <c r="H186" s="64"/>
      <c r="I186" s="64"/>
      <c r="J186" s="64"/>
      <c r="K186" s="64"/>
      <c r="L186" s="64"/>
      <c r="M186" s="64"/>
      <c r="N186" s="64"/>
      <c r="O186" s="64"/>
      <c r="P186" s="64"/>
      <c r="Q186" s="64"/>
      <c r="R186" s="64"/>
      <c r="S186" s="64"/>
      <c r="T186" s="64"/>
      <c r="U186" s="64"/>
      <c r="V186" s="64"/>
      <c r="W186" s="64"/>
      <c r="X186" s="64"/>
      <c r="Y186" s="64"/>
      <c r="Z186" s="64"/>
    </row>
    <row r="187" ht="12.75" customHeight="1">
      <c r="A187" s="108"/>
      <c r="B187" s="64"/>
      <c r="C187" s="64"/>
      <c r="D187" s="64"/>
      <c r="E187" s="64"/>
      <c r="F187" s="63"/>
      <c r="G187" s="63"/>
      <c r="H187" s="64"/>
      <c r="I187" s="64"/>
      <c r="J187" s="64"/>
      <c r="K187" s="64"/>
      <c r="L187" s="64"/>
      <c r="M187" s="64"/>
      <c r="N187" s="64"/>
      <c r="O187" s="64"/>
      <c r="P187" s="64"/>
      <c r="Q187" s="64"/>
      <c r="R187" s="64"/>
      <c r="S187" s="64"/>
      <c r="T187" s="64"/>
      <c r="U187" s="64"/>
      <c r="V187" s="64"/>
      <c r="W187" s="64"/>
      <c r="X187" s="64"/>
      <c r="Y187" s="64"/>
      <c r="Z187" s="64"/>
    </row>
    <row r="188" ht="12.75" customHeight="1">
      <c r="A188" s="108"/>
      <c r="B188" s="64"/>
      <c r="C188" s="64"/>
      <c r="D188" s="64"/>
      <c r="E188" s="64"/>
      <c r="F188" s="63"/>
      <c r="G188" s="63"/>
      <c r="H188" s="64"/>
      <c r="I188" s="64"/>
      <c r="J188" s="64"/>
      <c r="K188" s="64"/>
      <c r="L188" s="64"/>
      <c r="M188" s="64"/>
      <c r="N188" s="64"/>
      <c r="O188" s="64"/>
      <c r="P188" s="64"/>
      <c r="Q188" s="64"/>
      <c r="R188" s="64"/>
      <c r="S188" s="64"/>
      <c r="T188" s="64"/>
      <c r="U188" s="64"/>
      <c r="V188" s="64"/>
      <c r="W188" s="64"/>
      <c r="X188" s="64"/>
      <c r="Y188" s="64"/>
      <c r="Z188" s="64"/>
    </row>
    <row r="189" ht="12.75" customHeight="1">
      <c r="A189" s="108"/>
      <c r="B189" s="64"/>
      <c r="C189" s="64"/>
      <c r="D189" s="64"/>
      <c r="E189" s="64"/>
      <c r="F189" s="63"/>
      <c r="G189" s="63"/>
      <c r="H189" s="64"/>
      <c r="I189" s="64"/>
      <c r="J189" s="64"/>
      <c r="K189" s="64"/>
      <c r="L189" s="64"/>
      <c r="M189" s="64"/>
      <c r="N189" s="64"/>
      <c r="O189" s="64"/>
      <c r="P189" s="64"/>
      <c r="Q189" s="64"/>
      <c r="R189" s="64"/>
      <c r="S189" s="64"/>
      <c r="T189" s="64"/>
      <c r="U189" s="64"/>
      <c r="V189" s="64"/>
      <c r="W189" s="64"/>
      <c r="X189" s="64"/>
      <c r="Y189" s="64"/>
      <c r="Z189" s="64"/>
    </row>
    <row r="190" ht="12.75" customHeight="1">
      <c r="A190" s="108"/>
      <c r="B190" s="64"/>
      <c r="C190" s="64"/>
      <c r="D190" s="64"/>
      <c r="E190" s="64"/>
      <c r="F190" s="63"/>
      <c r="G190" s="63"/>
      <c r="H190" s="64"/>
      <c r="I190" s="64"/>
      <c r="J190" s="64"/>
      <c r="K190" s="64"/>
      <c r="L190" s="64"/>
      <c r="M190" s="64"/>
      <c r="N190" s="64"/>
      <c r="O190" s="64"/>
      <c r="P190" s="64"/>
      <c r="Q190" s="64"/>
      <c r="R190" s="64"/>
      <c r="S190" s="64"/>
      <c r="T190" s="64"/>
      <c r="U190" s="64"/>
      <c r="V190" s="64"/>
      <c r="W190" s="64"/>
      <c r="X190" s="64"/>
      <c r="Y190" s="64"/>
      <c r="Z190" s="64"/>
    </row>
    <row r="191" ht="12.75" customHeight="1">
      <c r="A191" s="108"/>
      <c r="B191" s="64"/>
      <c r="C191" s="64"/>
      <c r="D191" s="64"/>
      <c r="E191" s="64"/>
      <c r="F191" s="63"/>
      <c r="G191" s="63"/>
      <c r="H191" s="64"/>
      <c r="I191" s="64"/>
      <c r="J191" s="64"/>
      <c r="K191" s="64"/>
      <c r="L191" s="64"/>
      <c r="M191" s="64"/>
      <c r="N191" s="64"/>
      <c r="O191" s="64"/>
      <c r="P191" s="64"/>
      <c r="Q191" s="64"/>
      <c r="R191" s="64"/>
      <c r="S191" s="64"/>
      <c r="T191" s="64"/>
      <c r="U191" s="64"/>
      <c r="V191" s="64"/>
      <c r="W191" s="64"/>
      <c r="X191" s="64"/>
      <c r="Y191" s="64"/>
      <c r="Z191" s="64"/>
    </row>
    <row r="192" ht="12.75" customHeight="1">
      <c r="A192" s="108"/>
      <c r="B192" s="64"/>
      <c r="C192" s="64"/>
      <c r="D192" s="64"/>
      <c r="E192" s="64"/>
      <c r="F192" s="63"/>
      <c r="G192" s="63"/>
      <c r="H192" s="64"/>
      <c r="I192" s="64"/>
      <c r="J192" s="64"/>
      <c r="K192" s="64"/>
      <c r="L192" s="64"/>
      <c r="M192" s="64"/>
      <c r="N192" s="64"/>
      <c r="O192" s="64"/>
      <c r="P192" s="64"/>
      <c r="Q192" s="64"/>
      <c r="R192" s="64"/>
      <c r="S192" s="64"/>
      <c r="T192" s="64"/>
      <c r="U192" s="64"/>
      <c r="V192" s="64"/>
      <c r="W192" s="64"/>
      <c r="X192" s="64"/>
      <c r="Y192" s="64"/>
      <c r="Z192" s="64"/>
    </row>
    <row r="193" ht="12.75" customHeight="1">
      <c r="A193" s="108"/>
      <c r="B193" s="64"/>
      <c r="C193" s="64"/>
      <c r="D193" s="64"/>
      <c r="E193" s="64"/>
      <c r="F193" s="63"/>
      <c r="G193" s="63"/>
      <c r="H193" s="64"/>
      <c r="I193" s="64"/>
      <c r="J193" s="64"/>
      <c r="K193" s="64"/>
      <c r="L193" s="64"/>
      <c r="M193" s="64"/>
      <c r="N193" s="64"/>
      <c r="O193" s="64"/>
      <c r="P193" s="64"/>
      <c r="Q193" s="64"/>
      <c r="R193" s="64"/>
      <c r="S193" s="64"/>
      <c r="T193" s="64"/>
      <c r="U193" s="64"/>
      <c r="V193" s="64"/>
      <c r="W193" s="64"/>
      <c r="X193" s="64"/>
      <c r="Y193" s="64"/>
      <c r="Z193" s="64"/>
    </row>
    <row r="194" ht="12.75" customHeight="1">
      <c r="A194" s="108"/>
      <c r="B194" s="64"/>
      <c r="C194" s="64"/>
      <c r="D194" s="64"/>
      <c r="E194" s="64"/>
      <c r="F194" s="63"/>
      <c r="G194" s="63"/>
      <c r="H194" s="64"/>
      <c r="I194" s="64"/>
      <c r="J194" s="64"/>
      <c r="K194" s="64"/>
      <c r="L194" s="64"/>
      <c r="M194" s="64"/>
      <c r="N194" s="64"/>
      <c r="O194" s="64"/>
      <c r="P194" s="64"/>
      <c r="Q194" s="64"/>
      <c r="R194" s="64"/>
      <c r="S194" s="64"/>
      <c r="T194" s="64"/>
      <c r="U194" s="64"/>
      <c r="V194" s="64"/>
      <c r="W194" s="64"/>
      <c r="X194" s="64"/>
      <c r="Y194" s="64"/>
      <c r="Z194" s="64"/>
    </row>
    <row r="195" ht="12.75" customHeight="1">
      <c r="A195" s="108"/>
      <c r="B195" s="64"/>
      <c r="C195" s="64"/>
      <c r="D195" s="64"/>
      <c r="E195" s="64"/>
      <c r="F195" s="63"/>
      <c r="G195" s="63"/>
      <c r="H195" s="64"/>
      <c r="I195" s="64"/>
      <c r="J195" s="64"/>
      <c r="K195" s="64"/>
      <c r="L195" s="64"/>
      <c r="M195" s="64"/>
      <c r="N195" s="64"/>
      <c r="O195" s="64"/>
      <c r="P195" s="64"/>
      <c r="Q195" s="64"/>
      <c r="R195" s="64"/>
      <c r="S195" s="64"/>
      <c r="T195" s="64"/>
      <c r="U195" s="64"/>
      <c r="V195" s="64"/>
      <c r="W195" s="64"/>
      <c r="X195" s="64"/>
      <c r="Y195" s="64"/>
      <c r="Z195" s="64"/>
    </row>
    <row r="196" ht="12.75" customHeight="1">
      <c r="A196" s="108"/>
      <c r="B196" s="64"/>
      <c r="C196" s="64"/>
      <c r="D196" s="64"/>
      <c r="E196" s="64"/>
      <c r="F196" s="63"/>
      <c r="G196" s="63"/>
      <c r="H196" s="64"/>
      <c r="I196" s="64"/>
      <c r="J196" s="64"/>
      <c r="K196" s="64"/>
      <c r="L196" s="64"/>
      <c r="M196" s="64"/>
      <c r="N196" s="64"/>
      <c r="O196" s="64"/>
      <c r="P196" s="64"/>
      <c r="Q196" s="64"/>
      <c r="R196" s="64"/>
      <c r="S196" s="64"/>
      <c r="T196" s="64"/>
      <c r="U196" s="64"/>
      <c r="V196" s="64"/>
      <c r="W196" s="64"/>
      <c r="X196" s="64"/>
      <c r="Y196" s="64"/>
      <c r="Z196" s="64"/>
    </row>
    <row r="197" ht="12.75" customHeight="1">
      <c r="A197" s="108"/>
      <c r="B197" s="64"/>
      <c r="C197" s="64"/>
      <c r="D197" s="64"/>
      <c r="E197" s="64"/>
      <c r="F197" s="63"/>
      <c r="G197" s="63"/>
      <c r="H197" s="64"/>
      <c r="I197" s="64"/>
      <c r="J197" s="64"/>
      <c r="K197" s="64"/>
      <c r="L197" s="64"/>
      <c r="M197" s="64"/>
      <c r="N197" s="64"/>
      <c r="O197" s="64"/>
      <c r="P197" s="64"/>
      <c r="Q197" s="64"/>
      <c r="R197" s="64"/>
      <c r="S197" s="64"/>
      <c r="T197" s="64"/>
      <c r="U197" s="64"/>
      <c r="V197" s="64"/>
      <c r="W197" s="64"/>
      <c r="X197" s="64"/>
      <c r="Y197" s="64"/>
      <c r="Z197" s="64"/>
    </row>
    <row r="198" ht="12.75" customHeight="1">
      <c r="A198" s="108"/>
      <c r="B198" s="64"/>
      <c r="C198" s="64"/>
      <c r="D198" s="64"/>
      <c r="E198" s="64"/>
      <c r="F198" s="63"/>
      <c r="G198" s="63"/>
      <c r="H198" s="64"/>
      <c r="I198" s="64"/>
      <c r="J198" s="64"/>
      <c r="K198" s="64"/>
      <c r="L198" s="64"/>
      <c r="M198" s="64"/>
      <c r="N198" s="64"/>
      <c r="O198" s="64"/>
      <c r="P198" s="64"/>
      <c r="Q198" s="64"/>
      <c r="R198" s="64"/>
      <c r="S198" s="64"/>
      <c r="T198" s="64"/>
      <c r="U198" s="64"/>
      <c r="V198" s="64"/>
      <c r="W198" s="64"/>
      <c r="X198" s="64"/>
      <c r="Y198" s="64"/>
      <c r="Z198" s="64"/>
    </row>
    <row r="199" ht="12.75" customHeight="1">
      <c r="A199" s="108"/>
      <c r="B199" s="64"/>
      <c r="C199" s="64"/>
      <c r="D199" s="64"/>
      <c r="E199" s="64"/>
      <c r="F199" s="63"/>
      <c r="G199" s="63"/>
      <c r="H199" s="64"/>
      <c r="I199" s="64"/>
      <c r="J199" s="64"/>
      <c r="K199" s="64"/>
      <c r="L199" s="64"/>
      <c r="M199" s="64"/>
      <c r="N199" s="64"/>
      <c r="O199" s="64"/>
      <c r="P199" s="64"/>
      <c r="Q199" s="64"/>
      <c r="R199" s="64"/>
      <c r="S199" s="64"/>
      <c r="T199" s="64"/>
      <c r="U199" s="64"/>
      <c r="V199" s="64"/>
      <c r="W199" s="64"/>
      <c r="X199" s="64"/>
      <c r="Y199" s="64"/>
      <c r="Z199" s="64"/>
    </row>
    <row r="200" ht="12.75" customHeight="1">
      <c r="A200" s="108"/>
      <c r="B200" s="64"/>
      <c r="C200" s="64"/>
      <c r="D200" s="64"/>
      <c r="E200" s="64"/>
      <c r="F200" s="63"/>
      <c r="G200" s="63"/>
      <c r="H200" s="64"/>
      <c r="I200" s="64"/>
      <c r="J200" s="64"/>
      <c r="K200" s="64"/>
      <c r="L200" s="64"/>
      <c r="M200" s="64"/>
      <c r="N200" s="64"/>
      <c r="O200" s="64"/>
      <c r="P200" s="64"/>
      <c r="Q200" s="64"/>
      <c r="R200" s="64"/>
      <c r="S200" s="64"/>
      <c r="T200" s="64"/>
      <c r="U200" s="64"/>
      <c r="V200" s="64"/>
      <c r="W200" s="64"/>
      <c r="X200" s="64"/>
      <c r="Y200" s="64"/>
      <c r="Z200" s="64"/>
    </row>
    <row r="201" ht="12.75" customHeight="1">
      <c r="A201" s="108"/>
      <c r="B201" s="64"/>
      <c r="C201" s="64"/>
      <c r="D201" s="64"/>
      <c r="E201" s="64"/>
      <c r="F201" s="63"/>
      <c r="G201" s="63"/>
      <c r="H201" s="64"/>
      <c r="I201" s="64"/>
      <c r="J201" s="64"/>
      <c r="K201" s="64"/>
      <c r="L201" s="64"/>
      <c r="M201" s="64"/>
      <c r="N201" s="64"/>
      <c r="O201" s="64"/>
      <c r="P201" s="64"/>
      <c r="Q201" s="64"/>
      <c r="R201" s="64"/>
      <c r="S201" s="64"/>
      <c r="T201" s="64"/>
      <c r="U201" s="64"/>
      <c r="V201" s="64"/>
      <c r="W201" s="64"/>
      <c r="X201" s="64"/>
      <c r="Y201" s="64"/>
      <c r="Z201" s="64"/>
    </row>
    <row r="202" ht="12.75" customHeight="1">
      <c r="A202" s="108"/>
      <c r="B202" s="64"/>
      <c r="C202" s="64"/>
      <c r="D202" s="64"/>
      <c r="E202" s="64"/>
      <c r="F202" s="63"/>
      <c r="G202" s="63"/>
      <c r="H202" s="64"/>
      <c r="I202" s="64"/>
      <c r="J202" s="64"/>
      <c r="K202" s="64"/>
      <c r="L202" s="64"/>
      <c r="M202" s="64"/>
      <c r="N202" s="64"/>
      <c r="O202" s="64"/>
      <c r="P202" s="64"/>
      <c r="Q202" s="64"/>
      <c r="R202" s="64"/>
      <c r="S202" s="64"/>
      <c r="T202" s="64"/>
      <c r="U202" s="64"/>
      <c r="V202" s="64"/>
      <c r="W202" s="64"/>
      <c r="X202" s="64"/>
      <c r="Y202" s="64"/>
      <c r="Z202" s="64"/>
    </row>
    <row r="203" ht="12.75" customHeight="1">
      <c r="A203" s="108"/>
      <c r="B203" s="64"/>
      <c r="C203" s="64"/>
      <c r="D203" s="64"/>
      <c r="E203" s="64"/>
      <c r="F203" s="63"/>
      <c r="G203" s="63"/>
      <c r="H203" s="64"/>
      <c r="I203" s="64"/>
      <c r="J203" s="64"/>
      <c r="K203" s="64"/>
      <c r="L203" s="64"/>
      <c r="M203" s="64"/>
      <c r="N203" s="64"/>
      <c r="O203" s="64"/>
      <c r="P203" s="64"/>
      <c r="Q203" s="64"/>
      <c r="R203" s="64"/>
      <c r="S203" s="64"/>
      <c r="T203" s="64"/>
      <c r="U203" s="64"/>
      <c r="V203" s="64"/>
      <c r="W203" s="64"/>
      <c r="X203" s="64"/>
      <c r="Y203" s="64"/>
      <c r="Z203" s="64"/>
    </row>
    <row r="204" ht="12.75" customHeight="1">
      <c r="A204" s="108"/>
      <c r="B204" s="64"/>
      <c r="C204" s="64"/>
      <c r="D204" s="64"/>
      <c r="E204" s="64"/>
      <c r="F204" s="63"/>
      <c r="G204" s="63"/>
      <c r="H204" s="64"/>
      <c r="I204" s="64"/>
      <c r="J204" s="64"/>
      <c r="K204" s="64"/>
      <c r="L204" s="64"/>
      <c r="M204" s="64"/>
      <c r="N204" s="64"/>
      <c r="O204" s="64"/>
      <c r="P204" s="64"/>
      <c r="Q204" s="64"/>
      <c r="R204" s="64"/>
      <c r="S204" s="64"/>
      <c r="T204" s="64"/>
      <c r="U204" s="64"/>
      <c r="V204" s="64"/>
      <c r="W204" s="64"/>
      <c r="X204" s="64"/>
      <c r="Y204" s="64"/>
      <c r="Z204" s="64"/>
    </row>
    <row r="205" ht="12.75" customHeight="1">
      <c r="A205" s="108"/>
      <c r="B205" s="64"/>
      <c r="C205" s="64"/>
      <c r="D205" s="64"/>
      <c r="E205" s="64"/>
      <c r="F205" s="63"/>
      <c r="G205" s="63"/>
      <c r="H205" s="64"/>
      <c r="I205" s="64"/>
      <c r="J205" s="64"/>
      <c r="K205" s="64"/>
      <c r="L205" s="64"/>
      <c r="M205" s="64"/>
      <c r="N205" s="64"/>
      <c r="O205" s="64"/>
      <c r="P205" s="64"/>
      <c r="Q205" s="64"/>
      <c r="R205" s="64"/>
      <c r="S205" s="64"/>
      <c r="T205" s="64"/>
      <c r="U205" s="64"/>
      <c r="V205" s="64"/>
      <c r="W205" s="64"/>
      <c r="X205" s="64"/>
      <c r="Y205" s="64"/>
      <c r="Z205" s="64"/>
    </row>
    <row r="206" ht="12.75" customHeight="1">
      <c r="A206" s="108"/>
      <c r="B206" s="64"/>
      <c r="C206" s="64"/>
      <c r="D206" s="64"/>
      <c r="E206" s="64"/>
      <c r="F206" s="63"/>
      <c r="G206" s="63"/>
      <c r="H206" s="64"/>
      <c r="I206" s="64"/>
      <c r="J206" s="64"/>
      <c r="K206" s="64"/>
      <c r="L206" s="64"/>
      <c r="M206" s="64"/>
      <c r="N206" s="64"/>
      <c r="O206" s="64"/>
      <c r="P206" s="64"/>
      <c r="Q206" s="64"/>
      <c r="R206" s="64"/>
      <c r="S206" s="64"/>
      <c r="T206" s="64"/>
      <c r="U206" s="64"/>
      <c r="V206" s="64"/>
      <c r="W206" s="64"/>
      <c r="X206" s="64"/>
      <c r="Y206" s="64"/>
      <c r="Z206" s="64"/>
    </row>
    <row r="207" ht="12.75" customHeight="1">
      <c r="A207" s="108"/>
      <c r="B207" s="64"/>
      <c r="C207" s="64"/>
      <c r="D207" s="64"/>
      <c r="E207" s="64"/>
      <c r="F207" s="63"/>
      <c r="G207" s="63"/>
      <c r="H207" s="64"/>
      <c r="I207" s="64"/>
      <c r="J207" s="64"/>
      <c r="K207" s="64"/>
      <c r="L207" s="64"/>
      <c r="M207" s="64"/>
      <c r="N207" s="64"/>
      <c r="O207" s="64"/>
      <c r="P207" s="64"/>
      <c r="Q207" s="64"/>
      <c r="R207" s="64"/>
      <c r="S207" s="64"/>
      <c r="T207" s="64"/>
      <c r="U207" s="64"/>
      <c r="V207" s="64"/>
      <c r="W207" s="64"/>
      <c r="X207" s="64"/>
      <c r="Y207" s="64"/>
      <c r="Z207" s="64"/>
    </row>
    <row r="208" ht="12.75" customHeight="1">
      <c r="A208" s="108"/>
      <c r="B208" s="64"/>
      <c r="C208" s="64"/>
      <c r="D208" s="64"/>
      <c r="E208" s="64"/>
      <c r="F208" s="63"/>
      <c r="G208" s="63"/>
      <c r="H208" s="64"/>
      <c r="I208" s="64"/>
      <c r="J208" s="64"/>
      <c r="K208" s="64"/>
      <c r="L208" s="64"/>
      <c r="M208" s="64"/>
      <c r="N208" s="64"/>
      <c r="O208" s="64"/>
      <c r="P208" s="64"/>
      <c r="Q208" s="64"/>
      <c r="R208" s="64"/>
      <c r="S208" s="64"/>
      <c r="T208" s="64"/>
      <c r="U208" s="64"/>
      <c r="V208" s="64"/>
      <c r="W208" s="64"/>
      <c r="X208" s="64"/>
      <c r="Y208" s="64"/>
      <c r="Z208" s="64"/>
    </row>
    <row r="209" ht="12.75" customHeight="1">
      <c r="A209" s="108"/>
      <c r="B209" s="64"/>
      <c r="C209" s="64"/>
      <c r="D209" s="64"/>
      <c r="E209" s="64"/>
      <c r="F209" s="63"/>
      <c r="G209" s="63"/>
      <c r="H209" s="64"/>
      <c r="I209" s="64"/>
      <c r="J209" s="64"/>
      <c r="K209" s="64"/>
      <c r="L209" s="64"/>
      <c r="M209" s="64"/>
      <c r="N209" s="64"/>
      <c r="O209" s="64"/>
      <c r="P209" s="64"/>
      <c r="Q209" s="64"/>
      <c r="R209" s="64"/>
      <c r="S209" s="64"/>
      <c r="T209" s="64"/>
      <c r="U209" s="64"/>
      <c r="V209" s="64"/>
      <c r="W209" s="64"/>
      <c r="X209" s="64"/>
      <c r="Y209" s="64"/>
      <c r="Z209" s="64"/>
    </row>
    <row r="210" ht="12.75" customHeight="1">
      <c r="A210" s="108"/>
      <c r="B210" s="64"/>
      <c r="C210" s="64"/>
      <c r="D210" s="64"/>
      <c r="E210" s="64"/>
      <c r="F210" s="63"/>
      <c r="G210" s="63"/>
      <c r="H210" s="64"/>
      <c r="I210" s="64"/>
      <c r="J210" s="64"/>
      <c r="K210" s="64"/>
      <c r="L210" s="64"/>
      <c r="M210" s="64"/>
      <c r="N210" s="64"/>
      <c r="O210" s="64"/>
      <c r="P210" s="64"/>
      <c r="Q210" s="64"/>
      <c r="R210" s="64"/>
      <c r="S210" s="64"/>
      <c r="T210" s="64"/>
      <c r="U210" s="64"/>
      <c r="V210" s="64"/>
      <c r="W210" s="64"/>
      <c r="X210" s="64"/>
      <c r="Y210" s="64"/>
      <c r="Z210" s="64"/>
    </row>
    <row r="211" ht="12.75" customHeight="1">
      <c r="A211" s="108"/>
      <c r="B211" s="64"/>
      <c r="C211" s="64"/>
      <c r="D211" s="64"/>
      <c r="E211" s="64"/>
      <c r="F211" s="63"/>
      <c r="G211" s="63"/>
      <c r="H211" s="64"/>
      <c r="I211" s="64"/>
      <c r="J211" s="64"/>
      <c r="K211" s="64"/>
      <c r="L211" s="64"/>
      <c r="M211" s="64"/>
      <c r="N211" s="64"/>
      <c r="O211" s="64"/>
      <c r="P211" s="64"/>
      <c r="Q211" s="64"/>
      <c r="R211" s="64"/>
      <c r="S211" s="64"/>
      <c r="T211" s="64"/>
      <c r="U211" s="64"/>
      <c r="V211" s="64"/>
      <c r="W211" s="64"/>
      <c r="X211" s="64"/>
      <c r="Y211" s="64"/>
      <c r="Z211" s="64"/>
    </row>
    <row r="212" ht="12.75" customHeight="1">
      <c r="A212" s="108"/>
      <c r="B212" s="64"/>
      <c r="C212" s="64"/>
      <c r="D212" s="64"/>
      <c r="E212" s="64"/>
      <c r="F212" s="63"/>
      <c r="G212" s="63"/>
      <c r="H212" s="64"/>
      <c r="I212" s="64"/>
      <c r="J212" s="64"/>
      <c r="K212" s="64"/>
      <c r="L212" s="64"/>
      <c r="M212" s="64"/>
      <c r="N212" s="64"/>
      <c r="O212" s="64"/>
      <c r="P212" s="64"/>
      <c r="Q212" s="64"/>
      <c r="R212" s="64"/>
      <c r="S212" s="64"/>
      <c r="T212" s="64"/>
      <c r="U212" s="64"/>
      <c r="V212" s="64"/>
      <c r="W212" s="64"/>
      <c r="X212" s="64"/>
      <c r="Y212" s="64"/>
      <c r="Z212" s="64"/>
    </row>
    <row r="213" ht="12.75" customHeight="1">
      <c r="A213" s="108"/>
      <c r="B213" s="64"/>
      <c r="C213" s="64"/>
      <c r="D213" s="64"/>
      <c r="E213" s="64"/>
      <c r="F213" s="63"/>
      <c r="G213" s="63"/>
      <c r="H213" s="64"/>
      <c r="I213" s="64"/>
      <c r="J213" s="64"/>
      <c r="K213" s="64"/>
      <c r="L213" s="64"/>
      <c r="M213" s="64"/>
      <c r="N213" s="64"/>
      <c r="O213" s="64"/>
      <c r="P213" s="64"/>
      <c r="Q213" s="64"/>
      <c r="R213" s="64"/>
      <c r="S213" s="64"/>
      <c r="T213" s="64"/>
      <c r="U213" s="64"/>
      <c r="V213" s="64"/>
      <c r="W213" s="64"/>
      <c r="X213" s="64"/>
      <c r="Y213" s="64"/>
      <c r="Z213" s="64"/>
    </row>
    <row r="214" ht="12.75" customHeight="1">
      <c r="A214" s="108"/>
      <c r="B214" s="64"/>
      <c r="C214" s="64"/>
      <c r="D214" s="64"/>
      <c r="E214" s="64"/>
      <c r="F214" s="63"/>
      <c r="G214" s="63"/>
      <c r="H214" s="64"/>
      <c r="I214" s="64"/>
      <c r="J214" s="64"/>
      <c r="K214" s="64"/>
      <c r="L214" s="64"/>
      <c r="M214" s="64"/>
      <c r="N214" s="64"/>
      <c r="O214" s="64"/>
      <c r="P214" s="64"/>
      <c r="Q214" s="64"/>
      <c r="R214" s="64"/>
      <c r="S214" s="64"/>
      <c r="T214" s="64"/>
      <c r="U214" s="64"/>
      <c r="V214" s="64"/>
      <c r="W214" s="64"/>
      <c r="X214" s="64"/>
      <c r="Y214" s="64"/>
      <c r="Z214" s="64"/>
    </row>
    <row r="215" ht="12.75" customHeight="1">
      <c r="A215" s="108"/>
      <c r="B215" s="64"/>
      <c r="C215" s="64"/>
      <c r="D215" s="64"/>
      <c r="E215" s="64"/>
      <c r="F215" s="63"/>
      <c r="G215" s="63"/>
      <c r="H215" s="64"/>
      <c r="I215" s="64"/>
      <c r="J215" s="64"/>
      <c r="K215" s="64"/>
      <c r="L215" s="64"/>
      <c r="M215" s="64"/>
      <c r="N215" s="64"/>
      <c r="O215" s="64"/>
      <c r="P215" s="64"/>
      <c r="Q215" s="64"/>
      <c r="R215" s="64"/>
      <c r="S215" s="64"/>
      <c r="T215" s="64"/>
      <c r="U215" s="64"/>
      <c r="V215" s="64"/>
      <c r="W215" s="64"/>
      <c r="X215" s="64"/>
      <c r="Y215" s="64"/>
      <c r="Z215" s="64"/>
    </row>
    <row r="216" ht="12.75" customHeight="1">
      <c r="A216" s="108"/>
      <c r="B216" s="64"/>
      <c r="C216" s="64"/>
      <c r="D216" s="64"/>
      <c r="E216" s="64"/>
      <c r="F216" s="63"/>
      <c r="G216" s="63"/>
      <c r="H216" s="64"/>
      <c r="I216" s="64"/>
      <c r="J216" s="64"/>
      <c r="K216" s="64"/>
      <c r="L216" s="64"/>
      <c r="M216" s="64"/>
      <c r="N216" s="64"/>
      <c r="O216" s="64"/>
      <c r="P216" s="64"/>
      <c r="Q216" s="64"/>
      <c r="R216" s="64"/>
      <c r="S216" s="64"/>
      <c r="T216" s="64"/>
      <c r="U216" s="64"/>
      <c r="V216" s="64"/>
      <c r="W216" s="64"/>
      <c r="X216" s="64"/>
      <c r="Y216" s="64"/>
      <c r="Z216" s="64"/>
    </row>
    <row r="217" ht="12.75" customHeight="1">
      <c r="A217" s="108"/>
      <c r="B217" s="64"/>
      <c r="C217" s="64"/>
      <c r="D217" s="64"/>
      <c r="E217" s="64"/>
      <c r="F217" s="63"/>
      <c r="G217" s="63"/>
      <c r="H217" s="64"/>
      <c r="I217" s="64"/>
      <c r="J217" s="64"/>
      <c r="K217" s="64"/>
      <c r="L217" s="64"/>
      <c r="M217" s="64"/>
      <c r="N217" s="64"/>
      <c r="O217" s="64"/>
      <c r="P217" s="64"/>
      <c r="Q217" s="64"/>
      <c r="R217" s="64"/>
      <c r="S217" s="64"/>
      <c r="T217" s="64"/>
      <c r="U217" s="64"/>
      <c r="V217" s="64"/>
      <c r="W217" s="64"/>
      <c r="X217" s="64"/>
      <c r="Y217" s="64"/>
      <c r="Z217" s="64"/>
    </row>
    <row r="218" ht="12.75" customHeight="1">
      <c r="A218" s="108"/>
      <c r="B218" s="64"/>
      <c r="C218" s="64"/>
      <c r="D218" s="64"/>
      <c r="E218" s="64"/>
      <c r="F218" s="63"/>
      <c r="G218" s="63"/>
      <c r="H218" s="64"/>
      <c r="I218" s="64"/>
      <c r="J218" s="64"/>
      <c r="K218" s="64"/>
      <c r="L218" s="64"/>
      <c r="M218" s="64"/>
      <c r="N218" s="64"/>
      <c r="O218" s="64"/>
      <c r="P218" s="64"/>
      <c r="Q218" s="64"/>
      <c r="R218" s="64"/>
      <c r="S218" s="64"/>
      <c r="T218" s="64"/>
      <c r="U218" s="64"/>
      <c r="V218" s="64"/>
      <c r="W218" s="64"/>
      <c r="X218" s="64"/>
      <c r="Y218" s="64"/>
      <c r="Z218" s="64"/>
    </row>
    <row r="219" ht="12.75" customHeight="1">
      <c r="A219" s="108"/>
      <c r="B219" s="64"/>
      <c r="C219" s="64"/>
      <c r="D219" s="64"/>
      <c r="E219" s="64"/>
      <c r="F219" s="63"/>
      <c r="G219" s="63"/>
      <c r="H219" s="64"/>
      <c r="I219" s="64"/>
      <c r="J219" s="64"/>
      <c r="K219" s="64"/>
      <c r="L219" s="64"/>
      <c r="M219" s="64"/>
      <c r="N219" s="64"/>
      <c r="O219" s="64"/>
      <c r="P219" s="64"/>
      <c r="Q219" s="64"/>
      <c r="R219" s="64"/>
      <c r="S219" s="64"/>
      <c r="T219" s="64"/>
      <c r="U219" s="64"/>
      <c r="V219" s="64"/>
      <c r="W219" s="64"/>
      <c r="X219" s="64"/>
      <c r="Y219" s="64"/>
      <c r="Z219" s="64"/>
    </row>
    <row r="220" ht="12.75" customHeight="1">
      <c r="A220" s="108"/>
      <c r="B220" s="64"/>
      <c r="C220" s="64"/>
      <c r="D220" s="64"/>
      <c r="E220" s="64"/>
      <c r="F220" s="63"/>
      <c r="G220" s="63"/>
      <c r="H220" s="64"/>
      <c r="I220" s="64"/>
      <c r="J220" s="64"/>
      <c r="K220" s="64"/>
      <c r="L220" s="64"/>
      <c r="M220" s="64"/>
      <c r="N220" s="64"/>
      <c r="O220" s="64"/>
      <c r="P220" s="64"/>
      <c r="Q220" s="64"/>
      <c r="R220" s="64"/>
      <c r="S220" s="64"/>
      <c r="T220" s="64"/>
      <c r="U220" s="64"/>
      <c r="V220" s="64"/>
      <c r="W220" s="64"/>
      <c r="X220" s="64"/>
      <c r="Y220" s="64"/>
      <c r="Z220" s="64"/>
    </row>
    <row r="221" ht="12.75" customHeight="1">
      <c r="A221" s="108"/>
      <c r="B221" s="64"/>
      <c r="C221" s="64"/>
      <c r="D221" s="64"/>
      <c r="E221" s="64"/>
      <c r="F221" s="63"/>
      <c r="G221" s="63"/>
      <c r="H221" s="64"/>
      <c r="I221" s="64"/>
      <c r="J221" s="64"/>
      <c r="K221" s="64"/>
      <c r="L221" s="64"/>
      <c r="M221" s="64"/>
      <c r="N221" s="64"/>
      <c r="O221" s="64"/>
      <c r="P221" s="64"/>
      <c r="Q221" s="64"/>
      <c r="R221" s="64"/>
      <c r="S221" s="64"/>
      <c r="T221" s="64"/>
      <c r="U221" s="64"/>
      <c r="V221" s="64"/>
      <c r="W221" s="64"/>
      <c r="X221" s="64"/>
      <c r="Y221" s="64"/>
      <c r="Z221" s="64"/>
    </row>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mergeCells count="10">
    <mergeCell ref="C19:D19"/>
    <mergeCell ref="C20:D20"/>
    <mergeCell ref="C21:D21"/>
    <mergeCell ref="C12:D12"/>
    <mergeCell ref="C13:D13"/>
    <mergeCell ref="C14:D14"/>
    <mergeCell ref="C15:D15"/>
    <mergeCell ref="C16:D16"/>
    <mergeCell ref="C17:D17"/>
    <mergeCell ref="C18:D18"/>
  </mergeCells>
  <conditionalFormatting sqref="C6:D6">
    <cfRule type="expression" dxfId="0" priority="1">
      <formula>$A6&lt;&gt;""</formula>
    </cfRule>
  </conditionalFormatting>
  <conditionalFormatting sqref="C6:D6">
    <cfRule type="expression" dxfId="1" priority="2">
      <formula>$A6=""</formula>
    </cfRule>
  </conditionalFormatting>
  <dataValidations>
    <dataValidation type="decimal" allowBlank="1" showErrorMessage="1" sqref="F13:F20">
      <formula1>0.0</formula1>
      <formula2>50.0</formula2>
    </dataValidation>
  </dataValidations>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4A3B8"/>
    <pageSetUpPr/>
  </sheetPr>
  <sheetViews>
    <sheetView showGridLines="0" workbookViewId="0"/>
  </sheetViews>
  <sheetFormatPr customHeight="1" defaultColWidth="12.63" defaultRowHeight="15.0"/>
  <cols>
    <col customWidth="1" min="1" max="1" width="16.13"/>
    <col customWidth="1" min="2" max="2" width="48.63"/>
    <col customWidth="1" min="3" max="3" width="27.13"/>
    <col customWidth="1" min="4" max="4" width="15.0"/>
    <col customWidth="1" min="5" max="5" width="24.63"/>
    <col customWidth="1" min="6" max="6" width="17.38"/>
    <col customWidth="1" min="7" max="7" width="15.0"/>
    <col customWidth="1" min="8" max="26" width="9.13"/>
  </cols>
  <sheetData>
    <row r="1" ht="12.75" customHeight="1">
      <c r="A1" s="105" t="s">
        <v>260</v>
      </c>
      <c r="B1" s="77" t="s">
        <v>57</v>
      </c>
      <c r="C1" s="78"/>
      <c r="D1" s="78"/>
      <c r="E1" s="64"/>
      <c r="F1" s="63"/>
      <c r="G1" s="63"/>
      <c r="H1" s="64"/>
      <c r="I1" s="64"/>
      <c r="J1" s="64"/>
      <c r="K1" s="64"/>
      <c r="L1" s="64"/>
      <c r="M1" s="64"/>
      <c r="N1" s="64"/>
      <c r="O1" s="64"/>
      <c r="P1" s="64"/>
      <c r="Q1" s="64"/>
      <c r="R1" s="64"/>
      <c r="S1" s="64"/>
      <c r="T1" s="64"/>
      <c r="U1" s="64"/>
      <c r="V1" s="64"/>
      <c r="W1" s="64"/>
      <c r="X1" s="64"/>
      <c r="Y1" s="64"/>
      <c r="Z1" s="64"/>
    </row>
    <row r="2" ht="12.75" customHeight="1">
      <c r="A2" s="110" t="s">
        <v>5</v>
      </c>
      <c r="B2" s="62" t="str">
        <f t="array" ref="B2">IFERROR(INDEX(Sessions!$C$2:$C$173,MATCH($B$1,Sessions!$B$2:$B$173,0))&amp;"","")</f>
        <v>AI-Enabled Digital Learning and Educational Technologies</v>
      </c>
      <c r="C2" s="64"/>
      <c r="D2" s="64"/>
      <c r="E2" s="64"/>
      <c r="F2" s="63"/>
      <c r="G2" s="63"/>
      <c r="H2" s="64"/>
      <c r="I2" s="64"/>
      <c r="J2" s="64"/>
      <c r="K2" s="64"/>
      <c r="L2" s="64"/>
      <c r="M2" s="64"/>
      <c r="N2" s="64"/>
      <c r="O2" s="64"/>
      <c r="P2" s="64"/>
      <c r="Q2" s="64"/>
      <c r="R2" s="64"/>
      <c r="S2" s="64"/>
      <c r="T2" s="64"/>
      <c r="U2" s="64"/>
      <c r="V2" s="64"/>
      <c r="W2" s="64"/>
      <c r="X2" s="64"/>
      <c r="Y2" s="64"/>
      <c r="Z2" s="64"/>
    </row>
    <row r="3" ht="12.75" customHeight="1">
      <c r="A3" s="112" t="s">
        <v>704</v>
      </c>
      <c r="B3" s="86" t="str">
        <f>IF(LEFT($B$1,2)="T1",Schedule!$A$4&amp;", "&amp;Schedule!$A$10,IF(LEFT($B$1,2)="T2",Schedule!$A$4&amp;", "&amp;Schedule!$A$12,IF(LEFT($B$1,2)="T3",Schedule!$A$4&amp;", "&amp;#REF!,IF(LEFT($B$1,2)="T4",Schedule!$A$16&amp;", "&amp;Schedule!$A$18,IF($B$1="Keynote 1",Schedule!$A$4&amp;", "&amp;Schedule!$A$8,IF($B$1="Keynote 2",Schedule!$A$4&amp;", "&amp;Schedule!$A$13,IF($B$1="Keynote 3",Schedule!$A$16&amp;", "&amp;Schedule!$A$19,IF($B$1="IEEE Workshop",Schedule!$A$16&amp;", "&amp;#REF!,""))))))))</f>
        <v>Day 1, 14:30-16:30</v>
      </c>
      <c r="C3" s="80"/>
      <c r="D3" s="80"/>
      <c r="E3" s="64"/>
      <c r="F3" s="63"/>
      <c r="G3" s="63"/>
      <c r="H3" s="64"/>
      <c r="I3" s="64"/>
      <c r="J3" s="64"/>
      <c r="K3" s="64"/>
      <c r="L3" s="64"/>
      <c r="M3" s="64"/>
      <c r="N3" s="64"/>
      <c r="O3" s="64"/>
      <c r="P3" s="64"/>
      <c r="Q3" s="64"/>
      <c r="R3" s="64"/>
      <c r="S3" s="64"/>
      <c r="T3" s="64"/>
      <c r="U3" s="64"/>
      <c r="V3" s="64"/>
      <c r="W3" s="64"/>
      <c r="X3" s="64"/>
      <c r="Y3" s="64"/>
      <c r="Z3" s="64"/>
    </row>
    <row r="4" ht="12.75" customHeight="1">
      <c r="A4" s="112" t="s">
        <v>11</v>
      </c>
      <c r="B4" s="115" t="s">
        <v>32</v>
      </c>
      <c r="C4" s="80"/>
      <c r="D4" s="80"/>
      <c r="E4" s="64"/>
      <c r="F4" s="63"/>
      <c r="G4" s="63"/>
      <c r="H4" s="64"/>
      <c r="I4" s="64"/>
      <c r="J4" s="64"/>
      <c r="K4" s="64"/>
      <c r="L4" s="64"/>
      <c r="M4" s="64"/>
      <c r="N4" s="64"/>
      <c r="O4" s="64"/>
      <c r="P4" s="64"/>
      <c r="Q4" s="64"/>
      <c r="R4" s="64"/>
      <c r="S4" s="64"/>
      <c r="T4" s="64"/>
      <c r="U4" s="64"/>
      <c r="V4" s="64"/>
      <c r="W4" s="64"/>
      <c r="X4" s="64"/>
      <c r="Y4" s="64"/>
      <c r="Z4" s="64"/>
    </row>
    <row r="5" ht="12.75" customHeight="1">
      <c r="A5" s="114" t="s">
        <v>725</v>
      </c>
      <c r="B5" s="86" t="str">
        <f t="array" ref="B5">IFERROR(INDEX(Chairs!$J$2:$J$359,MATCH(1,INDEX((Chairs!$K$2:$K$359=$B$1)*(Chairs!$N$2:$N$359=1),0),0)),"")</f>
        <v>Dr. Mohammad Shazzad Hossain</v>
      </c>
      <c r="C5" s="86" t="str">
        <f t="array" ref="C5">IFERROR(INDEX(Chairs!$L$2:$L$359,MATCH(1,INDEX((Chairs!$K$2:$K$359=$B$1)*(Chairs!$N$2:$N$359=1),0),0))&amp;"","")</f>
        <v>shazzad.hossain@ulab.edu.bd</v>
      </c>
      <c r="D5" s="86" t="str">
        <f t="array" ref="D5">IFERROR(INDEX(Chairs!$M$2:$M$359,MATCH(1,INDEX((Chairs!$K$2:$K$359=$B$1)*(Chairs!$N$2:$N$359=1),0),0))&amp;"","")</f>
        <v>01712030624</v>
      </c>
      <c r="E5" s="64"/>
      <c r="F5" s="63"/>
      <c r="G5" s="63"/>
      <c r="H5" s="64"/>
      <c r="I5" s="64"/>
      <c r="J5" s="64"/>
      <c r="K5" s="64"/>
      <c r="L5" s="64"/>
      <c r="M5" s="64"/>
      <c r="N5" s="64"/>
      <c r="O5" s="64"/>
      <c r="P5" s="64"/>
      <c r="Q5" s="64"/>
      <c r="R5" s="64"/>
      <c r="S5" s="64"/>
      <c r="T5" s="64"/>
      <c r="U5" s="64"/>
      <c r="V5" s="64"/>
      <c r="W5" s="64"/>
      <c r="X5" s="64"/>
      <c r="Y5" s="64"/>
      <c r="Z5" s="64"/>
    </row>
    <row r="6" ht="12.75" customHeight="1">
      <c r="A6" s="114" t="s">
        <v>726</v>
      </c>
      <c r="B6" s="118" t="s">
        <v>301</v>
      </c>
      <c r="C6" s="8" t="s">
        <v>303</v>
      </c>
      <c r="D6" s="59" t="s">
        <v>304</v>
      </c>
      <c r="E6" s="64"/>
      <c r="F6" s="63"/>
      <c r="G6" s="63"/>
      <c r="H6" s="64"/>
      <c r="I6" s="64"/>
      <c r="J6" s="64"/>
      <c r="K6" s="64"/>
      <c r="L6" s="64"/>
      <c r="M6" s="64"/>
      <c r="N6" s="64"/>
      <c r="O6" s="64"/>
      <c r="P6" s="64"/>
      <c r="Q6" s="64"/>
      <c r="R6" s="64"/>
      <c r="S6" s="64"/>
      <c r="T6" s="64"/>
      <c r="U6" s="64"/>
      <c r="V6" s="64"/>
      <c r="W6" s="64"/>
      <c r="X6" s="64"/>
      <c r="Y6" s="64"/>
      <c r="Z6" s="64"/>
    </row>
    <row r="7" ht="12.75" customHeight="1">
      <c r="A7" s="112" t="s">
        <v>709</v>
      </c>
      <c r="B7" s="86" t="str">
        <f t="array" ref="B7">IFERROR(INDEX('Senior Faculty'!$J$2:$J$401,MATCH(1,INDEX(('Senior Faculty'!$K$2:$K$401=$B$1)*('Senior Faculty'!$N$2:$N$401=1),0),0)),"")</f>
        <v>Dr. Nafiz Jaidye</v>
      </c>
      <c r="C7" s="86" t="str">
        <f t="array" ref="C7">IFERROR(INDEX('Senior Faculty'!$L$2:$L$401,MATCH(1,INDEX(('Senior Faculty'!$K$2:$K$401=$B$1)*('Senior Faculty'!$N$2:$N$401=1),0),0))&amp;"","")</f>
        <v>nafiz.jaidye@ulab.edu.bd</v>
      </c>
      <c r="D7" s="86" t="str">
        <f t="array" ref="D7">IFERROR(INDEX('Senior Faculty'!$M$2:$M$401,MATCH(1,INDEX(('Senior Faculty'!$K$2:$K$401=$B$1)*('Senior Faculty'!$N$2:$N$401=1),0),0))&amp;"","")</f>
        <v>01889121516</v>
      </c>
      <c r="E7" s="64"/>
      <c r="F7" s="63"/>
      <c r="G7" s="63"/>
      <c r="H7" s="64"/>
      <c r="I7" s="64"/>
      <c r="J7" s="64"/>
      <c r="K7" s="64"/>
      <c r="L7" s="64"/>
      <c r="M7" s="64"/>
      <c r="N7" s="64"/>
      <c r="O7" s="64"/>
      <c r="P7" s="64"/>
      <c r="Q7" s="64"/>
      <c r="R7" s="64"/>
      <c r="S7" s="64"/>
      <c r="T7" s="64"/>
      <c r="U7" s="64"/>
      <c r="V7" s="64"/>
      <c r="W7" s="64"/>
      <c r="X7" s="64"/>
      <c r="Y7" s="64"/>
      <c r="Z7" s="64"/>
    </row>
    <row r="8" ht="12.75" customHeight="1">
      <c r="A8" s="112" t="s">
        <v>713</v>
      </c>
      <c r="B8" s="86" t="str">
        <f t="array" ref="B8">IFERROR(INDEX('Junior Faculty'!$J$2:$J$401,MATCH(1,INDEX(('Junior Faculty'!$K$2:$K$401=$B$1)*('Junior Faculty'!$N$2:$N$401=1),0),0)),"")</f>
        <v>Wahida Ferdose Urmi</v>
      </c>
      <c r="C8" s="86" t="str">
        <f t="array" ref="C8">IFERROR(INDEX('Junior Faculty'!$L$2:$L$401,MATCH(1,INDEX(('Junior Faculty'!$K$2:$K$401=$B$1)*('Junior Faculty'!$N$2:$N$401=1),0),0))&amp;"","")</f>
        <v>wahida.ferdose@ulab.edu.bd</v>
      </c>
      <c r="D8" s="86" t="str">
        <f t="array" ref="D8">IFERROR(INDEX('Junior Faculty'!$M$2:$M$401,MATCH(1,INDEX(('Junior Faculty'!$K$2:$K$401=$B$1)*('Junior Faculty'!$N$2:$N$401=1),0),0))&amp;"","")</f>
        <v>01756629803</v>
      </c>
      <c r="E8" s="64"/>
      <c r="F8" s="63"/>
      <c r="G8" s="63"/>
      <c r="H8" s="64"/>
      <c r="I8" s="64"/>
      <c r="J8" s="64"/>
      <c r="K8" s="64"/>
      <c r="L8" s="64"/>
      <c r="M8" s="64"/>
      <c r="N8" s="64"/>
      <c r="O8" s="64"/>
      <c r="P8" s="64"/>
      <c r="Q8" s="64"/>
      <c r="R8" s="64"/>
      <c r="S8" s="64"/>
      <c r="T8" s="64"/>
      <c r="U8" s="64"/>
      <c r="V8" s="64"/>
      <c r="W8" s="64"/>
      <c r="X8" s="64"/>
      <c r="Y8" s="64"/>
      <c r="Z8" s="64"/>
    </row>
    <row r="9" ht="12.75" customHeight="1">
      <c r="A9" s="119" t="s">
        <v>714</v>
      </c>
      <c r="B9" s="95"/>
      <c r="C9" s="95"/>
      <c r="D9" s="95"/>
      <c r="E9" s="64"/>
      <c r="F9" s="63"/>
      <c r="G9" s="63"/>
      <c r="H9" s="64"/>
      <c r="I9" s="64"/>
      <c r="J9" s="64"/>
      <c r="K9" s="64"/>
      <c r="L9" s="64"/>
      <c r="M9" s="64"/>
      <c r="N9" s="64"/>
      <c r="O9" s="64"/>
      <c r="P9" s="64"/>
      <c r="Q9" s="64"/>
      <c r="R9" s="64"/>
      <c r="S9" s="64"/>
      <c r="T9" s="64"/>
      <c r="U9" s="64"/>
      <c r="V9" s="64"/>
      <c r="W9" s="64"/>
      <c r="X9" s="64"/>
      <c r="Y9" s="64"/>
      <c r="Z9" s="64"/>
    </row>
    <row r="10" ht="12.75" customHeight="1">
      <c r="A10" s="108"/>
      <c r="B10" s="64"/>
      <c r="C10" s="64"/>
      <c r="D10" s="64"/>
      <c r="E10" s="64"/>
      <c r="F10" s="63"/>
      <c r="G10" s="63"/>
      <c r="H10" s="64"/>
      <c r="I10" s="64"/>
      <c r="J10" s="64"/>
      <c r="K10" s="64"/>
      <c r="L10" s="64"/>
      <c r="M10" s="64"/>
      <c r="N10" s="64"/>
      <c r="O10" s="64"/>
      <c r="P10" s="64"/>
      <c r="Q10" s="64"/>
      <c r="R10" s="64"/>
      <c r="S10" s="64"/>
      <c r="T10" s="64"/>
      <c r="U10" s="64"/>
      <c r="V10" s="64"/>
      <c r="W10" s="64"/>
      <c r="X10" s="64"/>
      <c r="Y10" s="64"/>
      <c r="Z10" s="64"/>
    </row>
    <row r="11" ht="12.75" customHeight="1">
      <c r="A11" s="121" t="s">
        <v>727</v>
      </c>
      <c r="B11" s="86"/>
      <c r="C11" s="86"/>
      <c r="D11" s="86"/>
      <c r="E11" s="64"/>
      <c r="F11" s="63"/>
      <c r="G11" s="63"/>
      <c r="H11" s="64"/>
      <c r="I11" s="64"/>
      <c r="J11" s="64"/>
      <c r="K11" s="64"/>
      <c r="L11" s="64"/>
      <c r="M11" s="64"/>
      <c r="N11" s="64"/>
      <c r="O11" s="64"/>
      <c r="P11" s="64"/>
      <c r="Q11" s="64"/>
      <c r="R11" s="64"/>
      <c r="S11" s="64"/>
      <c r="T11" s="64"/>
      <c r="U11" s="64"/>
      <c r="V11" s="64"/>
      <c r="W11" s="64"/>
      <c r="X11" s="64"/>
      <c r="Y11" s="64"/>
      <c r="Z11" s="64"/>
    </row>
    <row r="12" ht="15.0" customHeight="1">
      <c r="A12" s="122" t="s">
        <v>174</v>
      </c>
      <c r="B12" s="122" t="s">
        <v>256</v>
      </c>
      <c r="C12" s="123" t="s">
        <v>257</v>
      </c>
      <c r="D12" s="124"/>
      <c r="E12" s="61" t="s">
        <v>258</v>
      </c>
      <c r="F12" s="60" t="s">
        <v>265</v>
      </c>
      <c r="G12" s="64"/>
      <c r="H12" s="64"/>
      <c r="I12" s="64"/>
      <c r="J12" s="64"/>
      <c r="K12" s="64"/>
      <c r="L12" s="64"/>
      <c r="M12" s="64"/>
      <c r="N12" s="64"/>
      <c r="O12" s="64"/>
      <c r="P12" s="64"/>
      <c r="Q12" s="64"/>
      <c r="R12" s="64"/>
      <c r="S12" s="64"/>
      <c r="T12" s="64"/>
      <c r="U12" s="64"/>
      <c r="V12" s="64"/>
      <c r="W12" s="64"/>
      <c r="X12" s="64"/>
      <c r="Y12" s="64"/>
      <c r="Z12" s="64"/>
    </row>
    <row r="13" ht="12.75" customHeight="1">
      <c r="A13" s="113">
        <f t="array" ref="A13">IFERROR(INDEX(Papers!$A$2:$A$201,MATCH(1,INDEX((Papers!$G$2:$G$201=$B$1)*(Papers!$I$2:$I$201=1),0),0)),"")</f>
        <v>254</v>
      </c>
      <c r="B13" s="113" t="str">
        <f t="array" ref="B13">IFERROR(INDEX(Papers!$C$2:$C$201,MATCH(1,INDEX((Papers!$G$2:$G$201=$B$1)*(Papers!$I$2:$I$201=1),0),0)),"")</f>
        <v>BioCal RA: A Trustworthy and Explainable Multi-Agent Research Assistant for Biomedical Field</v>
      </c>
      <c r="C13" s="113" t="str">
        <f t="array" ref="C13">IFERROR(INDEX(Papers!$D$2:$D$201,MATCH(1,INDEX((Papers!$G$2:$G$201=$B$1)*(Papers!$I$2:$I$201=1),0),0)),"")</f>
        <v>Salvir Rahman Ratul (University of Liberal Arts Bangladesh)*; Navid Rahman (University of Liberal Arts Bangladesh); Shafwan Shadid Khan (University of Liberal Arts Bangladesh); Argho Das (University of Liberal Arts Bangladesh); Nancy Drong (University of Liberal Arts Bangladesh); Rubaiya Hafiz (University of Liberal Arts Bangladesh)</v>
      </c>
      <c r="D13" s="125"/>
      <c r="E13" s="86" t="str">
        <f t="array" ref="E13">IFERROR(INDEX(Papers!$E$2:$E$201,MATCH(1,INDEX((Papers!$G$2:$G$201=$B$1)*(Papers!$I$2:$I$201=1),0),0)),"")</f>
        <v>salvir.rahman.cse@ulab.edu.bd; navid.rahman.cse@ulab.edu.bd; shafwan.shadid.cse@ulab.edu.bd; argho.das.cse@ulab.edu.bd; nancy.drong.cse@ulab.edu.bd; rubaiya.hafiz@ulab.edu.bd</v>
      </c>
      <c r="F13" s="67"/>
      <c r="G13" s="64"/>
      <c r="H13" s="64"/>
      <c r="I13" s="64"/>
      <c r="J13" s="64"/>
      <c r="K13" s="64"/>
      <c r="L13" s="64"/>
      <c r="M13" s="64"/>
      <c r="N13" s="64"/>
      <c r="O13" s="64"/>
      <c r="P13" s="64"/>
      <c r="Q13" s="64"/>
      <c r="R13" s="64"/>
      <c r="S13" s="64"/>
      <c r="T13" s="64"/>
      <c r="U13" s="64"/>
      <c r="V13" s="64"/>
      <c r="W13" s="64"/>
      <c r="X13" s="64"/>
      <c r="Y13" s="64"/>
      <c r="Z13" s="64"/>
    </row>
    <row r="14" ht="12.75" customHeight="1">
      <c r="A14" s="113">
        <f t="array" ref="A14">IFERROR(INDEX(Papers!$A$2:$A$201,MATCH(1,INDEX((Papers!$G$2:$G$201=$B$1)*(Papers!$I$2:$I$201=2),0),0)),"")</f>
        <v>275</v>
      </c>
      <c r="B14" s="113" t="str">
        <f t="array" ref="B14">IFERROR(INDEX(Papers!$C$2:$C$201,MATCH(1,INDEX((Papers!$G$2:$G$201=$B$1)*(Papers!$I$2:$I$201=2),0),0)),"")</f>
        <v>Multi-Representation Fusion with Subspace-Aware SMOTE for Source Code Vulnerability Detection</v>
      </c>
      <c r="C14" s="113" t="str">
        <f t="array" ref="C14">IFERROR(INDEX(Papers!$D$2:$D$201,MATCH(1,INDEX((Papers!$G$2:$G$201=$B$1)*(Papers!$I$2:$I$201=2),0),0)),"")</f>
        <v>Talat Mahmud  Lam (University of Liberal Arts Bangladesh); Sadia Nuzat  Prova (University of Liberal Arts Bangladesh); Shahin  Alam (University of Liberal Arts Bangladesh	); Umme Asma  Busra (University of Liberal Arts Bangladesh); Md. Nazmul Abdal (University of Liberal Arts Bangladesh )*</v>
      </c>
      <c r="D14" s="125"/>
      <c r="E14" s="86" t="str">
        <f t="array" ref="E14">IFERROR(INDEX(Papers!$E$2:$E$201,MATCH(1,INDEX((Papers!$G$2:$G$201=$B$1)*(Papers!$I$2:$I$201=2),0),0)),"")</f>
        <v>talat.mahmud.cse@ulab.edu.bd; sadia.nuzat.cse@ulab.edu.bd; shahin.alam.cse@ulab.edu.bd; umme.asma.cse@ulab.edu.bd; nazmul.abdal@ulab.edu.bd</v>
      </c>
      <c r="F14" s="67"/>
      <c r="G14" s="64"/>
      <c r="H14" s="64"/>
      <c r="I14" s="64"/>
      <c r="J14" s="64"/>
      <c r="K14" s="64"/>
      <c r="L14" s="64"/>
      <c r="M14" s="64"/>
      <c r="N14" s="64"/>
      <c r="O14" s="64"/>
      <c r="P14" s="64"/>
      <c r="Q14" s="64"/>
      <c r="R14" s="64"/>
      <c r="S14" s="64"/>
      <c r="T14" s="64"/>
      <c r="U14" s="64"/>
      <c r="V14" s="64"/>
      <c r="W14" s="64"/>
      <c r="X14" s="64"/>
      <c r="Y14" s="64"/>
      <c r="Z14" s="64"/>
    </row>
    <row r="15" ht="12.75" customHeight="1">
      <c r="A15" s="113">
        <f t="array" ref="A15">IFERROR(INDEX(Papers!$A$2:$A$201,MATCH(1,INDEX((Papers!$G$2:$G$201=$B$1)*(Papers!$I$2:$I$201=3),0),0)),"")</f>
        <v>322</v>
      </c>
      <c r="B15" s="113" t="str">
        <f t="array" ref="B15">IFERROR(INDEX(Papers!$C$2:$C$201,MATCH(1,INDEX((Papers!$G$2:$G$201=$B$1)*(Papers!$I$2:$I$201=3),0),0)),"")</f>
        <v>NOVA-Net: A Noise-Aware Deep Network for Robust Human Activity Recognition from Surveillance Videos</v>
      </c>
      <c r="C15" s="113" t="str">
        <f t="array" ref="C15">IFERROR(INDEX(Papers!$D$2:$D$201,MATCH(1,INDEX((Papers!$G$2:$G$201=$B$1)*(Papers!$I$2:$I$201=3),0),0)),"")</f>
        <v>Atia Sadilka (Rajshahi University of Engineering and Technology); Asifur Rahman  Siyam  (Rajshahi University of Engineering and Technology )*; Md. Nuhi-Alamin (Rajshahi University of Engineering and Technology)</v>
      </c>
      <c r="D15" s="125"/>
      <c r="E15" s="86" t="str">
        <f t="array" ref="E15">IFERROR(INDEX(Papers!$E$2:$E$201,MATCH(1,INDEX((Papers!$G$2:$G$201=$B$1)*(Papers!$I$2:$I$201=3),0),0)),"")</f>
        <v>atiasadika63@gmail.com; asif.siyam72@gmail.com; nuhialamin@eee.ruet.ac.bd</v>
      </c>
      <c r="F15" s="67"/>
      <c r="G15" s="64"/>
      <c r="H15" s="64"/>
      <c r="I15" s="64"/>
      <c r="J15" s="64"/>
      <c r="K15" s="64"/>
      <c r="L15" s="64"/>
      <c r="M15" s="64"/>
      <c r="N15" s="64"/>
      <c r="O15" s="64"/>
      <c r="P15" s="64"/>
      <c r="Q15" s="64"/>
      <c r="R15" s="64"/>
      <c r="S15" s="64"/>
      <c r="T15" s="64"/>
      <c r="U15" s="64"/>
      <c r="V15" s="64"/>
      <c r="W15" s="64"/>
      <c r="X15" s="64"/>
      <c r="Y15" s="64"/>
      <c r="Z15" s="64"/>
    </row>
    <row r="16" ht="12.75" customHeight="1">
      <c r="A16" s="113">
        <f t="array" ref="A16">IFERROR(INDEX(Papers!$A$2:$A$201,MATCH(1,INDEX((Papers!$G$2:$G$201=$B$1)*(Papers!$I$2:$I$201=4),0),0)),"")</f>
        <v>358</v>
      </c>
      <c r="B16" s="113" t="str">
        <f t="array" ref="B16">IFERROR(INDEX(Papers!$C$2:$C$201,MATCH(1,INDEX((Papers!$G$2:$G$201=$B$1)*(Papers!$I$2:$I$201=4),0),0)),"")</f>
        <v>AdaLLM: A Subject-Adaptive RAG Framework Designed for the Question Answering Process of NCTB’s Class-8 Science &amp; BGS Subjects</v>
      </c>
      <c r="C16" s="113" t="str">
        <f t="array" ref="C16">IFERROR(INDEX(Papers!$D$2:$D$201,MATCH(1,INDEX((Papers!$G$2:$G$201=$B$1)*(Papers!$I$2:$I$201=4),0),0)),"")</f>
        <v>Raihan Kibria (University of Liberal Arts Bangladesh)*; Samia  Rahman (University of Liberal Arts Bangladesh); Redwan Ahamad Samir (University of Liberal Arts Bangladesh); Md Omur Faruk (University of Liberal Arts Bangladesh); Raiyan Islam (University of Liberal Arts Bangladesh); MD KAVIUL HOSSAIN (University of Liberal Arts Bangladesh)</v>
      </c>
      <c r="D16" s="125"/>
      <c r="E16" s="86" t="str">
        <f t="array" ref="E16">IFERROR(INDEX(Papers!$E$2:$E$201,MATCH(1,INDEX((Papers!$G$2:$G$201=$B$1)*(Papers!$I$2:$I$201=4),0),0)),"")</f>
        <v>raihan.kibria@ulab.edu.bd; samia.rahman.cse@ulab.edu.bd; redwansamir90@gmail.com; omurfaruk199823@gmail.com; raiyanislam875@gmail.com; kaviul.hossain@ulab.edu.bd</v>
      </c>
      <c r="F16" s="67"/>
      <c r="G16" s="64"/>
      <c r="H16" s="64"/>
      <c r="I16" s="64"/>
      <c r="J16" s="64"/>
      <c r="K16" s="64"/>
      <c r="L16" s="64"/>
      <c r="M16" s="64"/>
      <c r="N16" s="64"/>
      <c r="O16" s="64"/>
      <c r="P16" s="64"/>
      <c r="Q16" s="64"/>
      <c r="R16" s="64"/>
      <c r="S16" s="64"/>
      <c r="T16" s="64"/>
      <c r="U16" s="64"/>
      <c r="V16" s="64"/>
      <c r="W16" s="64"/>
      <c r="X16" s="64"/>
      <c r="Y16" s="64"/>
      <c r="Z16" s="64"/>
    </row>
    <row r="17" ht="12.75" customHeight="1">
      <c r="A17" s="113">
        <f t="array" ref="A17">IFERROR(INDEX(Papers!$A$2:$A$201,MATCH(1,INDEX((Papers!$G$2:$G$201=$B$1)*(Papers!$I$2:$I$201=5),0),0)),"")</f>
        <v>208</v>
      </c>
      <c r="B17" s="113" t="str">
        <f t="array" ref="B17">IFERROR(INDEX(Papers!$C$2:$C$201,MATCH(1,INDEX((Papers!$G$2:$G$201=$B$1)*(Papers!$I$2:$I$201=5),0),0)),"")</f>
        <v>The Effect of e-KYC Adoption on the Cost Efficiency of Commercial Banks in Bangladesh: A Dynamic Panel Study</v>
      </c>
      <c r="C17" s="113" t="str">
        <f t="array" ref="C17">IFERROR(INDEX(Papers!$D$2:$D$201,MATCH(1,INDEX((Papers!$G$2:$G$201=$B$1)*(Papers!$I$2:$I$201=5),0),0)),"")</f>
        <v>Shabab  Sabiq (University of Barishal); Progga Biswas  Parama (Eden Mohila College); Khadiza Tul  Ferdaous  (University Of Liberal Arts Bangladesh); Mashiyat   Tafannum (University of Dhaka ); Arpita  Mistry (Daffodil international University); Maftun Ahommed (University Of Liberal Arts Bangladesh)*</v>
      </c>
      <c r="D17" s="125"/>
      <c r="E17" s="86" t="str">
        <f t="array" ref="E17">IFERROR(INDEX(Papers!$E$2:$E$201,MATCH(1,INDEX((Papers!$G$2:$G$201=$B$1)*(Papers!$I$2:$I$201=5),0),0)),"")</f>
        <v>ssabiq18.fin@bu.ac.bd; progga.biswas.mkt@gmail.com; khadiza.ferdaous.bba@ulab.edu.bd; mashiyat-2019512668@fin.du.ac.bd; mistry2304083062@diu.edu.bd; maftun.ahommed.cse@ulab.edu.bd</v>
      </c>
      <c r="F17" s="67"/>
      <c r="G17" s="64"/>
      <c r="H17" s="64"/>
      <c r="I17" s="64"/>
      <c r="J17" s="64"/>
      <c r="K17" s="64"/>
      <c r="L17" s="64"/>
      <c r="M17" s="64"/>
      <c r="N17" s="64"/>
      <c r="O17" s="64"/>
      <c r="P17" s="64"/>
      <c r="Q17" s="64"/>
      <c r="R17" s="64"/>
      <c r="S17" s="64"/>
      <c r="T17" s="64"/>
      <c r="U17" s="64"/>
      <c r="V17" s="64"/>
      <c r="W17" s="64"/>
      <c r="X17" s="64"/>
      <c r="Y17" s="64"/>
      <c r="Z17" s="64"/>
    </row>
    <row r="18" ht="12.75" customHeight="1">
      <c r="A18" s="113" t="str">
        <f t="array" ref="A18">IFERROR(INDEX(Papers!$A$2:$A$201,MATCH(1,INDEX((Papers!$G$2:$G$201=$B$1)*(Papers!$I$2:$I$201=6),0),0)),"")</f>
        <v/>
      </c>
      <c r="B18" s="113" t="str">
        <f t="array" ref="B18">IFERROR(INDEX(Papers!$C$2:$C$201,MATCH(1,INDEX((Papers!$G$2:$G$201=$B$1)*(Papers!$I$2:$I$201=6),0),0)),"")</f>
        <v/>
      </c>
      <c r="C18" s="113" t="str">
        <f t="array" ref="C18">IFERROR(INDEX(Papers!$D$2:$D$201,MATCH(1,INDEX((Papers!$G$2:$G$201=$B$1)*(Papers!$I$2:$I$201=6),0),0)),"")</f>
        <v/>
      </c>
      <c r="D18" s="125"/>
      <c r="E18" s="86" t="str">
        <f t="array" ref="E18">IFERROR(INDEX(Papers!$E$2:$E$201,MATCH(1,INDEX((Papers!$G$2:$G$201=$B$1)*(Papers!$I$2:$I$201=6),0),0)),"")</f>
        <v/>
      </c>
      <c r="F18" s="67"/>
      <c r="G18" s="64"/>
      <c r="H18" s="64"/>
      <c r="I18" s="64"/>
      <c r="J18" s="64"/>
      <c r="K18" s="64"/>
      <c r="L18" s="64"/>
      <c r="M18" s="64"/>
      <c r="N18" s="64"/>
      <c r="O18" s="64"/>
      <c r="P18" s="64"/>
      <c r="Q18" s="64"/>
      <c r="R18" s="64"/>
      <c r="S18" s="64"/>
      <c r="T18" s="64"/>
      <c r="U18" s="64"/>
      <c r="V18" s="64"/>
      <c r="W18" s="64"/>
      <c r="X18" s="64"/>
      <c r="Y18" s="64"/>
      <c r="Z18" s="64"/>
    </row>
    <row r="19" ht="12.75" customHeight="1">
      <c r="A19" s="113" t="str">
        <f t="array" ref="A19">IFERROR(INDEX(Papers!$A$2:$A$201,MATCH(1,INDEX((Papers!$G$2:$G$201=$B$1)*(Papers!$I$2:$I$201=7),0),0)),"")</f>
        <v/>
      </c>
      <c r="B19" s="113" t="str">
        <f t="array" ref="B19">IFERROR(INDEX(Papers!$C$2:$C$201,MATCH(1,INDEX((Papers!$G$2:$G$201=$B$1)*(Papers!$I$2:$I$201=7),0),0)),"")</f>
        <v/>
      </c>
      <c r="C19" s="113" t="str">
        <f t="array" ref="C19">IFERROR(INDEX(Papers!$D$2:$D$201,MATCH(1,INDEX((Papers!$G$2:$G$201=$B$1)*(Papers!$I$2:$I$201=7),0),0)),"")</f>
        <v/>
      </c>
      <c r="D19" s="125"/>
      <c r="E19" s="86" t="str">
        <f t="array" ref="E19">IFERROR(INDEX(Papers!$E$2:$E$201,MATCH(1,INDEX((Papers!$G$2:$G$201=$B$1)*(Papers!$I$2:$I$201=7),0),0)),"")</f>
        <v/>
      </c>
      <c r="F19" s="67"/>
      <c r="G19" s="64"/>
      <c r="H19" s="64"/>
      <c r="I19" s="64"/>
      <c r="J19" s="64"/>
      <c r="K19" s="64"/>
      <c r="L19" s="64"/>
      <c r="M19" s="64"/>
      <c r="N19" s="64"/>
      <c r="O19" s="64"/>
      <c r="P19" s="64"/>
      <c r="Q19" s="64"/>
      <c r="R19" s="64"/>
      <c r="S19" s="64"/>
      <c r="T19" s="64"/>
      <c r="U19" s="64"/>
      <c r="V19" s="64"/>
      <c r="W19" s="64"/>
      <c r="X19" s="64"/>
      <c r="Y19" s="64"/>
      <c r="Z19" s="64"/>
    </row>
    <row r="20" ht="12.75" customHeight="1">
      <c r="A20" s="113" t="str">
        <f t="array" ref="A20">IFERROR(INDEX(Papers!$A$2:$A$201,MATCH(1,INDEX((Papers!$G$2:$G$201=$B$1)*(Papers!$I$2:$I$201=8),0),0)),"")</f>
        <v/>
      </c>
      <c r="B20" s="113" t="str">
        <f t="array" ref="B20">IFERROR(INDEX(Papers!$C$2:$C$201,MATCH(1,INDEX((Papers!$G$2:$G$201=$B$1)*(Papers!$I$2:$I$201=8),0),0)),"")</f>
        <v/>
      </c>
      <c r="C20" s="113" t="str">
        <f t="array" ref="C20">IFERROR(INDEX(Papers!$D$2:$D$201,MATCH(1,INDEX((Papers!$G$2:$G$201=$B$1)*(Papers!$I$2:$I$201=8),0),0)),"")</f>
        <v/>
      </c>
      <c r="D20" s="125"/>
      <c r="E20" s="86" t="str">
        <f t="array" ref="E20">IFERROR(INDEX(Papers!$E$2:$E$201,MATCH(1,INDEX((Papers!$G$2:$G$201=$B$1)*(Papers!$I$2:$I$201=8),0),0)),"")</f>
        <v/>
      </c>
      <c r="F20" s="67"/>
      <c r="G20" s="64"/>
      <c r="H20" s="64"/>
      <c r="I20" s="64"/>
      <c r="J20" s="64"/>
      <c r="K20" s="64"/>
      <c r="L20" s="64"/>
      <c r="M20" s="64"/>
      <c r="N20" s="64"/>
      <c r="O20" s="64"/>
      <c r="P20" s="64"/>
      <c r="Q20" s="64"/>
      <c r="R20" s="64"/>
      <c r="S20" s="64"/>
      <c r="T20" s="64"/>
      <c r="U20" s="64"/>
      <c r="V20" s="64"/>
      <c r="W20" s="64"/>
      <c r="X20" s="64"/>
      <c r="Y20" s="64"/>
      <c r="Z20" s="64"/>
    </row>
    <row r="21" ht="12.75" customHeight="1">
      <c r="A21" s="108"/>
      <c r="B21" s="64"/>
      <c r="C21" s="64"/>
      <c r="E21" s="64"/>
      <c r="F21" s="63"/>
      <c r="G21" s="64"/>
      <c r="H21" s="64"/>
      <c r="I21" s="64"/>
      <c r="J21" s="64"/>
      <c r="K21" s="64"/>
      <c r="L21" s="64"/>
      <c r="M21" s="64"/>
      <c r="N21" s="64"/>
      <c r="O21" s="64"/>
      <c r="P21" s="64"/>
      <c r="Q21" s="64"/>
      <c r="R21" s="64"/>
      <c r="S21" s="64"/>
      <c r="T21" s="64"/>
      <c r="U21" s="64"/>
      <c r="V21" s="64"/>
      <c r="W21" s="64"/>
      <c r="X21" s="64"/>
      <c r="Y21" s="64"/>
      <c r="Z21" s="64"/>
    </row>
    <row r="22" ht="12.75" customHeight="1">
      <c r="A22" s="108"/>
      <c r="B22" s="64"/>
      <c r="C22" s="64"/>
      <c r="D22" s="64"/>
      <c r="E22" s="64"/>
      <c r="F22" s="63"/>
      <c r="G22" s="63"/>
      <c r="H22" s="64"/>
      <c r="I22" s="64"/>
      <c r="J22" s="64"/>
      <c r="K22" s="64"/>
      <c r="L22" s="64"/>
      <c r="M22" s="64"/>
      <c r="N22" s="64"/>
      <c r="O22" s="64"/>
      <c r="P22" s="64"/>
      <c r="Q22" s="64"/>
      <c r="R22" s="64"/>
      <c r="S22" s="64"/>
      <c r="T22" s="64"/>
      <c r="U22" s="64"/>
      <c r="V22" s="64"/>
      <c r="W22" s="64"/>
      <c r="X22" s="64"/>
      <c r="Y22" s="64"/>
      <c r="Z22" s="64"/>
    </row>
    <row r="23" ht="12.75" customHeight="1">
      <c r="A23" s="108"/>
      <c r="B23" s="64"/>
      <c r="C23" s="64"/>
      <c r="D23" s="64"/>
      <c r="E23" s="64"/>
      <c r="F23" s="63"/>
      <c r="G23" s="63"/>
      <c r="H23" s="64"/>
      <c r="I23" s="64"/>
      <c r="J23" s="64"/>
      <c r="K23" s="64"/>
      <c r="L23" s="64"/>
      <c r="M23" s="64"/>
      <c r="N23" s="64"/>
      <c r="O23" s="64"/>
      <c r="P23" s="64"/>
      <c r="Q23" s="64"/>
      <c r="R23" s="64"/>
      <c r="S23" s="64"/>
      <c r="T23" s="64"/>
      <c r="U23" s="64"/>
      <c r="V23" s="64"/>
      <c r="W23" s="64"/>
      <c r="X23" s="64"/>
      <c r="Y23" s="64"/>
      <c r="Z23" s="64"/>
    </row>
    <row r="24" ht="12.75" customHeight="1">
      <c r="A24" s="108"/>
      <c r="B24" s="64"/>
      <c r="C24" s="64"/>
      <c r="D24" s="64"/>
      <c r="E24" s="64"/>
      <c r="F24" s="63"/>
      <c r="G24" s="63"/>
      <c r="H24" s="64"/>
      <c r="I24" s="64"/>
      <c r="J24" s="64"/>
      <c r="K24" s="64"/>
      <c r="L24" s="64"/>
      <c r="M24" s="64"/>
      <c r="N24" s="64"/>
      <c r="O24" s="64"/>
      <c r="P24" s="64"/>
      <c r="Q24" s="64"/>
      <c r="R24" s="64"/>
      <c r="S24" s="64"/>
      <c r="T24" s="64"/>
      <c r="U24" s="64"/>
      <c r="V24" s="64"/>
      <c r="W24" s="64"/>
      <c r="X24" s="64"/>
      <c r="Y24" s="64"/>
      <c r="Z24" s="64"/>
    </row>
    <row r="25" ht="12.75" customHeight="1">
      <c r="A25" s="108"/>
      <c r="B25" s="64"/>
      <c r="C25" s="64"/>
      <c r="D25" s="64"/>
      <c r="E25" s="64"/>
      <c r="F25" s="63"/>
      <c r="G25" s="63"/>
      <c r="H25" s="64"/>
      <c r="I25" s="64"/>
      <c r="J25" s="64"/>
      <c r="K25" s="64"/>
      <c r="L25" s="64"/>
      <c r="M25" s="64"/>
      <c r="N25" s="64"/>
      <c r="O25" s="64"/>
      <c r="P25" s="64"/>
      <c r="Q25" s="64"/>
      <c r="R25" s="64"/>
      <c r="S25" s="64"/>
      <c r="T25" s="64"/>
      <c r="U25" s="64"/>
      <c r="V25" s="64"/>
      <c r="W25" s="64"/>
      <c r="X25" s="64"/>
      <c r="Y25" s="64"/>
      <c r="Z25" s="64"/>
    </row>
    <row r="26" ht="12.75" customHeight="1">
      <c r="A26" s="108"/>
      <c r="B26" s="64"/>
      <c r="C26" s="64"/>
      <c r="D26" s="64"/>
      <c r="E26" s="64"/>
      <c r="F26" s="63"/>
      <c r="G26" s="63"/>
      <c r="H26" s="64"/>
      <c r="I26" s="64"/>
      <c r="J26" s="64"/>
      <c r="K26" s="64"/>
      <c r="L26" s="64"/>
      <c r="M26" s="64"/>
      <c r="N26" s="64"/>
      <c r="O26" s="64"/>
      <c r="P26" s="64"/>
      <c r="Q26" s="64"/>
      <c r="R26" s="64"/>
      <c r="S26" s="64"/>
      <c r="T26" s="64"/>
      <c r="U26" s="64"/>
      <c r="V26" s="64"/>
      <c r="W26" s="64"/>
      <c r="X26" s="64"/>
      <c r="Y26" s="64"/>
      <c r="Z26" s="64"/>
    </row>
    <row r="27" ht="12.75" customHeight="1">
      <c r="A27" s="108"/>
      <c r="B27" s="64"/>
      <c r="C27" s="64"/>
      <c r="D27" s="64"/>
      <c r="E27" s="64"/>
      <c r="F27" s="63"/>
      <c r="G27" s="63"/>
      <c r="H27" s="64"/>
      <c r="I27" s="64"/>
      <c r="J27" s="64"/>
      <c r="K27" s="64"/>
      <c r="L27" s="64"/>
      <c r="M27" s="64"/>
      <c r="N27" s="64"/>
      <c r="O27" s="64"/>
      <c r="P27" s="64"/>
      <c r="Q27" s="64"/>
      <c r="R27" s="64"/>
      <c r="S27" s="64"/>
      <c r="T27" s="64"/>
      <c r="U27" s="64"/>
      <c r="V27" s="64"/>
      <c r="W27" s="64"/>
      <c r="X27" s="64"/>
      <c r="Y27" s="64"/>
      <c r="Z27" s="64"/>
    </row>
    <row r="28" ht="12.75" customHeight="1">
      <c r="A28" s="108"/>
      <c r="B28" s="64"/>
      <c r="C28" s="64"/>
      <c r="D28" s="64"/>
      <c r="E28" s="64"/>
      <c r="F28" s="63"/>
      <c r="G28" s="63"/>
      <c r="H28" s="64"/>
      <c r="I28" s="64"/>
      <c r="J28" s="64"/>
      <c r="K28" s="64"/>
      <c r="L28" s="64"/>
      <c r="M28" s="64"/>
      <c r="N28" s="64"/>
      <c r="O28" s="64"/>
      <c r="P28" s="64"/>
      <c r="Q28" s="64"/>
      <c r="R28" s="64"/>
      <c r="S28" s="64"/>
      <c r="T28" s="64"/>
      <c r="U28" s="64"/>
      <c r="V28" s="64"/>
      <c r="W28" s="64"/>
      <c r="X28" s="64"/>
      <c r="Y28" s="64"/>
      <c r="Z28" s="64"/>
    </row>
    <row r="29" ht="12.75" customHeight="1">
      <c r="A29" s="108"/>
      <c r="B29" s="64"/>
      <c r="C29" s="64"/>
      <c r="D29" s="64"/>
      <c r="E29" s="64"/>
      <c r="F29" s="63"/>
      <c r="G29" s="63"/>
      <c r="H29" s="64"/>
      <c r="I29" s="64"/>
      <c r="J29" s="64"/>
      <c r="K29" s="64"/>
      <c r="L29" s="64"/>
      <c r="M29" s="64"/>
      <c r="N29" s="64"/>
      <c r="O29" s="64"/>
      <c r="P29" s="64"/>
      <c r="Q29" s="64"/>
      <c r="R29" s="64"/>
      <c r="S29" s="64"/>
      <c r="T29" s="64"/>
      <c r="U29" s="64"/>
      <c r="V29" s="64"/>
      <c r="W29" s="64"/>
      <c r="X29" s="64"/>
      <c r="Y29" s="64"/>
      <c r="Z29" s="64"/>
    </row>
    <row r="30" ht="12.75" customHeight="1">
      <c r="A30" s="108"/>
      <c r="B30" s="64"/>
      <c r="C30" s="64"/>
      <c r="D30" s="64"/>
      <c r="E30" s="64"/>
      <c r="F30" s="63"/>
      <c r="G30" s="63"/>
      <c r="H30" s="64"/>
      <c r="I30" s="64"/>
      <c r="J30" s="64"/>
      <c r="K30" s="64"/>
      <c r="L30" s="64"/>
      <c r="M30" s="64"/>
      <c r="N30" s="64"/>
      <c r="O30" s="64"/>
      <c r="P30" s="64"/>
      <c r="Q30" s="64"/>
      <c r="R30" s="64"/>
      <c r="S30" s="64"/>
      <c r="T30" s="64"/>
      <c r="U30" s="64"/>
      <c r="V30" s="64"/>
      <c r="W30" s="64"/>
      <c r="X30" s="64"/>
      <c r="Y30" s="64"/>
      <c r="Z30" s="64"/>
    </row>
    <row r="31" ht="12.75" customHeight="1">
      <c r="A31" s="108"/>
      <c r="B31" s="64"/>
      <c r="C31" s="64"/>
      <c r="D31" s="64"/>
      <c r="E31" s="64"/>
      <c r="F31" s="63"/>
      <c r="G31" s="63"/>
      <c r="H31" s="64"/>
      <c r="I31" s="64"/>
      <c r="J31" s="64"/>
      <c r="K31" s="64"/>
      <c r="L31" s="64"/>
      <c r="M31" s="64"/>
      <c r="N31" s="64"/>
      <c r="O31" s="64"/>
      <c r="P31" s="64"/>
      <c r="Q31" s="64"/>
      <c r="R31" s="64"/>
      <c r="S31" s="64"/>
      <c r="T31" s="64"/>
      <c r="U31" s="64"/>
      <c r="V31" s="64"/>
      <c r="W31" s="64"/>
      <c r="X31" s="64"/>
      <c r="Y31" s="64"/>
      <c r="Z31" s="64"/>
    </row>
    <row r="32" ht="12.75" customHeight="1">
      <c r="A32" s="108"/>
      <c r="B32" s="64"/>
      <c r="C32" s="64"/>
      <c r="D32" s="64"/>
      <c r="E32" s="64"/>
      <c r="F32" s="63"/>
      <c r="G32" s="63"/>
      <c r="H32" s="64"/>
      <c r="I32" s="64"/>
      <c r="J32" s="64"/>
      <c r="K32" s="64"/>
      <c r="L32" s="64"/>
      <c r="M32" s="64"/>
      <c r="N32" s="64"/>
      <c r="O32" s="64"/>
      <c r="P32" s="64"/>
      <c r="Q32" s="64"/>
      <c r="R32" s="64"/>
      <c r="S32" s="64"/>
      <c r="T32" s="64"/>
      <c r="U32" s="64"/>
      <c r="V32" s="64"/>
      <c r="W32" s="64"/>
      <c r="X32" s="64"/>
      <c r="Y32" s="64"/>
      <c r="Z32" s="64"/>
    </row>
    <row r="33" ht="12.75" customHeight="1">
      <c r="A33" s="108"/>
      <c r="B33" s="64"/>
      <c r="C33" s="64"/>
      <c r="D33" s="64"/>
      <c r="E33" s="64"/>
      <c r="F33" s="63"/>
      <c r="G33" s="63"/>
      <c r="H33" s="64"/>
      <c r="I33" s="64"/>
      <c r="J33" s="64"/>
      <c r="K33" s="64"/>
      <c r="L33" s="64"/>
      <c r="M33" s="64"/>
      <c r="N33" s="64"/>
      <c r="O33" s="64"/>
      <c r="P33" s="64"/>
      <c r="Q33" s="64"/>
      <c r="R33" s="64"/>
      <c r="S33" s="64"/>
      <c r="T33" s="64"/>
      <c r="U33" s="64"/>
      <c r="V33" s="64"/>
      <c r="W33" s="64"/>
      <c r="X33" s="64"/>
      <c r="Y33" s="64"/>
      <c r="Z33" s="64"/>
    </row>
    <row r="34" ht="12.75" customHeight="1">
      <c r="A34" s="108"/>
      <c r="B34" s="64"/>
      <c r="C34" s="64"/>
      <c r="D34" s="64"/>
      <c r="E34" s="64"/>
      <c r="F34" s="63"/>
      <c r="G34" s="63"/>
      <c r="H34" s="64"/>
      <c r="I34" s="64"/>
      <c r="J34" s="64"/>
      <c r="K34" s="64"/>
      <c r="L34" s="64"/>
      <c r="M34" s="64"/>
      <c r="N34" s="64"/>
      <c r="O34" s="64"/>
      <c r="P34" s="64"/>
      <c r="Q34" s="64"/>
      <c r="R34" s="64"/>
      <c r="S34" s="64"/>
      <c r="T34" s="64"/>
      <c r="U34" s="64"/>
      <c r="V34" s="64"/>
      <c r="W34" s="64"/>
      <c r="X34" s="64"/>
      <c r="Y34" s="64"/>
      <c r="Z34" s="64"/>
    </row>
    <row r="35" ht="12.75" customHeight="1">
      <c r="A35" s="108"/>
      <c r="B35" s="64"/>
      <c r="C35" s="64"/>
      <c r="D35" s="64"/>
      <c r="E35" s="64"/>
      <c r="F35" s="63"/>
      <c r="G35" s="63"/>
      <c r="H35" s="64"/>
      <c r="I35" s="64"/>
      <c r="J35" s="64"/>
      <c r="K35" s="64"/>
      <c r="L35" s="64"/>
      <c r="M35" s="64"/>
      <c r="N35" s="64"/>
      <c r="O35" s="64"/>
      <c r="P35" s="64"/>
      <c r="Q35" s="64"/>
      <c r="R35" s="64"/>
      <c r="S35" s="64"/>
      <c r="T35" s="64"/>
      <c r="U35" s="64"/>
      <c r="V35" s="64"/>
      <c r="W35" s="64"/>
      <c r="X35" s="64"/>
      <c r="Y35" s="64"/>
      <c r="Z35" s="64"/>
    </row>
    <row r="36" ht="12.75" customHeight="1">
      <c r="A36" s="108"/>
      <c r="B36" s="64"/>
      <c r="C36" s="64"/>
      <c r="D36" s="64"/>
      <c r="E36" s="64"/>
      <c r="F36" s="63"/>
      <c r="G36" s="63"/>
      <c r="H36" s="64"/>
      <c r="I36" s="64"/>
      <c r="J36" s="64"/>
      <c r="K36" s="64"/>
      <c r="L36" s="64"/>
      <c r="M36" s="64"/>
      <c r="N36" s="64"/>
      <c r="O36" s="64"/>
      <c r="P36" s="64"/>
      <c r="Q36" s="64"/>
      <c r="R36" s="64"/>
      <c r="S36" s="64"/>
      <c r="T36" s="64"/>
      <c r="U36" s="64"/>
      <c r="V36" s="64"/>
      <c r="W36" s="64"/>
      <c r="X36" s="64"/>
      <c r="Y36" s="64"/>
      <c r="Z36" s="64"/>
    </row>
    <row r="37" ht="12.75" customHeight="1">
      <c r="A37" s="108"/>
      <c r="B37" s="64"/>
      <c r="C37" s="64"/>
      <c r="D37" s="64"/>
      <c r="E37" s="64"/>
      <c r="F37" s="63"/>
      <c r="G37" s="63"/>
      <c r="H37" s="64"/>
      <c r="I37" s="64"/>
      <c r="J37" s="64"/>
      <c r="K37" s="64"/>
      <c r="L37" s="64"/>
      <c r="M37" s="64"/>
      <c r="N37" s="64"/>
      <c r="O37" s="64"/>
      <c r="P37" s="64"/>
      <c r="Q37" s="64"/>
      <c r="R37" s="64"/>
      <c r="S37" s="64"/>
      <c r="T37" s="64"/>
      <c r="U37" s="64"/>
      <c r="V37" s="64"/>
      <c r="W37" s="64"/>
      <c r="X37" s="64"/>
      <c r="Y37" s="64"/>
      <c r="Z37" s="64"/>
    </row>
    <row r="38" ht="12.75" customHeight="1">
      <c r="A38" s="108"/>
      <c r="B38" s="64"/>
      <c r="C38" s="64"/>
      <c r="D38" s="64"/>
      <c r="E38" s="64"/>
      <c r="F38" s="63"/>
      <c r="G38" s="63"/>
      <c r="H38" s="64"/>
      <c r="I38" s="64"/>
      <c r="J38" s="64"/>
      <c r="K38" s="64"/>
      <c r="L38" s="64"/>
      <c r="M38" s="64"/>
      <c r="N38" s="64"/>
      <c r="O38" s="64"/>
      <c r="P38" s="64"/>
      <c r="Q38" s="64"/>
      <c r="R38" s="64"/>
      <c r="S38" s="64"/>
      <c r="T38" s="64"/>
      <c r="U38" s="64"/>
      <c r="V38" s="64"/>
      <c r="W38" s="64"/>
      <c r="X38" s="64"/>
      <c r="Y38" s="64"/>
      <c r="Z38" s="64"/>
    </row>
    <row r="39" ht="12.75" customHeight="1">
      <c r="A39" s="108"/>
      <c r="B39" s="64"/>
      <c r="C39" s="64"/>
      <c r="D39" s="64"/>
      <c r="E39" s="64"/>
      <c r="F39" s="63"/>
      <c r="G39" s="63"/>
      <c r="H39" s="64"/>
      <c r="I39" s="64"/>
      <c r="J39" s="64"/>
      <c r="K39" s="64"/>
      <c r="L39" s="64"/>
      <c r="M39" s="64"/>
      <c r="N39" s="64"/>
      <c r="O39" s="64"/>
      <c r="P39" s="64"/>
      <c r="Q39" s="64"/>
      <c r="R39" s="64"/>
      <c r="S39" s="64"/>
      <c r="T39" s="64"/>
      <c r="U39" s="64"/>
      <c r="V39" s="64"/>
      <c r="W39" s="64"/>
      <c r="X39" s="64"/>
      <c r="Y39" s="64"/>
      <c r="Z39" s="64"/>
    </row>
    <row r="40" ht="12.75" customHeight="1">
      <c r="A40" s="108"/>
      <c r="B40" s="64"/>
      <c r="C40" s="64"/>
      <c r="D40" s="64"/>
      <c r="E40" s="64"/>
      <c r="F40" s="63"/>
      <c r="G40" s="63"/>
      <c r="H40" s="64"/>
      <c r="I40" s="64"/>
      <c r="J40" s="64"/>
      <c r="K40" s="64"/>
      <c r="L40" s="64"/>
      <c r="M40" s="64"/>
      <c r="N40" s="64"/>
      <c r="O40" s="64"/>
      <c r="P40" s="64"/>
      <c r="Q40" s="64"/>
      <c r="R40" s="64"/>
      <c r="S40" s="64"/>
      <c r="T40" s="64"/>
      <c r="U40" s="64"/>
      <c r="V40" s="64"/>
      <c r="W40" s="64"/>
      <c r="X40" s="64"/>
      <c r="Y40" s="64"/>
      <c r="Z40" s="64"/>
    </row>
    <row r="41" ht="12.75" customHeight="1">
      <c r="A41" s="108"/>
      <c r="B41" s="64"/>
      <c r="C41" s="64"/>
      <c r="D41" s="64"/>
      <c r="E41" s="64"/>
      <c r="F41" s="63"/>
      <c r="G41" s="63"/>
      <c r="H41" s="64"/>
      <c r="I41" s="64"/>
      <c r="J41" s="64"/>
      <c r="K41" s="64"/>
      <c r="L41" s="64"/>
      <c r="M41" s="64"/>
      <c r="N41" s="64"/>
      <c r="O41" s="64"/>
      <c r="P41" s="64"/>
      <c r="Q41" s="64"/>
      <c r="R41" s="64"/>
      <c r="S41" s="64"/>
      <c r="T41" s="64"/>
      <c r="U41" s="64"/>
      <c r="V41" s="64"/>
      <c r="W41" s="64"/>
      <c r="X41" s="64"/>
      <c r="Y41" s="64"/>
      <c r="Z41" s="64"/>
    </row>
    <row r="42" ht="12.75" customHeight="1">
      <c r="A42" s="108"/>
      <c r="B42" s="64"/>
      <c r="C42" s="64"/>
      <c r="D42" s="64"/>
      <c r="E42" s="64"/>
      <c r="F42" s="63"/>
      <c r="G42" s="63"/>
      <c r="H42" s="64"/>
      <c r="I42" s="64"/>
      <c r="J42" s="64"/>
      <c r="K42" s="64"/>
      <c r="L42" s="64"/>
      <c r="M42" s="64"/>
      <c r="N42" s="64"/>
      <c r="O42" s="64"/>
      <c r="P42" s="64"/>
      <c r="Q42" s="64"/>
      <c r="R42" s="64"/>
      <c r="S42" s="64"/>
      <c r="T42" s="64"/>
      <c r="U42" s="64"/>
      <c r="V42" s="64"/>
      <c r="W42" s="64"/>
      <c r="X42" s="64"/>
      <c r="Y42" s="64"/>
      <c r="Z42" s="64"/>
    </row>
    <row r="43" ht="12.75" customHeight="1">
      <c r="A43" s="108"/>
      <c r="B43" s="64"/>
      <c r="C43" s="64"/>
      <c r="D43" s="64"/>
      <c r="E43" s="64"/>
      <c r="F43" s="63"/>
      <c r="G43" s="63"/>
      <c r="H43" s="64"/>
      <c r="I43" s="64"/>
      <c r="J43" s="64"/>
      <c r="K43" s="64"/>
      <c r="L43" s="64"/>
      <c r="M43" s="64"/>
      <c r="N43" s="64"/>
      <c r="O43" s="64"/>
      <c r="P43" s="64"/>
      <c r="Q43" s="64"/>
      <c r="R43" s="64"/>
      <c r="S43" s="64"/>
      <c r="T43" s="64"/>
      <c r="U43" s="64"/>
      <c r="V43" s="64"/>
      <c r="W43" s="64"/>
      <c r="X43" s="64"/>
      <c r="Y43" s="64"/>
      <c r="Z43" s="64"/>
    </row>
    <row r="44" ht="12.75" customHeight="1">
      <c r="A44" s="108"/>
      <c r="B44" s="64"/>
      <c r="C44" s="64"/>
      <c r="D44" s="64"/>
      <c r="E44" s="64"/>
      <c r="F44" s="63"/>
      <c r="G44" s="63"/>
      <c r="H44" s="64"/>
      <c r="I44" s="64"/>
      <c r="J44" s="64"/>
      <c r="K44" s="64"/>
      <c r="L44" s="64"/>
      <c r="M44" s="64"/>
      <c r="N44" s="64"/>
      <c r="O44" s="64"/>
      <c r="P44" s="64"/>
      <c r="Q44" s="64"/>
      <c r="R44" s="64"/>
      <c r="S44" s="64"/>
      <c r="T44" s="64"/>
      <c r="U44" s="64"/>
      <c r="V44" s="64"/>
      <c r="W44" s="64"/>
      <c r="X44" s="64"/>
      <c r="Y44" s="64"/>
      <c r="Z44" s="64"/>
    </row>
    <row r="45" ht="12.75" customHeight="1">
      <c r="A45" s="108"/>
      <c r="B45" s="64"/>
      <c r="C45" s="64"/>
      <c r="D45" s="64"/>
      <c r="E45" s="64"/>
      <c r="F45" s="63"/>
      <c r="G45" s="63"/>
      <c r="H45" s="64"/>
      <c r="I45" s="64"/>
      <c r="J45" s="64"/>
      <c r="K45" s="64"/>
      <c r="L45" s="64"/>
      <c r="M45" s="64"/>
      <c r="N45" s="64"/>
      <c r="O45" s="64"/>
      <c r="P45" s="64"/>
      <c r="Q45" s="64"/>
      <c r="R45" s="64"/>
      <c r="S45" s="64"/>
      <c r="T45" s="64"/>
      <c r="U45" s="64"/>
      <c r="V45" s="64"/>
      <c r="W45" s="64"/>
      <c r="X45" s="64"/>
      <c r="Y45" s="64"/>
      <c r="Z45" s="64"/>
    </row>
    <row r="46" ht="12.75" customHeight="1">
      <c r="A46" s="108"/>
      <c r="B46" s="64"/>
      <c r="C46" s="64"/>
      <c r="D46" s="64"/>
      <c r="E46" s="64"/>
      <c r="F46" s="63"/>
      <c r="G46" s="63"/>
      <c r="H46" s="64"/>
      <c r="I46" s="64"/>
      <c r="J46" s="64"/>
      <c r="K46" s="64"/>
      <c r="L46" s="64"/>
      <c r="M46" s="64"/>
      <c r="N46" s="64"/>
      <c r="O46" s="64"/>
      <c r="P46" s="64"/>
      <c r="Q46" s="64"/>
      <c r="R46" s="64"/>
      <c r="S46" s="64"/>
      <c r="T46" s="64"/>
      <c r="U46" s="64"/>
      <c r="V46" s="64"/>
      <c r="W46" s="64"/>
      <c r="X46" s="64"/>
      <c r="Y46" s="64"/>
      <c r="Z46" s="64"/>
    </row>
    <row r="47" ht="12.75" customHeight="1">
      <c r="A47" s="108"/>
      <c r="B47" s="64"/>
      <c r="C47" s="64"/>
      <c r="D47" s="64"/>
      <c r="E47" s="64"/>
      <c r="F47" s="63"/>
      <c r="G47" s="63"/>
      <c r="H47" s="64"/>
      <c r="I47" s="64"/>
      <c r="J47" s="64"/>
      <c r="K47" s="64"/>
      <c r="L47" s="64"/>
      <c r="M47" s="64"/>
      <c r="N47" s="64"/>
      <c r="O47" s="64"/>
      <c r="P47" s="64"/>
      <c r="Q47" s="64"/>
      <c r="R47" s="64"/>
      <c r="S47" s="64"/>
      <c r="T47" s="64"/>
      <c r="U47" s="64"/>
      <c r="V47" s="64"/>
      <c r="W47" s="64"/>
      <c r="X47" s="64"/>
      <c r="Y47" s="64"/>
      <c r="Z47" s="64"/>
    </row>
    <row r="48" ht="12.75" customHeight="1">
      <c r="A48" s="108"/>
      <c r="B48" s="64"/>
      <c r="C48" s="64"/>
      <c r="D48" s="64"/>
      <c r="E48" s="64"/>
      <c r="F48" s="63"/>
      <c r="G48" s="63"/>
      <c r="H48" s="64"/>
      <c r="I48" s="64"/>
      <c r="J48" s="64"/>
      <c r="K48" s="64"/>
      <c r="L48" s="64"/>
      <c r="M48" s="64"/>
      <c r="N48" s="64"/>
      <c r="O48" s="64"/>
      <c r="P48" s="64"/>
      <c r="Q48" s="64"/>
      <c r="R48" s="64"/>
      <c r="S48" s="64"/>
      <c r="T48" s="64"/>
      <c r="U48" s="64"/>
      <c r="V48" s="64"/>
      <c r="W48" s="64"/>
      <c r="X48" s="64"/>
      <c r="Y48" s="64"/>
      <c r="Z48" s="64"/>
    </row>
    <row r="49" ht="12.75" customHeight="1">
      <c r="A49" s="108"/>
      <c r="B49" s="64"/>
      <c r="C49" s="64"/>
      <c r="D49" s="64"/>
      <c r="E49" s="64"/>
      <c r="F49" s="63"/>
      <c r="G49" s="63"/>
      <c r="H49" s="64"/>
      <c r="I49" s="64"/>
      <c r="J49" s="64"/>
      <c r="K49" s="64"/>
      <c r="L49" s="64"/>
      <c r="M49" s="64"/>
      <c r="N49" s="64"/>
      <c r="O49" s="64"/>
      <c r="P49" s="64"/>
      <c r="Q49" s="64"/>
      <c r="R49" s="64"/>
      <c r="S49" s="64"/>
      <c r="T49" s="64"/>
      <c r="U49" s="64"/>
      <c r="V49" s="64"/>
      <c r="W49" s="64"/>
      <c r="X49" s="64"/>
      <c r="Y49" s="64"/>
      <c r="Z49" s="64"/>
    </row>
    <row r="50" ht="12.75" customHeight="1">
      <c r="A50" s="108"/>
      <c r="B50" s="64"/>
      <c r="C50" s="64"/>
      <c r="D50" s="64"/>
      <c r="E50" s="64"/>
      <c r="F50" s="63"/>
      <c r="G50" s="63"/>
      <c r="H50" s="64"/>
      <c r="I50" s="64"/>
      <c r="J50" s="64"/>
      <c r="K50" s="64"/>
      <c r="L50" s="64"/>
      <c r="M50" s="64"/>
      <c r="N50" s="64"/>
      <c r="O50" s="64"/>
      <c r="P50" s="64"/>
      <c r="Q50" s="64"/>
      <c r="R50" s="64"/>
      <c r="S50" s="64"/>
      <c r="T50" s="64"/>
      <c r="U50" s="64"/>
      <c r="V50" s="64"/>
      <c r="W50" s="64"/>
      <c r="X50" s="64"/>
      <c r="Y50" s="64"/>
      <c r="Z50" s="64"/>
    </row>
    <row r="51" ht="12.75" customHeight="1">
      <c r="A51" s="108"/>
      <c r="B51" s="64"/>
      <c r="C51" s="64"/>
      <c r="D51" s="64"/>
      <c r="E51" s="64"/>
      <c r="F51" s="63"/>
      <c r="G51" s="63"/>
      <c r="H51" s="64"/>
      <c r="I51" s="64"/>
      <c r="J51" s="64"/>
      <c r="K51" s="64"/>
      <c r="L51" s="64"/>
      <c r="M51" s="64"/>
      <c r="N51" s="64"/>
      <c r="O51" s="64"/>
      <c r="P51" s="64"/>
      <c r="Q51" s="64"/>
      <c r="R51" s="64"/>
      <c r="S51" s="64"/>
      <c r="T51" s="64"/>
      <c r="U51" s="64"/>
      <c r="V51" s="64"/>
      <c r="W51" s="64"/>
      <c r="X51" s="64"/>
      <c r="Y51" s="64"/>
      <c r="Z51" s="64"/>
    </row>
    <row r="52" ht="12.75" customHeight="1">
      <c r="A52" s="108"/>
      <c r="B52" s="64"/>
      <c r="C52" s="64"/>
      <c r="D52" s="64"/>
      <c r="E52" s="64"/>
      <c r="F52" s="63"/>
      <c r="G52" s="63"/>
      <c r="H52" s="64"/>
      <c r="I52" s="64"/>
      <c r="J52" s="64"/>
      <c r="K52" s="64"/>
      <c r="L52" s="64"/>
      <c r="M52" s="64"/>
      <c r="N52" s="64"/>
      <c r="O52" s="64"/>
      <c r="P52" s="64"/>
      <c r="Q52" s="64"/>
      <c r="R52" s="64"/>
      <c r="S52" s="64"/>
      <c r="T52" s="64"/>
      <c r="U52" s="64"/>
      <c r="V52" s="64"/>
      <c r="W52" s="64"/>
      <c r="X52" s="64"/>
      <c r="Y52" s="64"/>
      <c r="Z52" s="64"/>
    </row>
    <row r="53" ht="12.75" customHeight="1">
      <c r="A53" s="108"/>
      <c r="B53" s="64"/>
      <c r="C53" s="64"/>
      <c r="D53" s="64"/>
      <c r="E53" s="64"/>
      <c r="F53" s="63"/>
      <c r="G53" s="63"/>
      <c r="H53" s="64"/>
      <c r="I53" s="64"/>
      <c r="J53" s="64"/>
      <c r="K53" s="64"/>
      <c r="L53" s="64"/>
      <c r="M53" s="64"/>
      <c r="N53" s="64"/>
      <c r="O53" s="64"/>
      <c r="P53" s="64"/>
      <c r="Q53" s="64"/>
      <c r="R53" s="64"/>
      <c r="S53" s="64"/>
      <c r="T53" s="64"/>
      <c r="U53" s="64"/>
      <c r="V53" s="64"/>
      <c r="W53" s="64"/>
      <c r="X53" s="64"/>
      <c r="Y53" s="64"/>
      <c r="Z53" s="64"/>
    </row>
    <row r="54" ht="12.75" customHeight="1">
      <c r="A54" s="108"/>
      <c r="B54" s="64"/>
      <c r="C54" s="64"/>
      <c r="D54" s="64"/>
      <c r="E54" s="64"/>
      <c r="F54" s="63"/>
      <c r="G54" s="63"/>
      <c r="H54" s="64"/>
      <c r="I54" s="64"/>
      <c r="J54" s="64"/>
      <c r="K54" s="64"/>
      <c r="L54" s="64"/>
      <c r="M54" s="64"/>
      <c r="N54" s="64"/>
      <c r="O54" s="64"/>
      <c r="P54" s="64"/>
      <c r="Q54" s="64"/>
      <c r="R54" s="64"/>
      <c r="S54" s="64"/>
      <c r="T54" s="64"/>
      <c r="U54" s="64"/>
      <c r="V54" s="64"/>
      <c r="W54" s="64"/>
      <c r="X54" s="64"/>
      <c r="Y54" s="64"/>
      <c r="Z54" s="64"/>
    </row>
    <row r="55" ht="12.75" customHeight="1">
      <c r="A55" s="108"/>
      <c r="B55" s="64"/>
      <c r="C55" s="64"/>
      <c r="D55" s="64"/>
      <c r="E55" s="64"/>
      <c r="F55" s="63"/>
      <c r="G55" s="63"/>
      <c r="H55" s="64"/>
      <c r="I55" s="64"/>
      <c r="J55" s="64"/>
      <c r="K55" s="64"/>
      <c r="L55" s="64"/>
      <c r="M55" s="64"/>
      <c r="N55" s="64"/>
      <c r="O55" s="64"/>
      <c r="P55" s="64"/>
      <c r="Q55" s="64"/>
      <c r="R55" s="64"/>
      <c r="S55" s="64"/>
      <c r="T55" s="64"/>
      <c r="U55" s="64"/>
      <c r="V55" s="64"/>
      <c r="W55" s="64"/>
      <c r="X55" s="64"/>
      <c r="Y55" s="64"/>
      <c r="Z55" s="64"/>
    </row>
    <row r="56" ht="12.75" customHeight="1">
      <c r="A56" s="108"/>
      <c r="B56" s="64"/>
      <c r="C56" s="64"/>
      <c r="D56" s="64"/>
      <c r="E56" s="64"/>
      <c r="F56" s="63"/>
      <c r="G56" s="63"/>
      <c r="H56" s="64"/>
      <c r="I56" s="64"/>
      <c r="J56" s="64"/>
      <c r="K56" s="64"/>
      <c r="L56" s="64"/>
      <c r="M56" s="64"/>
      <c r="N56" s="64"/>
      <c r="O56" s="64"/>
      <c r="P56" s="64"/>
      <c r="Q56" s="64"/>
      <c r="R56" s="64"/>
      <c r="S56" s="64"/>
      <c r="T56" s="64"/>
      <c r="U56" s="64"/>
      <c r="V56" s="64"/>
      <c r="W56" s="64"/>
      <c r="X56" s="64"/>
      <c r="Y56" s="64"/>
      <c r="Z56" s="64"/>
    </row>
    <row r="57" ht="12.75" customHeight="1">
      <c r="A57" s="108"/>
      <c r="B57" s="64"/>
      <c r="C57" s="64"/>
      <c r="D57" s="64"/>
      <c r="E57" s="64"/>
      <c r="F57" s="63"/>
      <c r="G57" s="63"/>
      <c r="H57" s="64"/>
      <c r="I57" s="64"/>
      <c r="J57" s="64"/>
      <c r="K57" s="64"/>
      <c r="L57" s="64"/>
      <c r="M57" s="64"/>
      <c r="N57" s="64"/>
      <c r="O57" s="64"/>
      <c r="P57" s="64"/>
      <c r="Q57" s="64"/>
      <c r="R57" s="64"/>
      <c r="S57" s="64"/>
      <c r="T57" s="64"/>
      <c r="U57" s="64"/>
      <c r="V57" s="64"/>
      <c r="W57" s="64"/>
      <c r="X57" s="64"/>
      <c r="Y57" s="64"/>
      <c r="Z57" s="64"/>
    </row>
    <row r="58" ht="12.75" customHeight="1">
      <c r="A58" s="108"/>
      <c r="B58" s="64"/>
      <c r="C58" s="64"/>
      <c r="D58" s="64"/>
      <c r="E58" s="64"/>
      <c r="F58" s="63"/>
      <c r="G58" s="63"/>
      <c r="H58" s="64"/>
      <c r="I58" s="64"/>
      <c r="J58" s="64"/>
      <c r="K58" s="64"/>
      <c r="L58" s="64"/>
      <c r="M58" s="64"/>
      <c r="N58" s="64"/>
      <c r="O58" s="64"/>
      <c r="P58" s="64"/>
      <c r="Q58" s="64"/>
      <c r="R58" s="64"/>
      <c r="S58" s="64"/>
      <c r="T58" s="64"/>
      <c r="U58" s="64"/>
      <c r="V58" s="64"/>
      <c r="W58" s="64"/>
      <c r="X58" s="64"/>
      <c r="Y58" s="64"/>
      <c r="Z58" s="64"/>
    </row>
    <row r="59" ht="12.75" customHeight="1">
      <c r="A59" s="108"/>
      <c r="B59" s="64"/>
      <c r="C59" s="64"/>
      <c r="D59" s="64"/>
      <c r="E59" s="64"/>
      <c r="F59" s="63"/>
      <c r="G59" s="63"/>
      <c r="H59" s="64"/>
      <c r="I59" s="64"/>
      <c r="J59" s="64"/>
      <c r="K59" s="64"/>
      <c r="L59" s="64"/>
      <c r="M59" s="64"/>
      <c r="N59" s="64"/>
      <c r="O59" s="64"/>
      <c r="P59" s="64"/>
      <c r="Q59" s="64"/>
      <c r="R59" s="64"/>
      <c r="S59" s="64"/>
      <c r="T59" s="64"/>
      <c r="U59" s="64"/>
      <c r="V59" s="64"/>
      <c r="W59" s="64"/>
      <c r="X59" s="64"/>
      <c r="Y59" s="64"/>
      <c r="Z59" s="64"/>
    </row>
    <row r="60" ht="12.75" customHeight="1">
      <c r="A60" s="108"/>
      <c r="B60" s="64"/>
      <c r="C60" s="64"/>
      <c r="D60" s="64"/>
      <c r="E60" s="64"/>
      <c r="F60" s="63"/>
      <c r="G60" s="63"/>
      <c r="H60" s="64"/>
      <c r="I60" s="64"/>
      <c r="J60" s="64"/>
      <c r="K60" s="64"/>
      <c r="L60" s="64"/>
      <c r="M60" s="64"/>
      <c r="N60" s="64"/>
      <c r="O60" s="64"/>
      <c r="P60" s="64"/>
      <c r="Q60" s="64"/>
      <c r="R60" s="64"/>
      <c r="S60" s="64"/>
      <c r="T60" s="64"/>
      <c r="U60" s="64"/>
      <c r="V60" s="64"/>
      <c r="W60" s="64"/>
      <c r="X60" s="64"/>
      <c r="Y60" s="64"/>
      <c r="Z60" s="64"/>
    </row>
    <row r="61" ht="12.75" customHeight="1">
      <c r="A61" s="108"/>
      <c r="B61" s="64"/>
      <c r="C61" s="64"/>
      <c r="D61" s="64"/>
      <c r="E61" s="64"/>
      <c r="F61" s="63"/>
      <c r="G61" s="63"/>
      <c r="H61" s="64"/>
      <c r="I61" s="64"/>
      <c r="J61" s="64"/>
      <c r="K61" s="64"/>
      <c r="L61" s="64"/>
      <c r="M61" s="64"/>
      <c r="N61" s="64"/>
      <c r="O61" s="64"/>
      <c r="P61" s="64"/>
      <c r="Q61" s="64"/>
      <c r="R61" s="64"/>
      <c r="S61" s="64"/>
      <c r="T61" s="64"/>
      <c r="U61" s="64"/>
      <c r="V61" s="64"/>
      <c r="W61" s="64"/>
      <c r="X61" s="64"/>
      <c r="Y61" s="64"/>
      <c r="Z61" s="64"/>
    </row>
    <row r="62" ht="12.75" customHeight="1">
      <c r="A62" s="108"/>
      <c r="B62" s="64"/>
      <c r="C62" s="64"/>
      <c r="D62" s="64"/>
      <c r="E62" s="64"/>
      <c r="F62" s="63"/>
      <c r="G62" s="63"/>
      <c r="H62" s="64"/>
      <c r="I62" s="64"/>
      <c r="J62" s="64"/>
      <c r="K62" s="64"/>
      <c r="L62" s="64"/>
      <c r="M62" s="64"/>
      <c r="N62" s="64"/>
      <c r="O62" s="64"/>
      <c r="P62" s="64"/>
      <c r="Q62" s="64"/>
      <c r="R62" s="64"/>
      <c r="S62" s="64"/>
      <c r="T62" s="64"/>
      <c r="U62" s="64"/>
      <c r="V62" s="64"/>
      <c r="W62" s="64"/>
      <c r="X62" s="64"/>
      <c r="Y62" s="64"/>
      <c r="Z62" s="64"/>
    </row>
    <row r="63" ht="12.75" customHeight="1">
      <c r="A63" s="108"/>
      <c r="B63" s="64"/>
      <c r="C63" s="64"/>
      <c r="D63" s="64"/>
      <c r="E63" s="64"/>
      <c r="F63" s="63"/>
      <c r="G63" s="63"/>
      <c r="H63" s="64"/>
      <c r="I63" s="64"/>
      <c r="J63" s="64"/>
      <c r="K63" s="64"/>
      <c r="L63" s="64"/>
      <c r="M63" s="64"/>
      <c r="N63" s="64"/>
      <c r="O63" s="64"/>
      <c r="P63" s="64"/>
      <c r="Q63" s="64"/>
      <c r="R63" s="64"/>
      <c r="S63" s="64"/>
      <c r="T63" s="64"/>
      <c r="U63" s="64"/>
      <c r="V63" s="64"/>
      <c r="W63" s="64"/>
      <c r="X63" s="64"/>
      <c r="Y63" s="64"/>
      <c r="Z63" s="64"/>
    </row>
    <row r="64" ht="12.75" customHeight="1">
      <c r="A64" s="108"/>
      <c r="B64" s="64"/>
      <c r="C64" s="64"/>
      <c r="D64" s="64"/>
      <c r="E64" s="64"/>
      <c r="F64" s="63"/>
      <c r="G64" s="63"/>
      <c r="H64" s="64"/>
      <c r="I64" s="64"/>
      <c r="J64" s="64"/>
      <c r="K64" s="64"/>
      <c r="L64" s="64"/>
      <c r="M64" s="64"/>
      <c r="N64" s="64"/>
      <c r="O64" s="64"/>
      <c r="P64" s="64"/>
      <c r="Q64" s="64"/>
      <c r="R64" s="64"/>
      <c r="S64" s="64"/>
      <c r="T64" s="64"/>
      <c r="U64" s="64"/>
      <c r="V64" s="64"/>
      <c r="W64" s="64"/>
      <c r="X64" s="64"/>
      <c r="Y64" s="64"/>
      <c r="Z64" s="64"/>
    </row>
    <row r="65" ht="12.75" customHeight="1">
      <c r="A65" s="108"/>
      <c r="B65" s="64"/>
      <c r="C65" s="64"/>
      <c r="D65" s="64"/>
      <c r="E65" s="64"/>
      <c r="F65" s="63"/>
      <c r="G65" s="63"/>
      <c r="H65" s="64"/>
      <c r="I65" s="64"/>
      <c r="J65" s="64"/>
      <c r="K65" s="64"/>
      <c r="L65" s="64"/>
      <c r="M65" s="64"/>
      <c r="N65" s="64"/>
      <c r="O65" s="64"/>
      <c r="P65" s="64"/>
      <c r="Q65" s="64"/>
      <c r="R65" s="64"/>
      <c r="S65" s="64"/>
      <c r="T65" s="64"/>
      <c r="U65" s="64"/>
      <c r="V65" s="64"/>
      <c r="W65" s="64"/>
      <c r="X65" s="64"/>
      <c r="Y65" s="64"/>
      <c r="Z65" s="64"/>
    </row>
    <row r="66" ht="12.75" customHeight="1">
      <c r="A66" s="108"/>
      <c r="B66" s="64"/>
      <c r="C66" s="64"/>
      <c r="D66" s="64"/>
      <c r="E66" s="64"/>
      <c r="F66" s="63"/>
      <c r="G66" s="63"/>
      <c r="H66" s="64"/>
      <c r="I66" s="64"/>
      <c r="J66" s="64"/>
      <c r="K66" s="64"/>
      <c r="L66" s="64"/>
      <c r="M66" s="64"/>
      <c r="N66" s="64"/>
      <c r="O66" s="64"/>
      <c r="P66" s="64"/>
      <c r="Q66" s="64"/>
      <c r="R66" s="64"/>
      <c r="S66" s="64"/>
      <c r="T66" s="64"/>
      <c r="U66" s="64"/>
      <c r="V66" s="64"/>
      <c r="W66" s="64"/>
      <c r="X66" s="64"/>
      <c r="Y66" s="64"/>
      <c r="Z66" s="64"/>
    </row>
    <row r="67" ht="12.75" customHeight="1">
      <c r="A67" s="108"/>
      <c r="B67" s="64"/>
      <c r="C67" s="64"/>
      <c r="D67" s="64"/>
      <c r="E67" s="64"/>
      <c r="F67" s="63"/>
      <c r="G67" s="63"/>
      <c r="H67" s="64"/>
      <c r="I67" s="64"/>
      <c r="J67" s="64"/>
      <c r="K67" s="64"/>
      <c r="L67" s="64"/>
      <c r="M67" s="64"/>
      <c r="N67" s="64"/>
      <c r="O67" s="64"/>
      <c r="P67" s="64"/>
      <c r="Q67" s="64"/>
      <c r="R67" s="64"/>
      <c r="S67" s="64"/>
      <c r="T67" s="64"/>
      <c r="U67" s="64"/>
      <c r="V67" s="64"/>
      <c r="W67" s="64"/>
      <c r="X67" s="64"/>
      <c r="Y67" s="64"/>
      <c r="Z67" s="64"/>
    </row>
    <row r="68" ht="12.75" customHeight="1">
      <c r="A68" s="108"/>
      <c r="B68" s="64"/>
      <c r="C68" s="64"/>
      <c r="D68" s="64"/>
      <c r="E68" s="64"/>
      <c r="F68" s="63"/>
      <c r="G68" s="63"/>
      <c r="H68" s="64"/>
      <c r="I68" s="64"/>
      <c r="J68" s="64"/>
      <c r="K68" s="64"/>
      <c r="L68" s="64"/>
      <c r="M68" s="64"/>
      <c r="N68" s="64"/>
      <c r="O68" s="64"/>
      <c r="P68" s="64"/>
      <c r="Q68" s="64"/>
      <c r="R68" s="64"/>
      <c r="S68" s="64"/>
      <c r="T68" s="64"/>
      <c r="U68" s="64"/>
      <c r="V68" s="64"/>
      <c r="W68" s="64"/>
      <c r="X68" s="64"/>
      <c r="Y68" s="64"/>
      <c r="Z68" s="64"/>
    </row>
    <row r="69" ht="12.75" customHeight="1">
      <c r="A69" s="108"/>
      <c r="B69" s="64"/>
      <c r="C69" s="64"/>
      <c r="D69" s="64"/>
      <c r="E69" s="64"/>
      <c r="F69" s="63"/>
      <c r="G69" s="63"/>
      <c r="H69" s="64"/>
      <c r="I69" s="64"/>
      <c r="J69" s="64"/>
      <c r="K69" s="64"/>
      <c r="L69" s="64"/>
      <c r="M69" s="64"/>
      <c r="N69" s="64"/>
      <c r="O69" s="64"/>
      <c r="P69" s="64"/>
      <c r="Q69" s="64"/>
      <c r="R69" s="64"/>
      <c r="S69" s="64"/>
      <c r="T69" s="64"/>
      <c r="U69" s="64"/>
      <c r="V69" s="64"/>
      <c r="W69" s="64"/>
      <c r="X69" s="64"/>
      <c r="Y69" s="64"/>
      <c r="Z69" s="64"/>
    </row>
    <row r="70" ht="12.75" customHeight="1">
      <c r="A70" s="108"/>
      <c r="B70" s="64"/>
      <c r="C70" s="64"/>
      <c r="D70" s="64"/>
      <c r="E70" s="64"/>
      <c r="F70" s="63"/>
      <c r="G70" s="63"/>
      <c r="H70" s="64"/>
      <c r="I70" s="64"/>
      <c r="J70" s="64"/>
      <c r="K70" s="64"/>
      <c r="L70" s="64"/>
      <c r="M70" s="64"/>
      <c r="N70" s="64"/>
      <c r="O70" s="64"/>
      <c r="P70" s="64"/>
      <c r="Q70" s="64"/>
      <c r="R70" s="64"/>
      <c r="S70" s="64"/>
      <c r="T70" s="64"/>
      <c r="U70" s="64"/>
      <c r="V70" s="64"/>
      <c r="W70" s="64"/>
      <c r="X70" s="64"/>
      <c r="Y70" s="64"/>
      <c r="Z70" s="64"/>
    </row>
    <row r="71" ht="12.75" customHeight="1">
      <c r="A71" s="108"/>
      <c r="B71" s="64"/>
      <c r="C71" s="64"/>
      <c r="D71" s="64"/>
      <c r="E71" s="64"/>
      <c r="F71" s="63"/>
      <c r="G71" s="63"/>
      <c r="H71" s="64"/>
      <c r="I71" s="64"/>
      <c r="J71" s="64"/>
      <c r="K71" s="64"/>
      <c r="L71" s="64"/>
      <c r="M71" s="64"/>
      <c r="N71" s="64"/>
      <c r="O71" s="64"/>
      <c r="P71" s="64"/>
      <c r="Q71" s="64"/>
      <c r="R71" s="64"/>
      <c r="S71" s="64"/>
      <c r="T71" s="64"/>
      <c r="U71" s="64"/>
      <c r="V71" s="64"/>
      <c r="W71" s="64"/>
      <c r="X71" s="64"/>
      <c r="Y71" s="64"/>
      <c r="Z71" s="64"/>
    </row>
    <row r="72" ht="12.75" customHeight="1">
      <c r="A72" s="108"/>
      <c r="B72" s="64"/>
      <c r="C72" s="64"/>
      <c r="D72" s="64"/>
      <c r="E72" s="64"/>
      <c r="F72" s="63"/>
      <c r="G72" s="63"/>
      <c r="H72" s="64"/>
      <c r="I72" s="64"/>
      <c r="J72" s="64"/>
      <c r="K72" s="64"/>
      <c r="L72" s="64"/>
      <c r="M72" s="64"/>
      <c r="N72" s="64"/>
      <c r="O72" s="64"/>
      <c r="P72" s="64"/>
      <c r="Q72" s="64"/>
      <c r="R72" s="64"/>
      <c r="S72" s="64"/>
      <c r="T72" s="64"/>
      <c r="U72" s="64"/>
      <c r="V72" s="64"/>
      <c r="W72" s="64"/>
      <c r="X72" s="64"/>
      <c r="Y72" s="64"/>
      <c r="Z72" s="64"/>
    </row>
    <row r="73" ht="12.75" customHeight="1">
      <c r="A73" s="108"/>
      <c r="B73" s="64"/>
      <c r="C73" s="64"/>
      <c r="D73" s="64"/>
      <c r="E73" s="64"/>
      <c r="F73" s="63"/>
      <c r="G73" s="63"/>
      <c r="H73" s="64"/>
      <c r="I73" s="64"/>
      <c r="J73" s="64"/>
      <c r="K73" s="64"/>
      <c r="L73" s="64"/>
      <c r="M73" s="64"/>
      <c r="N73" s="64"/>
      <c r="O73" s="64"/>
      <c r="P73" s="64"/>
      <c r="Q73" s="64"/>
      <c r="R73" s="64"/>
      <c r="S73" s="64"/>
      <c r="T73" s="64"/>
      <c r="U73" s="64"/>
      <c r="V73" s="64"/>
      <c r="W73" s="64"/>
      <c r="X73" s="64"/>
      <c r="Y73" s="64"/>
      <c r="Z73" s="64"/>
    </row>
    <row r="74" ht="12.75" customHeight="1">
      <c r="A74" s="108"/>
      <c r="B74" s="64"/>
      <c r="C74" s="64"/>
      <c r="D74" s="64"/>
      <c r="E74" s="64"/>
      <c r="F74" s="63"/>
      <c r="G74" s="63"/>
      <c r="H74" s="64"/>
      <c r="I74" s="64"/>
      <c r="J74" s="64"/>
      <c r="K74" s="64"/>
      <c r="L74" s="64"/>
      <c r="M74" s="64"/>
      <c r="N74" s="64"/>
      <c r="O74" s="64"/>
      <c r="P74" s="64"/>
      <c r="Q74" s="64"/>
      <c r="R74" s="64"/>
      <c r="S74" s="64"/>
      <c r="T74" s="64"/>
      <c r="U74" s="64"/>
      <c r="V74" s="64"/>
      <c r="W74" s="64"/>
      <c r="X74" s="64"/>
      <c r="Y74" s="64"/>
      <c r="Z74" s="64"/>
    </row>
    <row r="75" ht="12.75" customHeight="1">
      <c r="A75" s="108"/>
      <c r="B75" s="64"/>
      <c r="C75" s="64"/>
      <c r="D75" s="64"/>
      <c r="E75" s="64"/>
      <c r="F75" s="63"/>
      <c r="G75" s="63"/>
      <c r="H75" s="64"/>
      <c r="I75" s="64"/>
      <c r="J75" s="64"/>
      <c r="K75" s="64"/>
      <c r="L75" s="64"/>
      <c r="M75" s="64"/>
      <c r="N75" s="64"/>
      <c r="O75" s="64"/>
      <c r="P75" s="64"/>
      <c r="Q75" s="64"/>
      <c r="R75" s="64"/>
      <c r="S75" s="64"/>
      <c r="T75" s="64"/>
      <c r="U75" s="64"/>
      <c r="V75" s="64"/>
      <c r="W75" s="64"/>
      <c r="X75" s="64"/>
      <c r="Y75" s="64"/>
      <c r="Z75" s="64"/>
    </row>
    <row r="76" ht="12.75" customHeight="1">
      <c r="A76" s="108"/>
      <c r="B76" s="64"/>
      <c r="C76" s="64"/>
      <c r="D76" s="64"/>
      <c r="E76" s="64"/>
      <c r="F76" s="63"/>
      <c r="G76" s="63"/>
      <c r="H76" s="64"/>
      <c r="I76" s="64"/>
      <c r="J76" s="64"/>
      <c r="K76" s="64"/>
      <c r="L76" s="64"/>
      <c r="M76" s="64"/>
      <c r="N76" s="64"/>
      <c r="O76" s="64"/>
      <c r="P76" s="64"/>
      <c r="Q76" s="64"/>
      <c r="R76" s="64"/>
      <c r="S76" s="64"/>
      <c r="T76" s="64"/>
      <c r="U76" s="64"/>
      <c r="V76" s="64"/>
      <c r="W76" s="64"/>
      <c r="X76" s="64"/>
      <c r="Y76" s="64"/>
      <c r="Z76" s="64"/>
    </row>
    <row r="77" ht="12.75" customHeight="1">
      <c r="A77" s="108"/>
      <c r="B77" s="64"/>
      <c r="C77" s="64"/>
      <c r="D77" s="64"/>
      <c r="E77" s="64"/>
      <c r="F77" s="63"/>
      <c r="G77" s="63"/>
      <c r="H77" s="64"/>
      <c r="I77" s="64"/>
      <c r="J77" s="64"/>
      <c r="K77" s="64"/>
      <c r="L77" s="64"/>
      <c r="M77" s="64"/>
      <c r="N77" s="64"/>
      <c r="O77" s="64"/>
      <c r="P77" s="64"/>
      <c r="Q77" s="64"/>
      <c r="R77" s="64"/>
      <c r="S77" s="64"/>
      <c r="T77" s="64"/>
      <c r="U77" s="64"/>
      <c r="V77" s="64"/>
      <c r="W77" s="64"/>
      <c r="X77" s="64"/>
      <c r="Y77" s="64"/>
      <c r="Z77" s="64"/>
    </row>
    <row r="78" ht="12.75" customHeight="1">
      <c r="A78" s="108"/>
      <c r="B78" s="64"/>
      <c r="C78" s="64"/>
      <c r="D78" s="64"/>
      <c r="E78" s="64"/>
      <c r="F78" s="63"/>
      <c r="G78" s="63"/>
      <c r="H78" s="64"/>
      <c r="I78" s="64"/>
      <c r="J78" s="64"/>
      <c r="K78" s="64"/>
      <c r="L78" s="64"/>
      <c r="M78" s="64"/>
      <c r="N78" s="64"/>
      <c r="O78" s="64"/>
      <c r="P78" s="64"/>
      <c r="Q78" s="64"/>
      <c r="R78" s="64"/>
      <c r="S78" s="64"/>
      <c r="T78" s="64"/>
      <c r="U78" s="64"/>
      <c r="V78" s="64"/>
      <c r="W78" s="64"/>
      <c r="X78" s="64"/>
      <c r="Y78" s="64"/>
      <c r="Z78" s="64"/>
    </row>
    <row r="79" ht="12.75" customHeight="1">
      <c r="A79" s="108"/>
      <c r="B79" s="64"/>
      <c r="C79" s="64"/>
      <c r="D79" s="64"/>
      <c r="E79" s="64"/>
      <c r="F79" s="63"/>
      <c r="G79" s="63"/>
      <c r="H79" s="64"/>
      <c r="I79" s="64"/>
      <c r="J79" s="64"/>
      <c r="K79" s="64"/>
      <c r="L79" s="64"/>
      <c r="M79" s="64"/>
      <c r="N79" s="64"/>
      <c r="O79" s="64"/>
      <c r="P79" s="64"/>
      <c r="Q79" s="64"/>
      <c r="R79" s="64"/>
      <c r="S79" s="64"/>
      <c r="T79" s="64"/>
      <c r="U79" s="64"/>
      <c r="V79" s="64"/>
      <c r="W79" s="64"/>
      <c r="X79" s="64"/>
      <c r="Y79" s="64"/>
      <c r="Z79" s="64"/>
    </row>
    <row r="80" ht="12.75" customHeight="1">
      <c r="A80" s="108"/>
      <c r="B80" s="64"/>
      <c r="C80" s="64"/>
      <c r="D80" s="64"/>
      <c r="E80" s="64"/>
      <c r="F80" s="63"/>
      <c r="G80" s="63"/>
      <c r="H80" s="64"/>
      <c r="I80" s="64"/>
      <c r="J80" s="64"/>
      <c r="K80" s="64"/>
      <c r="L80" s="64"/>
      <c r="M80" s="64"/>
      <c r="N80" s="64"/>
      <c r="O80" s="64"/>
      <c r="P80" s="64"/>
      <c r="Q80" s="64"/>
      <c r="R80" s="64"/>
      <c r="S80" s="64"/>
      <c r="T80" s="64"/>
      <c r="U80" s="64"/>
      <c r="V80" s="64"/>
      <c r="W80" s="64"/>
      <c r="X80" s="64"/>
      <c r="Y80" s="64"/>
      <c r="Z80" s="64"/>
    </row>
    <row r="81" ht="12.75" customHeight="1">
      <c r="A81" s="108"/>
      <c r="B81" s="64"/>
      <c r="C81" s="64"/>
      <c r="D81" s="64"/>
      <c r="E81" s="64"/>
      <c r="F81" s="63"/>
      <c r="G81" s="63"/>
      <c r="H81" s="64"/>
      <c r="I81" s="64"/>
      <c r="J81" s="64"/>
      <c r="K81" s="64"/>
      <c r="L81" s="64"/>
      <c r="M81" s="64"/>
      <c r="N81" s="64"/>
      <c r="O81" s="64"/>
      <c r="P81" s="64"/>
      <c r="Q81" s="64"/>
      <c r="R81" s="64"/>
      <c r="S81" s="64"/>
      <c r="T81" s="64"/>
      <c r="U81" s="64"/>
      <c r="V81" s="64"/>
      <c r="W81" s="64"/>
      <c r="X81" s="64"/>
      <c r="Y81" s="64"/>
      <c r="Z81" s="64"/>
    </row>
    <row r="82" ht="12.75" customHeight="1">
      <c r="A82" s="108"/>
      <c r="B82" s="64"/>
      <c r="C82" s="64"/>
      <c r="D82" s="64"/>
      <c r="E82" s="64"/>
      <c r="F82" s="63"/>
      <c r="G82" s="63"/>
      <c r="H82" s="64"/>
      <c r="I82" s="64"/>
      <c r="J82" s="64"/>
      <c r="K82" s="64"/>
      <c r="L82" s="64"/>
      <c r="M82" s="64"/>
      <c r="N82" s="64"/>
      <c r="O82" s="64"/>
      <c r="P82" s="64"/>
      <c r="Q82" s="64"/>
      <c r="R82" s="64"/>
      <c r="S82" s="64"/>
      <c r="T82" s="64"/>
      <c r="U82" s="64"/>
      <c r="V82" s="64"/>
      <c r="W82" s="64"/>
      <c r="X82" s="64"/>
      <c r="Y82" s="64"/>
      <c r="Z82" s="64"/>
    </row>
    <row r="83" ht="12.75" customHeight="1">
      <c r="A83" s="108"/>
      <c r="B83" s="64"/>
      <c r="C83" s="64"/>
      <c r="D83" s="64"/>
      <c r="E83" s="64"/>
      <c r="F83" s="63"/>
      <c r="G83" s="63"/>
      <c r="H83" s="64"/>
      <c r="I83" s="64"/>
      <c r="J83" s="64"/>
      <c r="K83" s="64"/>
      <c r="L83" s="64"/>
      <c r="M83" s="64"/>
      <c r="N83" s="64"/>
      <c r="O83" s="64"/>
      <c r="P83" s="64"/>
      <c r="Q83" s="64"/>
      <c r="R83" s="64"/>
      <c r="S83" s="64"/>
      <c r="T83" s="64"/>
      <c r="U83" s="64"/>
      <c r="V83" s="64"/>
      <c r="W83" s="64"/>
      <c r="X83" s="64"/>
      <c r="Y83" s="64"/>
      <c r="Z83" s="64"/>
    </row>
    <row r="84" ht="12.75" customHeight="1">
      <c r="A84" s="108"/>
      <c r="B84" s="64"/>
      <c r="C84" s="64"/>
      <c r="D84" s="64"/>
      <c r="E84" s="64"/>
      <c r="F84" s="63"/>
      <c r="G84" s="63"/>
      <c r="H84" s="64"/>
      <c r="I84" s="64"/>
      <c r="J84" s="64"/>
      <c r="K84" s="64"/>
      <c r="L84" s="64"/>
      <c r="M84" s="64"/>
      <c r="N84" s="64"/>
      <c r="O84" s="64"/>
      <c r="P84" s="64"/>
      <c r="Q84" s="64"/>
      <c r="R84" s="64"/>
      <c r="S84" s="64"/>
      <c r="T84" s="64"/>
      <c r="U84" s="64"/>
      <c r="V84" s="64"/>
      <c r="W84" s="64"/>
      <c r="X84" s="64"/>
      <c r="Y84" s="64"/>
      <c r="Z84" s="64"/>
    </row>
    <row r="85" ht="12.75" customHeight="1">
      <c r="A85" s="108"/>
      <c r="B85" s="64"/>
      <c r="C85" s="64"/>
      <c r="D85" s="64"/>
      <c r="E85" s="64"/>
      <c r="F85" s="63"/>
      <c r="G85" s="63"/>
      <c r="H85" s="64"/>
      <c r="I85" s="64"/>
      <c r="J85" s="64"/>
      <c r="K85" s="64"/>
      <c r="L85" s="64"/>
      <c r="M85" s="64"/>
      <c r="N85" s="64"/>
      <c r="O85" s="64"/>
      <c r="P85" s="64"/>
      <c r="Q85" s="64"/>
      <c r="R85" s="64"/>
      <c r="S85" s="64"/>
      <c r="T85" s="64"/>
      <c r="U85" s="64"/>
      <c r="V85" s="64"/>
      <c r="W85" s="64"/>
      <c r="X85" s="64"/>
      <c r="Y85" s="64"/>
      <c r="Z85" s="64"/>
    </row>
    <row r="86" ht="12.75" customHeight="1">
      <c r="A86" s="108"/>
      <c r="B86" s="64"/>
      <c r="C86" s="64"/>
      <c r="D86" s="64"/>
      <c r="E86" s="64"/>
      <c r="F86" s="63"/>
      <c r="G86" s="63"/>
      <c r="H86" s="64"/>
      <c r="I86" s="64"/>
      <c r="J86" s="64"/>
      <c r="K86" s="64"/>
      <c r="L86" s="64"/>
      <c r="M86" s="64"/>
      <c r="N86" s="64"/>
      <c r="O86" s="64"/>
      <c r="P86" s="64"/>
      <c r="Q86" s="64"/>
      <c r="R86" s="64"/>
      <c r="S86" s="64"/>
      <c r="T86" s="64"/>
      <c r="U86" s="64"/>
      <c r="V86" s="64"/>
      <c r="W86" s="64"/>
      <c r="X86" s="64"/>
      <c r="Y86" s="64"/>
      <c r="Z86" s="64"/>
    </row>
    <row r="87" ht="12.75" customHeight="1">
      <c r="A87" s="108"/>
      <c r="B87" s="64"/>
      <c r="C87" s="64"/>
      <c r="D87" s="64"/>
      <c r="E87" s="64"/>
      <c r="F87" s="63"/>
      <c r="G87" s="63"/>
      <c r="H87" s="64"/>
      <c r="I87" s="64"/>
      <c r="J87" s="64"/>
      <c r="K87" s="64"/>
      <c r="L87" s="64"/>
      <c r="M87" s="64"/>
      <c r="N87" s="64"/>
      <c r="O87" s="64"/>
      <c r="P87" s="64"/>
      <c r="Q87" s="64"/>
      <c r="R87" s="64"/>
      <c r="S87" s="64"/>
      <c r="T87" s="64"/>
      <c r="U87" s="64"/>
      <c r="V87" s="64"/>
      <c r="W87" s="64"/>
      <c r="X87" s="64"/>
      <c r="Y87" s="64"/>
      <c r="Z87" s="64"/>
    </row>
    <row r="88" ht="12.75" customHeight="1">
      <c r="A88" s="108"/>
      <c r="B88" s="64"/>
      <c r="C88" s="64"/>
      <c r="D88" s="64"/>
      <c r="E88" s="64"/>
      <c r="F88" s="63"/>
      <c r="G88" s="63"/>
      <c r="H88" s="64"/>
      <c r="I88" s="64"/>
      <c r="J88" s="64"/>
      <c r="K88" s="64"/>
      <c r="L88" s="64"/>
      <c r="M88" s="64"/>
      <c r="N88" s="64"/>
      <c r="O88" s="64"/>
      <c r="P88" s="64"/>
      <c r="Q88" s="64"/>
      <c r="R88" s="64"/>
      <c r="S88" s="64"/>
      <c r="T88" s="64"/>
      <c r="U88" s="64"/>
      <c r="V88" s="64"/>
      <c r="W88" s="64"/>
      <c r="X88" s="64"/>
      <c r="Y88" s="64"/>
      <c r="Z88" s="64"/>
    </row>
    <row r="89" ht="12.75" customHeight="1">
      <c r="A89" s="108"/>
      <c r="B89" s="64"/>
      <c r="C89" s="64"/>
      <c r="D89" s="64"/>
      <c r="E89" s="64"/>
      <c r="F89" s="63"/>
      <c r="G89" s="63"/>
      <c r="H89" s="64"/>
      <c r="I89" s="64"/>
      <c r="J89" s="64"/>
      <c r="K89" s="64"/>
      <c r="L89" s="64"/>
      <c r="M89" s="64"/>
      <c r="N89" s="64"/>
      <c r="O89" s="64"/>
      <c r="P89" s="64"/>
      <c r="Q89" s="64"/>
      <c r="R89" s="64"/>
      <c r="S89" s="64"/>
      <c r="T89" s="64"/>
      <c r="U89" s="64"/>
      <c r="V89" s="64"/>
      <c r="W89" s="64"/>
      <c r="X89" s="64"/>
      <c r="Y89" s="64"/>
      <c r="Z89" s="64"/>
    </row>
    <row r="90" ht="12.75" customHeight="1">
      <c r="A90" s="108"/>
      <c r="B90" s="64"/>
      <c r="C90" s="64"/>
      <c r="D90" s="64"/>
      <c r="E90" s="64"/>
      <c r="F90" s="63"/>
      <c r="G90" s="63"/>
      <c r="H90" s="64"/>
      <c r="I90" s="64"/>
      <c r="J90" s="64"/>
      <c r="K90" s="64"/>
      <c r="L90" s="64"/>
      <c r="M90" s="64"/>
      <c r="N90" s="64"/>
      <c r="O90" s="64"/>
      <c r="P90" s="64"/>
      <c r="Q90" s="64"/>
      <c r="R90" s="64"/>
      <c r="S90" s="64"/>
      <c r="T90" s="64"/>
      <c r="U90" s="64"/>
      <c r="V90" s="64"/>
      <c r="W90" s="64"/>
      <c r="X90" s="64"/>
      <c r="Y90" s="64"/>
      <c r="Z90" s="64"/>
    </row>
    <row r="91" ht="12.75" customHeight="1">
      <c r="A91" s="108"/>
      <c r="B91" s="64"/>
      <c r="C91" s="64"/>
      <c r="D91" s="64"/>
      <c r="E91" s="64"/>
      <c r="F91" s="63"/>
      <c r="G91" s="63"/>
      <c r="H91" s="64"/>
      <c r="I91" s="64"/>
      <c r="J91" s="64"/>
      <c r="K91" s="64"/>
      <c r="L91" s="64"/>
      <c r="M91" s="64"/>
      <c r="N91" s="64"/>
      <c r="O91" s="64"/>
      <c r="P91" s="64"/>
      <c r="Q91" s="64"/>
      <c r="R91" s="64"/>
      <c r="S91" s="64"/>
      <c r="T91" s="64"/>
      <c r="U91" s="64"/>
      <c r="V91" s="64"/>
      <c r="W91" s="64"/>
      <c r="X91" s="64"/>
      <c r="Y91" s="64"/>
      <c r="Z91" s="64"/>
    </row>
    <row r="92" ht="12.75" customHeight="1">
      <c r="A92" s="108"/>
      <c r="B92" s="64"/>
      <c r="C92" s="64"/>
      <c r="D92" s="64"/>
      <c r="E92" s="64"/>
      <c r="F92" s="63"/>
      <c r="G92" s="63"/>
      <c r="H92" s="64"/>
      <c r="I92" s="64"/>
      <c r="J92" s="64"/>
      <c r="K92" s="64"/>
      <c r="L92" s="64"/>
      <c r="M92" s="64"/>
      <c r="N92" s="64"/>
      <c r="O92" s="64"/>
      <c r="P92" s="64"/>
      <c r="Q92" s="64"/>
      <c r="R92" s="64"/>
      <c r="S92" s="64"/>
      <c r="T92" s="64"/>
      <c r="U92" s="64"/>
      <c r="V92" s="64"/>
      <c r="W92" s="64"/>
      <c r="X92" s="64"/>
      <c r="Y92" s="64"/>
      <c r="Z92" s="64"/>
    </row>
    <row r="93" ht="12.75" customHeight="1">
      <c r="A93" s="108"/>
      <c r="B93" s="64"/>
      <c r="C93" s="64"/>
      <c r="D93" s="64"/>
      <c r="E93" s="64"/>
      <c r="F93" s="63"/>
      <c r="G93" s="63"/>
      <c r="H93" s="64"/>
      <c r="I93" s="64"/>
      <c r="J93" s="64"/>
      <c r="K93" s="64"/>
      <c r="L93" s="64"/>
      <c r="M93" s="64"/>
      <c r="N93" s="64"/>
      <c r="O93" s="64"/>
      <c r="P93" s="64"/>
      <c r="Q93" s="64"/>
      <c r="R93" s="64"/>
      <c r="S93" s="64"/>
      <c r="T93" s="64"/>
      <c r="U93" s="64"/>
      <c r="V93" s="64"/>
      <c r="W93" s="64"/>
      <c r="X93" s="64"/>
      <c r="Y93" s="64"/>
      <c r="Z93" s="64"/>
    </row>
    <row r="94" ht="12.75" customHeight="1">
      <c r="A94" s="108"/>
      <c r="B94" s="64"/>
      <c r="C94" s="64"/>
      <c r="D94" s="64"/>
      <c r="E94" s="64"/>
      <c r="F94" s="63"/>
      <c r="G94" s="63"/>
      <c r="H94" s="64"/>
      <c r="I94" s="64"/>
      <c r="J94" s="64"/>
      <c r="K94" s="64"/>
      <c r="L94" s="64"/>
      <c r="M94" s="64"/>
      <c r="N94" s="64"/>
      <c r="O94" s="64"/>
      <c r="P94" s="64"/>
      <c r="Q94" s="64"/>
      <c r="R94" s="64"/>
      <c r="S94" s="64"/>
      <c r="T94" s="64"/>
      <c r="U94" s="64"/>
      <c r="V94" s="64"/>
      <c r="W94" s="64"/>
      <c r="X94" s="64"/>
      <c r="Y94" s="64"/>
      <c r="Z94" s="64"/>
    </row>
    <row r="95" ht="12.75" customHeight="1">
      <c r="A95" s="108"/>
      <c r="B95" s="64"/>
      <c r="C95" s="64"/>
      <c r="D95" s="64"/>
      <c r="E95" s="64"/>
      <c r="F95" s="63"/>
      <c r="G95" s="63"/>
      <c r="H95" s="64"/>
      <c r="I95" s="64"/>
      <c r="J95" s="64"/>
      <c r="K95" s="64"/>
      <c r="L95" s="64"/>
      <c r="M95" s="64"/>
      <c r="N95" s="64"/>
      <c r="O95" s="64"/>
      <c r="P95" s="64"/>
      <c r="Q95" s="64"/>
      <c r="R95" s="64"/>
      <c r="S95" s="64"/>
      <c r="T95" s="64"/>
      <c r="U95" s="64"/>
      <c r="V95" s="64"/>
      <c r="W95" s="64"/>
      <c r="X95" s="64"/>
      <c r="Y95" s="64"/>
      <c r="Z95" s="64"/>
    </row>
    <row r="96" ht="12.75" customHeight="1">
      <c r="A96" s="108"/>
      <c r="B96" s="64"/>
      <c r="C96" s="64"/>
      <c r="D96" s="64"/>
      <c r="E96" s="64"/>
      <c r="F96" s="63"/>
      <c r="G96" s="63"/>
      <c r="H96" s="64"/>
      <c r="I96" s="64"/>
      <c r="J96" s="64"/>
      <c r="K96" s="64"/>
      <c r="L96" s="64"/>
      <c r="M96" s="64"/>
      <c r="N96" s="64"/>
      <c r="O96" s="64"/>
      <c r="P96" s="64"/>
      <c r="Q96" s="64"/>
      <c r="R96" s="64"/>
      <c r="S96" s="64"/>
      <c r="T96" s="64"/>
      <c r="U96" s="64"/>
      <c r="V96" s="64"/>
      <c r="W96" s="64"/>
      <c r="X96" s="64"/>
      <c r="Y96" s="64"/>
      <c r="Z96" s="64"/>
    </row>
    <row r="97" ht="12.75" customHeight="1">
      <c r="A97" s="108"/>
      <c r="B97" s="64"/>
      <c r="C97" s="64"/>
      <c r="D97" s="64"/>
      <c r="E97" s="64"/>
      <c r="F97" s="63"/>
      <c r="G97" s="63"/>
      <c r="H97" s="64"/>
      <c r="I97" s="64"/>
      <c r="J97" s="64"/>
      <c r="K97" s="64"/>
      <c r="L97" s="64"/>
      <c r="M97" s="64"/>
      <c r="N97" s="64"/>
      <c r="O97" s="64"/>
      <c r="P97" s="64"/>
      <c r="Q97" s="64"/>
      <c r="R97" s="64"/>
      <c r="S97" s="64"/>
      <c r="T97" s="64"/>
      <c r="U97" s="64"/>
      <c r="V97" s="64"/>
      <c r="W97" s="64"/>
      <c r="X97" s="64"/>
      <c r="Y97" s="64"/>
      <c r="Z97" s="64"/>
    </row>
    <row r="98" ht="12.75" customHeight="1">
      <c r="A98" s="108"/>
      <c r="B98" s="64"/>
      <c r="C98" s="64"/>
      <c r="D98" s="64"/>
      <c r="E98" s="64"/>
      <c r="F98" s="63"/>
      <c r="G98" s="63"/>
      <c r="H98" s="64"/>
      <c r="I98" s="64"/>
      <c r="J98" s="64"/>
      <c r="K98" s="64"/>
      <c r="L98" s="64"/>
      <c r="M98" s="64"/>
      <c r="N98" s="64"/>
      <c r="O98" s="64"/>
      <c r="P98" s="64"/>
      <c r="Q98" s="64"/>
      <c r="R98" s="64"/>
      <c r="S98" s="64"/>
      <c r="T98" s="64"/>
      <c r="U98" s="64"/>
      <c r="V98" s="64"/>
      <c r="W98" s="64"/>
      <c r="X98" s="64"/>
      <c r="Y98" s="64"/>
      <c r="Z98" s="64"/>
    </row>
    <row r="99" ht="12.75" customHeight="1">
      <c r="A99" s="108"/>
      <c r="B99" s="64"/>
      <c r="C99" s="64"/>
      <c r="D99" s="64"/>
      <c r="E99" s="64"/>
      <c r="F99" s="63"/>
      <c r="G99" s="63"/>
      <c r="H99" s="64"/>
      <c r="I99" s="64"/>
      <c r="J99" s="64"/>
      <c r="K99" s="64"/>
      <c r="L99" s="64"/>
      <c r="M99" s="64"/>
      <c r="N99" s="64"/>
      <c r="O99" s="64"/>
      <c r="P99" s="64"/>
      <c r="Q99" s="64"/>
      <c r="R99" s="64"/>
      <c r="S99" s="64"/>
      <c r="T99" s="64"/>
      <c r="U99" s="64"/>
      <c r="V99" s="64"/>
      <c r="W99" s="64"/>
      <c r="X99" s="64"/>
      <c r="Y99" s="64"/>
      <c r="Z99" s="64"/>
    </row>
    <row r="100" ht="12.75" customHeight="1">
      <c r="A100" s="108"/>
      <c r="B100" s="64"/>
      <c r="C100" s="64"/>
      <c r="D100" s="64"/>
      <c r="E100" s="64"/>
      <c r="F100" s="63"/>
      <c r="G100" s="63"/>
      <c r="H100" s="64"/>
      <c r="I100" s="64"/>
      <c r="J100" s="64"/>
      <c r="K100" s="64"/>
      <c r="L100" s="64"/>
      <c r="M100" s="64"/>
      <c r="N100" s="64"/>
      <c r="O100" s="64"/>
      <c r="P100" s="64"/>
      <c r="Q100" s="64"/>
      <c r="R100" s="64"/>
      <c r="S100" s="64"/>
      <c r="T100" s="64"/>
      <c r="U100" s="64"/>
      <c r="V100" s="64"/>
      <c r="W100" s="64"/>
      <c r="X100" s="64"/>
      <c r="Y100" s="64"/>
      <c r="Z100" s="64"/>
    </row>
    <row r="101" ht="12.75" customHeight="1">
      <c r="A101" s="108"/>
      <c r="B101" s="64"/>
      <c r="C101" s="64"/>
      <c r="D101" s="64"/>
      <c r="E101" s="64"/>
      <c r="F101" s="63"/>
      <c r="G101" s="63"/>
      <c r="H101" s="64"/>
      <c r="I101" s="64"/>
      <c r="J101" s="64"/>
      <c r="K101" s="64"/>
      <c r="L101" s="64"/>
      <c r="M101" s="64"/>
      <c r="N101" s="64"/>
      <c r="O101" s="64"/>
      <c r="P101" s="64"/>
      <c r="Q101" s="64"/>
      <c r="R101" s="64"/>
      <c r="S101" s="64"/>
      <c r="T101" s="64"/>
      <c r="U101" s="64"/>
      <c r="V101" s="64"/>
      <c r="W101" s="64"/>
      <c r="X101" s="64"/>
      <c r="Y101" s="64"/>
      <c r="Z101" s="64"/>
    </row>
    <row r="102" ht="12.75" customHeight="1">
      <c r="A102" s="108"/>
      <c r="B102" s="64"/>
      <c r="C102" s="64"/>
      <c r="D102" s="64"/>
      <c r="E102" s="64"/>
      <c r="F102" s="63"/>
      <c r="G102" s="63"/>
      <c r="H102" s="64"/>
      <c r="I102" s="64"/>
      <c r="J102" s="64"/>
      <c r="K102" s="64"/>
      <c r="L102" s="64"/>
      <c r="M102" s="64"/>
      <c r="N102" s="64"/>
      <c r="O102" s="64"/>
      <c r="P102" s="64"/>
      <c r="Q102" s="64"/>
      <c r="R102" s="64"/>
      <c r="S102" s="64"/>
      <c r="T102" s="64"/>
      <c r="U102" s="64"/>
      <c r="V102" s="64"/>
      <c r="W102" s="64"/>
      <c r="X102" s="64"/>
      <c r="Y102" s="64"/>
      <c r="Z102" s="64"/>
    </row>
    <row r="103" ht="12.75" customHeight="1">
      <c r="A103" s="108"/>
      <c r="B103" s="64"/>
      <c r="C103" s="64"/>
      <c r="D103" s="64"/>
      <c r="E103" s="64"/>
      <c r="F103" s="63"/>
      <c r="G103" s="63"/>
      <c r="H103" s="64"/>
      <c r="I103" s="64"/>
      <c r="J103" s="64"/>
      <c r="K103" s="64"/>
      <c r="L103" s="64"/>
      <c r="M103" s="64"/>
      <c r="N103" s="64"/>
      <c r="O103" s="64"/>
      <c r="P103" s="64"/>
      <c r="Q103" s="64"/>
      <c r="R103" s="64"/>
      <c r="S103" s="64"/>
      <c r="T103" s="64"/>
      <c r="U103" s="64"/>
      <c r="V103" s="64"/>
      <c r="W103" s="64"/>
      <c r="X103" s="64"/>
      <c r="Y103" s="64"/>
      <c r="Z103" s="64"/>
    </row>
    <row r="104" ht="12.75" customHeight="1">
      <c r="A104" s="108"/>
      <c r="B104" s="64"/>
      <c r="C104" s="64"/>
      <c r="D104" s="64"/>
      <c r="E104" s="64"/>
      <c r="F104" s="63"/>
      <c r="G104" s="63"/>
      <c r="H104" s="64"/>
      <c r="I104" s="64"/>
      <c r="J104" s="64"/>
      <c r="K104" s="64"/>
      <c r="L104" s="64"/>
      <c r="M104" s="64"/>
      <c r="N104" s="64"/>
      <c r="O104" s="64"/>
      <c r="P104" s="64"/>
      <c r="Q104" s="64"/>
      <c r="R104" s="64"/>
      <c r="S104" s="64"/>
      <c r="T104" s="64"/>
      <c r="U104" s="64"/>
      <c r="V104" s="64"/>
      <c r="W104" s="64"/>
      <c r="X104" s="64"/>
      <c r="Y104" s="64"/>
      <c r="Z104" s="64"/>
    </row>
    <row r="105" ht="12.75" customHeight="1">
      <c r="A105" s="108"/>
      <c r="B105" s="64"/>
      <c r="C105" s="64"/>
      <c r="D105" s="64"/>
      <c r="E105" s="64"/>
      <c r="F105" s="63"/>
      <c r="G105" s="63"/>
      <c r="H105" s="64"/>
      <c r="I105" s="64"/>
      <c r="J105" s="64"/>
      <c r="K105" s="64"/>
      <c r="L105" s="64"/>
      <c r="M105" s="64"/>
      <c r="N105" s="64"/>
      <c r="O105" s="64"/>
      <c r="P105" s="64"/>
      <c r="Q105" s="64"/>
      <c r="R105" s="64"/>
      <c r="S105" s="64"/>
      <c r="T105" s="64"/>
      <c r="U105" s="64"/>
      <c r="V105" s="64"/>
      <c r="W105" s="64"/>
      <c r="X105" s="64"/>
      <c r="Y105" s="64"/>
      <c r="Z105" s="64"/>
    </row>
    <row r="106" ht="12.75" customHeight="1">
      <c r="A106" s="108"/>
      <c r="B106" s="64"/>
      <c r="C106" s="64"/>
      <c r="D106" s="64"/>
      <c r="E106" s="64"/>
      <c r="F106" s="63"/>
      <c r="G106" s="63"/>
      <c r="H106" s="64"/>
      <c r="I106" s="64"/>
      <c r="J106" s="64"/>
      <c r="K106" s="64"/>
      <c r="L106" s="64"/>
      <c r="M106" s="64"/>
      <c r="N106" s="64"/>
      <c r="O106" s="64"/>
      <c r="P106" s="64"/>
      <c r="Q106" s="64"/>
      <c r="R106" s="64"/>
      <c r="S106" s="64"/>
      <c r="T106" s="64"/>
      <c r="U106" s="64"/>
      <c r="V106" s="64"/>
      <c r="W106" s="64"/>
      <c r="X106" s="64"/>
      <c r="Y106" s="64"/>
      <c r="Z106" s="64"/>
    </row>
    <row r="107" ht="12.75" customHeight="1">
      <c r="A107" s="108"/>
      <c r="B107" s="64"/>
      <c r="C107" s="64"/>
      <c r="D107" s="64"/>
      <c r="E107" s="64"/>
      <c r="F107" s="63"/>
      <c r="G107" s="63"/>
      <c r="H107" s="64"/>
      <c r="I107" s="64"/>
      <c r="J107" s="64"/>
      <c r="K107" s="64"/>
      <c r="L107" s="64"/>
      <c r="M107" s="64"/>
      <c r="N107" s="64"/>
      <c r="O107" s="64"/>
      <c r="P107" s="64"/>
      <c r="Q107" s="64"/>
      <c r="R107" s="64"/>
      <c r="S107" s="64"/>
      <c r="T107" s="64"/>
      <c r="U107" s="64"/>
      <c r="V107" s="64"/>
      <c r="W107" s="64"/>
      <c r="X107" s="64"/>
      <c r="Y107" s="64"/>
      <c r="Z107" s="64"/>
    </row>
    <row r="108" ht="12.75" customHeight="1">
      <c r="A108" s="108"/>
      <c r="B108" s="64"/>
      <c r="C108" s="64"/>
      <c r="D108" s="64"/>
      <c r="E108" s="64"/>
      <c r="F108" s="63"/>
      <c r="G108" s="63"/>
      <c r="H108" s="64"/>
      <c r="I108" s="64"/>
      <c r="J108" s="64"/>
      <c r="K108" s="64"/>
      <c r="L108" s="64"/>
      <c r="M108" s="64"/>
      <c r="N108" s="64"/>
      <c r="O108" s="64"/>
      <c r="P108" s="64"/>
      <c r="Q108" s="64"/>
      <c r="R108" s="64"/>
      <c r="S108" s="64"/>
      <c r="T108" s="64"/>
      <c r="U108" s="64"/>
      <c r="V108" s="64"/>
      <c r="W108" s="64"/>
      <c r="X108" s="64"/>
      <c r="Y108" s="64"/>
      <c r="Z108" s="64"/>
    </row>
    <row r="109" ht="12.75" customHeight="1">
      <c r="A109" s="108"/>
      <c r="B109" s="64"/>
      <c r="C109" s="64"/>
      <c r="D109" s="64"/>
      <c r="E109" s="64"/>
      <c r="F109" s="63"/>
      <c r="G109" s="63"/>
      <c r="H109" s="64"/>
      <c r="I109" s="64"/>
      <c r="J109" s="64"/>
      <c r="K109" s="64"/>
      <c r="L109" s="64"/>
      <c r="M109" s="64"/>
      <c r="N109" s="64"/>
      <c r="O109" s="64"/>
      <c r="P109" s="64"/>
      <c r="Q109" s="64"/>
      <c r="R109" s="64"/>
      <c r="S109" s="64"/>
      <c r="T109" s="64"/>
      <c r="U109" s="64"/>
      <c r="V109" s="64"/>
      <c r="W109" s="64"/>
      <c r="X109" s="64"/>
      <c r="Y109" s="64"/>
      <c r="Z109" s="64"/>
    </row>
    <row r="110" ht="12.75" customHeight="1">
      <c r="A110" s="108"/>
      <c r="B110" s="64"/>
      <c r="C110" s="64"/>
      <c r="D110" s="64"/>
      <c r="E110" s="64"/>
      <c r="F110" s="63"/>
      <c r="G110" s="63"/>
      <c r="H110" s="64"/>
      <c r="I110" s="64"/>
      <c r="J110" s="64"/>
      <c r="K110" s="64"/>
      <c r="L110" s="64"/>
      <c r="M110" s="64"/>
      <c r="N110" s="64"/>
      <c r="O110" s="64"/>
      <c r="P110" s="64"/>
      <c r="Q110" s="64"/>
      <c r="R110" s="64"/>
      <c r="S110" s="64"/>
      <c r="T110" s="64"/>
      <c r="U110" s="64"/>
      <c r="V110" s="64"/>
      <c r="W110" s="64"/>
      <c r="X110" s="64"/>
      <c r="Y110" s="64"/>
      <c r="Z110" s="64"/>
    </row>
    <row r="111" ht="12.75" customHeight="1">
      <c r="A111" s="108"/>
      <c r="B111" s="64"/>
      <c r="C111" s="64"/>
      <c r="D111" s="64"/>
      <c r="E111" s="64"/>
      <c r="F111" s="63"/>
      <c r="G111" s="63"/>
      <c r="H111" s="64"/>
      <c r="I111" s="64"/>
      <c r="J111" s="64"/>
      <c r="K111" s="64"/>
      <c r="L111" s="64"/>
      <c r="M111" s="64"/>
      <c r="N111" s="64"/>
      <c r="O111" s="64"/>
      <c r="P111" s="64"/>
      <c r="Q111" s="64"/>
      <c r="R111" s="64"/>
      <c r="S111" s="64"/>
      <c r="T111" s="64"/>
      <c r="U111" s="64"/>
      <c r="V111" s="64"/>
      <c r="W111" s="64"/>
      <c r="X111" s="64"/>
      <c r="Y111" s="64"/>
      <c r="Z111" s="64"/>
    </row>
    <row r="112" ht="12.75" customHeight="1">
      <c r="A112" s="108"/>
      <c r="B112" s="64"/>
      <c r="C112" s="64"/>
      <c r="D112" s="64"/>
      <c r="E112" s="64"/>
      <c r="F112" s="63"/>
      <c r="G112" s="63"/>
      <c r="H112" s="64"/>
      <c r="I112" s="64"/>
      <c r="J112" s="64"/>
      <c r="K112" s="64"/>
      <c r="L112" s="64"/>
      <c r="M112" s="64"/>
      <c r="N112" s="64"/>
      <c r="O112" s="64"/>
      <c r="P112" s="64"/>
      <c r="Q112" s="64"/>
      <c r="R112" s="64"/>
      <c r="S112" s="64"/>
      <c r="T112" s="64"/>
      <c r="U112" s="64"/>
      <c r="V112" s="64"/>
      <c r="W112" s="64"/>
      <c r="X112" s="64"/>
      <c r="Y112" s="64"/>
      <c r="Z112" s="64"/>
    </row>
    <row r="113" ht="12.75" customHeight="1">
      <c r="A113" s="108"/>
      <c r="B113" s="64"/>
      <c r="C113" s="64"/>
      <c r="D113" s="64"/>
      <c r="E113" s="64"/>
      <c r="F113" s="63"/>
      <c r="G113" s="63"/>
      <c r="H113" s="64"/>
      <c r="I113" s="64"/>
      <c r="J113" s="64"/>
      <c r="K113" s="64"/>
      <c r="L113" s="64"/>
      <c r="M113" s="64"/>
      <c r="N113" s="64"/>
      <c r="O113" s="64"/>
      <c r="P113" s="64"/>
      <c r="Q113" s="64"/>
      <c r="R113" s="64"/>
      <c r="S113" s="64"/>
      <c r="T113" s="64"/>
      <c r="U113" s="64"/>
      <c r="V113" s="64"/>
      <c r="W113" s="64"/>
      <c r="X113" s="64"/>
      <c r="Y113" s="64"/>
      <c r="Z113" s="64"/>
    </row>
    <row r="114" ht="12.75" customHeight="1">
      <c r="A114" s="108"/>
      <c r="B114" s="64"/>
      <c r="C114" s="64"/>
      <c r="D114" s="64"/>
      <c r="E114" s="64"/>
      <c r="F114" s="63"/>
      <c r="G114" s="63"/>
      <c r="H114" s="64"/>
      <c r="I114" s="64"/>
      <c r="J114" s="64"/>
      <c r="K114" s="64"/>
      <c r="L114" s="64"/>
      <c r="M114" s="64"/>
      <c r="N114" s="64"/>
      <c r="O114" s="64"/>
      <c r="P114" s="64"/>
      <c r="Q114" s="64"/>
      <c r="R114" s="64"/>
      <c r="S114" s="64"/>
      <c r="T114" s="64"/>
      <c r="U114" s="64"/>
      <c r="V114" s="64"/>
      <c r="W114" s="64"/>
      <c r="X114" s="64"/>
      <c r="Y114" s="64"/>
      <c r="Z114" s="64"/>
    </row>
    <row r="115" ht="12.75" customHeight="1">
      <c r="A115" s="108"/>
      <c r="B115" s="64"/>
      <c r="C115" s="64"/>
      <c r="D115" s="64"/>
      <c r="E115" s="64"/>
      <c r="F115" s="63"/>
      <c r="G115" s="63"/>
      <c r="H115" s="64"/>
      <c r="I115" s="64"/>
      <c r="J115" s="64"/>
      <c r="K115" s="64"/>
      <c r="L115" s="64"/>
      <c r="M115" s="64"/>
      <c r="N115" s="64"/>
      <c r="O115" s="64"/>
      <c r="P115" s="64"/>
      <c r="Q115" s="64"/>
      <c r="R115" s="64"/>
      <c r="S115" s="64"/>
      <c r="T115" s="64"/>
      <c r="U115" s="64"/>
      <c r="V115" s="64"/>
      <c r="W115" s="64"/>
      <c r="X115" s="64"/>
      <c r="Y115" s="64"/>
      <c r="Z115" s="64"/>
    </row>
    <row r="116" ht="12.75" customHeight="1">
      <c r="A116" s="108"/>
      <c r="B116" s="64"/>
      <c r="C116" s="64"/>
      <c r="D116" s="64"/>
      <c r="E116" s="64"/>
      <c r="F116" s="63"/>
      <c r="G116" s="63"/>
      <c r="H116" s="64"/>
      <c r="I116" s="64"/>
      <c r="J116" s="64"/>
      <c r="K116" s="64"/>
      <c r="L116" s="64"/>
      <c r="M116" s="64"/>
      <c r="N116" s="64"/>
      <c r="O116" s="64"/>
      <c r="P116" s="64"/>
      <c r="Q116" s="64"/>
      <c r="R116" s="64"/>
      <c r="S116" s="64"/>
      <c r="T116" s="64"/>
      <c r="U116" s="64"/>
      <c r="V116" s="64"/>
      <c r="W116" s="64"/>
      <c r="X116" s="64"/>
      <c r="Y116" s="64"/>
      <c r="Z116" s="64"/>
    </row>
    <row r="117" ht="12.75" customHeight="1">
      <c r="A117" s="108"/>
      <c r="B117" s="64"/>
      <c r="C117" s="64"/>
      <c r="D117" s="64"/>
      <c r="E117" s="64"/>
      <c r="F117" s="63"/>
      <c r="G117" s="63"/>
      <c r="H117" s="64"/>
      <c r="I117" s="64"/>
      <c r="J117" s="64"/>
      <c r="K117" s="64"/>
      <c r="L117" s="64"/>
      <c r="M117" s="64"/>
      <c r="N117" s="64"/>
      <c r="O117" s="64"/>
      <c r="P117" s="64"/>
      <c r="Q117" s="64"/>
      <c r="R117" s="64"/>
      <c r="S117" s="64"/>
      <c r="T117" s="64"/>
      <c r="U117" s="64"/>
      <c r="V117" s="64"/>
      <c r="W117" s="64"/>
      <c r="X117" s="64"/>
      <c r="Y117" s="64"/>
      <c r="Z117" s="64"/>
    </row>
    <row r="118" ht="12.75" customHeight="1">
      <c r="A118" s="108"/>
      <c r="B118" s="64"/>
      <c r="C118" s="64"/>
      <c r="D118" s="64"/>
      <c r="E118" s="64"/>
      <c r="F118" s="63"/>
      <c r="G118" s="63"/>
      <c r="H118" s="64"/>
      <c r="I118" s="64"/>
      <c r="J118" s="64"/>
      <c r="K118" s="64"/>
      <c r="L118" s="64"/>
      <c r="M118" s="64"/>
      <c r="N118" s="64"/>
      <c r="O118" s="64"/>
      <c r="P118" s="64"/>
      <c r="Q118" s="64"/>
      <c r="R118" s="64"/>
      <c r="S118" s="64"/>
      <c r="T118" s="64"/>
      <c r="U118" s="64"/>
      <c r="V118" s="64"/>
      <c r="W118" s="64"/>
      <c r="X118" s="64"/>
      <c r="Y118" s="64"/>
      <c r="Z118" s="64"/>
    </row>
    <row r="119" ht="12.75" customHeight="1">
      <c r="A119" s="108"/>
      <c r="B119" s="64"/>
      <c r="C119" s="64"/>
      <c r="D119" s="64"/>
      <c r="E119" s="64"/>
      <c r="F119" s="63"/>
      <c r="G119" s="63"/>
      <c r="H119" s="64"/>
      <c r="I119" s="64"/>
      <c r="J119" s="64"/>
      <c r="K119" s="64"/>
      <c r="L119" s="64"/>
      <c r="M119" s="64"/>
      <c r="N119" s="64"/>
      <c r="O119" s="64"/>
      <c r="P119" s="64"/>
      <c r="Q119" s="64"/>
      <c r="R119" s="64"/>
      <c r="S119" s="64"/>
      <c r="T119" s="64"/>
      <c r="U119" s="64"/>
      <c r="V119" s="64"/>
      <c r="W119" s="64"/>
      <c r="X119" s="64"/>
      <c r="Y119" s="64"/>
      <c r="Z119" s="64"/>
    </row>
    <row r="120" ht="12.75" customHeight="1">
      <c r="A120" s="108"/>
      <c r="B120" s="64"/>
      <c r="C120" s="64"/>
      <c r="D120" s="64"/>
      <c r="E120" s="64"/>
      <c r="F120" s="63"/>
      <c r="G120" s="63"/>
      <c r="H120" s="64"/>
      <c r="I120" s="64"/>
      <c r="J120" s="64"/>
      <c r="K120" s="64"/>
      <c r="L120" s="64"/>
      <c r="M120" s="64"/>
      <c r="N120" s="64"/>
      <c r="O120" s="64"/>
      <c r="P120" s="64"/>
      <c r="Q120" s="64"/>
      <c r="R120" s="64"/>
      <c r="S120" s="64"/>
      <c r="T120" s="64"/>
      <c r="U120" s="64"/>
      <c r="V120" s="64"/>
      <c r="W120" s="64"/>
      <c r="X120" s="64"/>
      <c r="Y120" s="64"/>
      <c r="Z120" s="64"/>
    </row>
    <row r="121" ht="12.75" customHeight="1">
      <c r="A121" s="108"/>
      <c r="B121" s="64"/>
      <c r="C121" s="64"/>
      <c r="D121" s="64"/>
      <c r="E121" s="64"/>
      <c r="F121" s="63"/>
      <c r="G121" s="63"/>
      <c r="H121" s="64"/>
      <c r="I121" s="64"/>
      <c r="J121" s="64"/>
      <c r="K121" s="64"/>
      <c r="L121" s="64"/>
      <c r="M121" s="64"/>
      <c r="N121" s="64"/>
      <c r="O121" s="64"/>
      <c r="P121" s="64"/>
      <c r="Q121" s="64"/>
      <c r="R121" s="64"/>
      <c r="S121" s="64"/>
      <c r="T121" s="64"/>
      <c r="U121" s="64"/>
      <c r="V121" s="64"/>
      <c r="W121" s="64"/>
      <c r="X121" s="64"/>
      <c r="Y121" s="64"/>
      <c r="Z121" s="64"/>
    </row>
    <row r="122" ht="12.75" customHeight="1">
      <c r="A122" s="108"/>
      <c r="B122" s="64"/>
      <c r="C122" s="64"/>
      <c r="D122" s="64"/>
      <c r="E122" s="64"/>
      <c r="F122" s="63"/>
      <c r="G122" s="63"/>
      <c r="H122" s="64"/>
      <c r="I122" s="64"/>
      <c r="J122" s="64"/>
      <c r="K122" s="64"/>
      <c r="L122" s="64"/>
      <c r="M122" s="64"/>
      <c r="N122" s="64"/>
      <c r="O122" s="64"/>
      <c r="P122" s="64"/>
      <c r="Q122" s="64"/>
      <c r="R122" s="64"/>
      <c r="S122" s="64"/>
      <c r="T122" s="64"/>
      <c r="U122" s="64"/>
      <c r="V122" s="64"/>
      <c r="W122" s="64"/>
      <c r="X122" s="64"/>
      <c r="Y122" s="64"/>
      <c r="Z122" s="64"/>
    </row>
    <row r="123" ht="12.75" customHeight="1">
      <c r="A123" s="108"/>
      <c r="B123" s="64"/>
      <c r="C123" s="64"/>
      <c r="D123" s="64"/>
      <c r="E123" s="64"/>
      <c r="F123" s="63"/>
      <c r="G123" s="63"/>
      <c r="H123" s="64"/>
      <c r="I123" s="64"/>
      <c r="J123" s="64"/>
      <c r="K123" s="64"/>
      <c r="L123" s="64"/>
      <c r="M123" s="64"/>
      <c r="N123" s="64"/>
      <c r="O123" s="64"/>
      <c r="P123" s="64"/>
      <c r="Q123" s="64"/>
      <c r="R123" s="64"/>
      <c r="S123" s="64"/>
      <c r="T123" s="64"/>
      <c r="U123" s="64"/>
      <c r="V123" s="64"/>
      <c r="W123" s="64"/>
      <c r="X123" s="64"/>
      <c r="Y123" s="64"/>
      <c r="Z123" s="64"/>
    </row>
    <row r="124" ht="12.75" customHeight="1">
      <c r="A124" s="108"/>
      <c r="B124" s="64"/>
      <c r="C124" s="64"/>
      <c r="D124" s="64"/>
      <c r="E124" s="64"/>
      <c r="F124" s="63"/>
      <c r="G124" s="63"/>
      <c r="H124" s="64"/>
      <c r="I124" s="64"/>
      <c r="J124" s="64"/>
      <c r="K124" s="64"/>
      <c r="L124" s="64"/>
      <c r="M124" s="64"/>
      <c r="N124" s="64"/>
      <c r="O124" s="64"/>
      <c r="P124" s="64"/>
      <c r="Q124" s="64"/>
      <c r="R124" s="64"/>
      <c r="S124" s="64"/>
      <c r="T124" s="64"/>
      <c r="U124" s="64"/>
      <c r="V124" s="64"/>
      <c r="W124" s="64"/>
      <c r="X124" s="64"/>
      <c r="Y124" s="64"/>
      <c r="Z124" s="64"/>
    </row>
    <row r="125" ht="12.75" customHeight="1">
      <c r="A125" s="108"/>
      <c r="B125" s="64"/>
      <c r="C125" s="64"/>
      <c r="D125" s="64"/>
      <c r="E125" s="64"/>
      <c r="F125" s="63"/>
      <c r="G125" s="63"/>
      <c r="H125" s="64"/>
      <c r="I125" s="64"/>
      <c r="J125" s="64"/>
      <c r="K125" s="64"/>
      <c r="L125" s="64"/>
      <c r="M125" s="64"/>
      <c r="N125" s="64"/>
      <c r="O125" s="64"/>
      <c r="P125" s="64"/>
      <c r="Q125" s="64"/>
      <c r="R125" s="64"/>
      <c r="S125" s="64"/>
      <c r="T125" s="64"/>
      <c r="U125" s="64"/>
      <c r="V125" s="64"/>
      <c r="W125" s="64"/>
      <c r="X125" s="64"/>
      <c r="Y125" s="64"/>
      <c r="Z125" s="64"/>
    </row>
    <row r="126" ht="12.75" customHeight="1">
      <c r="A126" s="108"/>
      <c r="B126" s="64"/>
      <c r="C126" s="64"/>
      <c r="D126" s="64"/>
      <c r="E126" s="64"/>
      <c r="F126" s="63"/>
      <c r="G126" s="63"/>
      <c r="H126" s="64"/>
      <c r="I126" s="64"/>
      <c r="J126" s="64"/>
      <c r="K126" s="64"/>
      <c r="L126" s="64"/>
      <c r="M126" s="64"/>
      <c r="N126" s="64"/>
      <c r="O126" s="64"/>
      <c r="P126" s="64"/>
      <c r="Q126" s="64"/>
      <c r="R126" s="64"/>
      <c r="S126" s="64"/>
      <c r="T126" s="64"/>
      <c r="U126" s="64"/>
      <c r="V126" s="64"/>
      <c r="W126" s="64"/>
      <c r="X126" s="64"/>
      <c r="Y126" s="64"/>
      <c r="Z126" s="64"/>
    </row>
    <row r="127" ht="12.75" customHeight="1">
      <c r="A127" s="108"/>
      <c r="B127" s="64"/>
      <c r="C127" s="64"/>
      <c r="D127" s="64"/>
      <c r="E127" s="64"/>
      <c r="F127" s="63"/>
      <c r="G127" s="63"/>
      <c r="H127" s="64"/>
      <c r="I127" s="64"/>
      <c r="J127" s="64"/>
      <c r="K127" s="64"/>
      <c r="L127" s="64"/>
      <c r="M127" s="64"/>
      <c r="N127" s="64"/>
      <c r="O127" s="64"/>
      <c r="P127" s="64"/>
      <c r="Q127" s="64"/>
      <c r="R127" s="64"/>
      <c r="S127" s="64"/>
      <c r="T127" s="64"/>
      <c r="U127" s="64"/>
      <c r="V127" s="64"/>
      <c r="W127" s="64"/>
      <c r="X127" s="64"/>
      <c r="Y127" s="64"/>
      <c r="Z127" s="64"/>
    </row>
    <row r="128" ht="12.75" customHeight="1">
      <c r="A128" s="108"/>
      <c r="B128" s="64"/>
      <c r="C128" s="64"/>
      <c r="D128" s="64"/>
      <c r="E128" s="64"/>
      <c r="F128" s="63"/>
      <c r="G128" s="63"/>
      <c r="H128" s="64"/>
      <c r="I128" s="64"/>
      <c r="J128" s="64"/>
      <c r="K128" s="64"/>
      <c r="L128" s="64"/>
      <c r="M128" s="64"/>
      <c r="N128" s="64"/>
      <c r="O128" s="64"/>
      <c r="P128" s="64"/>
      <c r="Q128" s="64"/>
      <c r="R128" s="64"/>
      <c r="S128" s="64"/>
      <c r="T128" s="64"/>
      <c r="U128" s="64"/>
      <c r="V128" s="64"/>
      <c r="W128" s="64"/>
      <c r="X128" s="64"/>
      <c r="Y128" s="64"/>
      <c r="Z128" s="64"/>
    </row>
    <row r="129" ht="12.75" customHeight="1">
      <c r="A129" s="108"/>
      <c r="B129" s="64"/>
      <c r="C129" s="64"/>
      <c r="D129" s="64"/>
      <c r="E129" s="64"/>
      <c r="F129" s="63"/>
      <c r="G129" s="63"/>
      <c r="H129" s="64"/>
      <c r="I129" s="64"/>
      <c r="J129" s="64"/>
      <c r="K129" s="64"/>
      <c r="L129" s="64"/>
      <c r="M129" s="64"/>
      <c r="N129" s="64"/>
      <c r="O129" s="64"/>
      <c r="P129" s="64"/>
      <c r="Q129" s="64"/>
      <c r="R129" s="64"/>
      <c r="S129" s="64"/>
      <c r="T129" s="64"/>
      <c r="U129" s="64"/>
      <c r="V129" s="64"/>
      <c r="W129" s="64"/>
      <c r="X129" s="64"/>
      <c r="Y129" s="64"/>
      <c r="Z129" s="64"/>
    </row>
    <row r="130" ht="12.75" customHeight="1">
      <c r="A130" s="108"/>
      <c r="B130" s="64"/>
      <c r="C130" s="64"/>
      <c r="D130" s="64"/>
      <c r="E130" s="64"/>
      <c r="F130" s="63"/>
      <c r="G130" s="63"/>
      <c r="H130" s="64"/>
      <c r="I130" s="64"/>
      <c r="J130" s="64"/>
      <c r="K130" s="64"/>
      <c r="L130" s="64"/>
      <c r="M130" s="64"/>
      <c r="N130" s="64"/>
      <c r="O130" s="64"/>
      <c r="P130" s="64"/>
      <c r="Q130" s="64"/>
      <c r="R130" s="64"/>
      <c r="S130" s="64"/>
      <c r="T130" s="64"/>
      <c r="U130" s="64"/>
      <c r="V130" s="64"/>
      <c r="W130" s="64"/>
      <c r="X130" s="64"/>
      <c r="Y130" s="64"/>
      <c r="Z130" s="64"/>
    </row>
    <row r="131" ht="12.75" customHeight="1">
      <c r="A131" s="108"/>
      <c r="B131" s="64"/>
      <c r="C131" s="64"/>
      <c r="D131" s="64"/>
      <c r="E131" s="64"/>
      <c r="F131" s="63"/>
      <c r="G131" s="63"/>
      <c r="H131" s="64"/>
      <c r="I131" s="64"/>
      <c r="J131" s="64"/>
      <c r="K131" s="64"/>
      <c r="L131" s="64"/>
      <c r="M131" s="64"/>
      <c r="N131" s="64"/>
      <c r="O131" s="64"/>
      <c r="P131" s="64"/>
      <c r="Q131" s="64"/>
      <c r="R131" s="64"/>
      <c r="S131" s="64"/>
      <c r="T131" s="64"/>
      <c r="U131" s="64"/>
      <c r="V131" s="64"/>
      <c r="W131" s="64"/>
      <c r="X131" s="64"/>
      <c r="Y131" s="64"/>
      <c r="Z131" s="64"/>
    </row>
    <row r="132" ht="12.75" customHeight="1">
      <c r="A132" s="108"/>
      <c r="B132" s="64"/>
      <c r="C132" s="64"/>
      <c r="D132" s="64"/>
      <c r="E132" s="64"/>
      <c r="F132" s="63"/>
      <c r="G132" s="63"/>
      <c r="H132" s="64"/>
      <c r="I132" s="64"/>
      <c r="J132" s="64"/>
      <c r="K132" s="64"/>
      <c r="L132" s="64"/>
      <c r="M132" s="64"/>
      <c r="N132" s="64"/>
      <c r="O132" s="64"/>
      <c r="P132" s="64"/>
      <c r="Q132" s="64"/>
      <c r="R132" s="64"/>
      <c r="S132" s="64"/>
      <c r="T132" s="64"/>
      <c r="U132" s="64"/>
      <c r="V132" s="64"/>
      <c r="W132" s="64"/>
      <c r="X132" s="64"/>
      <c r="Y132" s="64"/>
      <c r="Z132" s="64"/>
    </row>
    <row r="133" ht="12.75" customHeight="1">
      <c r="A133" s="108"/>
      <c r="B133" s="64"/>
      <c r="C133" s="64"/>
      <c r="D133" s="64"/>
      <c r="E133" s="64"/>
      <c r="F133" s="63"/>
      <c r="G133" s="63"/>
      <c r="H133" s="64"/>
      <c r="I133" s="64"/>
      <c r="J133" s="64"/>
      <c r="K133" s="64"/>
      <c r="L133" s="64"/>
      <c r="M133" s="64"/>
      <c r="N133" s="64"/>
      <c r="O133" s="64"/>
      <c r="P133" s="64"/>
      <c r="Q133" s="64"/>
      <c r="R133" s="64"/>
      <c r="S133" s="64"/>
      <c r="T133" s="64"/>
      <c r="U133" s="64"/>
      <c r="V133" s="64"/>
      <c r="W133" s="64"/>
      <c r="X133" s="64"/>
      <c r="Y133" s="64"/>
      <c r="Z133" s="64"/>
    </row>
    <row r="134" ht="12.75" customHeight="1">
      <c r="A134" s="108"/>
      <c r="B134" s="64"/>
      <c r="C134" s="64"/>
      <c r="D134" s="64"/>
      <c r="E134" s="64"/>
      <c r="F134" s="63"/>
      <c r="G134" s="63"/>
      <c r="H134" s="64"/>
      <c r="I134" s="64"/>
      <c r="J134" s="64"/>
      <c r="K134" s="64"/>
      <c r="L134" s="64"/>
      <c r="M134" s="64"/>
      <c r="N134" s="64"/>
      <c r="O134" s="64"/>
      <c r="P134" s="64"/>
      <c r="Q134" s="64"/>
      <c r="R134" s="64"/>
      <c r="S134" s="64"/>
      <c r="T134" s="64"/>
      <c r="U134" s="64"/>
      <c r="V134" s="64"/>
      <c r="W134" s="64"/>
      <c r="X134" s="64"/>
      <c r="Y134" s="64"/>
      <c r="Z134" s="64"/>
    </row>
    <row r="135" ht="12.75" customHeight="1">
      <c r="A135" s="108"/>
      <c r="B135" s="64"/>
      <c r="C135" s="64"/>
      <c r="D135" s="64"/>
      <c r="E135" s="64"/>
      <c r="F135" s="63"/>
      <c r="G135" s="63"/>
      <c r="H135" s="64"/>
      <c r="I135" s="64"/>
      <c r="J135" s="64"/>
      <c r="K135" s="64"/>
      <c r="L135" s="64"/>
      <c r="M135" s="64"/>
      <c r="N135" s="64"/>
      <c r="O135" s="64"/>
      <c r="P135" s="64"/>
      <c r="Q135" s="64"/>
      <c r="R135" s="64"/>
      <c r="S135" s="64"/>
      <c r="T135" s="64"/>
      <c r="U135" s="64"/>
      <c r="V135" s="64"/>
      <c r="W135" s="64"/>
      <c r="X135" s="64"/>
      <c r="Y135" s="64"/>
      <c r="Z135" s="64"/>
    </row>
    <row r="136" ht="12.75" customHeight="1">
      <c r="A136" s="108"/>
      <c r="B136" s="64"/>
      <c r="C136" s="64"/>
      <c r="D136" s="64"/>
      <c r="E136" s="64"/>
      <c r="F136" s="63"/>
      <c r="G136" s="63"/>
      <c r="H136" s="64"/>
      <c r="I136" s="64"/>
      <c r="J136" s="64"/>
      <c r="K136" s="64"/>
      <c r="L136" s="64"/>
      <c r="M136" s="64"/>
      <c r="N136" s="64"/>
      <c r="O136" s="64"/>
      <c r="P136" s="64"/>
      <c r="Q136" s="64"/>
      <c r="R136" s="64"/>
      <c r="S136" s="64"/>
      <c r="T136" s="64"/>
      <c r="U136" s="64"/>
      <c r="V136" s="64"/>
      <c r="W136" s="64"/>
      <c r="X136" s="64"/>
      <c r="Y136" s="64"/>
      <c r="Z136" s="64"/>
    </row>
    <row r="137" ht="12.75" customHeight="1">
      <c r="A137" s="108"/>
      <c r="B137" s="64"/>
      <c r="C137" s="64"/>
      <c r="D137" s="64"/>
      <c r="E137" s="64"/>
      <c r="F137" s="63"/>
      <c r="G137" s="63"/>
      <c r="H137" s="64"/>
      <c r="I137" s="64"/>
      <c r="J137" s="64"/>
      <c r="K137" s="64"/>
      <c r="L137" s="64"/>
      <c r="M137" s="64"/>
      <c r="N137" s="64"/>
      <c r="O137" s="64"/>
      <c r="P137" s="64"/>
      <c r="Q137" s="64"/>
      <c r="R137" s="64"/>
      <c r="S137" s="64"/>
      <c r="T137" s="64"/>
      <c r="U137" s="64"/>
      <c r="V137" s="64"/>
      <c r="W137" s="64"/>
      <c r="X137" s="64"/>
      <c r="Y137" s="64"/>
      <c r="Z137" s="64"/>
    </row>
    <row r="138" ht="12.75" customHeight="1">
      <c r="A138" s="108"/>
      <c r="B138" s="64"/>
      <c r="C138" s="64"/>
      <c r="D138" s="64"/>
      <c r="E138" s="64"/>
      <c r="F138" s="63"/>
      <c r="G138" s="63"/>
      <c r="H138" s="64"/>
      <c r="I138" s="64"/>
      <c r="J138" s="64"/>
      <c r="K138" s="64"/>
      <c r="L138" s="64"/>
      <c r="M138" s="64"/>
      <c r="N138" s="64"/>
      <c r="O138" s="64"/>
      <c r="P138" s="64"/>
      <c r="Q138" s="64"/>
      <c r="R138" s="64"/>
      <c r="S138" s="64"/>
      <c r="T138" s="64"/>
      <c r="U138" s="64"/>
      <c r="V138" s="64"/>
      <c r="W138" s="64"/>
      <c r="X138" s="64"/>
      <c r="Y138" s="64"/>
      <c r="Z138" s="64"/>
    </row>
    <row r="139" ht="12.75" customHeight="1">
      <c r="A139" s="108"/>
      <c r="B139" s="64"/>
      <c r="C139" s="64"/>
      <c r="D139" s="64"/>
      <c r="E139" s="64"/>
      <c r="F139" s="63"/>
      <c r="G139" s="63"/>
      <c r="H139" s="64"/>
      <c r="I139" s="64"/>
      <c r="J139" s="64"/>
      <c r="K139" s="64"/>
      <c r="L139" s="64"/>
      <c r="M139" s="64"/>
      <c r="N139" s="64"/>
      <c r="O139" s="64"/>
      <c r="P139" s="64"/>
      <c r="Q139" s="64"/>
      <c r="R139" s="64"/>
      <c r="S139" s="64"/>
      <c r="T139" s="64"/>
      <c r="U139" s="64"/>
      <c r="V139" s="64"/>
      <c r="W139" s="64"/>
      <c r="X139" s="64"/>
      <c r="Y139" s="64"/>
      <c r="Z139" s="64"/>
    </row>
    <row r="140" ht="12.75" customHeight="1">
      <c r="A140" s="108"/>
      <c r="B140" s="64"/>
      <c r="C140" s="64"/>
      <c r="D140" s="64"/>
      <c r="E140" s="64"/>
      <c r="F140" s="63"/>
      <c r="G140" s="63"/>
      <c r="H140" s="64"/>
      <c r="I140" s="64"/>
      <c r="J140" s="64"/>
      <c r="K140" s="64"/>
      <c r="L140" s="64"/>
      <c r="M140" s="64"/>
      <c r="N140" s="64"/>
      <c r="O140" s="64"/>
      <c r="P140" s="64"/>
      <c r="Q140" s="64"/>
      <c r="R140" s="64"/>
      <c r="S140" s="64"/>
      <c r="T140" s="64"/>
      <c r="U140" s="64"/>
      <c r="V140" s="64"/>
      <c r="W140" s="64"/>
      <c r="X140" s="64"/>
      <c r="Y140" s="64"/>
      <c r="Z140" s="64"/>
    </row>
    <row r="141" ht="12.75" customHeight="1">
      <c r="A141" s="108"/>
      <c r="B141" s="64"/>
      <c r="C141" s="64"/>
      <c r="D141" s="64"/>
      <c r="E141" s="64"/>
      <c r="F141" s="63"/>
      <c r="G141" s="63"/>
      <c r="H141" s="64"/>
      <c r="I141" s="64"/>
      <c r="J141" s="64"/>
      <c r="K141" s="64"/>
      <c r="L141" s="64"/>
      <c r="M141" s="64"/>
      <c r="N141" s="64"/>
      <c r="O141" s="64"/>
      <c r="P141" s="64"/>
      <c r="Q141" s="64"/>
      <c r="R141" s="64"/>
      <c r="S141" s="64"/>
      <c r="T141" s="64"/>
      <c r="U141" s="64"/>
      <c r="V141" s="64"/>
      <c r="W141" s="64"/>
      <c r="X141" s="64"/>
      <c r="Y141" s="64"/>
      <c r="Z141" s="64"/>
    </row>
    <row r="142" ht="12.75" customHeight="1">
      <c r="A142" s="108"/>
      <c r="B142" s="64"/>
      <c r="C142" s="64"/>
      <c r="D142" s="64"/>
      <c r="E142" s="64"/>
      <c r="F142" s="63"/>
      <c r="G142" s="63"/>
      <c r="H142" s="64"/>
      <c r="I142" s="64"/>
      <c r="J142" s="64"/>
      <c r="K142" s="64"/>
      <c r="L142" s="64"/>
      <c r="M142" s="64"/>
      <c r="N142" s="64"/>
      <c r="O142" s="64"/>
      <c r="P142" s="64"/>
      <c r="Q142" s="64"/>
      <c r="R142" s="64"/>
      <c r="S142" s="64"/>
      <c r="T142" s="64"/>
      <c r="U142" s="64"/>
      <c r="V142" s="64"/>
      <c r="W142" s="64"/>
      <c r="X142" s="64"/>
      <c r="Y142" s="64"/>
      <c r="Z142" s="64"/>
    </row>
    <row r="143" ht="12.75" customHeight="1">
      <c r="A143" s="108"/>
      <c r="B143" s="64"/>
      <c r="C143" s="64"/>
      <c r="D143" s="64"/>
      <c r="E143" s="64"/>
      <c r="F143" s="63"/>
      <c r="G143" s="63"/>
      <c r="H143" s="64"/>
      <c r="I143" s="64"/>
      <c r="J143" s="64"/>
      <c r="K143" s="64"/>
      <c r="L143" s="64"/>
      <c r="M143" s="64"/>
      <c r="N143" s="64"/>
      <c r="O143" s="64"/>
      <c r="P143" s="64"/>
      <c r="Q143" s="64"/>
      <c r="R143" s="64"/>
      <c r="S143" s="64"/>
      <c r="T143" s="64"/>
      <c r="U143" s="64"/>
      <c r="V143" s="64"/>
      <c r="W143" s="64"/>
      <c r="X143" s="64"/>
      <c r="Y143" s="64"/>
      <c r="Z143" s="64"/>
    </row>
    <row r="144" ht="12.75" customHeight="1">
      <c r="A144" s="108"/>
      <c r="B144" s="64"/>
      <c r="C144" s="64"/>
      <c r="D144" s="64"/>
      <c r="E144" s="64"/>
      <c r="F144" s="63"/>
      <c r="G144" s="63"/>
      <c r="H144" s="64"/>
      <c r="I144" s="64"/>
      <c r="J144" s="64"/>
      <c r="K144" s="64"/>
      <c r="L144" s="64"/>
      <c r="M144" s="64"/>
      <c r="N144" s="64"/>
      <c r="O144" s="64"/>
      <c r="P144" s="64"/>
      <c r="Q144" s="64"/>
      <c r="R144" s="64"/>
      <c r="S144" s="64"/>
      <c r="T144" s="64"/>
      <c r="U144" s="64"/>
      <c r="V144" s="64"/>
      <c r="W144" s="64"/>
      <c r="X144" s="64"/>
      <c r="Y144" s="64"/>
      <c r="Z144" s="64"/>
    </row>
    <row r="145" ht="12.75" customHeight="1">
      <c r="A145" s="108"/>
      <c r="B145" s="64"/>
      <c r="C145" s="64"/>
      <c r="D145" s="64"/>
      <c r="E145" s="64"/>
      <c r="F145" s="63"/>
      <c r="G145" s="63"/>
      <c r="H145" s="64"/>
      <c r="I145" s="64"/>
      <c r="J145" s="64"/>
      <c r="K145" s="64"/>
      <c r="L145" s="64"/>
      <c r="M145" s="64"/>
      <c r="N145" s="64"/>
      <c r="O145" s="64"/>
      <c r="P145" s="64"/>
      <c r="Q145" s="64"/>
      <c r="R145" s="64"/>
      <c r="S145" s="64"/>
      <c r="T145" s="64"/>
      <c r="U145" s="64"/>
      <c r="V145" s="64"/>
      <c r="W145" s="64"/>
      <c r="X145" s="64"/>
      <c r="Y145" s="64"/>
      <c r="Z145" s="64"/>
    </row>
    <row r="146" ht="12.75" customHeight="1">
      <c r="A146" s="108"/>
      <c r="B146" s="64"/>
      <c r="C146" s="64"/>
      <c r="D146" s="64"/>
      <c r="E146" s="64"/>
      <c r="F146" s="63"/>
      <c r="G146" s="63"/>
      <c r="H146" s="64"/>
      <c r="I146" s="64"/>
      <c r="J146" s="64"/>
      <c r="K146" s="64"/>
      <c r="L146" s="64"/>
      <c r="M146" s="64"/>
      <c r="N146" s="64"/>
      <c r="O146" s="64"/>
      <c r="P146" s="64"/>
      <c r="Q146" s="64"/>
      <c r="R146" s="64"/>
      <c r="S146" s="64"/>
      <c r="T146" s="64"/>
      <c r="U146" s="64"/>
      <c r="V146" s="64"/>
      <c r="W146" s="64"/>
      <c r="X146" s="64"/>
      <c r="Y146" s="64"/>
      <c r="Z146" s="64"/>
    </row>
    <row r="147" ht="12.75" customHeight="1">
      <c r="A147" s="108"/>
      <c r="B147" s="64"/>
      <c r="C147" s="64"/>
      <c r="D147" s="64"/>
      <c r="E147" s="64"/>
      <c r="F147" s="63"/>
      <c r="G147" s="63"/>
      <c r="H147" s="64"/>
      <c r="I147" s="64"/>
      <c r="J147" s="64"/>
      <c r="K147" s="64"/>
      <c r="L147" s="64"/>
      <c r="M147" s="64"/>
      <c r="N147" s="64"/>
      <c r="O147" s="64"/>
      <c r="P147" s="64"/>
      <c r="Q147" s="64"/>
      <c r="R147" s="64"/>
      <c r="S147" s="64"/>
      <c r="T147" s="64"/>
      <c r="U147" s="64"/>
      <c r="V147" s="64"/>
      <c r="W147" s="64"/>
      <c r="X147" s="64"/>
      <c r="Y147" s="64"/>
      <c r="Z147" s="64"/>
    </row>
    <row r="148" ht="12.75" customHeight="1">
      <c r="A148" s="108"/>
      <c r="B148" s="64"/>
      <c r="C148" s="64"/>
      <c r="D148" s="64"/>
      <c r="E148" s="64"/>
      <c r="F148" s="63"/>
      <c r="G148" s="63"/>
      <c r="H148" s="64"/>
      <c r="I148" s="64"/>
      <c r="J148" s="64"/>
      <c r="K148" s="64"/>
      <c r="L148" s="64"/>
      <c r="M148" s="64"/>
      <c r="N148" s="64"/>
      <c r="O148" s="64"/>
      <c r="P148" s="64"/>
      <c r="Q148" s="64"/>
      <c r="R148" s="64"/>
      <c r="S148" s="64"/>
      <c r="T148" s="64"/>
      <c r="U148" s="64"/>
      <c r="V148" s="64"/>
      <c r="W148" s="64"/>
      <c r="X148" s="64"/>
      <c r="Y148" s="64"/>
      <c r="Z148" s="64"/>
    </row>
    <row r="149" ht="12.75" customHeight="1">
      <c r="A149" s="108"/>
      <c r="B149" s="64"/>
      <c r="C149" s="64"/>
      <c r="D149" s="64"/>
      <c r="E149" s="64"/>
      <c r="F149" s="63"/>
      <c r="G149" s="63"/>
      <c r="H149" s="64"/>
      <c r="I149" s="64"/>
      <c r="J149" s="64"/>
      <c r="K149" s="64"/>
      <c r="L149" s="64"/>
      <c r="M149" s="64"/>
      <c r="N149" s="64"/>
      <c r="O149" s="64"/>
      <c r="P149" s="64"/>
      <c r="Q149" s="64"/>
      <c r="R149" s="64"/>
      <c r="S149" s="64"/>
      <c r="T149" s="64"/>
      <c r="U149" s="64"/>
      <c r="V149" s="64"/>
      <c r="W149" s="64"/>
      <c r="X149" s="64"/>
      <c r="Y149" s="64"/>
      <c r="Z149" s="64"/>
    </row>
    <row r="150" ht="12.75" customHeight="1">
      <c r="A150" s="108"/>
      <c r="B150" s="64"/>
      <c r="C150" s="64"/>
      <c r="D150" s="64"/>
      <c r="E150" s="64"/>
      <c r="F150" s="63"/>
      <c r="G150" s="63"/>
      <c r="H150" s="64"/>
      <c r="I150" s="64"/>
      <c r="J150" s="64"/>
      <c r="K150" s="64"/>
      <c r="L150" s="64"/>
      <c r="M150" s="64"/>
      <c r="N150" s="64"/>
      <c r="O150" s="64"/>
      <c r="P150" s="64"/>
      <c r="Q150" s="64"/>
      <c r="R150" s="64"/>
      <c r="S150" s="64"/>
      <c r="T150" s="64"/>
      <c r="U150" s="64"/>
      <c r="V150" s="64"/>
      <c r="W150" s="64"/>
      <c r="X150" s="64"/>
      <c r="Y150" s="64"/>
      <c r="Z150" s="64"/>
    </row>
    <row r="151" ht="12.75" customHeight="1">
      <c r="A151" s="108"/>
      <c r="B151" s="64"/>
      <c r="C151" s="64"/>
      <c r="D151" s="64"/>
      <c r="E151" s="64"/>
      <c r="F151" s="63"/>
      <c r="G151" s="63"/>
      <c r="H151" s="64"/>
      <c r="I151" s="64"/>
      <c r="J151" s="64"/>
      <c r="K151" s="64"/>
      <c r="L151" s="64"/>
      <c r="M151" s="64"/>
      <c r="N151" s="64"/>
      <c r="O151" s="64"/>
      <c r="P151" s="64"/>
      <c r="Q151" s="64"/>
      <c r="R151" s="64"/>
      <c r="S151" s="64"/>
      <c r="T151" s="64"/>
      <c r="U151" s="64"/>
      <c r="V151" s="64"/>
      <c r="W151" s="64"/>
      <c r="X151" s="64"/>
      <c r="Y151" s="64"/>
      <c r="Z151" s="64"/>
    </row>
    <row r="152" ht="12.75" customHeight="1">
      <c r="A152" s="108"/>
      <c r="B152" s="64"/>
      <c r="C152" s="64"/>
      <c r="D152" s="64"/>
      <c r="E152" s="64"/>
      <c r="F152" s="63"/>
      <c r="G152" s="63"/>
      <c r="H152" s="64"/>
      <c r="I152" s="64"/>
      <c r="J152" s="64"/>
      <c r="K152" s="64"/>
      <c r="L152" s="64"/>
      <c r="M152" s="64"/>
      <c r="N152" s="64"/>
      <c r="O152" s="64"/>
      <c r="P152" s="64"/>
      <c r="Q152" s="64"/>
      <c r="R152" s="64"/>
      <c r="S152" s="64"/>
      <c r="T152" s="64"/>
      <c r="U152" s="64"/>
      <c r="V152" s="64"/>
      <c r="W152" s="64"/>
      <c r="X152" s="64"/>
      <c r="Y152" s="64"/>
      <c r="Z152" s="64"/>
    </row>
    <row r="153" ht="12.75" customHeight="1">
      <c r="A153" s="108"/>
      <c r="B153" s="64"/>
      <c r="C153" s="64"/>
      <c r="D153" s="64"/>
      <c r="E153" s="64"/>
      <c r="F153" s="63"/>
      <c r="G153" s="63"/>
      <c r="H153" s="64"/>
      <c r="I153" s="64"/>
      <c r="J153" s="64"/>
      <c r="K153" s="64"/>
      <c r="L153" s="64"/>
      <c r="M153" s="64"/>
      <c r="N153" s="64"/>
      <c r="O153" s="64"/>
      <c r="P153" s="64"/>
      <c r="Q153" s="64"/>
      <c r="R153" s="64"/>
      <c r="S153" s="64"/>
      <c r="T153" s="64"/>
      <c r="U153" s="64"/>
      <c r="V153" s="64"/>
      <c r="W153" s="64"/>
      <c r="X153" s="64"/>
      <c r="Y153" s="64"/>
      <c r="Z153" s="64"/>
    </row>
    <row r="154" ht="12.75" customHeight="1">
      <c r="A154" s="108"/>
      <c r="B154" s="64"/>
      <c r="C154" s="64"/>
      <c r="D154" s="64"/>
      <c r="E154" s="64"/>
      <c r="F154" s="63"/>
      <c r="G154" s="63"/>
      <c r="H154" s="64"/>
      <c r="I154" s="64"/>
      <c r="J154" s="64"/>
      <c r="K154" s="64"/>
      <c r="L154" s="64"/>
      <c r="M154" s="64"/>
      <c r="N154" s="64"/>
      <c r="O154" s="64"/>
      <c r="P154" s="64"/>
      <c r="Q154" s="64"/>
      <c r="R154" s="64"/>
      <c r="S154" s="64"/>
      <c r="T154" s="64"/>
      <c r="U154" s="64"/>
      <c r="V154" s="64"/>
      <c r="W154" s="64"/>
      <c r="X154" s="64"/>
      <c r="Y154" s="64"/>
      <c r="Z154" s="64"/>
    </row>
    <row r="155" ht="12.75" customHeight="1">
      <c r="A155" s="108"/>
      <c r="B155" s="64"/>
      <c r="C155" s="64"/>
      <c r="D155" s="64"/>
      <c r="E155" s="64"/>
      <c r="F155" s="63"/>
      <c r="G155" s="63"/>
      <c r="H155" s="64"/>
      <c r="I155" s="64"/>
      <c r="J155" s="64"/>
      <c r="K155" s="64"/>
      <c r="L155" s="64"/>
      <c r="M155" s="64"/>
      <c r="N155" s="64"/>
      <c r="O155" s="64"/>
      <c r="P155" s="64"/>
      <c r="Q155" s="64"/>
      <c r="R155" s="64"/>
      <c r="S155" s="64"/>
      <c r="T155" s="64"/>
      <c r="U155" s="64"/>
      <c r="V155" s="64"/>
      <c r="W155" s="64"/>
      <c r="X155" s="64"/>
      <c r="Y155" s="64"/>
      <c r="Z155" s="64"/>
    </row>
    <row r="156" ht="12.75" customHeight="1">
      <c r="A156" s="108"/>
      <c r="B156" s="64"/>
      <c r="C156" s="64"/>
      <c r="D156" s="64"/>
      <c r="E156" s="64"/>
      <c r="F156" s="63"/>
      <c r="G156" s="63"/>
      <c r="H156" s="64"/>
      <c r="I156" s="64"/>
      <c r="J156" s="64"/>
      <c r="K156" s="64"/>
      <c r="L156" s="64"/>
      <c r="M156" s="64"/>
      <c r="N156" s="64"/>
      <c r="O156" s="64"/>
      <c r="P156" s="64"/>
      <c r="Q156" s="64"/>
      <c r="R156" s="64"/>
      <c r="S156" s="64"/>
      <c r="T156" s="64"/>
      <c r="U156" s="64"/>
      <c r="V156" s="64"/>
      <c r="W156" s="64"/>
      <c r="X156" s="64"/>
      <c r="Y156" s="64"/>
      <c r="Z156" s="64"/>
    </row>
    <row r="157" ht="12.75" customHeight="1">
      <c r="A157" s="108"/>
      <c r="B157" s="64"/>
      <c r="C157" s="64"/>
      <c r="D157" s="64"/>
      <c r="E157" s="64"/>
      <c r="F157" s="63"/>
      <c r="G157" s="63"/>
      <c r="H157" s="64"/>
      <c r="I157" s="64"/>
      <c r="J157" s="64"/>
      <c r="K157" s="64"/>
      <c r="L157" s="64"/>
      <c r="M157" s="64"/>
      <c r="N157" s="64"/>
      <c r="O157" s="64"/>
      <c r="P157" s="64"/>
      <c r="Q157" s="64"/>
      <c r="R157" s="64"/>
      <c r="S157" s="64"/>
      <c r="T157" s="64"/>
      <c r="U157" s="64"/>
      <c r="V157" s="64"/>
      <c r="W157" s="64"/>
      <c r="X157" s="64"/>
      <c r="Y157" s="64"/>
      <c r="Z157" s="64"/>
    </row>
    <row r="158" ht="12.75" customHeight="1">
      <c r="A158" s="108"/>
      <c r="B158" s="64"/>
      <c r="C158" s="64"/>
      <c r="D158" s="64"/>
      <c r="E158" s="64"/>
      <c r="F158" s="63"/>
      <c r="G158" s="63"/>
      <c r="H158" s="64"/>
      <c r="I158" s="64"/>
      <c r="J158" s="64"/>
      <c r="K158" s="64"/>
      <c r="L158" s="64"/>
      <c r="M158" s="64"/>
      <c r="N158" s="64"/>
      <c r="O158" s="64"/>
      <c r="P158" s="64"/>
      <c r="Q158" s="64"/>
      <c r="R158" s="64"/>
      <c r="S158" s="64"/>
      <c r="T158" s="64"/>
      <c r="U158" s="64"/>
      <c r="V158" s="64"/>
      <c r="W158" s="64"/>
      <c r="X158" s="64"/>
      <c r="Y158" s="64"/>
      <c r="Z158" s="64"/>
    </row>
    <row r="159" ht="12.75" customHeight="1">
      <c r="A159" s="108"/>
      <c r="B159" s="64"/>
      <c r="C159" s="64"/>
      <c r="D159" s="64"/>
      <c r="E159" s="64"/>
      <c r="F159" s="63"/>
      <c r="G159" s="63"/>
      <c r="H159" s="64"/>
      <c r="I159" s="64"/>
      <c r="J159" s="64"/>
      <c r="K159" s="64"/>
      <c r="L159" s="64"/>
      <c r="M159" s="64"/>
      <c r="N159" s="64"/>
      <c r="O159" s="64"/>
      <c r="P159" s="64"/>
      <c r="Q159" s="64"/>
      <c r="R159" s="64"/>
      <c r="S159" s="64"/>
      <c r="T159" s="64"/>
      <c r="U159" s="64"/>
      <c r="V159" s="64"/>
      <c r="W159" s="64"/>
      <c r="X159" s="64"/>
      <c r="Y159" s="64"/>
      <c r="Z159" s="64"/>
    </row>
    <row r="160" ht="12.75" customHeight="1">
      <c r="A160" s="108"/>
      <c r="B160" s="64"/>
      <c r="C160" s="64"/>
      <c r="D160" s="64"/>
      <c r="E160" s="64"/>
      <c r="F160" s="63"/>
      <c r="G160" s="63"/>
      <c r="H160" s="64"/>
      <c r="I160" s="64"/>
      <c r="J160" s="64"/>
      <c r="K160" s="64"/>
      <c r="L160" s="64"/>
      <c r="M160" s="64"/>
      <c r="N160" s="64"/>
      <c r="O160" s="64"/>
      <c r="P160" s="64"/>
      <c r="Q160" s="64"/>
      <c r="R160" s="64"/>
      <c r="S160" s="64"/>
      <c r="T160" s="64"/>
      <c r="U160" s="64"/>
      <c r="V160" s="64"/>
      <c r="W160" s="64"/>
      <c r="X160" s="64"/>
      <c r="Y160" s="64"/>
      <c r="Z160" s="64"/>
    </row>
    <row r="161" ht="12.75" customHeight="1">
      <c r="A161" s="108"/>
      <c r="B161" s="64"/>
      <c r="C161" s="64"/>
      <c r="D161" s="64"/>
      <c r="E161" s="64"/>
      <c r="F161" s="63"/>
      <c r="G161" s="63"/>
      <c r="H161" s="64"/>
      <c r="I161" s="64"/>
      <c r="J161" s="64"/>
      <c r="K161" s="64"/>
      <c r="L161" s="64"/>
      <c r="M161" s="64"/>
      <c r="N161" s="64"/>
      <c r="O161" s="64"/>
      <c r="P161" s="64"/>
      <c r="Q161" s="64"/>
      <c r="R161" s="64"/>
      <c r="S161" s="64"/>
      <c r="T161" s="64"/>
      <c r="U161" s="64"/>
      <c r="V161" s="64"/>
      <c r="W161" s="64"/>
      <c r="X161" s="64"/>
      <c r="Y161" s="64"/>
      <c r="Z161" s="64"/>
    </row>
    <row r="162" ht="12.75" customHeight="1">
      <c r="A162" s="108"/>
      <c r="B162" s="64"/>
      <c r="C162" s="64"/>
      <c r="D162" s="64"/>
      <c r="E162" s="64"/>
      <c r="F162" s="63"/>
      <c r="G162" s="63"/>
      <c r="H162" s="64"/>
      <c r="I162" s="64"/>
      <c r="J162" s="64"/>
      <c r="K162" s="64"/>
      <c r="L162" s="64"/>
      <c r="M162" s="64"/>
      <c r="N162" s="64"/>
      <c r="O162" s="64"/>
      <c r="P162" s="64"/>
      <c r="Q162" s="64"/>
      <c r="R162" s="64"/>
      <c r="S162" s="64"/>
      <c r="T162" s="64"/>
      <c r="U162" s="64"/>
      <c r="V162" s="64"/>
      <c r="W162" s="64"/>
      <c r="X162" s="64"/>
      <c r="Y162" s="64"/>
      <c r="Z162" s="64"/>
    </row>
    <row r="163" ht="12.75" customHeight="1">
      <c r="A163" s="108"/>
      <c r="B163" s="64"/>
      <c r="C163" s="64"/>
      <c r="D163" s="64"/>
      <c r="E163" s="64"/>
      <c r="F163" s="63"/>
      <c r="G163" s="63"/>
      <c r="H163" s="64"/>
      <c r="I163" s="64"/>
      <c r="J163" s="64"/>
      <c r="K163" s="64"/>
      <c r="L163" s="64"/>
      <c r="M163" s="64"/>
      <c r="N163" s="64"/>
      <c r="O163" s="64"/>
      <c r="P163" s="64"/>
      <c r="Q163" s="64"/>
      <c r="R163" s="64"/>
      <c r="S163" s="64"/>
      <c r="T163" s="64"/>
      <c r="U163" s="64"/>
      <c r="V163" s="64"/>
      <c r="W163" s="64"/>
      <c r="X163" s="64"/>
      <c r="Y163" s="64"/>
      <c r="Z163" s="64"/>
    </row>
    <row r="164" ht="12.75" customHeight="1">
      <c r="A164" s="108"/>
      <c r="B164" s="64"/>
      <c r="C164" s="64"/>
      <c r="D164" s="64"/>
      <c r="E164" s="64"/>
      <c r="F164" s="63"/>
      <c r="G164" s="63"/>
      <c r="H164" s="64"/>
      <c r="I164" s="64"/>
      <c r="J164" s="64"/>
      <c r="K164" s="64"/>
      <c r="L164" s="64"/>
      <c r="M164" s="64"/>
      <c r="N164" s="64"/>
      <c r="O164" s="64"/>
      <c r="P164" s="64"/>
      <c r="Q164" s="64"/>
      <c r="R164" s="64"/>
      <c r="S164" s="64"/>
      <c r="T164" s="64"/>
      <c r="U164" s="64"/>
      <c r="V164" s="64"/>
      <c r="W164" s="64"/>
      <c r="X164" s="64"/>
      <c r="Y164" s="64"/>
      <c r="Z164" s="64"/>
    </row>
    <row r="165" ht="12.75" customHeight="1">
      <c r="A165" s="108"/>
      <c r="B165" s="64"/>
      <c r="C165" s="64"/>
      <c r="D165" s="64"/>
      <c r="E165" s="64"/>
      <c r="F165" s="63"/>
      <c r="G165" s="63"/>
      <c r="H165" s="64"/>
      <c r="I165" s="64"/>
      <c r="J165" s="64"/>
      <c r="K165" s="64"/>
      <c r="L165" s="64"/>
      <c r="M165" s="64"/>
      <c r="N165" s="64"/>
      <c r="O165" s="64"/>
      <c r="P165" s="64"/>
      <c r="Q165" s="64"/>
      <c r="R165" s="64"/>
      <c r="S165" s="64"/>
      <c r="T165" s="64"/>
      <c r="U165" s="64"/>
      <c r="V165" s="64"/>
      <c r="W165" s="64"/>
      <c r="X165" s="64"/>
      <c r="Y165" s="64"/>
      <c r="Z165" s="64"/>
    </row>
    <row r="166" ht="12.75" customHeight="1">
      <c r="A166" s="108"/>
      <c r="B166" s="64"/>
      <c r="C166" s="64"/>
      <c r="D166" s="64"/>
      <c r="E166" s="64"/>
      <c r="F166" s="63"/>
      <c r="G166" s="63"/>
      <c r="H166" s="64"/>
      <c r="I166" s="64"/>
      <c r="J166" s="64"/>
      <c r="K166" s="64"/>
      <c r="L166" s="64"/>
      <c r="M166" s="64"/>
      <c r="N166" s="64"/>
      <c r="O166" s="64"/>
      <c r="P166" s="64"/>
      <c r="Q166" s="64"/>
      <c r="R166" s="64"/>
      <c r="S166" s="64"/>
      <c r="T166" s="64"/>
      <c r="U166" s="64"/>
      <c r="V166" s="64"/>
      <c r="W166" s="64"/>
      <c r="X166" s="64"/>
      <c r="Y166" s="64"/>
      <c r="Z166" s="64"/>
    </row>
    <row r="167" ht="12.75" customHeight="1">
      <c r="A167" s="108"/>
      <c r="B167" s="64"/>
      <c r="C167" s="64"/>
      <c r="D167" s="64"/>
      <c r="E167" s="64"/>
      <c r="F167" s="63"/>
      <c r="G167" s="63"/>
      <c r="H167" s="64"/>
      <c r="I167" s="64"/>
      <c r="J167" s="64"/>
      <c r="K167" s="64"/>
      <c r="L167" s="64"/>
      <c r="M167" s="64"/>
      <c r="N167" s="64"/>
      <c r="O167" s="64"/>
      <c r="P167" s="64"/>
      <c r="Q167" s="64"/>
      <c r="R167" s="64"/>
      <c r="S167" s="64"/>
      <c r="T167" s="64"/>
      <c r="U167" s="64"/>
      <c r="V167" s="64"/>
      <c r="W167" s="64"/>
      <c r="X167" s="64"/>
      <c r="Y167" s="64"/>
      <c r="Z167" s="64"/>
    </row>
    <row r="168" ht="12.75" customHeight="1">
      <c r="A168" s="108"/>
      <c r="B168" s="64"/>
      <c r="C168" s="64"/>
      <c r="D168" s="64"/>
      <c r="E168" s="64"/>
      <c r="F168" s="63"/>
      <c r="G168" s="63"/>
      <c r="H168" s="64"/>
      <c r="I168" s="64"/>
      <c r="J168" s="64"/>
      <c r="K168" s="64"/>
      <c r="L168" s="64"/>
      <c r="M168" s="64"/>
      <c r="N168" s="64"/>
      <c r="O168" s="64"/>
      <c r="P168" s="64"/>
      <c r="Q168" s="64"/>
      <c r="R168" s="64"/>
      <c r="S168" s="64"/>
      <c r="T168" s="64"/>
      <c r="U168" s="64"/>
      <c r="V168" s="64"/>
      <c r="W168" s="64"/>
      <c r="X168" s="64"/>
      <c r="Y168" s="64"/>
      <c r="Z168" s="64"/>
    </row>
    <row r="169" ht="12.75" customHeight="1">
      <c r="A169" s="108"/>
      <c r="B169" s="64"/>
      <c r="C169" s="64"/>
      <c r="D169" s="64"/>
      <c r="E169" s="64"/>
      <c r="F169" s="63"/>
      <c r="G169" s="63"/>
      <c r="H169" s="64"/>
      <c r="I169" s="64"/>
      <c r="J169" s="64"/>
      <c r="K169" s="64"/>
      <c r="L169" s="64"/>
      <c r="M169" s="64"/>
      <c r="N169" s="64"/>
      <c r="O169" s="64"/>
      <c r="P169" s="64"/>
      <c r="Q169" s="64"/>
      <c r="R169" s="64"/>
      <c r="S169" s="64"/>
      <c r="T169" s="64"/>
      <c r="U169" s="64"/>
      <c r="V169" s="64"/>
      <c r="W169" s="64"/>
      <c r="X169" s="64"/>
      <c r="Y169" s="64"/>
      <c r="Z169" s="64"/>
    </row>
    <row r="170" ht="12.75" customHeight="1">
      <c r="A170" s="108"/>
      <c r="B170" s="64"/>
      <c r="C170" s="64"/>
      <c r="D170" s="64"/>
      <c r="E170" s="64"/>
      <c r="F170" s="63"/>
      <c r="G170" s="63"/>
      <c r="H170" s="64"/>
      <c r="I170" s="64"/>
      <c r="J170" s="64"/>
      <c r="K170" s="64"/>
      <c r="L170" s="64"/>
      <c r="M170" s="64"/>
      <c r="N170" s="64"/>
      <c r="O170" s="64"/>
      <c r="P170" s="64"/>
      <c r="Q170" s="64"/>
      <c r="R170" s="64"/>
      <c r="S170" s="64"/>
      <c r="T170" s="64"/>
      <c r="U170" s="64"/>
      <c r="V170" s="64"/>
      <c r="W170" s="64"/>
      <c r="X170" s="64"/>
      <c r="Y170" s="64"/>
      <c r="Z170" s="64"/>
    </row>
    <row r="171" ht="12.75" customHeight="1">
      <c r="A171" s="108"/>
      <c r="B171" s="64"/>
      <c r="C171" s="64"/>
      <c r="D171" s="64"/>
      <c r="E171" s="64"/>
      <c r="F171" s="63"/>
      <c r="G171" s="63"/>
      <c r="H171" s="64"/>
      <c r="I171" s="64"/>
      <c r="J171" s="64"/>
      <c r="K171" s="64"/>
      <c r="L171" s="64"/>
      <c r="M171" s="64"/>
      <c r="N171" s="64"/>
      <c r="O171" s="64"/>
      <c r="P171" s="64"/>
      <c r="Q171" s="64"/>
      <c r="R171" s="64"/>
      <c r="S171" s="64"/>
      <c r="T171" s="64"/>
      <c r="U171" s="64"/>
      <c r="V171" s="64"/>
      <c r="W171" s="64"/>
      <c r="X171" s="64"/>
      <c r="Y171" s="64"/>
      <c r="Z171" s="64"/>
    </row>
    <row r="172" ht="12.75" customHeight="1">
      <c r="A172" s="108"/>
      <c r="B172" s="64"/>
      <c r="C172" s="64"/>
      <c r="D172" s="64"/>
      <c r="E172" s="64"/>
      <c r="F172" s="63"/>
      <c r="G172" s="63"/>
      <c r="H172" s="64"/>
      <c r="I172" s="64"/>
      <c r="J172" s="64"/>
      <c r="K172" s="64"/>
      <c r="L172" s="64"/>
      <c r="M172" s="64"/>
      <c r="N172" s="64"/>
      <c r="O172" s="64"/>
      <c r="P172" s="64"/>
      <c r="Q172" s="64"/>
      <c r="R172" s="64"/>
      <c r="S172" s="64"/>
      <c r="T172" s="64"/>
      <c r="U172" s="64"/>
      <c r="V172" s="64"/>
      <c r="W172" s="64"/>
      <c r="X172" s="64"/>
      <c r="Y172" s="64"/>
      <c r="Z172" s="64"/>
    </row>
    <row r="173" ht="12.75" customHeight="1">
      <c r="A173" s="108"/>
      <c r="B173" s="64"/>
      <c r="C173" s="64"/>
      <c r="D173" s="64"/>
      <c r="E173" s="64"/>
      <c r="F173" s="63"/>
      <c r="G173" s="63"/>
      <c r="H173" s="64"/>
      <c r="I173" s="64"/>
      <c r="J173" s="64"/>
      <c r="K173" s="64"/>
      <c r="L173" s="64"/>
      <c r="M173" s="64"/>
      <c r="N173" s="64"/>
      <c r="O173" s="64"/>
      <c r="P173" s="64"/>
      <c r="Q173" s="64"/>
      <c r="R173" s="64"/>
      <c r="S173" s="64"/>
      <c r="T173" s="64"/>
      <c r="U173" s="64"/>
      <c r="V173" s="64"/>
      <c r="W173" s="64"/>
      <c r="X173" s="64"/>
      <c r="Y173" s="64"/>
      <c r="Z173" s="64"/>
    </row>
    <row r="174" ht="12.75" customHeight="1">
      <c r="A174" s="108"/>
      <c r="B174" s="64"/>
      <c r="C174" s="64"/>
      <c r="D174" s="64"/>
      <c r="E174" s="64"/>
      <c r="F174" s="63"/>
      <c r="G174" s="63"/>
      <c r="H174" s="64"/>
      <c r="I174" s="64"/>
      <c r="J174" s="64"/>
      <c r="K174" s="64"/>
      <c r="L174" s="64"/>
      <c r="M174" s="64"/>
      <c r="N174" s="64"/>
      <c r="O174" s="64"/>
      <c r="P174" s="64"/>
      <c r="Q174" s="64"/>
      <c r="R174" s="64"/>
      <c r="S174" s="64"/>
      <c r="T174" s="64"/>
      <c r="U174" s="64"/>
      <c r="V174" s="64"/>
      <c r="W174" s="64"/>
      <c r="X174" s="64"/>
      <c r="Y174" s="64"/>
      <c r="Z174" s="64"/>
    </row>
    <row r="175" ht="12.75" customHeight="1">
      <c r="A175" s="108"/>
      <c r="B175" s="64"/>
      <c r="C175" s="64"/>
      <c r="D175" s="64"/>
      <c r="E175" s="64"/>
      <c r="F175" s="63"/>
      <c r="G175" s="63"/>
      <c r="H175" s="64"/>
      <c r="I175" s="64"/>
      <c r="J175" s="64"/>
      <c r="K175" s="64"/>
      <c r="L175" s="64"/>
      <c r="M175" s="64"/>
      <c r="N175" s="64"/>
      <c r="O175" s="64"/>
      <c r="P175" s="64"/>
      <c r="Q175" s="64"/>
      <c r="R175" s="64"/>
      <c r="S175" s="64"/>
      <c r="T175" s="64"/>
      <c r="U175" s="64"/>
      <c r="V175" s="64"/>
      <c r="W175" s="64"/>
      <c r="X175" s="64"/>
      <c r="Y175" s="64"/>
      <c r="Z175" s="64"/>
    </row>
    <row r="176" ht="12.75" customHeight="1">
      <c r="A176" s="108"/>
      <c r="B176" s="64"/>
      <c r="C176" s="64"/>
      <c r="D176" s="64"/>
      <c r="E176" s="64"/>
      <c r="F176" s="63"/>
      <c r="G176" s="63"/>
      <c r="H176" s="64"/>
      <c r="I176" s="64"/>
      <c r="J176" s="64"/>
      <c r="K176" s="64"/>
      <c r="L176" s="64"/>
      <c r="M176" s="64"/>
      <c r="N176" s="64"/>
      <c r="O176" s="64"/>
      <c r="P176" s="64"/>
      <c r="Q176" s="64"/>
      <c r="R176" s="64"/>
      <c r="S176" s="64"/>
      <c r="T176" s="64"/>
      <c r="U176" s="64"/>
      <c r="V176" s="64"/>
      <c r="W176" s="64"/>
      <c r="X176" s="64"/>
      <c r="Y176" s="64"/>
      <c r="Z176" s="64"/>
    </row>
    <row r="177" ht="12.75" customHeight="1">
      <c r="A177" s="108"/>
      <c r="B177" s="64"/>
      <c r="C177" s="64"/>
      <c r="D177" s="64"/>
      <c r="E177" s="64"/>
      <c r="F177" s="63"/>
      <c r="G177" s="63"/>
      <c r="H177" s="64"/>
      <c r="I177" s="64"/>
      <c r="J177" s="64"/>
      <c r="K177" s="64"/>
      <c r="L177" s="64"/>
      <c r="M177" s="64"/>
      <c r="N177" s="64"/>
      <c r="O177" s="64"/>
      <c r="P177" s="64"/>
      <c r="Q177" s="64"/>
      <c r="R177" s="64"/>
      <c r="S177" s="64"/>
      <c r="T177" s="64"/>
      <c r="U177" s="64"/>
      <c r="V177" s="64"/>
      <c r="W177" s="64"/>
      <c r="X177" s="64"/>
      <c r="Y177" s="64"/>
      <c r="Z177" s="64"/>
    </row>
    <row r="178" ht="12.75" customHeight="1">
      <c r="A178" s="108"/>
      <c r="B178" s="64"/>
      <c r="C178" s="64"/>
      <c r="D178" s="64"/>
      <c r="E178" s="64"/>
      <c r="F178" s="63"/>
      <c r="G178" s="63"/>
      <c r="H178" s="64"/>
      <c r="I178" s="64"/>
      <c r="J178" s="64"/>
      <c r="K178" s="64"/>
      <c r="L178" s="64"/>
      <c r="M178" s="64"/>
      <c r="N178" s="64"/>
      <c r="O178" s="64"/>
      <c r="P178" s="64"/>
      <c r="Q178" s="64"/>
      <c r="R178" s="64"/>
      <c r="S178" s="64"/>
      <c r="T178" s="64"/>
      <c r="U178" s="64"/>
      <c r="V178" s="64"/>
      <c r="W178" s="64"/>
      <c r="X178" s="64"/>
      <c r="Y178" s="64"/>
      <c r="Z178" s="64"/>
    </row>
    <row r="179" ht="12.75" customHeight="1">
      <c r="A179" s="108"/>
      <c r="B179" s="64"/>
      <c r="C179" s="64"/>
      <c r="D179" s="64"/>
      <c r="E179" s="64"/>
      <c r="F179" s="63"/>
      <c r="G179" s="63"/>
      <c r="H179" s="64"/>
      <c r="I179" s="64"/>
      <c r="J179" s="64"/>
      <c r="K179" s="64"/>
      <c r="L179" s="64"/>
      <c r="M179" s="64"/>
      <c r="N179" s="64"/>
      <c r="O179" s="64"/>
      <c r="P179" s="64"/>
      <c r="Q179" s="64"/>
      <c r="R179" s="64"/>
      <c r="S179" s="64"/>
      <c r="T179" s="64"/>
      <c r="U179" s="64"/>
      <c r="V179" s="64"/>
      <c r="W179" s="64"/>
      <c r="X179" s="64"/>
      <c r="Y179" s="64"/>
      <c r="Z179" s="64"/>
    </row>
    <row r="180" ht="12.75" customHeight="1">
      <c r="A180" s="108"/>
      <c r="B180" s="64"/>
      <c r="C180" s="64"/>
      <c r="D180" s="64"/>
      <c r="E180" s="64"/>
      <c r="F180" s="63"/>
      <c r="G180" s="63"/>
      <c r="H180" s="64"/>
      <c r="I180" s="64"/>
      <c r="J180" s="64"/>
      <c r="K180" s="64"/>
      <c r="L180" s="64"/>
      <c r="M180" s="64"/>
      <c r="N180" s="64"/>
      <c r="O180" s="64"/>
      <c r="P180" s="64"/>
      <c r="Q180" s="64"/>
      <c r="R180" s="64"/>
      <c r="S180" s="64"/>
      <c r="T180" s="64"/>
      <c r="U180" s="64"/>
      <c r="V180" s="64"/>
      <c r="W180" s="64"/>
      <c r="X180" s="64"/>
      <c r="Y180" s="64"/>
      <c r="Z180" s="64"/>
    </row>
    <row r="181" ht="12.75" customHeight="1">
      <c r="A181" s="108"/>
      <c r="B181" s="64"/>
      <c r="C181" s="64"/>
      <c r="D181" s="64"/>
      <c r="E181" s="64"/>
      <c r="F181" s="63"/>
      <c r="G181" s="63"/>
      <c r="H181" s="64"/>
      <c r="I181" s="64"/>
      <c r="J181" s="64"/>
      <c r="K181" s="64"/>
      <c r="L181" s="64"/>
      <c r="M181" s="64"/>
      <c r="N181" s="64"/>
      <c r="O181" s="64"/>
      <c r="P181" s="64"/>
      <c r="Q181" s="64"/>
      <c r="R181" s="64"/>
      <c r="S181" s="64"/>
      <c r="T181" s="64"/>
      <c r="U181" s="64"/>
      <c r="V181" s="64"/>
      <c r="W181" s="64"/>
      <c r="X181" s="64"/>
      <c r="Y181" s="64"/>
      <c r="Z181" s="64"/>
    </row>
    <row r="182" ht="12.75" customHeight="1">
      <c r="A182" s="108"/>
      <c r="B182" s="64"/>
      <c r="C182" s="64"/>
      <c r="D182" s="64"/>
      <c r="E182" s="64"/>
      <c r="F182" s="63"/>
      <c r="G182" s="63"/>
      <c r="H182" s="64"/>
      <c r="I182" s="64"/>
      <c r="J182" s="64"/>
      <c r="K182" s="64"/>
      <c r="L182" s="64"/>
      <c r="M182" s="64"/>
      <c r="N182" s="64"/>
      <c r="O182" s="64"/>
      <c r="P182" s="64"/>
      <c r="Q182" s="64"/>
      <c r="R182" s="64"/>
      <c r="S182" s="64"/>
      <c r="T182" s="64"/>
      <c r="U182" s="64"/>
      <c r="V182" s="64"/>
      <c r="W182" s="64"/>
      <c r="X182" s="64"/>
      <c r="Y182" s="64"/>
      <c r="Z182" s="64"/>
    </row>
    <row r="183" ht="12.75" customHeight="1">
      <c r="A183" s="108"/>
      <c r="B183" s="64"/>
      <c r="C183" s="64"/>
      <c r="D183" s="64"/>
      <c r="E183" s="64"/>
      <c r="F183" s="63"/>
      <c r="G183" s="63"/>
      <c r="H183" s="64"/>
      <c r="I183" s="64"/>
      <c r="J183" s="64"/>
      <c r="K183" s="64"/>
      <c r="L183" s="64"/>
      <c r="M183" s="64"/>
      <c r="N183" s="64"/>
      <c r="O183" s="64"/>
      <c r="P183" s="64"/>
      <c r="Q183" s="64"/>
      <c r="R183" s="64"/>
      <c r="S183" s="64"/>
      <c r="T183" s="64"/>
      <c r="U183" s="64"/>
      <c r="V183" s="64"/>
      <c r="W183" s="64"/>
      <c r="X183" s="64"/>
      <c r="Y183" s="64"/>
      <c r="Z183" s="64"/>
    </row>
    <row r="184" ht="12.75" customHeight="1">
      <c r="A184" s="108"/>
      <c r="B184" s="64"/>
      <c r="C184" s="64"/>
      <c r="D184" s="64"/>
      <c r="E184" s="64"/>
      <c r="F184" s="63"/>
      <c r="G184" s="63"/>
      <c r="H184" s="64"/>
      <c r="I184" s="64"/>
      <c r="J184" s="64"/>
      <c r="K184" s="64"/>
      <c r="L184" s="64"/>
      <c r="M184" s="64"/>
      <c r="N184" s="64"/>
      <c r="O184" s="64"/>
      <c r="P184" s="64"/>
      <c r="Q184" s="64"/>
      <c r="R184" s="64"/>
      <c r="S184" s="64"/>
      <c r="T184" s="64"/>
      <c r="U184" s="64"/>
      <c r="V184" s="64"/>
      <c r="W184" s="64"/>
      <c r="X184" s="64"/>
      <c r="Y184" s="64"/>
      <c r="Z184" s="64"/>
    </row>
    <row r="185" ht="12.75" customHeight="1">
      <c r="A185" s="108"/>
      <c r="B185" s="64"/>
      <c r="C185" s="64"/>
      <c r="D185" s="64"/>
      <c r="E185" s="64"/>
      <c r="F185" s="63"/>
      <c r="G185" s="63"/>
      <c r="H185" s="64"/>
      <c r="I185" s="64"/>
      <c r="J185" s="64"/>
      <c r="K185" s="64"/>
      <c r="L185" s="64"/>
      <c r="M185" s="64"/>
      <c r="N185" s="64"/>
      <c r="O185" s="64"/>
      <c r="P185" s="64"/>
      <c r="Q185" s="64"/>
      <c r="R185" s="64"/>
      <c r="S185" s="64"/>
      <c r="T185" s="64"/>
      <c r="U185" s="64"/>
      <c r="V185" s="64"/>
      <c r="W185" s="64"/>
      <c r="X185" s="64"/>
      <c r="Y185" s="64"/>
      <c r="Z185" s="64"/>
    </row>
    <row r="186" ht="12.75" customHeight="1">
      <c r="A186" s="108"/>
      <c r="B186" s="64"/>
      <c r="C186" s="64"/>
      <c r="D186" s="64"/>
      <c r="E186" s="64"/>
      <c r="F186" s="63"/>
      <c r="G186" s="63"/>
      <c r="H186" s="64"/>
      <c r="I186" s="64"/>
      <c r="J186" s="64"/>
      <c r="K186" s="64"/>
      <c r="L186" s="64"/>
      <c r="M186" s="64"/>
      <c r="N186" s="64"/>
      <c r="O186" s="64"/>
      <c r="P186" s="64"/>
      <c r="Q186" s="64"/>
      <c r="R186" s="64"/>
      <c r="S186" s="64"/>
      <c r="T186" s="64"/>
      <c r="U186" s="64"/>
      <c r="V186" s="64"/>
      <c r="W186" s="64"/>
      <c r="X186" s="64"/>
      <c r="Y186" s="64"/>
      <c r="Z186" s="64"/>
    </row>
    <row r="187" ht="12.75" customHeight="1">
      <c r="A187" s="108"/>
      <c r="B187" s="64"/>
      <c r="C187" s="64"/>
      <c r="D187" s="64"/>
      <c r="E187" s="64"/>
      <c r="F187" s="63"/>
      <c r="G187" s="63"/>
      <c r="H187" s="64"/>
      <c r="I187" s="64"/>
      <c r="J187" s="64"/>
      <c r="K187" s="64"/>
      <c r="L187" s="64"/>
      <c r="M187" s="64"/>
      <c r="N187" s="64"/>
      <c r="O187" s="64"/>
      <c r="P187" s="64"/>
      <c r="Q187" s="64"/>
      <c r="R187" s="64"/>
      <c r="S187" s="64"/>
      <c r="T187" s="64"/>
      <c r="U187" s="64"/>
      <c r="V187" s="64"/>
      <c r="W187" s="64"/>
      <c r="X187" s="64"/>
      <c r="Y187" s="64"/>
      <c r="Z187" s="64"/>
    </row>
    <row r="188" ht="12.75" customHeight="1">
      <c r="A188" s="108"/>
      <c r="B188" s="64"/>
      <c r="C188" s="64"/>
      <c r="D188" s="64"/>
      <c r="E188" s="64"/>
      <c r="F188" s="63"/>
      <c r="G188" s="63"/>
      <c r="H188" s="64"/>
      <c r="I188" s="64"/>
      <c r="J188" s="64"/>
      <c r="K188" s="64"/>
      <c r="L188" s="64"/>
      <c r="M188" s="64"/>
      <c r="N188" s="64"/>
      <c r="O188" s="64"/>
      <c r="P188" s="64"/>
      <c r="Q188" s="64"/>
      <c r="R188" s="64"/>
      <c r="S188" s="64"/>
      <c r="T188" s="64"/>
      <c r="U188" s="64"/>
      <c r="V188" s="64"/>
      <c r="W188" s="64"/>
      <c r="X188" s="64"/>
      <c r="Y188" s="64"/>
      <c r="Z188" s="64"/>
    </row>
    <row r="189" ht="12.75" customHeight="1">
      <c r="A189" s="108"/>
      <c r="B189" s="64"/>
      <c r="C189" s="64"/>
      <c r="D189" s="64"/>
      <c r="E189" s="64"/>
      <c r="F189" s="63"/>
      <c r="G189" s="63"/>
      <c r="H189" s="64"/>
      <c r="I189" s="64"/>
      <c r="J189" s="64"/>
      <c r="K189" s="64"/>
      <c r="L189" s="64"/>
      <c r="M189" s="64"/>
      <c r="N189" s="64"/>
      <c r="O189" s="64"/>
      <c r="P189" s="64"/>
      <c r="Q189" s="64"/>
      <c r="R189" s="64"/>
      <c r="S189" s="64"/>
      <c r="T189" s="64"/>
      <c r="U189" s="64"/>
      <c r="V189" s="64"/>
      <c r="W189" s="64"/>
      <c r="X189" s="64"/>
      <c r="Y189" s="64"/>
      <c r="Z189" s="64"/>
    </row>
    <row r="190" ht="12.75" customHeight="1">
      <c r="A190" s="108"/>
      <c r="B190" s="64"/>
      <c r="C190" s="64"/>
      <c r="D190" s="64"/>
      <c r="E190" s="64"/>
      <c r="F190" s="63"/>
      <c r="G190" s="63"/>
      <c r="H190" s="64"/>
      <c r="I190" s="64"/>
      <c r="J190" s="64"/>
      <c r="K190" s="64"/>
      <c r="L190" s="64"/>
      <c r="M190" s="64"/>
      <c r="N190" s="64"/>
      <c r="O190" s="64"/>
      <c r="P190" s="64"/>
      <c r="Q190" s="64"/>
      <c r="R190" s="64"/>
      <c r="S190" s="64"/>
      <c r="T190" s="64"/>
      <c r="U190" s="64"/>
      <c r="V190" s="64"/>
      <c r="W190" s="64"/>
      <c r="X190" s="64"/>
      <c r="Y190" s="64"/>
      <c r="Z190" s="64"/>
    </row>
    <row r="191" ht="12.75" customHeight="1">
      <c r="A191" s="108"/>
      <c r="B191" s="64"/>
      <c r="C191" s="64"/>
      <c r="D191" s="64"/>
      <c r="E191" s="64"/>
      <c r="F191" s="63"/>
      <c r="G191" s="63"/>
      <c r="H191" s="64"/>
      <c r="I191" s="64"/>
      <c r="J191" s="64"/>
      <c r="K191" s="64"/>
      <c r="L191" s="64"/>
      <c r="M191" s="64"/>
      <c r="N191" s="64"/>
      <c r="O191" s="64"/>
      <c r="P191" s="64"/>
      <c r="Q191" s="64"/>
      <c r="R191" s="64"/>
      <c r="S191" s="64"/>
      <c r="T191" s="64"/>
      <c r="U191" s="64"/>
      <c r="V191" s="64"/>
      <c r="W191" s="64"/>
      <c r="X191" s="64"/>
      <c r="Y191" s="64"/>
      <c r="Z191" s="64"/>
    </row>
    <row r="192" ht="12.75" customHeight="1">
      <c r="A192" s="108"/>
      <c r="B192" s="64"/>
      <c r="C192" s="64"/>
      <c r="D192" s="64"/>
      <c r="E192" s="64"/>
      <c r="F192" s="63"/>
      <c r="G192" s="63"/>
      <c r="H192" s="64"/>
      <c r="I192" s="64"/>
      <c r="J192" s="64"/>
      <c r="K192" s="64"/>
      <c r="L192" s="64"/>
      <c r="M192" s="64"/>
      <c r="N192" s="64"/>
      <c r="O192" s="64"/>
      <c r="P192" s="64"/>
      <c r="Q192" s="64"/>
      <c r="R192" s="64"/>
      <c r="S192" s="64"/>
      <c r="T192" s="64"/>
      <c r="U192" s="64"/>
      <c r="V192" s="64"/>
      <c r="W192" s="64"/>
      <c r="X192" s="64"/>
      <c r="Y192" s="64"/>
      <c r="Z192" s="64"/>
    </row>
    <row r="193" ht="12.75" customHeight="1">
      <c r="A193" s="108"/>
      <c r="B193" s="64"/>
      <c r="C193" s="64"/>
      <c r="D193" s="64"/>
      <c r="E193" s="64"/>
      <c r="F193" s="63"/>
      <c r="G193" s="63"/>
      <c r="H193" s="64"/>
      <c r="I193" s="64"/>
      <c r="J193" s="64"/>
      <c r="K193" s="64"/>
      <c r="L193" s="64"/>
      <c r="M193" s="64"/>
      <c r="N193" s="64"/>
      <c r="O193" s="64"/>
      <c r="P193" s="64"/>
      <c r="Q193" s="64"/>
      <c r="R193" s="64"/>
      <c r="S193" s="64"/>
      <c r="T193" s="64"/>
      <c r="U193" s="64"/>
      <c r="V193" s="64"/>
      <c r="W193" s="64"/>
      <c r="X193" s="64"/>
      <c r="Y193" s="64"/>
      <c r="Z193" s="64"/>
    </row>
    <row r="194" ht="12.75" customHeight="1">
      <c r="A194" s="108"/>
      <c r="B194" s="64"/>
      <c r="C194" s="64"/>
      <c r="D194" s="64"/>
      <c r="E194" s="64"/>
      <c r="F194" s="63"/>
      <c r="G194" s="63"/>
      <c r="H194" s="64"/>
      <c r="I194" s="64"/>
      <c r="J194" s="64"/>
      <c r="K194" s="64"/>
      <c r="L194" s="64"/>
      <c r="M194" s="64"/>
      <c r="N194" s="64"/>
      <c r="O194" s="64"/>
      <c r="P194" s="64"/>
      <c r="Q194" s="64"/>
      <c r="R194" s="64"/>
      <c r="S194" s="64"/>
      <c r="T194" s="64"/>
      <c r="U194" s="64"/>
      <c r="V194" s="64"/>
      <c r="W194" s="64"/>
      <c r="X194" s="64"/>
      <c r="Y194" s="64"/>
      <c r="Z194" s="64"/>
    </row>
    <row r="195" ht="12.75" customHeight="1">
      <c r="A195" s="108"/>
      <c r="B195" s="64"/>
      <c r="C195" s="64"/>
      <c r="D195" s="64"/>
      <c r="E195" s="64"/>
      <c r="F195" s="63"/>
      <c r="G195" s="63"/>
      <c r="H195" s="64"/>
      <c r="I195" s="64"/>
      <c r="J195" s="64"/>
      <c r="K195" s="64"/>
      <c r="L195" s="64"/>
      <c r="M195" s="64"/>
      <c r="N195" s="64"/>
      <c r="O195" s="64"/>
      <c r="P195" s="64"/>
      <c r="Q195" s="64"/>
      <c r="R195" s="64"/>
      <c r="S195" s="64"/>
      <c r="T195" s="64"/>
      <c r="U195" s="64"/>
      <c r="V195" s="64"/>
      <c r="W195" s="64"/>
      <c r="X195" s="64"/>
      <c r="Y195" s="64"/>
      <c r="Z195" s="64"/>
    </row>
    <row r="196" ht="12.75" customHeight="1">
      <c r="A196" s="108"/>
      <c r="B196" s="64"/>
      <c r="C196" s="64"/>
      <c r="D196" s="64"/>
      <c r="E196" s="64"/>
      <c r="F196" s="63"/>
      <c r="G196" s="63"/>
      <c r="H196" s="64"/>
      <c r="I196" s="64"/>
      <c r="J196" s="64"/>
      <c r="K196" s="64"/>
      <c r="L196" s="64"/>
      <c r="M196" s="64"/>
      <c r="N196" s="64"/>
      <c r="O196" s="64"/>
      <c r="P196" s="64"/>
      <c r="Q196" s="64"/>
      <c r="R196" s="64"/>
      <c r="S196" s="64"/>
      <c r="T196" s="64"/>
      <c r="U196" s="64"/>
      <c r="V196" s="64"/>
      <c r="W196" s="64"/>
      <c r="X196" s="64"/>
      <c r="Y196" s="64"/>
      <c r="Z196" s="64"/>
    </row>
    <row r="197" ht="12.75" customHeight="1">
      <c r="A197" s="108"/>
      <c r="B197" s="64"/>
      <c r="C197" s="64"/>
      <c r="D197" s="64"/>
      <c r="E197" s="64"/>
      <c r="F197" s="63"/>
      <c r="G197" s="63"/>
      <c r="H197" s="64"/>
      <c r="I197" s="64"/>
      <c r="J197" s="64"/>
      <c r="K197" s="64"/>
      <c r="L197" s="64"/>
      <c r="M197" s="64"/>
      <c r="N197" s="64"/>
      <c r="O197" s="64"/>
      <c r="P197" s="64"/>
      <c r="Q197" s="64"/>
      <c r="R197" s="64"/>
      <c r="S197" s="64"/>
      <c r="T197" s="64"/>
      <c r="U197" s="64"/>
      <c r="V197" s="64"/>
      <c r="W197" s="64"/>
      <c r="X197" s="64"/>
      <c r="Y197" s="64"/>
      <c r="Z197" s="64"/>
    </row>
    <row r="198" ht="12.75" customHeight="1">
      <c r="A198" s="108"/>
      <c r="B198" s="64"/>
      <c r="C198" s="64"/>
      <c r="D198" s="64"/>
      <c r="E198" s="64"/>
      <c r="F198" s="63"/>
      <c r="G198" s="63"/>
      <c r="H198" s="64"/>
      <c r="I198" s="64"/>
      <c r="J198" s="64"/>
      <c r="K198" s="64"/>
      <c r="L198" s="64"/>
      <c r="M198" s="64"/>
      <c r="N198" s="64"/>
      <c r="O198" s="64"/>
      <c r="P198" s="64"/>
      <c r="Q198" s="64"/>
      <c r="R198" s="64"/>
      <c r="S198" s="64"/>
      <c r="T198" s="64"/>
      <c r="U198" s="64"/>
      <c r="V198" s="64"/>
      <c r="W198" s="64"/>
      <c r="X198" s="64"/>
      <c r="Y198" s="64"/>
      <c r="Z198" s="64"/>
    </row>
    <row r="199" ht="12.75" customHeight="1">
      <c r="A199" s="108"/>
      <c r="B199" s="64"/>
      <c r="C199" s="64"/>
      <c r="D199" s="64"/>
      <c r="E199" s="64"/>
      <c r="F199" s="63"/>
      <c r="G199" s="63"/>
      <c r="H199" s="64"/>
      <c r="I199" s="64"/>
      <c r="J199" s="64"/>
      <c r="K199" s="64"/>
      <c r="L199" s="64"/>
      <c r="M199" s="64"/>
      <c r="N199" s="64"/>
      <c r="O199" s="64"/>
      <c r="P199" s="64"/>
      <c r="Q199" s="64"/>
      <c r="R199" s="64"/>
      <c r="S199" s="64"/>
      <c r="T199" s="64"/>
      <c r="U199" s="64"/>
      <c r="V199" s="64"/>
      <c r="W199" s="64"/>
      <c r="X199" s="64"/>
      <c r="Y199" s="64"/>
      <c r="Z199" s="64"/>
    </row>
    <row r="200" ht="12.75" customHeight="1">
      <c r="A200" s="108"/>
      <c r="B200" s="64"/>
      <c r="C200" s="64"/>
      <c r="D200" s="64"/>
      <c r="E200" s="64"/>
      <c r="F200" s="63"/>
      <c r="G200" s="63"/>
      <c r="H200" s="64"/>
      <c r="I200" s="64"/>
      <c r="J200" s="64"/>
      <c r="K200" s="64"/>
      <c r="L200" s="64"/>
      <c r="M200" s="64"/>
      <c r="N200" s="64"/>
      <c r="O200" s="64"/>
      <c r="P200" s="64"/>
      <c r="Q200" s="64"/>
      <c r="R200" s="64"/>
      <c r="S200" s="64"/>
      <c r="T200" s="64"/>
      <c r="U200" s="64"/>
      <c r="V200" s="64"/>
      <c r="W200" s="64"/>
      <c r="X200" s="64"/>
      <c r="Y200" s="64"/>
      <c r="Z200" s="64"/>
    </row>
    <row r="201" ht="12.75" customHeight="1">
      <c r="A201" s="108"/>
      <c r="B201" s="64"/>
      <c r="C201" s="64"/>
      <c r="D201" s="64"/>
      <c r="E201" s="64"/>
      <c r="F201" s="63"/>
      <c r="G201" s="63"/>
      <c r="H201" s="64"/>
      <c r="I201" s="64"/>
      <c r="J201" s="64"/>
      <c r="K201" s="64"/>
      <c r="L201" s="64"/>
      <c r="M201" s="64"/>
      <c r="N201" s="64"/>
      <c r="O201" s="64"/>
      <c r="P201" s="64"/>
      <c r="Q201" s="64"/>
      <c r="R201" s="64"/>
      <c r="S201" s="64"/>
      <c r="T201" s="64"/>
      <c r="U201" s="64"/>
      <c r="V201" s="64"/>
      <c r="W201" s="64"/>
      <c r="X201" s="64"/>
      <c r="Y201" s="64"/>
      <c r="Z201" s="64"/>
    </row>
    <row r="202" ht="12.75" customHeight="1">
      <c r="A202" s="108"/>
      <c r="B202" s="64"/>
      <c r="C202" s="64"/>
      <c r="D202" s="64"/>
      <c r="E202" s="64"/>
      <c r="F202" s="63"/>
      <c r="G202" s="63"/>
      <c r="H202" s="64"/>
      <c r="I202" s="64"/>
      <c r="J202" s="64"/>
      <c r="K202" s="64"/>
      <c r="L202" s="64"/>
      <c r="M202" s="64"/>
      <c r="N202" s="64"/>
      <c r="O202" s="64"/>
      <c r="P202" s="64"/>
      <c r="Q202" s="64"/>
      <c r="R202" s="64"/>
      <c r="S202" s="64"/>
      <c r="T202" s="64"/>
      <c r="U202" s="64"/>
      <c r="V202" s="64"/>
      <c r="W202" s="64"/>
      <c r="X202" s="64"/>
      <c r="Y202" s="64"/>
      <c r="Z202" s="64"/>
    </row>
    <row r="203" ht="12.75" customHeight="1">
      <c r="A203" s="108"/>
      <c r="B203" s="64"/>
      <c r="C203" s="64"/>
      <c r="D203" s="64"/>
      <c r="E203" s="64"/>
      <c r="F203" s="63"/>
      <c r="G203" s="63"/>
      <c r="H203" s="64"/>
      <c r="I203" s="64"/>
      <c r="J203" s="64"/>
      <c r="K203" s="64"/>
      <c r="L203" s="64"/>
      <c r="M203" s="64"/>
      <c r="N203" s="64"/>
      <c r="O203" s="64"/>
      <c r="P203" s="64"/>
      <c r="Q203" s="64"/>
      <c r="R203" s="64"/>
      <c r="S203" s="64"/>
      <c r="T203" s="64"/>
      <c r="U203" s="64"/>
      <c r="V203" s="64"/>
      <c r="W203" s="64"/>
      <c r="X203" s="64"/>
      <c r="Y203" s="64"/>
      <c r="Z203" s="64"/>
    </row>
    <row r="204" ht="12.75" customHeight="1">
      <c r="A204" s="108"/>
      <c r="B204" s="64"/>
      <c r="C204" s="64"/>
      <c r="D204" s="64"/>
      <c r="E204" s="64"/>
      <c r="F204" s="63"/>
      <c r="G204" s="63"/>
      <c r="H204" s="64"/>
      <c r="I204" s="64"/>
      <c r="J204" s="64"/>
      <c r="K204" s="64"/>
      <c r="L204" s="64"/>
      <c r="M204" s="64"/>
      <c r="N204" s="64"/>
      <c r="O204" s="64"/>
      <c r="P204" s="64"/>
      <c r="Q204" s="64"/>
      <c r="R204" s="64"/>
      <c r="S204" s="64"/>
      <c r="T204" s="64"/>
      <c r="U204" s="64"/>
      <c r="V204" s="64"/>
      <c r="W204" s="64"/>
      <c r="X204" s="64"/>
      <c r="Y204" s="64"/>
      <c r="Z204" s="64"/>
    </row>
    <row r="205" ht="12.75" customHeight="1">
      <c r="A205" s="108"/>
      <c r="B205" s="64"/>
      <c r="C205" s="64"/>
      <c r="D205" s="64"/>
      <c r="E205" s="64"/>
      <c r="F205" s="63"/>
      <c r="G205" s="63"/>
      <c r="H205" s="64"/>
      <c r="I205" s="64"/>
      <c r="J205" s="64"/>
      <c r="K205" s="64"/>
      <c r="L205" s="64"/>
      <c r="M205" s="64"/>
      <c r="N205" s="64"/>
      <c r="O205" s="64"/>
      <c r="P205" s="64"/>
      <c r="Q205" s="64"/>
      <c r="R205" s="64"/>
      <c r="S205" s="64"/>
      <c r="T205" s="64"/>
      <c r="U205" s="64"/>
      <c r="V205" s="64"/>
      <c r="W205" s="64"/>
      <c r="X205" s="64"/>
      <c r="Y205" s="64"/>
      <c r="Z205" s="64"/>
    </row>
    <row r="206" ht="12.75" customHeight="1">
      <c r="A206" s="108"/>
      <c r="B206" s="64"/>
      <c r="C206" s="64"/>
      <c r="D206" s="64"/>
      <c r="E206" s="64"/>
      <c r="F206" s="63"/>
      <c r="G206" s="63"/>
      <c r="H206" s="64"/>
      <c r="I206" s="64"/>
      <c r="J206" s="64"/>
      <c r="K206" s="64"/>
      <c r="L206" s="64"/>
      <c r="M206" s="64"/>
      <c r="N206" s="64"/>
      <c r="O206" s="64"/>
      <c r="P206" s="64"/>
      <c r="Q206" s="64"/>
      <c r="R206" s="64"/>
      <c r="S206" s="64"/>
      <c r="T206" s="64"/>
      <c r="U206" s="64"/>
      <c r="V206" s="64"/>
      <c r="W206" s="64"/>
      <c r="X206" s="64"/>
      <c r="Y206" s="64"/>
      <c r="Z206" s="64"/>
    </row>
    <row r="207" ht="12.75" customHeight="1">
      <c r="A207" s="108"/>
      <c r="B207" s="64"/>
      <c r="C207" s="64"/>
      <c r="D207" s="64"/>
      <c r="E207" s="64"/>
      <c r="F207" s="63"/>
      <c r="G207" s="63"/>
      <c r="H207" s="64"/>
      <c r="I207" s="64"/>
      <c r="J207" s="64"/>
      <c r="K207" s="64"/>
      <c r="L207" s="64"/>
      <c r="M207" s="64"/>
      <c r="N207" s="64"/>
      <c r="O207" s="64"/>
      <c r="P207" s="64"/>
      <c r="Q207" s="64"/>
      <c r="R207" s="64"/>
      <c r="S207" s="64"/>
      <c r="T207" s="64"/>
      <c r="U207" s="64"/>
      <c r="V207" s="64"/>
      <c r="W207" s="64"/>
      <c r="X207" s="64"/>
      <c r="Y207" s="64"/>
      <c r="Z207" s="64"/>
    </row>
    <row r="208" ht="12.75" customHeight="1">
      <c r="A208" s="108"/>
      <c r="B208" s="64"/>
      <c r="C208" s="64"/>
      <c r="D208" s="64"/>
      <c r="E208" s="64"/>
      <c r="F208" s="63"/>
      <c r="G208" s="63"/>
      <c r="H208" s="64"/>
      <c r="I208" s="64"/>
      <c r="J208" s="64"/>
      <c r="K208" s="64"/>
      <c r="L208" s="64"/>
      <c r="M208" s="64"/>
      <c r="N208" s="64"/>
      <c r="O208" s="64"/>
      <c r="P208" s="64"/>
      <c r="Q208" s="64"/>
      <c r="R208" s="64"/>
      <c r="S208" s="64"/>
      <c r="T208" s="64"/>
      <c r="U208" s="64"/>
      <c r="V208" s="64"/>
      <c r="W208" s="64"/>
      <c r="X208" s="64"/>
      <c r="Y208" s="64"/>
      <c r="Z208" s="64"/>
    </row>
    <row r="209" ht="12.75" customHeight="1">
      <c r="A209" s="108"/>
      <c r="B209" s="64"/>
      <c r="C209" s="64"/>
      <c r="D209" s="64"/>
      <c r="E209" s="64"/>
      <c r="F209" s="63"/>
      <c r="G209" s="63"/>
      <c r="H209" s="64"/>
      <c r="I209" s="64"/>
      <c r="J209" s="64"/>
      <c r="K209" s="64"/>
      <c r="L209" s="64"/>
      <c r="M209" s="64"/>
      <c r="N209" s="64"/>
      <c r="O209" s="64"/>
      <c r="P209" s="64"/>
      <c r="Q209" s="64"/>
      <c r="R209" s="64"/>
      <c r="S209" s="64"/>
      <c r="T209" s="64"/>
      <c r="U209" s="64"/>
      <c r="V209" s="64"/>
      <c r="W209" s="64"/>
      <c r="X209" s="64"/>
      <c r="Y209" s="64"/>
      <c r="Z209" s="64"/>
    </row>
    <row r="210" ht="12.75" customHeight="1">
      <c r="A210" s="108"/>
      <c r="B210" s="64"/>
      <c r="C210" s="64"/>
      <c r="D210" s="64"/>
      <c r="E210" s="64"/>
      <c r="F210" s="63"/>
      <c r="G210" s="63"/>
      <c r="H210" s="64"/>
      <c r="I210" s="64"/>
      <c r="J210" s="64"/>
      <c r="K210" s="64"/>
      <c r="L210" s="64"/>
      <c r="M210" s="64"/>
      <c r="N210" s="64"/>
      <c r="O210" s="64"/>
      <c r="P210" s="64"/>
      <c r="Q210" s="64"/>
      <c r="R210" s="64"/>
      <c r="S210" s="64"/>
      <c r="T210" s="64"/>
      <c r="U210" s="64"/>
      <c r="V210" s="64"/>
      <c r="W210" s="64"/>
      <c r="X210" s="64"/>
      <c r="Y210" s="64"/>
      <c r="Z210" s="64"/>
    </row>
    <row r="211" ht="12.75" customHeight="1">
      <c r="A211" s="108"/>
      <c r="B211" s="64"/>
      <c r="C211" s="64"/>
      <c r="D211" s="64"/>
      <c r="E211" s="64"/>
      <c r="F211" s="63"/>
      <c r="G211" s="63"/>
      <c r="H211" s="64"/>
      <c r="I211" s="64"/>
      <c r="J211" s="64"/>
      <c r="K211" s="64"/>
      <c r="L211" s="64"/>
      <c r="M211" s="64"/>
      <c r="N211" s="64"/>
      <c r="O211" s="64"/>
      <c r="P211" s="64"/>
      <c r="Q211" s="64"/>
      <c r="R211" s="64"/>
      <c r="S211" s="64"/>
      <c r="T211" s="64"/>
      <c r="U211" s="64"/>
      <c r="V211" s="64"/>
      <c r="W211" s="64"/>
      <c r="X211" s="64"/>
      <c r="Y211" s="64"/>
      <c r="Z211" s="64"/>
    </row>
    <row r="212" ht="12.75" customHeight="1">
      <c r="A212" s="108"/>
      <c r="B212" s="64"/>
      <c r="C212" s="64"/>
      <c r="D212" s="64"/>
      <c r="E212" s="64"/>
      <c r="F212" s="63"/>
      <c r="G212" s="63"/>
      <c r="H212" s="64"/>
      <c r="I212" s="64"/>
      <c r="J212" s="64"/>
      <c r="K212" s="64"/>
      <c r="L212" s="64"/>
      <c r="M212" s="64"/>
      <c r="N212" s="64"/>
      <c r="O212" s="64"/>
      <c r="P212" s="64"/>
      <c r="Q212" s="64"/>
      <c r="R212" s="64"/>
      <c r="S212" s="64"/>
      <c r="T212" s="64"/>
      <c r="U212" s="64"/>
      <c r="V212" s="64"/>
      <c r="W212" s="64"/>
      <c r="X212" s="64"/>
      <c r="Y212" s="64"/>
      <c r="Z212" s="64"/>
    </row>
    <row r="213" ht="12.75" customHeight="1">
      <c r="A213" s="108"/>
      <c r="B213" s="64"/>
      <c r="C213" s="64"/>
      <c r="D213" s="64"/>
      <c r="E213" s="64"/>
      <c r="F213" s="63"/>
      <c r="G213" s="63"/>
      <c r="H213" s="64"/>
      <c r="I213" s="64"/>
      <c r="J213" s="64"/>
      <c r="K213" s="64"/>
      <c r="L213" s="64"/>
      <c r="M213" s="64"/>
      <c r="N213" s="64"/>
      <c r="O213" s="64"/>
      <c r="P213" s="64"/>
      <c r="Q213" s="64"/>
      <c r="R213" s="64"/>
      <c r="S213" s="64"/>
      <c r="T213" s="64"/>
      <c r="U213" s="64"/>
      <c r="V213" s="64"/>
      <c r="W213" s="64"/>
      <c r="X213" s="64"/>
      <c r="Y213" s="64"/>
      <c r="Z213" s="64"/>
    </row>
    <row r="214" ht="12.75" customHeight="1">
      <c r="A214" s="108"/>
      <c r="B214" s="64"/>
      <c r="C214" s="64"/>
      <c r="D214" s="64"/>
      <c r="E214" s="64"/>
      <c r="F214" s="63"/>
      <c r="G214" s="63"/>
      <c r="H214" s="64"/>
      <c r="I214" s="64"/>
      <c r="J214" s="64"/>
      <c r="K214" s="64"/>
      <c r="L214" s="64"/>
      <c r="M214" s="64"/>
      <c r="N214" s="64"/>
      <c r="O214" s="64"/>
      <c r="P214" s="64"/>
      <c r="Q214" s="64"/>
      <c r="R214" s="64"/>
      <c r="S214" s="64"/>
      <c r="T214" s="64"/>
      <c r="U214" s="64"/>
      <c r="V214" s="64"/>
      <c r="W214" s="64"/>
      <c r="X214" s="64"/>
      <c r="Y214" s="64"/>
      <c r="Z214" s="64"/>
    </row>
    <row r="215" ht="12.75" customHeight="1">
      <c r="A215" s="108"/>
      <c r="B215" s="64"/>
      <c r="C215" s="64"/>
      <c r="D215" s="64"/>
      <c r="E215" s="64"/>
      <c r="F215" s="63"/>
      <c r="G215" s="63"/>
      <c r="H215" s="64"/>
      <c r="I215" s="64"/>
      <c r="J215" s="64"/>
      <c r="K215" s="64"/>
      <c r="L215" s="64"/>
      <c r="M215" s="64"/>
      <c r="N215" s="64"/>
      <c r="O215" s="64"/>
      <c r="P215" s="64"/>
      <c r="Q215" s="64"/>
      <c r="R215" s="64"/>
      <c r="S215" s="64"/>
      <c r="T215" s="64"/>
      <c r="U215" s="64"/>
      <c r="V215" s="64"/>
      <c r="W215" s="64"/>
      <c r="X215" s="64"/>
      <c r="Y215" s="64"/>
      <c r="Z215" s="64"/>
    </row>
    <row r="216" ht="12.75" customHeight="1">
      <c r="A216" s="108"/>
      <c r="B216" s="64"/>
      <c r="C216" s="64"/>
      <c r="D216" s="64"/>
      <c r="E216" s="64"/>
      <c r="F216" s="63"/>
      <c r="G216" s="63"/>
      <c r="H216" s="64"/>
      <c r="I216" s="64"/>
      <c r="J216" s="64"/>
      <c r="K216" s="64"/>
      <c r="L216" s="64"/>
      <c r="M216" s="64"/>
      <c r="N216" s="64"/>
      <c r="O216" s="64"/>
      <c r="P216" s="64"/>
      <c r="Q216" s="64"/>
      <c r="R216" s="64"/>
      <c r="S216" s="64"/>
      <c r="T216" s="64"/>
      <c r="U216" s="64"/>
      <c r="V216" s="64"/>
      <c r="W216" s="64"/>
      <c r="X216" s="64"/>
      <c r="Y216" s="64"/>
      <c r="Z216" s="64"/>
    </row>
    <row r="217" ht="12.75" customHeight="1">
      <c r="A217" s="108"/>
      <c r="B217" s="64"/>
      <c r="C217" s="64"/>
      <c r="D217" s="64"/>
      <c r="E217" s="64"/>
      <c r="F217" s="63"/>
      <c r="G217" s="63"/>
      <c r="H217" s="64"/>
      <c r="I217" s="64"/>
      <c r="J217" s="64"/>
      <c r="K217" s="64"/>
      <c r="L217" s="64"/>
      <c r="M217" s="64"/>
      <c r="N217" s="64"/>
      <c r="O217" s="64"/>
      <c r="P217" s="64"/>
      <c r="Q217" s="64"/>
      <c r="R217" s="64"/>
      <c r="S217" s="64"/>
      <c r="T217" s="64"/>
      <c r="U217" s="64"/>
      <c r="V217" s="64"/>
      <c r="W217" s="64"/>
      <c r="X217" s="64"/>
      <c r="Y217" s="64"/>
      <c r="Z217" s="64"/>
    </row>
    <row r="218" ht="12.75" customHeight="1">
      <c r="A218" s="108"/>
      <c r="B218" s="64"/>
      <c r="C218" s="64"/>
      <c r="D218" s="64"/>
      <c r="E218" s="64"/>
      <c r="F218" s="63"/>
      <c r="G218" s="63"/>
      <c r="H218" s="64"/>
      <c r="I218" s="64"/>
      <c r="J218" s="64"/>
      <c r="K218" s="64"/>
      <c r="L218" s="64"/>
      <c r="M218" s="64"/>
      <c r="N218" s="64"/>
      <c r="O218" s="64"/>
      <c r="P218" s="64"/>
      <c r="Q218" s="64"/>
      <c r="R218" s="64"/>
      <c r="S218" s="64"/>
      <c r="T218" s="64"/>
      <c r="U218" s="64"/>
      <c r="V218" s="64"/>
      <c r="W218" s="64"/>
      <c r="X218" s="64"/>
      <c r="Y218" s="64"/>
      <c r="Z218" s="64"/>
    </row>
    <row r="219" ht="12.75" customHeight="1">
      <c r="A219" s="108"/>
      <c r="B219" s="64"/>
      <c r="C219" s="64"/>
      <c r="D219" s="64"/>
      <c r="E219" s="64"/>
      <c r="F219" s="63"/>
      <c r="G219" s="63"/>
      <c r="H219" s="64"/>
      <c r="I219" s="64"/>
      <c r="J219" s="64"/>
      <c r="K219" s="64"/>
      <c r="L219" s="64"/>
      <c r="M219" s="64"/>
      <c r="N219" s="64"/>
      <c r="O219" s="64"/>
      <c r="P219" s="64"/>
      <c r="Q219" s="64"/>
      <c r="R219" s="64"/>
      <c r="S219" s="64"/>
      <c r="T219" s="64"/>
      <c r="U219" s="64"/>
      <c r="V219" s="64"/>
      <c r="W219" s="64"/>
      <c r="X219" s="64"/>
      <c r="Y219" s="64"/>
      <c r="Z219" s="64"/>
    </row>
    <row r="220" ht="12.75" customHeight="1">
      <c r="A220" s="108"/>
      <c r="B220" s="64"/>
      <c r="C220" s="64"/>
      <c r="D220" s="64"/>
      <c r="E220" s="64"/>
      <c r="F220" s="63"/>
      <c r="G220" s="63"/>
      <c r="H220" s="64"/>
      <c r="I220" s="64"/>
      <c r="J220" s="64"/>
      <c r="K220" s="64"/>
      <c r="L220" s="64"/>
      <c r="M220" s="64"/>
      <c r="N220" s="64"/>
      <c r="O220" s="64"/>
      <c r="P220" s="64"/>
      <c r="Q220" s="64"/>
      <c r="R220" s="64"/>
      <c r="S220" s="64"/>
      <c r="T220" s="64"/>
      <c r="U220" s="64"/>
      <c r="V220" s="64"/>
      <c r="W220" s="64"/>
      <c r="X220" s="64"/>
      <c r="Y220" s="64"/>
      <c r="Z220" s="64"/>
    </row>
    <row r="221" ht="12.75" customHeight="1">
      <c r="A221" s="108"/>
      <c r="B221" s="64"/>
      <c r="C221" s="64"/>
      <c r="D221" s="64"/>
      <c r="E221" s="64"/>
      <c r="F221" s="63"/>
      <c r="G221" s="63"/>
      <c r="H221" s="64"/>
      <c r="I221" s="64"/>
      <c r="J221" s="64"/>
      <c r="K221" s="64"/>
      <c r="L221" s="64"/>
      <c r="M221" s="64"/>
      <c r="N221" s="64"/>
      <c r="O221" s="64"/>
      <c r="P221" s="64"/>
      <c r="Q221" s="64"/>
      <c r="R221" s="64"/>
      <c r="S221" s="64"/>
      <c r="T221" s="64"/>
      <c r="U221" s="64"/>
      <c r="V221" s="64"/>
      <c r="W221" s="64"/>
      <c r="X221" s="64"/>
      <c r="Y221" s="64"/>
      <c r="Z221" s="64"/>
    </row>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mergeCells count="10">
    <mergeCell ref="C19:D19"/>
    <mergeCell ref="C20:D20"/>
    <mergeCell ref="C21:D21"/>
    <mergeCell ref="C12:D12"/>
    <mergeCell ref="C13:D13"/>
    <mergeCell ref="C14:D14"/>
    <mergeCell ref="C15:D15"/>
    <mergeCell ref="C16:D16"/>
    <mergeCell ref="C17:D17"/>
    <mergeCell ref="C18:D18"/>
  </mergeCells>
  <conditionalFormatting sqref="C6:D6">
    <cfRule type="expression" dxfId="0" priority="1">
      <formula>$A6&lt;&gt;""</formula>
    </cfRule>
  </conditionalFormatting>
  <conditionalFormatting sqref="C6:D6">
    <cfRule type="expression" dxfId="1" priority="2">
      <formula>$A6=""</formula>
    </cfRule>
  </conditionalFormatting>
  <dataValidations>
    <dataValidation type="decimal" allowBlank="1" showErrorMessage="1" sqref="F13:F20">
      <formula1>0.0</formula1>
      <formula2>50.0</formula2>
    </dataValidation>
  </dataValidations>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4A3B8"/>
    <pageSetUpPr/>
  </sheetPr>
  <sheetViews>
    <sheetView showGridLines="0" workbookViewId="0"/>
  </sheetViews>
  <sheetFormatPr customHeight="1" defaultColWidth="12.63" defaultRowHeight="15.0"/>
  <cols>
    <col customWidth="1" min="1" max="1" width="16.63"/>
    <col customWidth="1" min="2" max="2" width="47.38"/>
    <col customWidth="1" min="3" max="3" width="26.38"/>
    <col customWidth="1" min="4" max="4" width="14.25"/>
    <col customWidth="1" min="5" max="5" width="24.75"/>
    <col customWidth="1" min="6" max="6" width="17.75"/>
    <col customWidth="1" min="7" max="7" width="15.0"/>
    <col customWidth="1" min="8" max="26" width="9.13"/>
  </cols>
  <sheetData>
    <row r="1" ht="12.75" customHeight="1">
      <c r="A1" s="105" t="s">
        <v>260</v>
      </c>
      <c r="B1" s="77" t="s">
        <v>63</v>
      </c>
      <c r="C1" s="78"/>
      <c r="D1" s="78"/>
      <c r="E1" s="64"/>
      <c r="F1" s="63"/>
      <c r="G1" s="63"/>
      <c r="H1" s="64"/>
      <c r="I1" s="64"/>
      <c r="J1" s="64"/>
      <c r="K1" s="64"/>
      <c r="L1" s="64"/>
      <c r="M1" s="64"/>
      <c r="N1" s="64"/>
      <c r="O1" s="64"/>
      <c r="P1" s="64"/>
      <c r="Q1" s="64"/>
      <c r="R1" s="64"/>
      <c r="S1" s="64"/>
      <c r="T1" s="64"/>
      <c r="U1" s="64"/>
      <c r="V1" s="64"/>
      <c r="W1" s="64"/>
      <c r="X1" s="64"/>
      <c r="Y1" s="64"/>
      <c r="Z1" s="64"/>
    </row>
    <row r="2" ht="12.75" customHeight="1">
      <c r="A2" s="110" t="s">
        <v>5</v>
      </c>
      <c r="B2" s="62" t="str">
        <f t="array" ref="B2">IFERROR(INDEX(Sessions!$C$2:$C$173,MATCH($B$1,Sessions!$B$2:$B$173,0))&amp;"","")</f>
        <v>IoT, Embedded, and Cyber-Physical Systems</v>
      </c>
      <c r="C2" s="64"/>
      <c r="D2" s="64"/>
      <c r="E2" s="64"/>
      <c r="F2" s="63"/>
      <c r="G2" s="63"/>
      <c r="H2" s="64"/>
      <c r="I2" s="64"/>
      <c r="J2" s="64"/>
      <c r="K2" s="64"/>
      <c r="L2" s="64"/>
      <c r="M2" s="64"/>
      <c r="N2" s="64"/>
      <c r="O2" s="64"/>
      <c r="P2" s="64"/>
      <c r="Q2" s="64"/>
      <c r="R2" s="64"/>
      <c r="S2" s="64"/>
      <c r="T2" s="64"/>
      <c r="U2" s="64"/>
      <c r="V2" s="64"/>
      <c r="W2" s="64"/>
      <c r="X2" s="64"/>
      <c r="Y2" s="64"/>
      <c r="Z2" s="64"/>
    </row>
    <row r="3" ht="12.75" customHeight="1">
      <c r="A3" s="112" t="s">
        <v>704</v>
      </c>
      <c r="B3" s="86" t="str">
        <f>IF(LEFT($B$1,2)="T1",Schedule!$A$4&amp;", "&amp;Schedule!$A$10,IF(LEFT($B$1,2)="T2",Schedule!$A$4&amp;", "&amp;Schedule!$A$12,IF(LEFT($B$1,2)="T3",Schedule!$A$4&amp;", "&amp;#REF!,IF(LEFT($B$1,2)="T4",Schedule!$A$16&amp;", "&amp;Schedule!$A$18,IF($B$1="Keynote 1",Schedule!$A$4&amp;", "&amp;Schedule!$A$8,IF($B$1="Keynote 2",Schedule!$A$4&amp;", "&amp;Schedule!$A$13,IF($B$1="Keynote 3",Schedule!$A$16&amp;", "&amp;Schedule!$A$19,IF($B$1="IEEE Workshop",Schedule!$A$16&amp;", "&amp;#REF!,""))))))))</f>
        <v>Day 1, 14:30-16:30</v>
      </c>
      <c r="C3" s="80"/>
      <c r="D3" s="80"/>
      <c r="E3" s="64"/>
      <c r="F3" s="63"/>
      <c r="G3" s="63"/>
      <c r="H3" s="64"/>
      <c r="I3" s="64"/>
      <c r="J3" s="64"/>
      <c r="K3" s="64"/>
      <c r="L3" s="64"/>
      <c r="M3" s="64"/>
      <c r="N3" s="64"/>
      <c r="O3" s="64"/>
      <c r="P3" s="64"/>
      <c r="Q3" s="64"/>
      <c r="R3" s="64"/>
      <c r="S3" s="64"/>
      <c r="T3" s="64"/>
      <c r="U3" s="64"/>
      <c r="V3" s="64"/>
      <c r="W3" s="64"/>
      <c r="X3" s="64"/>
      <c r="Y3" s="64"/>
      <c r="Z3" s="64"/>
    </row>
    <row r="4" ht="12.75" customHeight="1">
      <c r="A4" s="112" t="s">
        <v>11</v>
      </c>
      <c r="B4" s="115" t="s">
        <v>38</v>
      </c>
      <c r="C4" s="80"/>
      <c r="D4" s="80"/>
      <c r="E4" s="64"/>
      <c r="F4" s="63"/>
      <c r="G4" s="63"/>
      <c r="H4" s="64"/>
      <c r="I4" s="64"/>
      <c r="J4" s="64"/>
      <c r="K4" s="64"/>
      <c r="L4" s="64"/>
      <c r="M4" s="64"/>
      <c r="N4" s="64"/>
      <c r="O4" s="64"/>
      <c r="P4" s="64"/>
      <c r="Q4" s="64"/>
      <c r="R4" s="64"/>
      <c r="S4" s="64"/>
      <c r="T4" s="64"/>
      <c r="U4" s="64"/>
      <c r="V4" s="64"/>
      <c r="W4" s="64"/>
      <c r="X4" s="64"/>
      <c r="Y4" s="64"/>
      <c r="Z4" s="64"/>
    </row>
    <row r="5" ht="12.75" customHeight="1">
      <c r="A5" s="114" t="s">
        <v>725</v>
      </c>
      <c r="B5" s="118" t="s">
        <v>729</v>
      </c>
      <c r="C5" s="118" t="s">
        <v>307</v>
      </c>
      <c r="D5" s="118">
        <v>1.754119999E9</v>
      </c>
      <c r="E5" s="64"/>
      <c r="F5" s="63"/>
      <c r="G5" s="63"/>
      <c r="H5" s="64"/>
      <c r="I5" s="64"/>
      <c r="J5" s="64"/>
      <c r="K5" s="64"/>
      <c r="L5" s="64"/>
      <c r="M5" s="64"/>
      <c r="N5" s="64"/>
      <c r="O5" s="64"/>
      <c r="P5" s="64"/>
      <c r="Q5" s="64"/>
      <c r="R5" s="64"/>
      <c r="S5" s="64"/>
      <c r="T5" s="64"/>
      <c r="U5" s="64"/>
      <c r="V5" s="64"/>
      <c r="W5" s="64"/>
      <c r="X5" s="64"/>
      <c r="Y5" s="64"/>
      <c r="Z5" s="64"/>
    </row>
    <row r="6" ht="12.75" customHeight="1">
      <c r="A6" s="114" t="s">
        <v>726</v>
      </c>
      <c r="B6" s="118" t="s">
        <v>730</v>
      </c>
      <c r="C6" s="70" t="s">
        <v>343</v>
      </c>
      <c r="D6" s="86"/>
      <c r="E6" s="64"/>
      <c r="F6" s="63"/>
      <c r="G6" s="63"/>
      <c r="H6" s="64"/>
      <c r="I6" s="64"/>
      <c r="J6" s="64"/>
      <c r="K6" s="64"/>
      <c r="L6" s="64"/>
      <c r="M6" s="64"/>
      <c r="N6" s="64"/>
      <c r="O6" s="64"/>
      <c r="P6" s="64"/>
      <c r="Q6" s="64"/>
      <c r="R6" s="64"/>
      <c r="S6" s="64"/>
      <c r="T6" s="64"/>
      <c r="U6" s="64"/>
      <c r="V6" s="64"/>
      <c r="W6" s="64"/>
      <c r="X6" s="64"/>
      <c r="Y6" s="64"/>
      <c r="Z6" s="64"/>
    </row>
    <row r="7" ht="12.75" customHeight="1">
      <c r="A7" s="112" t="s">
        <v>709</v>
      </c>
      <c r="B7" s="86" t="str">
        <f t="array" ref="B7">IFERROR(INDEX('Senior Faculty'!$J$2:$J$401,MATCH(1,INDEX(('Senior Faculty'!$K$2:$K$401=$B$1)*('Senior Faculty'!$N$2:$N$401=1),0),0)),"")</f>
        <v>Raihan Kibria</v>
      </c>
      <c r="C7" s="86" t="str">
        <f t="array" ref="C7">IFERROR(INDEX('Senior Faculty'!$L$2:$L$401,MATCH(1,INDEX(('Senior Faculty'!$K$2:$K$401=$B$1)*('Senior Faculty'!$N$2:$N$401=1),0),0))&amp;"","")</f>
        <v>raihan.kibria@ulab.edu.bd</v>
      </c>
      <c r="D7" s="86" t="str">
        <f t="array" ref="D7">IFERROR(INDEX('Senior Faculty'!$M$2:$M$401,MATCH(1,INDEX(('Senior Faculty'!$K$2:$K$401=$B$1)*('Senior Faculty'!$N$2:$N$401=1),0),0))&amp;"","")</f>
        <v>01819417956</v>
      </c>
      <c r="E7" s="64"/>
      <c r="F7" s="63"/>
      <c r="G7" s="63"/>
      <c r="H7" s="64"/>
      <c r="I7" s="64"/>
      <c r="J7" s="64"/>
      <c r="K7" s="64"/>
      <c r="L7" s="64"/>
      <c r="M7" s="64"/>
      <c r="N7" s="64"/>
      <c r="O7" s="64"/>
      <c r="P7" s="64"/>
      <c r="Q7" s="64"/>
      <c r="R7" s="64"/>
      <c r="S7" s="64"/>
      <c r="T7" s="64"/>
      <c r="U7" s="64"/>
      <c r="V7" s="64"/>
      <c r="W7" s="64"/>
      <c r="X7" s="64"/>
      <c r="Y7" s="64"/>
      <c r="Z7" s="64"/>
    </row>
    <row r="8" ht="12.75" customHeight="1">
      <c r="A8" s="112" t="s">
        <v>713</v>
      </c>
      <c r="B8" s="86" t="str">
        <f t="array" ref="B8">IFERROR(INDEX('Junior Faculty'!$J$2:$J$401,MATCH(1,INDEX(('Junior Faculty'!$K$2:$K$401=$B$1)*('Junior Faculty'!$N$2:$N$401=1),0),0)),"")</f>
        <v>Shah Jafor Sadeek Quaderi</v>
      </c>
      <c r="C8" s="86" t="str">
        <f t="array" ref="C8">IFERROR(INDEX('Junior Faculty'!$L$2:$L$401,MATCH(1,INDEX(('Junior Faculty'!$K$2:$K$401=$B$1)*('Junior Faculty'!$N$2:$N$401=1),0),0))&amp;"","")</f>
        <v>jafor.sadeek@ulab.edu.bd</v>
      </c>
      <c r="D8" s="86" t="str">
        <f t="array" ref="D8">IFERROR(INDEX('Junior Faculty'!$M$2:$M$401,MATCH(1,INDEX(('Junior Faculty'!$K$2:$K$401=$B$1)*('Junior Faculty'!$N$2:$N$401=1),0),0))&amp;"","")</f>
        <v>01725828062</v>
      </c>
      <c r="E8" s="64"/>
      <c r="F8" s="63"/>
      <c r="G8" s="63"/>
      <c r="H8" s="64"/>
      <c r="I8" s="64"/>
      <c r="J8" s="64"/>
      <c r="K8" s="64"/>
      <c r="L8" s="64"/>
      <c r="M8" s="64"/>
      <c r="N8" s="64"/>
      <c r="O8" s="64"/>
      <c r="P8" s="64"/>
      <c r="Q8" s="64"/>
      <c r="R8" s="64"/>
      <c r="S8" s="64"/>
      <c r="T8" s="64"/>
      <c r="U8" s="64"/>
      <c r="V8" s="64"/>
      <c r="W8" s="64"/>
      <c r="X8" s="64"/>
      <c r="Y8" s="64"/>
      <c r="Z8" s="64"/>
    </row>
    <row r="9" ht="12.75" customHeight="1">
      <c r="A9" s="119" t="s">
        <v>714</v>
      </c>
      <c r="B9" s="95" t="str">
        <f t="array" ref="B9">IFERROR(INDEX('Junior Faculty'!$J$2:$J$401,MATCH(1,INDEX(('Junior Faculty'!$K$2:$K$401=$B$1)*('Junior Faculty'!$N$2:$N$401=2),0),0)),"")</f>
        <v>Nasir Uddin Ahmed</v>
      </c>
      <c r="C9" s="95" t="str">
        <f t="array" ref="C9">IFERROR(INDEX('Junior Faculty'!$L$2:$L$401,MATCH(1,INDEX(('Junior Faculty'!$K$2:$K$401=$B$1)*('Junior Faculty'!$N$2:$N$401=2),0),0))&amp;"","")</f>
        <v>nasir.uddin1@ulab.edu.bd</v>
      </c>
      <c r="D9" s="95" t="str">
        <f t="array" ref="D9">IFERROR(INDEX('Junior Faculty'!$M$2:$M$401,MATCH(1,INDEX(('Junior Faculty'!$K$2:$K$401=$B$1)*('Junior Faculty'!$N$2:$N$401=2),0),0))&amp;"","")</f>
        <v>01818009809</v>
      </c>
      <c r="E9" s="64"/>
      <c r="F9" s="63"/>
      <c r="G9" s="63"/>
      <c r="H9" s="64"/>
      <c r="I9" s="64"/>
      <c r="J9" s="64"/>
      <c r="K9" s="64"/>
      <c r="L9" s="64"/>
      <c r="M9" s="64"/>
      <c r="N9" s="64"/>
      <c r="O9" s="64"/>
      <c r="P9" s="64"/>
      <c r="Q9" s="64"/>
      <c r="R9" s="64"/>
      <c r="S9" s="64"/>
      <c r="T9" s="64"/>
      <c r="U9" s="64"/>
      <c r="V9" s="64"/>
      <c r="W9" s="64"/>
      <c r="X9" s="64"/>
      <c r="Y9" s="64"/>
      <c r="Z9" s="64"/>
    </row>
    <row r="10" ht="12.75" customHeight="1">
      <c r="A10" s="108"/>
      <c r="B10" s="64"/>
      <c r="C10" s="64"/>
      <c r="D10" s="64"/>
      <c r="E10" s="64"/>
      <c r="F10" s="63"/>
      <c r="G10" s="63"/>
      <c r="H10" s="64"/>
      <c r="I10" s="64"/>
      <c r="J10" s="64"/>
      <c r="K10" s="64"/>
      <c r="L10" s="64"/>
      <c r="M10" s="64"/>
      <c r="N10" s="64"/>
      <c r="O10" s="64"/>
      <c r="P10" s="64"/>
      <c r="Q10" s="64"/>
      <c r="R10" s="64"/>
      <c r="S10" s="64"/>
      <c r="T10" s="64"/>
      <c r="U10" s="64"/>
      <c r="V10" s="64"/>
      <c r="W10" s="64"/>
      <c r="X10" s="64"/>
      <c r="Y10" s="64"/>
      <c r="Z10" s="64"/>
    </row>
    <row r="11" ht="12.75" customHeight="1">
      <c r="A11" s="121" t="s">
        <v>727</v>
      </c>
      <c r="B11" s="86"/>
      <c r="C11" s="86"/>
      <c r="D11" s="86"/>
      <c r="E11" s="64"/>
      <c r="F11" s="63"/>
      <c r="G11" s="63"/>
      <c r="H11" s="64"/>
      <c r="I11" s="64"/>
      <c r="J11" s="64"/>
      <c r="K11" s="64"/>
      <c r="L11" s="64"/>
      <c r="M11" s="64"/>
      <c r="N11" s="64"/>
      <c r="O11" s="64"/>
      <c r="P11" s="64"/>
      <c r="Q11" s="64"/>
      <c r="R11" s="64"/>
      <c r="S11" s="64"/>
      <c r="T11" s="64"/>
      <c r="U11" s="64"/>
      <c r="V11" s="64"/>
      <c r="W11" s="64"/>
      <c r="X11" s="64"/>
      <c r="Y11" s="64"/>
      <c r="Z11" s="64"/>
    </row>
    <row r="12" ht="15.0" customHeight="1">
      <c r="A12" s="122" t="s">
        <v>174</v>
      </c>
      <c r="B12" s="122" t="s">
        <v>256</v>
      </c>
      <c r="C12" s="123" t="s">
        <v>257</v>
      </c>
      <c r="D12" s="124"/>
      <c r="E12" s="61" t="s">
        <v>258</v>
      </c>
      <c r="F12" s="60" t="s">
        <v>265</v>
      </c>
      <c r="G12" s="64"/>
      <c r="H12" s="64"/>
      <c r="I12" s="64"/>
      <c r="J12" s="64"/>
      <c r="K12" s="64"/>
      <c r="L12" s="64"/>
      <c r="M12" s="64"/>
      <c r="N12" s="64"/>
      <c r="O12" s="64"/>
      <c r="P12" s="64"/>
      <c r="Q12" s="64"/>
      <c r="R12" s="64"/>
      <c r="S12" s="64"/>
      <c r="T12" s="64"/>
      <c r="U12" s="64"/>
      <c r="V12" s="64"/>
      <c r="W12" s="64"/>
      <c r="X12" s="64"/>
      <c r="Y12" s="64"/>
      <c r="Z12" s="64"/>
    </row>
    <row r="13" ht="12.75" customHeight="1">
      <c r="A13" s="113">
        <f t="array" ref="A13">IFERROR(INDEX(Papers!$A$2:$A$201,MATCH(1,INDEX((Papers!$G$2:$G$201=$B$1)*(Papers!$I$2:$I$201=1),0),0)),"")</f>
        <v>95</v>
      </c>
      <c r="B13" s="113" t="str">
        <f t="array" ref="B13">IFERROR(INDEX(Papers!$C$2:$C$201,MATCH(1,INDEX((Papers!$G$2:$G$201=$B$1)*(Papers!$I$2:$I$201=1),0),0)),"")</f>
        <v>MpoxFusionNet: Privacy-Aware Hybrid CNN-Transformer Fusion for Monkeypox Detection from Skin Lesion Images</v>
      </c>
      <c r="C13" s="113" t="str">
        <f t="array" ref="C13">IFERROR(INDEX(Papers!$D$2:$D$201,MATCH(1,INDEX((Papers!$G$2:$G$201=$B$1)*(Papers!$I$2:$I$201=1),0),0)),"")</f>
        <v>Anika Sarker  Emo ( 	Khwaja Yunus Ali University); Shimanto  Kumar ( 	Khwaja Yunus Ali University); F M Javed Mehedi Shamrat (Khwaja Yunus Ali University)*; Rashiduzzaman  Shakil (Daffodil International University); Bonna  Akter (University of Texas Rio Grande Valley); Md. Asraf  Ali (Khwaja Yunus Ali University)</v>
      </c>
      <c r="D13" s="125"/>
      <c r="E13" s="86" t="str">
        <f t="array" ref="E13">IFERROR(INDEX(Papers!$E$2:$E$201,MATCH(1,INDEX((Papers!$G$2:$G$201=$B$1)*(Papers!$I$2:$I$201=1),0),0)),"")</f>
        <v>anikaimo387@gmail.com; kshimanto70@gmail.com; shamrat.cse@kyau.edu.bd; rashiduzzaman.diucse@gmail.com; bonna.akter01@utrgv.edu; asrafali@kyau.edu.bd</v>
      </c>
      <c r="F13" s="67"/>
      <c r="G13" s="64"/>
      <c r="H13" s="64"/>
      <c r="I13" s="64"/>
      <c r="J13" s="64"/>
      <c r="K13" s="64"/>
      <c r="L13" s="64"/>
      <c r="M13" s="64"/>
      <c r="N13" s="64"/>
      <c r="O13" s="64"/>
      <c r="P13" s="64"/>
      <c r="Q13" s="64"/>
      <c r="R13" s="64"/>
      <c r="S13" s="64"/>
      <c r="T13" s="64"/>
      <c r="U13" s="64"/>
      <c r="V13" s="64"/>
      <c r="W13" s="64"/>
      <c r="X13" s="64"/>
      <c r="Y13" s="64"/>
      <c r="Z13" s="64"/>
    </row>
    <row r="14" ht="12.75" customHeight="1">
      <c r="A14" s="113">
        <f t="array" ref="A14">IFERROR(INDEX(Papers!$A$2:$A$201,MATCH(1,INDEX((Papers!$G$2:$G$201=$B$1)*(Papers!$I$2:$I$201=2),0),0)),"")</f>
        <v>176</v>
      </c>
      <c r="B14" s="113" t="str">
        <f t="array" ref="B14">IFERROR(INDEX(Papers!$C$2:$C$201,MATCH(1,INDEX((Papers!$G$2:$G$201=$B$1)*(Papers!$I$2:$I$201=2),0),0)),"")</f>
        <v>Blockchain-Based Bug Bounty System with A Novel Weighted Reputation-Driven Consensus Mechanism</v>
      </c>
      <c r="C14" s="113" t="str">
        <f t="array" ref="C14">IFERROR(INDEX(Papers!$D$2:$D$201,MATCH(1,INDEX((Papers!$G$2:$G$201=$B$1)*(Papers!$I$2:$I$201=2),0),0)),"")</f>
        <v>Kazi Noor E Saba (University of Liberal Arts Bangladesh)*; Jumana Muntaha (University of Liberal Arts Bangladesh); Md.Akib Al Mahmud DIhan (University of Liberal Arts Bangladesh); Abida Binte Asif (University of Liberal Arts Bangladesh); Sami Hossain (University of Liberal Arts Bangladesh); Nafees Mansoor, PhD (University of Liberal Arts Bangladesh)</v>
      </c>
      <c r="D14" s="125"/>
      <c r="E14" s="86" t="str">
        <f t="array" ref="E14">IFERROR(INDEX(Papers!$E$2:$E$201,MATCH(1,INDEX((Papers!$G$2:$G$201=$B$1)*(Papers!$I$2:$I$201=2),0),0)),"")</f>
        <v>noore.saba.cse@ulab.edu.bd; jumana.muntaha.cse@ulab.edu.bd; akib.almahmud.cse@ulab.edu.bd; abida.asif.cse@ulab.edu.bd; sami.hossain.cse@ulab.edu.bd; nafees@ieee.org</v>
      </c>
      <c r="F14" s="67"/>
      <c r="G14" s="64"/>
      <c r="H14" s="64"/>
      <c r="I14" s="64"/>
      <c r="J14" s="64"/>
      <c r="K14" s="64"/>
      <c r="L14" s="64"/>
      <c r="M14" s="64"/>
      <c r="N14" s="64"/>
      <c r="O14" s="64"/>
      <c r="P14" s="64"/>
      <c r="Q14" s="64"/>
      <c r="R14" s="64"/>
      <c r="S14" s="64"/>
      <c r="T14" s="64"/>
      <c r="U14" s="64"/>
      <c r="V14" s="64"/>
      <c r="W14" s="64"/>
      <c r="X14" s="64"/>
      <c r="Y14" s="64"/>
      <c r="Z14" s="64"/>
    </row>
    <row r="15" ht="12.75" customHeight="1">
      <c r="A15" s="113">
        <f t="array" ref="A15">IFERROR(INDEX(Papers!$A$2:$A$201,MATCH(1,INDEX((Papers!$G$2:$G$201=$B$1)*(Papers!$I$2:$I$201=3),0),0)),"")</f>
        <v>238</v>
      </c>
      <c r="B15" s="113" t="str">
        <f t="array" ref="B15">IFERROR(INDEX(Papers!$C$2:$C$201,MATCH(1,INDEX((Papers!$G$2:$G$201=$B$1)*(Papers!$I$2:$I$201=3),0),0)),"")</f>
        <v>FormSense: A Continuous Fatigue and Form Tracking Application for Resistance Workout Monitoring Utilizing Phase-Graded IMU Analysis</v>
      </c>
      <c r="C15" s="113" t="str">
        <f t="array" ref="C15">IFERROR(INDEX(Papers!$D$2:$D$201,MATCH(1,INDEX((Papers!$G$2:$G$201=$B$1)*(Papers!$I$2:$I$201=3),0),0)),"")</f>
        <v>Abdullah Al Mahi (Military Institute of Science and Technology); Munawar Arif Nitol (Military Institute of Science and technology)*; Md. Mehedi Hasan Bhuiyan (Military Institute of Science and Technology); Sadman Rahman (Military Institute of Science and Technology); Kazi Newaj Faisal (Military Institute of Science and Technology)</v>
      </c>
      <c r="D15" s="125"/>
      <c r="E15" s="86" t="str">
        <f t="array" ref="E15">IFERROR(INDEX(Papers!$E$2:$E$201,MATCH(1,INDEX((Papers!$G$2:$G$201=$B$1)*(Papers!$I$2:$I$201=3),0),0)),"")</f>
        <v>abdullahmahi526@gmail.com; munawarmisteece@gmail.com; mehedihasan.bhuiyan04@gmail.com; sdmrnwashere@gmail.com; newajfaisal@gmail.com</v>
      </c>
      <c r="F15" s="67"/>
      <c r="G15" s="64"/>
      <c r="H15" s="64"/>
      <c r="I15" s="64"/>
      <c r="J15" s="64"/>
      <c r="K15" s="64"/>
      <c r="L15" s="64"/>
      <c r="M15" s="64"/>
      <c r="N15" s="64"/>
      <c r="O15" s="64"/>
      <c r="P15" s="64"/>
      <c r="Q15" s="64"/>
      <c r="R15" s="64"/>
      <c r="S15" s="64"/>
      <c r="T15" s="64"/>
      <c r="U15" s="64"/>
      <c r="V15" s="64"/>
      <c r="W15" s="64"/>
      <c r="X15" s="64"/>
      <c r="Y15" s="64"/>
      <c r="Z15" s="64"/>
    </row>
    <row r="16" ht="12.75" customHeight="1">
      <c r="A16" s="113">
        <f t="array" ref="A16">IFERROR(INDEX(Papers!$A$2:$A$201,MATCH(1,INDEX((Papers!$G$2:$G$201=$B$1)*(Papers!$I$2:$I$201=4),0),0)),"")</f>
        <v>346</v>
      </c>
      <c r="B16" s="113" t="str">
        <f t="array" ref="B16">IFERROR(INDEX(Papers!$C$2:$C$201,MATCH(1,INDEX((Papers!$G$2:$G$201=$B$1)*(Papers!$I$2:$I$201=4),0),0)),"")</f>
        <v>High-Throughput Meritocratic Consensus: A Native Go Implementation of Reputation-Based Ordering for Hyperledger Fabric</v>
      </c>
      <c r="C16" s="113" t="str">
        <f t="array" ref="C16">IFERROR(INDEX(Papers!$D$2:$D$201,MATCH(1,INDEX((Papers!$G$2:$G$201=$B$1)*(Papers!$I$2:$I$201=4),0),0)),"")</f>
        <v>Takia Nawrin (University of Liberal Arts Bangladesh)*; Md. Yusuf (University of Liberal Arts Bangladesh); Maftun Ahommed (University of Liberal Arts Bangladesh); Nafees Mansoor (University of Liberal Arts Bangladesh)</v>
      </c>
      <c r="D16" s="125"/>
      <c r="E16" s="86" t="str">
        <f t="array" ref="E16">IFERROR(INDEX(Papers!$E$2:$E$201,MATCH(1,INDEX((Papers!$G$2:$G$201=$B$1)*(Papers!$I$2:$I$201=4),0),0)),"")</f>
        <v>takia.nawrin.cse@ulab.edu.bd; md.yusuf.cse@ulab.edu.bd; maftun.ahommed.cse@ulab.edu.bd; nafees@ieee.org</v>
      </c>
      <c r="F16" s="67"/>
      <c r="G16" s="64"/>
      <c r="H16" s="64"/>
      <c r="I16" s="64"/>
      <c r="J16" s="64"/>
      <c r="K16" s="64"/>
      <c r="L16" s="64"/>
      <c r="M16" s="64"/>
      <c r="N16" s="64"/>
      <c r="O16" s="64"/>
      <c r="P16" s="64"/>
      <c r="Q16" s="64"/>
      <c r="R16" s="64"/>
      <c r="S16" s="64"/>
      <c r="T16" s="64"/>
      <c r="U16" s="64"/>
      <c r="V16" s="64"/>
      <c r="W16" s="64"/>
      <c r="X16" s="64"/>
      <c r="Y16" s="64"/>
      <c r="Z16" s="64"/>
    </row>
    <row r="17" ht="12.75" customHeight="1">
      <c r="A17" s="113">
        <f t="array" ref="A17">IFERROR(INDEX(Papers!$A$2:$A$201,MATCH(1,INDEX((Papers!$G$2:$G$201=$B$1)*(Papers!$I$2:$I$201=5),0),0)),"")</f>
        <v>367</v>
      </c>
      <c r="B17" s="113" t="str">
        <f t="array" ref="B17">IFERROR(INDEX(Papers!$C$2:$C$201,MATCH(1,INDEX((Papers!$G$2:$G$201=$B$1)*(Papers!$I$2:$I$201=5),0),0)),"")</f>
        <v>A Low-Cost IoT-Based Smart Home Automation and Security System with Energy-Efficient Operation for Sustainable Living in Developing Regions</v>
      </c>
      <c r="C17" s="113" t="str">
        <f t="array" ref="C17">IFERROR(INDEX(Papers!$D$2:$D$201,MATCH(1,INDEX((Papers!$G$2:$G$201=$B$1)*(Papers!$I$2:$I$201=5),0),0)),"")</f>
        <v>Md. Masum Latif Chowdhury (University of Liberal Arts Bangladesh (ULAB))*; Md. Rajib Hossain (University of Liberal Arts Bangladesh (ULAB)); Nur Atika Mim (University of Liberal Arts Bangladesh (ULAB)); Sabbir Sarder (University of Liberal Arts Bangladesh (ULAB)); Md Raiyan Ahmed Panto (University of Liberal Arts Bangladesh (ULAB)); A O M Shamsuddoha (University of Liberal Arts Bangladesh (ULAB))</v>
      </c>
      <c r="D17" s="125"/>
      <c r="E17" s="86" t="str">
        <f t="array" ref="E17">IFERROR(INDEX(Papers!$E$2:$E$201,MATCH(1,INDEX((Papers!$G$2:$G$201=$B$1)*(Papers!$I$2:$I$201=5),0),0)),"")</f>
        <v>masum.latif.eee@ulab.edu.bd; rajib.hossain.eee@ulab.edu.bd; nur.atika.eee@ulab.edu.bd; sabbir.sarder.eee@ulab.edu.bd; raiyan.ahmed.eee@ulab.edu.bd; shamsud.doha@ulab.edu.bd</v>
      </c>
      <c r="F17" s="67"/>
      <c r="G17" s="64"/>
      <c r="H17" s="64"/>
      <c r="I17" s="64"/>
      <c r="J17" s="64"/>
      <c r="K17" s="64"/>
      <c r="L17" s="64"/>
      <c r="M17" s="64"/>
      <c r="N17" s="64"/>
      <c r="O17" s="64"/>
      <c r="P17" s="64"/>
      <c r="Q17" s="64"/>
      <c r="R17" s="64"/>
      <c r="S17" s="64"/>
      <c r="T17" s="64"/>
      <c r="U17" s="64"/>
      <c r="V17" s="64"/>
      <c r="W17" s="64"/>
      <c r="X17" s="64"/>
      <c r="Y17" s="64"/>
      <c r="Z17" s="64"/>
    </row>
    <row r="18" ht="12.75" customHeight="1">
      <c r="A18" s="113">
        <f t="array" ref="A18">IFERROR(INDEX(Papers!$A$2:$A$201,MATCH(1,INDEX((Papers!$G$2:$G$201=$B$1)*(Papers!$I$2:$I$201=6),0),0)),"")</f>
        <v>282</v>
      </c>
      <c r="B18" s="113" t="str">
        <f t="array" ref="B18">IFERROR(INDEX(Papers!$C$2:$C$201,MATCH(1,INDEX((Papers!$G$2:$G$201=$B$1)*(Papers!$I$2:$I$201=6),0),0)),"")</f>
        <v>Floating Solar on an Oxbow Lake: Energy, Water, and Rice Co-Benefits at Bergobindopur Baor, Bangladesh</v>
      </c>
      <c r="C18" s="113" t="str">
        <f t="array" ref="C18">IFERROR(INDEX(Papers!$D$2:$D$201,MATCH(1,INDEX((Papers!$G$2:$G$201=$B$1)*(Papers!$I$2:$I$201=6),0),0)),"")</f>
        <v>Md Saqlain Mustak Saki (Green University of Bangladesh)*; Md Shoab Khan (Green University of Bangladesh); Md Hujaifa Ahmmed Tanvir (Green University of Bangladesh); ASM Shihavuddin (Green University of Bangladesh)</v>
      </c>
      <c r="D18" s="125"/>
      <c r="E18" s="86" t="str">
        <f t="array" ref="E18">IFERROR(INDEX(Papers!$E$2:$E$201,MATCH(1,INDEX((Papers!$G$2:$G$201=$B$1)*(Papers!$I$2:$I$201=6),0),0)),"")</f>
        <v>saqlainm1307@gmail.com; shoabkhan788@gmail.com; hujaifaahmmedtanvir322@gmail.com; shihav@eee.green.edu.bd</v>
      </c>
      <c r="F18" s="67"/>
      <c r="G18" s="64"/>
      <c r="H18" s="64"/>
      <c r="I18" s="64"/>
      <c r="J18" s="64"/>
      <c r="K18" s="64"/>
      <c r="L18" s="64"/>
      <c r="M18" s="64"/>
      <c r="N18" s="64"/>
      <c r="O18" s="64"/>
      <c r="P18" s="64"/>
      <c r="Q18" s="64"/>
      <c r="R18" s="64"/>
      <c r="S18" s="64"/>
      <c r="T18" s="64"/>
      <c r="U18" s="64"/>
      <c r="V18" s="64"/>
      <c r="W18" s="64"/>
      <c r="X18" s="64"/>
      <c r="Y18" s="64"/>
      <c r="Z18" s="64"/>
    </row>
    <row r="19" ht="12.75" customHeight="1">
      <c r="A19" s="113">
        <f t="array" ref="A19">IFERROR(INDEX(Papers!$A$2:$A$201,MATCH(1,INDEX((Papers!$G$2:$G$201=$B$1)*(Papers!$I$2:$I$201=7),0),0)),"")</f>
        <v>276</v>
      </c>
      <c r="B19" s="113" t="str">
        <f t="array" ref="B19">IFERROR(INDEX(Papers!$C$2:$C$201,MATCH(1,INDEX((Papers!$G$2:$G$201=$B$1)*(Papers!$I$2:$I$201=7),0),0)),"")</f>
        <v>An Interpretable Ensemble Learning Framework for Predicting Students' Entrepreneurial Intention in Digital Entrepreneurship Education</v>
      </c>
      <c r="C19" s="113" t="str">
        <f t="array" ref="C19">IFERROR(INDEX(Papers!$D$2:$D$201,MATCH(1,INDEX((Papers!$G$2:$G$201=$B$1)*(Papers!$I$2:$I$201=7),0),0)),"")</f>
        <v>K. M. Arafat Islam (Daffodil International University)*; Abdul Fardaus (Green University of Bangladesh)</v>
      </c>
      <c r="D19" s="125"/>
      <c r="E19" s="86" t="str">
        <f t="array" ref="E19">IFERROR(INDEX(Papers!$E$2:$E$201,MATCH(1,INDEX((Papers!$G$2:$G$201=$B$1)*(Papers!$I$2:$I$201=7),0),0)),"")</f>
        <v>islam15-5498@diu.edu.bd; abdulfardaus0@gmail.com</v>
      </c>
      <c r="F19" s="67"/>
      <c r="G19" s="64"/>
      <c r="H19" s="64"/>
      <c r="I19" s="64"/>
      <c r="J19" s="64"/>
      <c r="K19" s="64"/>
      <c r="L19" s="64"/>
      <c r="M19" s="64"/>
      <c r="N19" s="64"/>
      <c r="O19" s="64"/>
      <c r="P19" s="64"/>
      <c r="Q19" s="64"/>
      <c r="R19" s="64"/>
      <c r="S19" s="64"/>
      <c r="T19" s="64"/>
      <c r="U19" s="64"/>
      <c r="V19" s="64"/>
      <c r="W19" s="64"/>
      <c r="X19" s="64"/>
      <c r="Y19" s="64"/>
      <c r="Z19" s="64"/>
    </row>
    <row r="20" ht="12.75" customHeight="1">
      <c r="A20" s="113" t="str">
        <f t="array" ref="A20">IFERROR(INDEX(Papers!$A$2:$A$201,MATCH(1,INDEX((Papers!$G$2:$G$201=$B$1)*(Papers!$I$2:$I$201=8),0),0)),"")</f>
        <v/>
      </c>
      <c r="B20" s="113" t="str">
        <f t="array" ref="B20">IFERROR(INDEX(Papers!$C$2:$C$201,MATCH(1,INDEX((Papers!$G$2:$G$201=$B$1)*(Papers!$I$2:$I$201=8),0),0)),"")</f>
        <v/>
      </c>
      <c r="C20" s="113" t="str">
        <f t="array" ref="C20">IFERROR(INDEX(Papers!$D$2:$D$201,MATCH(1,INDEX((Papers!$G$2:$G$201=$B$1)*(Papers!$I$2:$I$201=8),0),0)),"")</f>
        <v/>
      </c>
      <c r="D20" s="125"/>
      <c r="E20" s="86" t="str">
        <f t="array" ref="E20">IFERROR(INDEX(Papers!$E$2:$E$201,MATCH(1,INDEX((Papers!$G$2:$G$201=$B$1)*(Papers!$I$2:$I$201=8),0),0)),"")</f>
        <v/>
      </c>
      <c r="F20" s="67"/>
      <c r="G20" s="64"/>
      <c r="H20" s="64"/>
      <c r="I20" s="64"/>
      <c r="J20" s="64"/>
      <c r="K20" s="64"/>
      <c r="L20" s="64"/>
      <c r="M20" s="64"/>
      <c r="N20" s="64"/>
      <c r="O20" s="64"/>
      <c r="P20" s="64"/>
      <c r="Q20" s="64"/>
      <c r="R20" s="64"/>
      <c r="S20" s="64"/>
      <c r="T20" s="64"/>
      <c r="U20" s="64"/>
      <c r="V20" s="64"/>
      <c r="W20" s="64"/>
      <c r="X20" s="64"/>
      <c r="Y20" s="64"/>
      <c r="Z20" s="64"/>
    </row>
    <row r="21" ht="12.75" customHeight="1">
      <c r="A21" s="108"/>
      <c r="B21" s="64"/>
      <c r="C21" s="64"/>
      <c r="E21" s="64"/>
      <c r="F21" s="63"/>
      <c r="G21" s="64"/>
      <c r="H21" s="64"/>
      <c r="I21" s="64"/>
      <c r="J21" s="64"/>
      <c r="K21" s="64"/>
      <c r="L21" s="64"/>
      <c r="M21" s="64"/>
      <c r="N21" s="64"/>
      <c r="O21" s="64"/>
      <c r="P21" s="64"/>
      <c r="Q21" s="64"/>
      <c r="R21" s="64"/>
      <c r="S21" s="64"/>
      <c r="T21" s="64"/>
      <c r="U21" s="64"/>
      <c r="V21" s="64"/>
      <c r="W21" s="64"/>
      <c r="X21" s="64"/>
      <c r="Y21" s="64"/>
      <c r="Z21" s="64"/>
    </row>
    <row r="22" ht="12.75" customHeight="1">
      <c r="A22" s="108"/>
      <c r="B22" s="64"/>
      <c r="C22" s="64"/>
      <c r="D22" s="64"/>
      <c r="E22" s="64"/>
      <c r="F22" s="63"/>
      <c r="G22" s="63"/>
      <c r="H22" s="64"/>
      <c r="I22" s="64"/>
      <c r="J22" s="64"/>
      <c r="K22" s="64"/>
      <c r="L22" s="64"/>
      <c r="M22" s="64"/>
      <c r="N22" s="64"/>
      <c r="O22" s="64"/>
      <c r="P22" s="64"/>
      <c r="Q22" s="64"/>
      <c r="R22" s="64"/>
      <c r="S22" s="64"/>
      <c r="T22" s="64"/>
      <c r="U22" s="64"/>
      <c r="V22" s="64"/>
      <c r="W22" s="64"/>
      <c r="X22" s="64"/>
      <c r="Y22" s="64"/>
      <c r="Z22" s="64"/>
    </row>
    <row r="23" ht="12.75" customHeight="1">
      <c r="A23" s="108"/>
      <c r="B23" s="64"/>
      <c r="C23" s="64"/>
      <c r="D23" s="64"/>
      <c r="E23" s="64"/>
      <c r="F23" s="63"/>
      <c r="G23" s="63"/>
      <c r="H23" s="64"/>
      <c r="I23" s="64"/>
      <c r="J23" s="64"/>
      <c r="K23" s="64"/>
      <c r="L23" s="64"/>
      <c r="M23" s="64"/>
      <c r="N23" s="64"/>
      <c r="O23" s="64"/>
      <c r="P23" s="64"/>
      <c r="Q23" s="64"/>
      <c r="R23" s="64"/>
      <c r="S23" s="64"/>
      <c r="T23" s="64"/>
      <c r="U23" s="64"/>
      <c r="V23" s="64"/>
      <c r="W23" s="64"/>
      <c r="X23" s="64"/>
      <c r="Y23" s="64"/>
      <c r="Z23" s="64"/>
    </row>
    <row r="24" ht="12.75" customHeight="1">
      <c r="A24" s="108"/>
      <c r="B24" s="64"/>
      <c r="C24" s="64"/>
      <c r="D24" s="64"/>
      <c r="E24" s="64"/>
      <c r="F24" s="63"/>
      <c r="G24" s="63"/>
      <c r="H24" s="64"/>
      <c r="I24" s="64"/>
      <c r="J24" s="64"/>
      <c r="K24" s="64"/>
      <c r="L24" s="64"/>
      <c r="M24" s="64"/>
      <c r="N24" s="64"/>
      <c r="O24" s="64"/>
      <c r="P24" s="64"/>
      <c r="Q24" s="64"/>
      <c r="R24" s="64"/>
      <c r="S24" s="64"/>
      <c r="T24" s="64"/>
      <c r="U24" s="64"/>
      <c r="V24" s="64"/>
      <c r="W24" s="64"/>
      <c r="X24" s="64"/>
      <c r="Y24" s="64"/>
      <c r="Z24" s="64"/>
    </row>
    <row r="25" ht="12.75" customHeight="1">
      <c r="A25" s="108"/>
      <c r="B25" s="64"/>
      <c r="C25" s="64"/>
      <c r="D25" s="64"/>
      <c r="E25" s="64"/>
      <c r="F25" s="63"/>
      <c r="G25" s="63"/>
      <c r="H25" s="64"/>
      <c r="I25" s="64"/>
      <c r="J25" s="64"/>
      <c r="K25" s="64"/>
      <c r="L25" s="64"/>
      <c r="M25" s="64"/>
      <c r="N25" s="64"/>
      <c r="O25" s="64"/>
      <c r="P25" s="64"/>
      <c r="Q25" s="64"/>
      <c r="R25" s="64"/>
      <c r="S25" s="64"/>
      <c r="T25" s="64"/>
      <c r="U25" s="64"/>
      <c r="V25" s="64"/>
      <c r="W25" s="64"/>
      <c r="X25" s="64"/>
      <c r="Y25" s="64"/>
      <c r="Z25" s="64"/>
    </row>
    <row r="26" ht="12.75" customHeight="1">
      <c r="A26" s="108"/>
      <c r="B26" s="64"/>
      <c r="C26" s="64"/>
      <c r="D26" s="64"/>
      <c r="E26" s="64"/>
      <c r="F26" s="63"/>
      <c r="G26" s="63"/>
      <c r="H26" s="64"/>
      <c r="I26" s="64"/>
      <c r="J26" s="64"/>
      <c r="K26" s="64"/>
      <c r="L26" s="64"/>
      <c r="M26" s="64"/>
      <c r="N26" s="64"/>
      <c r="O26" s="64"/>
      <c r="P26" s="64"/>
      <c r="Q26" s="64"/>
      <c r="R26" s="64"/>
      <c r="S26" s="64"/>
      <c r="T26" s="64"/>
      <c r="U26" s="64"/>
      <c r="V26" s="64"/>
      <c r="W26" s="64"/>
      <c r="X26" s="64"/>
      <c r="Y26" s="64"/>
      <c r="Z26" s="64"/>
    </row>
    <row r="27" ht="12.75" customHeight="1">
      <c r="A27" s="108"/>
      <c r="B27" s="64"/>
      <c r="C27" s="64"/>
      <c r="D27" s="64"/>
      <c r="E27" s="64"/>
      <c r="F27" s="63"/>
      <c r="G27" s="63"/>
      <c r="H27" s="64"/>
      <c r="I27" s="64"/>
      <c r="J27" s="64"/>
      <c r="K27" s="64"/>
      <c r="L27" s="64"/>
      <c r="M27" s="64"/>
      <c r="N27" s="64"/>
      <c r="O27" s="64"/>
      <c r="P27" s="64"/>
      <c r="Q27" s="64"/>
      <c r="R27" s="64"/>
      <c r="S27" s="64"/>
      <c r="T27" s="64"/>
      <c r="U27" s="64"/>
      <c r="V27" s="64"/>
      <c r="W27" s="64"/>
      <c r="X27" s="64"/>
      <c r="Y27" s="64"/>
      <c r="Z27" s="64"/>
    </row>
    <row r="28" ht="12.75" customHeight="1">
      <c r="A28" s="108"/>
      <c r="B28" s="64"/>
      <c r="C28" s="64"/>
      <c r="D28" s="64"/>
      <c r="E28" s="64"/>
      <c r="F28" s="63"/>
      <c r="G28" s="63"/>
      <c r="H28" s="64"/>
      <c r="I28" s="64"/>
      <c r="J28" s="64"/>
      <c r="K28" s="64"/>
      <c r="L28" s="64"/>
      <c r="M28" s="64"/>
      <c r="N28" s="64"/>
      <c r="O28" s="64"/>
      <c r="P28" s="64"/>
      <c r="Q28" s="64"/>
      <c r="R28" s="64"/>
      <c r="S28" s="64"/>
      <c r="T28" s="64"/>
      <c r="U28" s="64"/>
      <c r="V28" s="64"/>
      <c r="W28" s="64"/>
      <c r="X28" s="64"/>
      <c r="Y28" s="64"/>
      <c r="Z28" s="64"/>
    </row>
    <row r="29" ht="12.75" customHeight="1">
      <c r="A29" s="108"/>
      <c r="B29" s="64"/>
      <c r="C29" s="64"/>
      <c r="D29" s="64"/>
      <c r="E29" s="64"/>
      <c r="F29" s="63"/>
      <c r="G29" s="63"/>
      <c r="H29" s="64"/>
      <c r="I29" s="64"/>
      <c r="J29" s="64"/>
      <c r="K29" s="64"/>
      <c r="L29" s="64"/>
      <c r="M29" s="64"/>
      <c r="N29" s="64"/>
      <c r="O29" s="64"/>
      <c r="P29" s="64"/>
      <c r="Q29" s="64"/>
      <c r="R29" s="64"/>
      <c r="S29" s="64"/>
      <c r="T29" s="64"/>
      <c r="U29" s="64"/>
      <c r="V29" s="64"/>
      <c r="W29" s="64"/>
      <c r="X29" s="64"/>
      <c r="Y29" s="64"/>
      <c r="Z29" s="64"/>
    </row>
    <row r="30" ht="12.75" customHeight="1">
      <c r="A30" s="108"/>
      <c r="B30" s="64"/>
      <c r="C30" s="64"/>
      <c r="D30" s="64"/>
      <c r="E30" s="64"/>
      <c r="F30" s="63"/>
      <c r="G30" s="63"/>
      <c r="H30" s="64"/>
      <c r="I30" s="64"/>
      <c r="J30" s="64"/>
      <c r="K30" s="64"/>
      <c r="L30" s="64"/>
      <c r="M30" s="64"/>
      <c r="N30" s="64"/>
      <c r="O30" s="64"/>
      <c r="P30" s="64"/>
      <c r="Q30" s="64"/>
      <c r="R30" s="64"/>
      <c r="S30" s="64"/>
      <c r="T30" s="64"/>
      <c r="U30" s="64"/>
      <c r="V30" s="64"/>
      <c r="W30" s="64"/>
      <c r="X30" s="64"/>
      <c r="Y30" s="64"/>
      <c r="Z30" s="64"/>
    </row>
    <row r="31" ht="12.75" customHeight="1">
      <c r="A31" s="108"/>
      <c r="B31" s="64"/>
      <c r="C31" s="64"/>
      <c r="D31" s="64"/>
      <c r="E31" s="64"/>
      <c r="F31" s="63"/>
      <c r="G31" s="63"/>
      <c r="H31" s="64"/>
      <c r="I31" s="64"/>
      <c r="J31" s="64"/>
      <c r="K31" s="64"/>
      <c r="L31" s="64"/>
      <c r="M31" s="64"/>
      <c r="N31" s="64"/>
      <c r="O31" s="64"/>
      <c r="P31" s="64"/>
      <c r="Q31" s="64"/>
      <c r="R31" s="64"/>
      <c r="S31" s="64"/>
      <c r="T31" s="64"/>
      <c r="U31" s="64"/>
      <c r="V31" s="64"/>
      <c r="W31" s="64"/>
      <c r="X31" s="64"/>
      <c r="Y31" s="64"/>
      <c r="Z31" s="64"/>
    </row>
    <row r="32" ht="12.75" customHeight="1">
      <c r="A32" s="108"/>
      <c r="B32" s="64"/>
      <c r="C32" s="64"/>
      <c r="D32" s="64"/>
      <c r="E32" s="64"/>
      <c r="F32" s="63"/>
      <c r="G32" s="63"/>
      <c r="H32" s="64"/>
      <c r="I32" s="64"/>
      <c r="J32" s="64"/>
      <c r="K32" s="64"/>
      <c r="L32" s="64"/>
      <c r="M32" s="64"/>
      <c r="N32" s="64"/>
      <c r="O32" s="64"/>
      <c r="P32" s="64"/>
      <c r="Q32" s="64"/>
      <c r="R32" s="64"/>
      <c r="S32" s="64"/>
      <c r="T32" s="64"/>
      <c r="U32" s="64"/>
      <c r="V32" s="64"/>
      <c r="W32" s="64"/>
      <c r="X32" s="64"/>
      <c r="Y32" s="64"/>
      <c r="Z32" s="64"/>
    </row>
    <row r="33" ht="12.75" customHeight="1">
      <c r="A33" s="108"/>
      <c r="B33" s="64"/>
      <c r="C33" s="64"/>
      <c r="D33" s="64"/>
      <c r="E33" s="64"/>
      <c r="F33" s="63"/>
      <c r="G33" s="63"/>
      <c r="H33" s="64"/>
      <c r="I33" s="64"/>
      <c r="J33" s="64"/>
      <c r="K33" s="64"/>
      <c r="L33" s="64"/>
      <c r="M33" s="64"/>
      <c r="N33" s="64"/>
      <c r="O33" s="64"/>
      <c r="P33" s="64"/>
      <c r="Q33" s="64"/>
      <c r="R33" s="64"/>
      <c r="S33" s="64"/>
      <c r="T33" s="64"/>
      <c r="U33" s="64"/>
      <c r="V33" s="64"/>
      <c r="W33" s="64"/>
      <c r="X33" s="64"/>
      <c r="Y33" s="64"/>
      <c r="Z33" s="64"/>
    </row>
    <row r="34" ht="12.75" customHeight="1">
      <c r="A34" s="108"/>
      <c r="B34" s="64"/>
      <c r="C34" s="64"/>
      <c r="D34" s="64"/>
      <c r="E34" s="64"/>
      <c r="F34" s="63"/>
      <c r="G34" s="63"/>
      <c r="H34" s="64"/>
      <c r="I34" s="64"/>
      <c r="J34" s="64"/>
      <c r="K34" s="64"/>
      <c r="L34" s="64"/>
      <c r="M34" s="64"/>
      <c r="N34" s="64"/>
      <c r="O34" s="64"/>
      <c r="P34" s="64"/>
      <c r="Q34" s="64"/>
      <c r="R34" s="64"/>
      <c r="S34" s="64"/>
      <c r="T34" s="64"/>
      <c r="U34" s="64"/>
      <c r="V34" s="64"/>
      <c r="W34" s="64"/>
      <c r="X34" s="64"/>
      <c r="Y34" s="64"/>
      <c r="Z34" s="64"/>
    </row>
    <row r="35" ht="12.75" customHeight="1">
      <c r="A35" s="108"/>
      <c r="B35" s="64"/>
      <c r="C35" s="64"/>
      <c r="D35" s="64"/>
      <c r="E35" s="64"/>
      <c r="F35" s="63"/>
      <c r="G35" s="63"/>
      <c r="H35" s="64"/>
      <c r="I35" s="64"/>
      <c r="J35" s="64"/>
      <c r="K35" s="64"/>
      <c r="L35" s="64"/>
      <c r="M35" s="64"/>
      <c r="N35" s="64"/>
      <c r="O35" s="64"/>
      <c r="P35" s="64"/>
      <c r="Q35" s="64"/>
      <c r="R35" s="64"/>
      <c r="S35" s="64"/>
      <c r="T35" s="64"/>
      <c r="U35" s="64"/>
      <c r="V35" s="64"/>
      <c r="W35" s="64"/>
      <c r="X35" s="64"/>
      <c r="Y35" s="64"/>
      <c r="Z35" s="64"/>
    </row>
    <row r="36" ht="12.75" customHeight="1">
      <c r="A36" s="108"/>
      <c r="B36" s="64"/>
      <c r="C36" s="64"/>
      <c r="D36" s="64"/>
      <c r="E36" s="64"/>
      <c r="F36" s="63"/>
      <c r="G36" s="63"/>
      <c r="H36" s="64"/>
      <c r="I36" s="64"/>
      <c r="J36" s="64"/>
      <c r="K36" s="64"/>
      <c r="L36" s="64"/>
      <c r="M36" s="64"/>
      <c r="N36" s="64"/>
      <c r="O36" s="64"/>
      <c r="P36" s="64"/>
      <c r="Q36" s="64"/>
      <c r="R36" s="64"/>
      <c r="S36" s="64"/>
      <c r="T36" s="64"/>
      <c r="U36" s="64"/>
      <c r="V36" s="64"/>
      <c r="W36" s="64"/>
      <c r="X36" s="64"/>
      <c r="Y36" s="64"/>
      <c r="Z36" s="64"/>
    </row>
    <row r="37" ht="12.75" customHeight="1">
      <c r="A37" s="108"/>
      <c r="B37" s="64"/>
      <c r="C37" s="64"/>
      <c r="D37" s="64"/>
      <c r="E37" s="64"/>
      <c r="F37" s="63"/>
      <c r="G37" s="63"/>
      <c r="H37" s="64"/>
      <c r="I37" s="64"/>
      <c r="J37" s="64"/>
      <c r="K37" s="64"/>
      <c r="L37" s="64"/>
      <c r="M37" s="64"/>
      <c r="N37" s="64"/>
      <c r="O37" s="64"/>
      <c r="P37" s="64"/>
      <c r="Q37" s="64"/>
      <c r="R37" s="64"/>
      <c r="S37" s="64"/>
      <c r="T37" s="64"/>
      <c r="U37" s="64"/>
      <c r="V37" s="64"/>
      <c r="W37" s="64"/>
      <c r="X37" s="64"/>
      <c r="Y37" s="64"/>
      <c r="Z37" s="64"/>
    </row>
    <row r="38" ht="12.75" customHeight="1">
      <c r="A38" s="108"/>
      <c r="B38" s="64"/>
      <c r="C38" s="64"/>
      <c r="D38" s="64"/>
      <c r="E38" s="64"/>
      <c r="F38" s="63"/>
      <c r="G38" s="63"/>
      <c r="H38" s="64"/>
      <c r="I38" s="64"/>
      <c r="J38" s="64"/>
      <c r="K38" s="64"/>
      <c r="L38" s="64"/>
      <c r="M38" s="64"/>
      <c r="N38" s="64"/>
      <c r="O38" s="64"/>
      <c r="P38" s="64"/>
      <c r="Q38" s="64"/>
      <c r="R38" s="64"/>
      <c r="S38" s="64"/>
      <c r="T38" s="64"/>
      <c r="U38" s="64"/>
      <c r="V38" s="64"/>
      <c r="W38" s="64"/>
      <c r="X38" s="64"/>
      <c r="Y38" s="64"/>
      <c r="Z38" s="64"/>
    </row>
    <row r="39" ht="12.75" customHeight="1">
      <c r="A39" s="108"/>
      <c r="B39" s="64"/>
      <c r="C39" s="64"/>
      <c r="D39" s="64"/>
      <c r="E39" s="64"/>
      <c r="F39" s="63"/>
      <c r="G39" s="63"/>
      <c r="H39" s="64"/>
      <c r="I39" s="64"/>
      <c r="J39" s="64"/>
      <c r="K39" s="64"/>
      <c r="L39" s="64"/>
      <c r="M39" s="64"/>
      <c r="N39" s="64"/>
      <c r="O39" s="64"/>
      <c r="P39" s="64"/>
      <c r="Q39" s="64"/>
      <c r="R39" s="64"/>
      <c r="S39" s="64"/>
      <c r="T39" s="64"/>
      <c r="U39" s="64"/>
      <c r="V39" s="64"/>
      <c r="W39" s="64"/>
      <c r="X39" s="64"/>
      <c r="Y39" s="64"/>
      <c r="Z39" s="64"/>
    </row>
    <row r="40" ht="12.75" customHeight="1">
      <c r="A40" s="108"/>
      <c r="B40" s="64"/>
      <c r="C40" s="64"/>
      <c r="D40" s="64"/>
      <c r="E40" s="64"/>
      <c r="F40" s="63"/>
      <c r="G40" s="63"/>
      <c r="H40" s="64"/>
      <c r="I40" s="64"/>
      <c r="J40" s="64"/>
      <c r="K40" s="64"/>
      <c r="L40" s="64"/>
      <c r="M40" s="64"/>
      <c r="N40" s="64"/>
      <c r="O40" s="64"/>
      <c r="P40" s="64"/>
      <c r="Q40" s="64"/>
      <c r="R40" s="64"/>
      <c r="S40" s="64"/>
      <c r="T40" s="64"/>
      <c r="U40" s="64"/>
      <c r="V40" s="64"/>
      <c r="W40" s="64"/>
      <c r="X40" s="64"/>
      <c r="Y40" s="64"/>
      <c r="Z40" s="64"/>
    </row>
    <row r="41" ht="12.75" customHeight="1">
      <c r="A41" s="108"/>
      <c r="B41" s="64"/>
      <c r="C41" s="64"/>
      <c r="D41" s="64"/>
      <c r="E41" s="64"/>
      <c r="F41" s="63"/>
      <c r="G41" s="63"/>
      <c r="H41" s="64"/>
      <c r="I41" s="64"/>
      <c r="J41" s="64"/>
      <c r="K41" s="64"/>
      <c r="L41" s="64"/>
      <c r="M41" s="64"/>
      <c r="N41" s="64"/>
      <c r="O41" s="64"/>
      <c r="P41" s="64"/>
      <c r="Q41" s="64"/>
      <c r="R41" s="64"/>
      <c r="S41" s="64"/>
      <c r="T41" s="64"/>
      <c r="U41" s="64"/>
      <c r="V41" s="64"/>
      <c r="W41" s="64"/>
      <c r="X41" s="64"/>
      <c r="Y41" s="64"/>
      <c r="Z41" s="64"/>
    </row>
    <row r="42" ht="12.75" customHeight="1">
      <c r="A42" s="108"/>
      <c r="B42" s="64"/>
      <c r="C42" s="64"/>
      <c r="D42" s="64"/>
      <c r="E42" s="64"/>
      <c r="F42" s="63"/>
      <c r="G42" s="63"/>
      <c r="H42" s="64"/>
      <c r="I42" s="64"/>
      <c r="J42" s="64"/>
      <c r="K42" s="64"/>
      <c r="L42" s="64"/>
      <c r="M42" s="64"/>
      <c r="N42" s="64"/>
      <c r="O42" s="64"/>
      <c r="P42" s="64"/>
      <c r="Q42" s="64"/>
      <c r="R42" s="64"/>
      <c r="S42" s="64"/>
      <c r="T42" s="64"/>
      <c r="U42" s="64"/>
      <c r="V42" s="64"/>
      <c r="W42" s="64"/>
      <c r="X42" s="64"/>
      <c r="Y42" s="64"/>
      <c r="Z42" s="64"/>
    </row>
    <row r="43" ht="12.75" customHeight="1">
      <c r="A43" s="108"/>
      <c r="B43" s="64"/>
      <c r="C43" s="64"/>
      <c r="D43" s="64"/>
      <c r="E43" s="64"/>
      <c r="F43" s="63"/>
      <c r="G43" s="63"/>
      <c r="H43" s="64"/>
      <c r="I43" s="64"/>
      <c r="J43" s="64"/>
      <c r="K43" s="64"/>
      <c r="L43" s="64"/>
      <c r="M43" s="64"/>
      <c r="N43" s="64"/>
      <c r="O43" s="64"/>
      <c r="P43" s="64"/>
      <c r="Q43" s="64"/>
      <c r="R43" s="64"/>
      <c r="S43" s="64"/>
      <c r="T43" s="64"/>
      <c r="U43" s="64"/>
      <c r="V43" s="64"/>
      <c r="W43" s="64"/>
      <c r="X43" s="64"/>
      <c r="Y43" s="64"/>
      <c r="Z43" s="64"/>
    </row>
    <row r="44" ht="12.75" customHeight="1">
      <c r="A44" s="108"/>
      <c r="B44" s="64"/>
      <c r="C44" s="64"/>
      <c r="D44" s="64"/>
      <c r="E44" s="64"/>
      <c r="F44" s="63"/>
      <c r="G44" s="63"/>
      <c r="H44" s="64"/>
      <c r="I44" s="64"/>
      <c r="J44" s="64"/>
      <c r="K44" s="64"/>
      <c r="L44" s="64"/>
      <c r="M44" s="64"/>
      <c r="N44" s="64"/>
      <c r="O44" s="64"/>
      <c r="P44" s="64"/>
      <c r="Q44" s="64"/>
      <c r="R44" s="64"/>
      <c r="S44" s="64"/>
      <c r="T44" s="64"/>
      <c r="U44" s="64"/>
      <c r="V44" s="64"/>
      <c r="W44" s="64"/>
      <c r="X44" s="64"/>
      <c r="Y44" s="64"/>
      <c r="Z44" s="64"/>
    </row>
    <row r="45" ht="12.75" customHeight="1">
      <c r="A45" s="108"/>
      <c r="B45" s="64"/>
      <c r="C45" s="64"/>
      <c r="D45" s="64"/>
      <c r="E45" s="64"/>
      <c r="F45" s="63"/>
      <c r="G45" s="63"/>
      <c r="H45" s="64"/>
      <c r="I45" s="64"/>
      <c r="J45" s="64"/>
      <c r="K45" s="64"/>
      <c r="L45" s="64"/>
      <c r="M45" s="64"/>
      <c r="N45" s="64"/>
      <c r="O45" s="64"/>
      <c r="P45" s="64"/>
      <c r="Q45" s="64"/>
      <c r="R45" s="64"/>
      <c r="S45" s="64"/>
      <c r="T45" s="64"/>
      <c r="U45" s="64"/>
      <c r="V45" s="64"/>
      <c r="W45" s="64"/>
      <c r="X45" s="64"/>
      <c r="Y45" s="64"/>
      <c r="Z45" s="64"/>
    </row>
    <row r="46" ht="12.75" customHeight="1">
      <c r="A46" s="108"/>
      <c r="B46" s="64"/>
      <c r="C46" s="64"/>
      <c r="D46" s="64"/>
      <c r="E46" s="64"/>
      <c r="F46" s="63"/>
      <c r="G46" s="63"/>
      <c r="H46" s="64"/>
      <c r="I46" s="64"/>
      <c r="J46" s="64"/>
      <c r="K46" s="64"/>
      <c r="L46" s="64"/>
      <c r="M46" s="64"/>
      <c r="N46" s="64"/>
      <c r="O46" s="64"/>
      <c r="P46" s="64"/>
      <c r="Q46" s="64"/>
      <c r="R46" s="64"/>
      <c r="S46" s="64"/>
      <c r="T46" s="64"/>
      <c r="U46" s="64"/>
      <c r="V46" s="64"/>
      <c r="W46" s="64"/>
      <c r="X46" s="64"/>
      <c r="Y46" s="64"/>
      <c r="Z46" s="64"/>
    </row>
    <row r="47" ht="12.75" customHeight="1">
      <c r="A47" s="108"/>
      <c r="B47" s="64"/>
      <c r="C47" s="64"/>
      <c r="D47" s="64"/>
      <c r="E47" s="64"/>
      <c r="F47" s="63"/>
      <c r="G47" s="63"/>
      <c r="H47" s="64"/>
      <c r="I47" s="64"/>
      <c r="J47" s="64"/>
      <c r="K47" s="64"/>
      <c r="L47" s="64"/>
      <c r="M47" s="64"/>
      <c r="N47" s="64"/>
      <c r="O47" s="64"/>
      <c r="P47" s="64"/>
      <c r="Q47" s="64"/>
      <c r="R47" s="64"/>
      <c r="S47" s="64"/>
      <c r="T47" s="64"/>
      <c r="U47" s="64"/>
      <c r="V47" s="64"/>
      <c r="W47" s="64"/>
      <c r="X47" s="64"/>
      <c r="Y47" s="64"/>
      <c r="Z47" s="64"/>
    </row>
    <row r="48" ht="12.75" customHeight="1">
      <c r="A48" s="108"/>
      <c r="B48" s="64"/>
      <c r="C48" s="64"/>
      <c r="D48" s="64"/>
      <c r="E48" s="64"/>
      <c r="F48" s="63"/>
      <c r="G48" s="63"/>
      <c r="H48" s="64"/>
      <c r="I48" s="64"/>
      <c r="J48" s="64"/>
      <c r="K48" s="64"/>
      <c r="L48" s="64"/>
      <c r="M48" s="64"/>
      <c r="N48" s="64"/>
      <c r="O48" s="64"/>
      <c r="P48" s="64"/>
      <c r="Q48" s="64"/>
      <c r="R48" s="64"/>
      <c r="S48" s="64"/>
      <c r="T48" s="64"/>
      <c r="U48" s="64"/>
      <c r="V48" s="64"/>
      <c r="W48" s="64"/>
      <c r="X48" s="64"/>
      <c r="Y48" s="64"/>
      <c r="Z48" s="64"/>
    </row>
    <row r="49" ht="12.75" customHeight="1">
      <c r="A49" s="108"/>
      <c r="B49" s="64"/>
      <c r="C49" s="64"/>
      <c r="D49" s="64"/>
      <c r="E49" s="64"/>
      <c r="F49" s="63"/>
      <c r="G49" s="63"/>
      <c r="H49" s="64"/>
      <c r="I49" s="64"/>
      <c r="J49" s="64"/>
      <c r="K49" s="64"/>
      <c r="L49" s="64"/>
      <c r="M49" s="64"/>
      <c r="N49" s="64"/>
      <c r="O49" s="64"/>
      <c r="P49" s="64"/>
      <c r="Q49" s="64"/>
      <c r="R49" s="64"/>
      <c r="S49" s="64"/>
      <c r="T49" s="64"/>
      <c r="U49" s="64"/>
      <c r="V49" s="64"/>
      <c r="W49" s="64"/>
      <c r="X49" s="64"/>
      <c r="Y49" s="64"/>
      <c r="Z49" s="64"/>
    </row>
    <row r="50" ht="12.75" customHeight="1">
      <c r="A50" s="108"/>
      <c r="B50" s="64"/>
      <c r="C50" s="64"/>
      <c r="D50" s="64"/>
      <c r="E50" s="64"/>
      <c r="F50" s="63"/>
      <c r="G50" s="63"/>
      <c r="H50" s="64"/>
      <c r="I50" s="64"/>
      <c r="J50" s="64"/>
      <c r="K50" s="64"/>
      <c r="L50" s="64"/>
      <c r="M50" s="64"/>
      <c r="N50" s="64"/>
      <c r="O50" s="64"/>
      <c r="P50" s="64"/>
      <c r="Q50" s="64"/>
      <c r="R50" s="64"/>
      <c r="S50" s="64"/>
      <c r="T50" s="64"/>
      <c r="U50" s="64"/>
      <c r="V50" s="64"/>
      <c r="W50" s="64"/>
      <c r="X50" s="64"/>
      <c r="Y50" s="64"/>
      <c r="Z50" s="64"/>
    </row>
    <row r="51" ht="12.75" customHeight="1">
      <c r="A51" s="108"/>
      <c r="B51" s="64"/>
      <c r="C51" s="64"/>
      <c r="D51" s="64"/>
      <c r="E51" s="64"/>
      <c r="F51" s="63"/>
      <c r="G51" s="63"/>
      <c r="H51" s="64"/>
      <c r="I51" s="64"/>
      <c r="J51" s="64"/>
      <c r="K51" s="64"/>
      <c r="L51" s="64"/>
      <c r="M51" s="64"/>
      <c r="N51" s="64"/>
      <c r="O51" s="64"/>
      <c r="P51" s="64"/>
      <c r="Q51" s="64"/>
      <c r="R51" s="64"/>
      <c r="S51" s="64"/>
      <c r="T51" s="64"/>
      <c r="U51" s="64"/>
      <c r="V51" s="64"/>
      <c r="W51" s="64"/>
      <c r="X51" s="64"/>
      <c r="Y51" s="64"/>
      <c r="Z51" s="64"/>
    </row>
    <row r="52" ht="12.75" customHeight="1">
      <c r="A52" s="108"/>
      <c r="B52" s="64"/>
      <c r="C52" s="64"/>
      <c r="D52" s="64"/>
      <c r="E52" s="64"/>
      <c r="F52" s="63"/>
      <c r="G52" s="63"/>
      <c r="H52" s="64"/>
      <c r="I52" s="64"/>
      <c r="J52" s="64"/>
      <c r="K52" s="64"/>
      <c r="L52" s="64"/>
      <c r="M52" s="64"/>
      <c r="N52" s="64"/>
      <c r="O52" s="64"/>
      <c r="P52" s="64"/>
      <c r="Q52" s="64"/>
      <c r="R52" s="64"/>
      <c r="S52" s="64"/>
      <c r="T52" s="64"/>
      <c r="U52" s="64"/>
      <c r="V52" s="64"/>
      <c r="W52" s="64"/>
      <c r="X52" s="64"/>
      <c r="Y52" s="64"/>
      <c r="Z52" s="64"/>
    </row>
    <row r="53" ht="12.75" customHeight="1">
      <c r="A53" s="108"/>
      <c r="B53" s="64"/>
      <c r="C53" s="64"/>
      <c r="D53" s="64"/>
      <c r="E53" s="64"/>
      <c r="F53" s="63"/>
      <c r="G53" s="63"/>
      <c r="H53" s="64"/>
      <c r="I53" s="64"/>
      <c r="J53" s="64"/>
      <c r="K53" s="64"/>
      <c r="L53" s="64"/>
      <c r="M53" s="64"/>
      <c r="N53" s="64"/>
      <c r="O53" s="64"/>
      <c r="P53" s="64"/>
      <c r="Q53" s="64"/>
      <c r="R53" s="64"/>
      <c r="S53" s="64"/>
      <c r="T53" s="64"/>
      <c r="U53" s="64"/>
      <c r="V53" s="64"/>
      <c r="W53" s="64"/>
      <c r="X53" s="64"/>
      <c r="Y53" s="64"/>
      <c r="Z53" s="64"/>
    </row>
    <row r="54" ht="12.75" customHeight="1">
      <c r="A54" s="108"/>
      <c r="B54" s="64"/>
      <c r="C54" s="64"/>
      <c r="D54" s="64"/>
      <c r="E54" s="64"/>
      <c r="F54" s="63"/>
      <c r="G54" s="63"/>
      <c r="H54" s="64"/>
      <c r="I54" s="64"/>
      <c r="J54" s="64"/>
      <c r="K54" s="64"/>
      <c r="L54" s="64"/>
      <c r="M54" s="64"/>
      <c r="N54" s="64"/>
      <c r="O54" s="64"/>
      <c r="P54" s="64"/>
      <c r="Q54" s="64"/>
      <c r="R54" s="64"/>
      <c r="S54" s="64"/>
      <c r="T54" s="64"/>
      <c r="U54" s="64"/>
      <c r="V54" s="64"/>
      <c r="W54" s="64"/>
      <c r="X54" s="64"/>
      <c r="Y54" s="64"/>
      <c r="Z54" s="64"/>
    </row>
    <row r="55" ht="12.75" customHeight="1">
      <c r="A55" s="108"/>
      <c r="B55" s="64"/>
      <c r="C55" s="64"/>
      <c r="D55" s="64"/>
      <c r="E55" s="64"/>
      <c r="F55" s="63"/>
      <c r="G55" s="63"/>
      <c r="H55" s="64"/>
      <c r="I55" s="64"/>
      <c r="J55" s="64"/>
      <c r="K55" s="64"/>
      <c r="L55" s="64"/>
      <c r="M55" s="64"/>
      <c r="N55" s="64"/>
      <c r="O55" s="64"/>
      <c r="P55" s="64"/>
      <c r="Q55" s="64"/>
      <c r="R55" s="64"/>
      <c r="S55" s="64"/>
      <c r="T55" s="64"/>
      <c r="U55" s="64"/>
      <c r="V55" s="64"/>
      <c r="W55" s="64"/>
      <c r="X55" s="64"/>
      <c r="Y55" s="64"/>
      <c r="Z55" s="64"/>
    </row>
    <row r="56" ht="12.75" customHeight="1">
      <c r="A56" s="108"/>
      <c r="B56" s="64"/>
      <c r="C56" s="64"/>
      <c r="D56" s="64"/>
      <c r="E56" s="64"/>
      <c r="F56" s="63"/>
      <c r="G56" s="63"/>
      <c r="H56" s="64"/>
      <c r="I56" s="64"/>
      <c r="J56" s="64"/>
      <c r="K56" s="64"/>
      <c r="L56" s="64"/>
      <c r="M56" s="64"/>
      <c r="N56" s="64"/>
      <c r="O56" s="64"/>
      <c r="P56" s="64"/>
      <c r="Q56" s="64"/>
      <c r="R56" s="64"/>
      <c r="S56" s="64"/>
      <c r="T56" s="64"/>
      <c r="U56" s="64"/>
      <c r="V56" s="64"/>
      <c r="W56" s="64"/>
      <c r="X56" s="64"/>
      <c r="Y56" s="64"/>
      <c r="Z56" s="64"/>
    </row>
    <row r="57" ht="12.75" customHeight="1">
      <c r="A57" s="108"/>
      <c r="B57" s="64"/>
      <c r="C57" s="64"/>
      <c r="D57" s="64"/>
      <c r="E57" s="64"/>
      <c r="F57" s="63"/>
      <c r="G57" s="63"/>
      <c r="H57" s="64"/>
      <c r="I57" s="64"/>
      <c r="J57" s="64"/>
      <c r="K57" s="64"/>
      <c r="L57" s="64"/>
      <c r="M57" s="64"/>
      <c r="N57" s="64"/>
      <c r="O57" s="64"/>
      <c r="P57" s="64"/>
      <c r="Q57" s="64"/>
      <c r="R57" s="64"/>
      <c r="S57" s="64"/>
      <c r="T57" s="64"/>
      <c r="U57" s="64"/>
      <c r="V57" s="64"/>
      <c r="W57" s="64"/>
      <c r="X57" s="64"/>
      <c r="Y57" s="64"/>
      <c r="Z57" s="64"/>
    </row>
    <row r="58" ht="12.75" customHeight="1">
      <c r="A58" s="108"/>
      <c r="B58" s="64"/>
      <c r="C58" s="64"/>
      <c r="D58" s="64"/>
      <c r="E58" s="64"/>
      <c r="F58" s="63"/>
      <c r="G58" s="63"/>
      <c r="H58" s="64"/>
      <c r="I58" s="64"/>
      <c r="J58" s="64"/>
      <c r="K58" s="64"/>
      <c r="L58" s="64"/>
      <c r="M58" s="64"/>
      <c r="N58" s="64"/>
      <c r="O58" s="64"/>
      <c r="P58" s="64"/>
      <c r="Q58" s="64"/>
      <c r="R58" s="64"/>
      <c r="S58" s="64"/>
      <c r="T58" s="64"/>
      <c r="U58" s="64"/>
      <c r="V58" s="64"/>
      <c r="W58" s="64"/>
      <c r="X58" s="64"/>
      <c r="Y58" s="64"/>
      <c r="Z58" s="64"/>
    </row>
    <row r="59" ht="12.75" customHeight="1">
      <c r="A59" s="108"/>
      <c r="B59" s="64"/>
      <c r="C59" s="64"/>
      <c r="D59" s="64"/>
      <c r="E59" s="64"/>
      <c r="F59" s="63"/>
      <c r="G59" s="63"/>
      <c r="H59" s="64"/>
      <c r="I59" s="64"/>
      <c r="J59" s="64"/>
      <c r="K59" s="64"/>
      <c r="L59" s="64"/>
      <c r="M59" s="64"/>
      <c r="N59" s="64"/>
      <c r="O59" s="64"/>
      <c r="P59" s="64"/>
      <c r="Q59" s="64"/>
      <c r="R59" s="64"/>
      <c r="S59" s="64"/>
      <c r="T59" s="64"/>
      <c r="U59" s="64"/>
      <c r="V59" s="64"/>
      <c r="W59" s="64"/>
      <c r="X59" s="64"/>
      <c r="Y59" s="64"/>
      <c r="Z59" s="64"/>
    </row>
    <row r="60" ht="12.75" customHeight="1">
      <c r="A60" s="108"/>
      <c r="B60" s="64"/>
      <c r="C60" s="64"/>
      <c r="D60" s="64"/>
      <c r="E60" s="64"/>
      <c r="F60" s="63"/>
      <c r="G60" s="63"/>
      <c r="H60" s="64"/>
      <c r="I60" s="64"/>
      <c r="J60" s="64"/>
      <c r="K60" s="64"/>
      <c r="L60" s="64"/>
      <c r="M60" s="64"/>
      <c r="N60" s="64"/>
      <c r="O60" s="64"/>
      <c r="P60" s="64"/>
      <c r="Q60" s="64"/>
      <c r="R60" s="64"/>
      <c r="S60" s="64"/>
      <c r="T60" s="64"/>
      <c r="U60" s="64"/>
      <c r="V60" s="64"/>
      <c r="W60" s="64"/>
      <c r="X60" s="64"/>
      <c r="Y60" s="64"/>
      <c r="Z60" s="64"/>
    </row>
    <row r="61" ht="12.75" customHeight="1">
      <c r="A61" s="108"/>
      <c r="B61" s="64"/>
      <c r="C61" s="64"/>
      <c r="D61" s="64"/>
      <c r="E61" s="64"/>
      <c r="F61" s="63"/>
      <c r="G61" s="63"/>
      <c r="H61" s="64"/>
      <c r="I61" s="64"/>
      <c r="J61" s="64"/>
      <c r="K61" s="64"/>
      <c r="L61" s="64"/>
      <c r="M61" s="64"/>
      <c r="N61" s="64"/>
      <c r="O61" s="64"/>
      <c r="P61" s="64"/>
      <c r="Q61" s="64"/>
      <c r="R61" s="64"/>
      <c r="S61" s="64"/>
      <c r="T61" s="64"/>
      <c r="U61" s="64"/>
      <c r="V61" s="64"/>
      <c r="W61" s="64"/>
      <c r="X61" s="64"/>
      <c r="Y61" s="64"/>
      <c r="Z61" s="64"/>
    </row>
    <row r="62" ht="12.75" customHeight="1">
      <c r="A62" s="108"/>
      <c r="B62" s="64"/>
      <c r="C62" s="64"/>
      <c r="D62" s="64"/>
      <c r="E62" s="64"/>
      <c r="F62" s="63"/>
      <c r="G62" s="63"/>
      <c r="H62" s="64"/>
      <c r="I62" s="64"/>
      <c r="J62" s="64"/>
      <c r="K62" s="64"/>
      <c r="L62" s="64"/>
      <c r="M62" s="64"/>
      <c r="N62" s="64"/>
      <c r="O62" s="64"/>
      <c r="P62" s="64"/>
      <c r="Q62" s="64"/>
      <c r="R62" s="64"/>
      <c r="S62" s="64"/>
      <c r="T62" s="64"/>
      <c r="U62" s="64"/>
      <c r="V62" s="64"/>
      <c r="W62" s="64"/>
      <c r="X62" s="64"/>
      <c r="Y62" s="64"/>
      <c r="Z62" s="64"/>
    </row>
    <row r="63" ht="12.75" customHeight="1">
      <c r="A63" s="108"/>
      <c r="B63" s="64"/>
      <c r="C63" s="64"/>
      <c r="D63" s="64"/>
      <c r="E63" s="64"/>
      <c r="F63" s="63"/>
      <c r="G63" s="63"/>
      <c r="H63" s="64"/>
      <c r="I63" s="64"/>
      <c r="J63" s="64"/>
      <c r="K63" s="64"/>
      <c r="L63" s="64"/>
      <c r="M63" s="64"/>
      <c r="N63" s="64"/>
      <c r="O63" s="64"/>
      <c r="P63" s="64"/>
      <c r="Q63" s="64"/>
      <c r="R63" s="64"/>
      <c r="S63" s="64"/>
      <c r="T63" s="64"/>
      <c r="U63" s="64"/>
      <c r="V63" s="64"/>
      <c r="W63" s="64"/>
      <c r="X63" s="64"/>
      <c r="Y63" s="64"/>
      <c r="Z63" s="64"/>
    </row>
    <row r="64" ht="12.75" customHeight="1">
      <c r="A64" s="108"/>
      <c r="B64" s="64"/>
      <c r="C64" s="64"/>
      <c r="D64" s="64"/>
      <c r="E64" s="64"/>
      <c r="F64" s="63"/>
      <c r="G64" s="63"/>
      <c r="H64" s="64"/>
      <c r="I64" s="64"/>
      <c r="J64" s="64"/>
      <c r="K64" s="64"/>
      <c r="L64" s="64"/>
      <c r="M64" s="64"/>
      <c r="N64" s="64"/>
      <c r="O64" s="64"/>
      <c r="P64" s="64"/>
      <c r="Q64" s="64"/>
      <c r="R64" s="64"/>
      <c r="S64" s="64"/>
      <c r="T64" s="64"/>
      <c r="U64" s="64"/>
      <c r="V64" s="64"/>
      <c r="W64" s="64"/>
      <c r="X64" s="64"/>
      <c r="Y64" s="64"/>
      <c r="Z64" s="64"/>
    </row>
    <row r="65" ht="12.75" customHeight="1">
      <c r="A65" s="108"/>
      <c r="B65" s="64"/>
      <c r="C65" s="64"/>
      <c r="D65" s="64"/>
      <c r="E65" s="64"/>
      <c r="F65" s="63"/>
      <c r="G65" s="63"/>
      <c r="H65" s="64"/>
      <c r="I65" s="64"/>
      <c r="J65" s="64"/>
      <c r="K65" s="64"/>
      <c r="L65" s="64"/>
      <c r="M65" s="64"/>
      <c r="N65" s="64"/>
      <c r="O65" s="64"/>
      <c r="P65" s="64"/>
      <c r="Q65" s="64"/>
      <c r="R65" s="64"/>
      <c r="S65" s="64"/>
      <c r="T65" s="64"/>
      <c r="U65" s="64"/>
      <c r="V65" s="64"/>
      <c r="W65" s="64"/>
      <c r="X65" s="64"/>
      <c r="Y65" s="64"/>
      <c r="Z65" s="64"/>
    </row>
    <row r="66" ht="12.75" customHeight="1">
      <c r="A66" s="108"/>
      <c r="B66" s="64"/>
      <c r="C66" s="64"/>
      <c r="D66" s="64"/>
      <c r="E66" s="64"/>
      <c r="F66" s="63"/>
      <c r="G66" s="63"/>
      <c r="H66" s="64"/>
      <c r="I66" s="64"/>
      <c r="J66" s="64"/>
      <c r="K66" s="64"/>
      <c r="L66" s="64"/>
      <c r="M66" s="64"/>
      <c r="N66" s="64"/>
      <c r="O66" s="64"/>
      <c r="P66" s="64"/>
      <c r="Q66" s="64"/>
      <c r="R66" s="64"/>
      <c r="S66" s="64"/>
      <c r="T66" s="64"/>
      <c r="U66" s="64"/>
      <c r="V66" s="64"/>
      <c r="W66" s="64"/>
      <c r="X66" s="64"/>
      <c r="Y66" s="64"/>
      <c r="Z66" s="64"/>
    </row>
    <row r="67" ht="12.75" customHeight="1">
      <c r="A67" s="108"/>
      <c r="B67" s="64"/>
      <c r="C67" s="64"/>
      <c r="D67" s="64"/>
      <c r="E67" s="64"/>
      <c r="F67" s="63"/>
      <c r="G67" s="63"/>
      <c r="H67" s="64"/>
      <c r="I67" s="64"/>
      <c r="J67" s="64"/>
      <c r="K67" s="64"/>
      <c r="L67" s="64"/>
      <c r="M67" s="64"/>
      <c r="N67" s="64"/>
      <c r="O67" s="64"/>
      <c r="P67" s="64"/>
      <c r="Q67" s="64"/>
      <c r="R67" s="64"/>
      <c r="S67" s="64"/>
      <c r="T67" s="64"/>
      <c r="U67" s="64"/>
      <c r="V67" s="64"/>
      <c r="W67" s="64"/>
      <c r="X67" s="64"/>
      <c r="Y67" s="64"/>
      <c r="Z67" s="64"/>
    </row>
    <row r="68" ht="12.75" customHeight="1">
      <c r="A68" s="108"/>
      <c r="B68" s="64"/>
      <c r="C68" s="64"/>
      <c r="D68" s="64"/>
      <c r="E68" s="64"/>
      <c r="F68" s="63"/>
      <c r="G68" s="63"/>
      <c r="H68" s="64"/>
      <c r="I68" s="64"/>
      <c r="J68" s="64"/>
      <c r="K68" s="64"/>
      <c r="L68" s="64"/>
      <c r="M68" s="64"/>
      <c r="N68" s="64"/>
      <c r="O68" s="64"/>
      <c r="P68" s="64"/>
      <c r="Q68" s="64"/>
      <c r="R68" s="64"/>
      <c r="S68" s="64"/>
      <c r="T68" s="64"/>
      <c r="U68" s="64"/>
      <c r="V68" s="64"/>
      <c r="W68" s="64"/>
      <c r="X68" s="64"/>
      <c r="Y68" s="64"/>
      <c r="Z68" s="64"/>
    </row>
    <row r="69" ht="12.75" customHeight="1">
      <c r="A69" s="108"/>
      <c r="B69" s="64"/>
      <c r="C69" s="64"/>
      <c r="D69" s="64"/>
      <c r="E69" s="64"/>
      <c r="F69" s="63"/>
      <c r="G69" s="63"/>
      <c r="H69" s="64"/>
      <c r="I69" s="64"/>
      <c r="J69" s="64"/>
      <c r="K69" s="64"/>
      <c r="L69" s="64"/>
      <c r="M69" s="64"/>
      <c r="N69" s="64"/>
      <c r="O69" s="64"/>
      <c r="P69" s="64"/>
      <c r="Q69" s="64"/>
      <c r="R69" s="64"/>
      <c r="S69" s="64"/>
      <c r="T69" s="64"/>
      <c r="U69" s="64"/>
      <c r="V69" s="64"/>
      <c r="W69" s="64"/>
      <c r="X69" s="64"/>
      <c r="Y69" s="64"/>
      <c r="Z69" s="64"/>
    </row>
    <row r="70" ht="12.75" customHeight="1">
      <c r="A70" s="108"/>
      <c r="B70" s="64"/>
      <c r="C70" s="64"/>
      <c r="D70" s="64"/>
      <c r="E70" s="64"/>
      <c r="F70" s="63"/>
      <c r="G70" s="63"/>
      <c r="H70" s="64"/>
      <c r="I70" s="64"/>
      <c r="J70" s="64"/>
      <c r="K70" s="64"/>
      <c r="L70" s="64"/>
      <c r="M70" s="64"/>
      <c r="N70" s="64"/>
      <c r="O70" s="64"/>
      <c r="P70" s="64"/>
      <c r="Q70" s="64"/>
      <c r="R70" s="64"/>
      <c r="S70" s="64"/>
      <c r="T70" s="64"/>
      <c r="U70" s="64"/>
      <c r="V70" s="64"/>
      <c r="W70" s="64"/>
      <c r="X70" s="64"/>
      <c r="Y70" s="64"/>
      <c r="Z70" s="64"/>
    </row>
    <row r="71" ht="12.75" customHeight="1">
      <c r="A71" s="108"/>
      <c r="B71" s="64"/>
      <c r="C71" s="64"/>
      <c r="D71" s="64"/>
      <c r="E71" s="64"/>
      <c r="F71" s="63"/>
      <c r="G71" s="63"/>
      <c r="H71" s="64"/>
      <c r="I71" s="64"/>
      <c r="J71" s="64"/>
      <c r="K71" s="64"/>
      <c r="L71" s="64"/>
      <c r="M71" s="64"/>
      <c r="N71" s="64"/>
      <c r="O71" s="64"/>
      <c r="P71" s="64"/>
      <c r="Q71" s="64"/>
      <c r="R71" s="64"/>
      <c r="S71" s="64"/>
      <c r="T71" s="64"/>
      <c r="U71" s="64"/>
      <c r="V71" s="64"/>
      <c r="W71" s="64"/>
      <c r="X71" s="64"/>
      <c r="Y71" s="64"/>
      <c r="Z71" s="64"/>
    </row>
    <row r="72" ht="12.75" customHeight="1">
      <c r="A72" s="108"/>
      <c r="B72" s="64"/>
      <c r="C72" s="64"/>
      <c r="D72" s="64"/>
      <c r="E72" s="64"/>
      <c r="F72" s="63"/>
      <c r="G72" s="63"/>
      <c r="H72" s="64"/>
      <c r="I72" s="64"/>
      <c r="J72" s="64"/>
      <c r="K72" s="64"/>
      <c r="L72" s="64"/>
      <c r="M72" s="64"/>
      <c r="N72" s="64"/>
      <c r="O72" s="64"/>
      <c r="P72" s="64"/>
      <c r="Q72" s="64"/>
      <c r="R72" s="64"/>
      <c r="S72" s="64"/>
      <c r="T72" s="64"/>
      <c r="U72" s="64"/>
      <c r="V72" s="64"/>
      <c r="W72" s="64"/>
      <c r="X72" s="64"/>
      <c r="Y72" s="64"/>
      <c r="Z72" s="64"/>
    </row>
    <row r="73" ht="12.75" customHeight="1">
      <c r="A73" s="108"/>
      <c r="B73" s="64"/>
      <c r="C73" s="64"/>
      <c r="D73" s="64"/>
      <c r="E73" s="64"/>
      <c r="F73" s="63"/>
      <c r="G73" s="63"/>
      <c r="H73" s="64"/>
      <c r="I73" s="64"/>
      <c r="J73" s="64"/>
      <c r="K73" s="64"/>
      <c r="L73" s="64"/>
      <c r="M73" s="64"/>
      <c r="N73" s="64"/>
      <c r="O73" s="64"/>
      <c r="P73" s="64"/>
      <c r="Q73" s="64"/>
      <c r="R73" s="64"/>
      <c r="S73" s="64"/>
      <c r="T73" s="64"/>
      <c r="U73" s="64"/>
      <c r="V73" s="64"/>
      <c r="W73" s="64"/>
      <c r="X73" s="64"/>
      <c r="Y73" s="64"/>
      <c r="Z73" s="64"/>
    </row>
    <row r="74" ht="12.75" customHeight="1">
      <c r="A74" s="108"/>
      <c r="B74" s="64"/>
      <c r="C74" s="64"/>
      <c r="D74" s="64"/>
      <c r="E74" s="64"/>
      <c r="F74" s="63"/>
      <c r="G74" s="63"/>
      <c r="H74" s="64"/>
      <c r="I74" s="64"/>
      <c r="J74" s="64"/>
      <c r="K74" s="64"/>
      <c r="L74" s="64"/>
      <c r="M74" s="64"/>
      <c r="N74" s="64"/>
      <c r="O74" s="64"/>
      <c r="P74" s="64"/>
      <c r="Q74" s="64"/>
      <c r="R74" s="64"/>
      <c r="S74" s="64"/>
      <c r="T74" s="64"/>
      <c r="U74" s="64"/>
      <c r="V74" s="64"/>
      <c r="W74" s="64"/>
      <c r="X74" s="64"/>
      <c r="Y74" s="64"/>
      <c r="Z74" s="64"/>
    </row>
    <row r="75" ht="12.75" customHeight="1">
      <c r="A75" s="108"/>
      <c r="B75" s="64"/>
      <c r="C75" s="64"/>
      <c r="D75" s="64"/>
      <c r="E75" s="64"/>
      <c r="F75" s="63"/>
      <c r="G75" s="63"/>
      <c r="H75" s="64"/>
      <c r="I75" s="64"/>
      <c r="J75" s="64"/>
      <c r="K75" s="64"/>
      <c r="L75" s="64"/>
      <c r="M75" s="64"/>
      <c r="N75" s="64"/>
      <c r="O75" s="64"/>
      <c r="P75" s="64"/>
      <c r="Q75" s="64"/>
      <c r="R75" s="64"/>
      <c r="S75" s="64"/>
      <c r="T75" s="64"/>
      <c r="U75" s="64"/>
      <c r="V75" s="64"/>
      <c r="W75" s="64"/>
      <c r="X75" s="64"/>
      <c r="Y75" s="64"/>
      <c r="Z75" s="64"/>
    </row>
    <row r="76" ht="12.75" customHeight="1">
      <c r="A76" s="108"/>
      <c r="B76" s="64"/>
      <c r="C76" s="64"/>
      <c r="D76" s="64"/>
      <c r="E76" s="64"/>
      <c r="F76" s="63"/>
      <c r="G76" s="63"/>
      <c r="H76" s="64"/>
      <c r="I76" s="64"/>
      <c r="J76" s="64"/>
      <c r="K76" s="64"/>
      <c r="L76" s="64"/>
      <c r="M76" s="64"/>
      <c r="N76" s="64"/>
      <c r="O76" s="64"/>
      <c r="P76" s="64"/>
      <c r="Q76" s="64"/>
      <c r="R76" s="64"/>
      <c r="S76" s="64"/>
      <c r="T76" s="64"/>
      <c r="U76" s="64"/>
      <c r="V76" s="64"/>
      <c r="W76" s="64"/>
      <c r="X76" s="64"/>
      <c r="Y76" s="64"/>
      <c r="Z76" s="64"/>
    </row>
    <row r="77" ht="12.75" customHeight="1">
      <c r="A77" s="108"/>
      <c r="B77" s="64"/>
      <c r="C77" s="64"/>
      <c r="D77" s="64"/>
      <c r="E77" s="64"/>
      <c r="F77" s="63"/>
      <c r="G77" s="63"/>
      <c r="H77" s="64"/>
      <c r="I77" s="64"/>
      <c r="J77" s="64"/>
      <c r="K77" s="64"/>
      <c r="L77" s="64"/>
      <c r="M77" s="64"/>
      <c r="N77" s="64"/>
      <c r="O77" s="64"/>
      <c r="P77" s="64"/>
      <c r="Q77" s="64"/>
      <c r="R77" s="64"/>
      <c r="S77" s="64"/>
      <c r="T77" s="64"/>
      <c r="U77" s="64"/>
      <c r="V77" s="64"/>
      <c r="W77" s="64"/>
      <c r="X77" s="64"/>
      <c r="Y77" s="64"/>
      <c r="Z77" s="64"/>
    </row>
    <row r="78" ht="12.75" customHeight="1">
      <c r="A78" s="108"/>
      <c r="B78" s="64"/>
      <c r="C78" s="64"/>
      <c r="D78" s="64"/>
      <c r="E78" s="64"/>
      <c r="F78" s="63"/>
      <c r="G78" s="63"/>
      <c r="H78" s="64"/>
      <c r="I78" s="64"/>
      <c r="J78" s="64"/>
      <c r="K78" s="64"/>
      <c r="L78" s="64"/>
      <c r="M78" s="64"/>
      <c r="N78" s="64"/>
      <c r="O78" s="64"/>
      <c r="P78" s="64"/>
      <c r="Q78" s="64"/>
      <c r="R78" s="64"/>
      <c r="S78" s="64"/>
      <c r="T78" s="64"/>
      <c r="U78" s="64"/>
      <c r="V78" s="64"/>
      <c r="W78" s="64"/>
      <c r="X78" s="64"/>
      <c r="Y78" s="64"/>
      <c r="Z78" s="64"/>
    </row>
    <row r="79" ht="12.75" customHeight="1">
      <c r="A79" s="108"/>
      <c r="B79" s="64"/>
      <c r="C79" s="64"/>
      <c r="D79" s="64"/>
      <c r="E79" s="64"/>
      <c r="F79" s="63"/>
      <c r="G79" s="63"/>
      <c r="H79" s="64"/>
      <c r="I79" s="64"/>
      <c r="J79" s="64"/>
      <c r="K79" s="64"/>
      <c r="L79" s="64"/>
      <c r="M79" s="64"/>
      <c r="N79" s="64"/>
      <c r="O79" s="64"/>
      <c r="P79" s="64"/>
      <c r="Q79" s="64"/>
      <c r="R79" s="64"/>
      <c r="S79" s="64"/>
      <c r="T79" s="64"/>
      <c r="U79" s="64"/>
      <c r="V79" s="64"/>
      <c r="W79" s="64"/>
      <c r="X79" s="64"/>
      <c r="Y79" s="64"/>
      <c r="Z79" s="64"/>
    </row>
    <row r="80" ht="12.75" customHeight="1">
      <c r="A80" s="108"/>
      <c r="B80" s="64"/>
      <c r="C80" s="64"/>
      <c r="D80" s="64"/>
      <c r="E80" s="64"/>
      <c r="F80" s="63"/>
      <c r="G80" s="63"/>
      <c r="H80" s="64"/>
      <c r="I80" s="64"/>
      <c r="J80" s="64"/>
      <c r="K80" s="64"/>
      <c r="L80" s="64"/>
      <c r="M80" s="64"/>
      <c r="N80" s="64"/>
      <c r="O80" s="64"/>
      <c r="P80" s="64"/>
      <c r="Q80" s="64"/>
      <c r="R80" s="64"/>
      <c r="S80" s="64"/>
      <c r="T80" s="64"/>
      <c r="U80" s="64"/>
      <c r="V80" s="64"/>
      <c r="W80" s="64"/>
      <c r="X80" s="64"/>
      <c r="Y80" s="64"/>
      <c r="Z80" s="64"/>
    </row>
    <row r="81" ht="12.75" customHeight="1">
      <c r="A81" s="108"/>
      <c r="B81" s="64"/>
      <c r="C81" s="64"/>
      <c r="D81" s="64"/>
      <c r="E81" s="64"/>
      <c r="F81" s="63"/>
      <c r="G81" s="63"/>
      <c r="H81" s="64"/>
      <c r="I81" s="64"/>
      <c r="J81" s="64"/>
      <c r="K81" s="64"/>
      <c r="L81" s="64"/>
      <c r="M81" s="64"/>
      <c r="N81" s="64"/>
      <c r="O81" s="64"/>
      <c r="P81" s="64"/>
      <c r="Q81" s="64"/>
      <c r="R81" s="64"/>
      <c r="S81" s="64"/>
      <c r="T81" s="64"/>
      <c r="U81" s="64"/>
      <c r="V81" s="64"/>
      <c r="W81" s="64"/>
      <c r="X81" s="64"/>
      <c r="Y81" s="64"/>
      <c r="Z81" s="64"/>
    </row>
    <row r="82" ht="12.75" customHeight="1">
      <c r="A82" s="108"/>
      <c r="B82" s="64"/>
      <c r="C82" s="64"/>
      <c r="D82" s="64"/>
      <c r="E82" s="64"/>
      <c r="F82" s="63"/>
      <c r="G82" s="63"/>
      <c r="H82" s="64"/>
      <c r="I82" s="64"/>
      <c r="J82" s="64"/>
      <c r="K82" s="64"/>
      <c r="L82" s="64"/>
      <c r="M82" s="64"/>
      <c r="N82" s="64"/>
      <c r="O82" s="64"/>
      <c r="P82" s="64"/>
      <c r="Q82" s="64"/>
      <c r="R82" s="64"/>
      <c r="S82" s="64"/>
      <c r="T82" s="64"/>
      <c r="U82" s="64"/>
      <c r="V82" s="64"/>
      <c r="W82" s="64"/>
      <c r="X82" s="64"/>
      <c r="Y82" s="64"/>
      <c r="Z82" s="64"/>
    </row>
    <row r="83" ht="12.75" customHeight="1">
      <c r="A83" s="108"/>
      <c r="B83" s="64"/>
      <c r="C83" s="64"/>
      <c r="D83" s="64"/>
      <c r="E83" s="64"/>
      <c r="F83" s="63"/>
      <c r="G83" s="63"/>
      <c r="H83" s="64"/>
      <c r="I83" s="64"/>
      <c r="J83" s="64"/>
      <c r="K83" s="64"/>
      <c r="L83" s="64"/>
      <c r="M83" s="64"/>
      <c r="N83" s="64"/>
      <c r="O83" s="64"/>
      <c r="P83" s="64"/>
      <c r="Q83" s="64"/>
      <c r="R83" s="64"/>
      <c r="S83" s="64"/>
      <c r="T83" s="64"/>
      <c r="U83" s="64"/>
      <c r="V83" s="64"/>
      <c r="W83" s="64"/>
      <c r="X83" s="64"/>
      <c r="Y83" s="64"/>
      <c r="Z83" s="64"/>
    </row>
    <row r="84" ht="12.75" customHeight="1">
      <c r="A84" s="108"/>
      <c r="B84" s="64"/>
      <c r="C84" s="64"/>
      <c r="D84" s="64"/>
      <c r="E84" s="64"/>
      <c r="F84" s="63"/>
      <c r="G84" s="63"/>
      <c r="H84" s="64"/>
      <c r="I84" s="64"/>
      <c r="J84" s="64"/>
      <c r="K84" s="64"/>
      <c r="L84" s="64"/>
      <c r="M84" s="64"/>
      <c r="N84" s="64"/>
      <c r="O84" s="64"/>
      <c r="P84" s="64"/>
      <c r="Q84" s="64"/>
      <c r="R84" s="64"/>
      <c r="S84" s="64"/>
      <c r="T84" s="64"/>
      <c r="U84" s="64"/>
      <c r="V84" s="64"/>
      <c r="W84" s="64"/>
      <c r="X84" s="64"/>
      <c r="Y84" s="64"/>
      <c r="Z84" s="64"/>
    </row>
    <row r="85" ht="12.75" customHeight="1">
      <c r="A85" s="108"/>
      <c r="B85" s="64"/>
      <c r="C85" s="64"/>
      <c r="D85" s="64"/>
      <c r="E85" s="64"/>
      <c r="F85" s="63"/>
      <c r="G85" s="63"/>
      <c r="H85" s="64"/>
      <c r="I85" s="64"/>
      <c r="J85" s="64"/>
      <c r="K85" s="64"/>
      <c r="L85" s="64"/>
      <c r="M85" s="64"/>
      <c r="N85" s="64"/>
      <c r="O85" s="64"/>
      <c r="P85" s="64"/>
      <c r="Q85" s="64"/>
      <c r="R85" s="64"/>
      <c r="S85" s="64"/>
      <c r="T85" s="64"/>
      <c r="U85" s="64"/>
      <c r="V85" s="64"/>
      <c r="W85" s="64"/>
      <c r="X85" s="64"/>
      <c r="Y85" s="64"/>
      <c r="Z85" s="64"/>
    </row>
    <row r="86" ht="12.75" customHeight="1">
      <c r="A86" s="108"/>
      <c r="B86" s="64"/>
      <c r="C86" s="64"/>
      <c r="D86" s="64"/>
      <c r="E86" s="64"/>
      <c r="F86" s="63"/>
      <c r="G86" s="63"/>
      <c r="H86" s="64"/>
      <c r="I86" s="64"/>
      <c r="J86" s="64"/>
      <c r="K86" s="64"/>
      <c r="L86" s="64"/>
      <c r="M86" s="64"/>
      <c r="N86" s="64"/>
      <c r="O86" s="64"/>
      <c r="P86" s="64"/>
      <c r="Q86" s="64"/>
      <c r="R86" s="64"/>
      <c r="S86" s="64"/>
      <c r="T86" s="64"/>
      <c r="U86" s="64"/>
      <c r="V86" s="64"/>
      <c r="W86" s="64"/>
      <c r="X86" s="64"/>
      <c r="Y86" s="64"/>
      <c r="Z86" s="64"/>
    </row>
    <row r="87" ht="12.75" customHeight="1">
      <c r="A87" s="108"/>
      <c r="B87" s="64"/>
      <c r="C87" s="64"/>
      <c r="D87" s="64"/>
      <c r="E87" s="64"/>
      <c r="F87" s="63"/>
      <c r="G87" s="63"/>
      <c r="H87" s="64"/>
      <c r="I87" s="64"/>
      <c r="J87" s="64"/>
      <c r="K87" s="64"/>
      <c r="L87" s="64"/>
      <c r="M87" s="64"/>
      <c r="N87" s="64"/>
      <c r="O87" s="64"/>
      <c r="P87" s="64"/>
      <c r="Q87" s="64"/>
      <c r="R87" s="64"/>
      <c r="S87" s="64"/>
      <c r="T87" s="64"/>
      <c r="U87" s="64"/>
      <c r="V87" s="64"/>
      <c r="W87" s="64"/>
      <c r="X87" s="64"/>
      <c r="Y87" s="64"/>
      <c r="Z87" s="64"/>
    </row>
    <row r="88" ht="12.75" customHeight="1">
      <c r="A88" s="108"/>
      <c r="B88" s="64"/>
      <c r="C88" s="64"/>
      <c r="D88" s="64"/>
      <c r="E88" s="64"/>
      <c r="F88" s="63"/>
      <c r="G88" s="63"/>
      <c r="H88" s="64"/>
      <c r="I88" s="64"/>
      <c r="J88" s="64"/>
      <c r="K88" s="64"/>
      <c r="L88" s="64"/>
      <c r="M88" s="64"/>
      <c r="N88" s="64"/>
      <c r="O88" s="64"/>
      <c r="P88" s="64"/>
      <c r="Q88" s="64"/>
      <c r="R88" s="64"/>
      <c r="S88" s="64"/>
      <c r="T88" s="64"/>
      <c r="U88" s="64"/>
      <c r="V88" s="64"/>
      <c r="W88" s="64"/>
      <c r="X88" s="64"/>
      <c r="Y88" s="64"/>
      <c r="Z88" s="64"/>
    </row>
    <row r="89" ht="12.75" customHeight="1">
      <c r="A89" s="108"/>
      <c r="B89" s="64"/>
      <c r="C89" s="64"/>
      <c r="D89" s="64"/>
      <c r="E89" s="64"/>
      <c r="F89" s="63"/>
      <c r="G89" s="63"/>
      <c r="H89" s="64"/>
      <c r="I89" s="64"/>
      <c r="J89" s="64"/>
      <c r="K89" s="64"/>
      <c r="L89" s="64"/>
      <c r="M89" s="64"/>
      <c r="N89" s="64"/>
      <c r="O89" s="64"/>
      <c r="P89" s="64"/>
      <c r="Q89" s="64"/>
      <c r="R89" s="64"/>
      <c r="S89" s="64"/>
      <c r="T89" s="64"/>
      <c r="U89" s="64"/>
      <c r="V89" s="64"/>
      <c r="W89" s="64"/>
      <c r="X89" s="64"/>
      <c r="Y89" s="64"/>
      <c r="Z89" s="64"/>
    </row>
    <row r="90" ht="12.75" customHeight="1">
      <c r="A90" s="108"/>
      <c r="B90" s="64"/>
      <c r="C90" s="64"/>
      <c r="D90" s="64"/>
      <c r="E90" s="64"/>
      <c r="F90" s="63"/>
      <c r="G90" s="63"/>
      <c r="H90" s="64"/>
      <c r="I90" s="64"/>
      <c r="J90" s="64"/>
      <c r="K90" s="64"/>
      <c r="L90" s="64"/>
      <c r="M90" s="64"/>
      <c r="N90" s="64"/>
      <c r="O90" s="64"/>
      <c r="P90" s="64"/>
      <c r="Q90" s="64"/>
      <c r="R90" s="64"/>
      <c r="S90" s="64"/>
      <c r="T90" s="64"/>
      <c r="U90" s="64"/>
      <c r="V90" s="64"/>
      <c r="W90" s="64"/>
      <c r="X90" s="64"/>
      <c r="Y90" s="64"/>
      <c r="Z90" s="64"/>
    </row>
    <row r="91" ht="12.75" customHeight="1">
      <c r="A91" s="108"/>
      <c r="B91" s="64"/>
      <c r="C91" s="64"/>
      <c r="D91" s="64"/>
      <c r="E91" s="64"/>
      <c r="F91" s="63"/>
      <c r="G91" s="63"/>
      <c r="H91" s="64"/>
      <c r="I91" s="64"/>
      <c r="J91" s="64"/>
      <c r="K91" s="64"/>
      <c r="L91" s="64"/>
      <c r="M91" s="64"/>
      <c r="N91" s="64"/>
      <c r="O91" s="64"/>
      <c r="P91" s="64"/>
      <c r="Q91" s="64"/>
      <c r="R91" s="64"/>
      <c r="S91" s="64"/>
      <c r="T91" s="64"/>
      <c r="U91" s="64"/>
      <c r="V91" s="64"/>
      <c r="W91" s="64"/>
      <c r="X91" s="64"/>
      <c r="Y91" s="64"/>
      <c r="Z91" s="64"/>
    </row>
    <row r="92" ht="12.75" customHeight="1">
      <c r="A92" s="108"/>
      <c r="B92" s="64"/>
      <c r="C92" s="64"/>
      <c r="D92" s="64"/>
      <c r="E92" s="64"/>
      <c r="F92" s="63"/>
      <c r="G92" s="63"/>
      <c r="H92" s="64"/>
      <c r="I92" s="64"/>
      <c r="J92" s="64"/>
      <c r="K92" s="64"/>
      <c r="L92" s="64"/>
      <c r="M92" s="64"/>
      <c r="N92" s="64"/>
      <c r="O92" s="64"/>
      <c r="P92" s="64"/>
      <c r="Q92" s="64"/>
      <c r="R92" s="64"/>
      <c r="S92" s="64"/>
      <c r="T92" s="64"/>
      <c r="U92" s="64"/>
      <c r="V92" s="64"/>
      <c r="W92" s="64"/>
      <c r="X92" s="64"/>
      <c r="Y92" s="64"/>
      <c r="Z92" s="64"/>
    </row>
    <row r="93" ht="12.75" customHeight="1">
      <c r="A93" s="108"/>
      <c r="B93" s="64"/>
      <c r="C93" s="64"/>
      <c r="D93" s="64"/>
      <c r="E93" s="64"/>
      <c r="F93" s="63"/>
      <c r="G93" s="63"/>
      <c r="H93" s="64"/>
      <c r="I93" s="64"/>
      <c r="J93" s="64"/>
      <c r="K93" s="64"/>
      <c r="L93" s="64"/>
      <c r="M93" s="64"/>
      <c r="N93" s="64"/>
      <c r="O93" s="64"/>
      <c r="P93" s="64"/>
      <c r="Q93" s="64"/>
      <c r="R93" s="64"/>
      <c r="S93" s="64"/>
      <c r="T93" s="64"/>
      <c r="U93" s="64"/>
      <c r="V93" s="64"/>
      <c r="W93" s="64"/>
      <c r="X93" s="64"/>
      <c r="Y93" s="64"/>
      <c r="Z93" s="64"/>
    </row>
    <row r="94" ht="12.75" customHeight="1">
      <c r="A94" s="108"/>
      <c r="B94" s="64"/>
      <c r="C94" s="64"/>
      <c r="D94" s="64"/>
      <c r="E94" s="64"/>
      <c r="F94" s="63"/>
      <c r="G94" s="63"/>
      <c r="H94" s="64"/>
      <c r="I94" s="64"/>
      <c r="J94" s="64"/>
      <c r="K94" s="64"/>
      <c r="L94" s="64"/>
      <c r="M94" s="64"/>
      <c r="N94" s="64"/>
      <c r="O94" s="64"/>
      <c r="P94" s="64"/>
      <c r="Q94" s="64"/>
      <c r="R94" s="64"/>
      <c r="S94" s="64"/>
      <c r="T94" s="64"/>
      <c r="U94" s="64"/>
      <c r="V94" s="64"/>
      <c r="W94" s="64"/>
      <c r="X94" s="64"/>
      <c r="Y94" s="64"/>
      <c r="Z94" s="64"/>
    </row>
    <row r="95" ht="12.75" customHeight="1">
      <c r="A95" s="108"/>
      <c r="B95" s="64"/>
      <c r="C95" s="64"/>
      <c r="D95" s="64"/>
      <c r="E95" s="64"/>
      <c r="F95" s="63"/>
      <c r="G95" s="63"/>
      <c r="H95" s="64"/>
      <c r="I95" s="64"/>
      <c r="J95" s="64"/>
      <c r="K95" s="64"/>
      <c r="L95" s="64"/>
      <c r="M95" s="64"/>
      <c r="N95" s="64"/>
      <c r="O95" s="64"/>
      <c r="P95" s="64"/>
      <c r="Q95" s="64"/>
      <c r="R95" s="64"/>
      <c r="S95" s="64"/>
      <c r="T95" s="64"/>
      <c r="U95" s="64"/>
      <c r="V95" s="64"/>
      <c r="W95" s="64"/>
      <c r="X95" s="64"/>
      <c r="Y95" s="64"/>
      <c r="Z95" s="64"/>
    </row>
    <row r="96" ht="12.75" customHeight="1">
      <c r="A96" s="108"/>
      <c r="B96" s="64"/>
      <c r="C96" s="64"/>
      <c r="D96" s="64"/>
      <c r="E96" s="64"/>
      <c r="F96" s="63"/>
      <c r="G96" s="63"/>
      <c r="H96" s="64"/>
      <c r="I96" s="64"/>
      <c r="J96" s="64"/>
      <c r="K96" s="64"/>
      <c r="L96" s="64"/>
      <c r="M96" s="64"/>
      <c r="N96" s="64"/>
      <c r="O96" s="64"/>
      <c r="P96" s="64"/>
      <c r="Q96" s="64"/>
      <c r="R96" s="64"/>
      <c r="S96" s="64"/>
      <c r="T96" s="64"/>
      <c r="U96" s="64"/>
      <c r="V96" s="64"/>
      <c r="W96" s="64"/>
      <c r="X96" s="64"/>
      <c r="Y96" s="64"/>
      <c r="Z96" s="64"/>
    </row>
    <row r="97" ht="12.75" customHeight="1">
      <c r="A97" s="108"/>
      <c r="B97" s="64"/>
      <c r="C97" s="64"/>
      <c r="D97" s="64"/>
      <c r="E97" s="64"/>
      <c r="F97" s="63"/>
      <c r="G97" s="63"/>
      <c r="H97" s="64"/>
      <c r="I97" s="64"/>
      <c r="J97" s="64"/>
      <c r="K97" s="64"/>
      <c r="L97" s="64"/>
      <c r="M97" s="64"/>
      <c r="N97" s="64"/>
      <c r="O97" s="64"/>
      <c r="P97" s="64"/>
      <c r="Q97" s="64"/>
      <c r="R97" s="64"/>
      <c r="S97" s="64"/>
      <c r="T97" s="64"/>
      <c r="U97" s="64"/>
      <c r="V97" s="64"/>
      <c r="W97" s="64"/>
      <c r="X97" s="64"/>
      <c r="Y97" s="64"/>
      <c r="Z97" s="64"/>
    </row>
    <row r="98" ht="12.75" customHeight="1">
      <c r="A98" s="108"/>
      <c r="B98" s="64"/>
      <c r="C98" s="64"/>
      <c r="D98" s="64"/>
      <c r="E98" s="64"/>
      <c r="F98" s="63"/>
      <c r="G98" s="63"/>
      <c r="H98" s="64"/>
      <c r="I98" s="64"/>
      <c r="J98" s="64"/>
      <c r="K98" s="64"/>
      <c r="L98" s="64"/>
      <c r="M98" s="64"/>
      <c r="N98" s="64"/>
      <c r="O98" s="64"/>
      <c r="P98" s="64"/>
      <c r="Q98" s="64"/>
      <c r="R98" s="64"/>
      <c r="S98" s="64"/>
      <c r="T98" s="64"/>
      <c r="U98" s="64"/>
      <c r="V98" s="64"/>
      <c r="W98" s="64"/>
      <c r="X98" s="64"/>
      <c r="Y98" s="64"/>
      <c r="Z98" s="64"/>
    </row>
    <row r="99" ht="12.75" customHeight="1">
      <c r="A99" s="108"/>
      <c r="B99" s="64"/>
      <c r="C99" s="64"/>
      <c r="D99" s="64"/>
      <c r="E99" s="64"/>
      <c r="F99" s="63"/>
      <c r="G99" s="63"/>
      <c r="H99" s="64"/>
      <c r="I99" s="64"/>
      <c r="J99" s="64"/>
      <c r="K99" s="64"/>
      <c r="L99" s="64"/>
      <c r="M99" s="64"/>
      <c r="N99" s="64"/>
      <c r="O99" s="64"/>
      <c r="P99" s="64"/>
      <c r="Q99" s="64"/>
      <c r="R99" s="64"/>
      <c r="S99" s="64"/>
      <c r="T99" s="64"/>
      <c r="U99" s="64"/>
      <c r="V99" s="64"/>
      <c r="W99" s="64"/>
      <c r="X99" s="64"/>
      <c r="Y99" s="64"/>
      <c r="Z99" s="64"/>
    </row>
    <row r="100" ht="12.75" customHeight="1">
      <c r="A100" s="108"/>
      <c r="B100" s="64"/>
      <c r="C100" s="64"/>
      <c r="D100" s="64"/>
      <c r="E100" s="64"/>
      <c r="F100" s="63"/>
      <c r="G100" s="63"/>
      <c r="H100" s="64"/>
      <c r="I100" s="64"/>
      <c r="J100" s="64"/>
      <c r="K100" s="64"/>
      <c r="L100" s="64"/>
      <c r="M100" s="64"/>
      <c r="N100" s="64"/>
      <c r="O100" s="64"/>
      <c r="P100" s="64"/>
      <c r="Q100" s="64"/>
      <c r="R100" s="64"/>
      <c r="S100" s="64"/>
      <c r="T100" s="64"/>
      <c r="U100" s="64"/>
      <c r="V100" s="64"/>
      <c r="W100" s="64"/>
      <c r="X100" s="64"/>
      <c r="Y100" s="64"/>
      <c r="Z100" s="64"/>
    </row>
    <row r="101" ht="12.75" customHeight="1">
      <c r="A101" s="108"/>
      <c r="B101" s="64"/>
      <c r="C101" s="64"/>
      <c r="D101" s="64"/>
      <c r="E101" s="64"/>
      <c r="F101" s="63"/>
      <c r="G101" s="63"/>
      <c r="H101" s="64"/>
      <c r="I101" s="64"/>
      <c r="J101" s="64"/>
      <c r="K101" s="64"/>
      <c r="L101" s="64"/>
      <c r="M101" s="64"/>
      <c r="N101" s="64"/>
      <c r="O101" s="64"/>
      <c r="P101" s="64"/>
      <c r="Q101" s="64"/>
      <c r="R101" s="64"/>
      <c r="S101" s="64"/>
      <c r="T101" s="64"/>
      <c r="U101" s="64"/>
      <c r="V101" s="64"/>
      <c r="W101" s="64"/>
      <c r="X101" s="64"/>
      <c r="Y101" s="64"/>
      <c r="Z101" s="64"/>
    </row>
    <row r="102" ht="12.75" customHeight="1">
      <c r="A102" s="108"/>
      <c r="B102" s="64"/>
      <c r="C102" s="64"/>
      <c r="D102" s="64"/>
      <c r="E102" s="64"/>
      <c r="F102" s="63"/>
      <c r="G102" s="63"/>
      <c r="H102" s="64"/>
      <c r="I102" s="64"/>
      <c r="J102" s="64"/>
      <c r="K102" s="64"/>
      <c r="L102" s="64"/>
      <c r="M102" s="64"/>
      <c r="N102" s="64"/>
      <c r="O102" s="64"/>
      <c r="P102" s="64"/>
      <c r="Q102" s="64"/>
      <c r="R102" s="64"/>
      <c r="S102" s="64"/>
      <c r="T102" s="64"/>
      <c r="U102" s="64"/>
      <c r="V102" s="64"/>
      <c r="W102" s="64"/>
      <c r="X102" s="64"/>
      <c r="Y102" s="64"/>
      <c r="Z102" s="64"/>
    </row>
    <row r="103" ht="12.75" customHeight="1">
      <c r="A103" s="108"/>
      <c r="B103" s="64"/>
      <c r="C103" s="64"/>
      <c r="D103" s="64"/>
      <c r="E103" s="64"/>
      <c r="F103" s="63"/>
      <c r="G103" s="63"/>
      <c r="H103" s="64"/>
      <c r="I103" s="64"/>
      <c r="J103" s="64"/>
      <c r="K103" s="64"/>
      <c r="L103" s="64"/>
      <c r="M103" s="64"/>
      <c r="N103" s="64"/>
      <c r="O103" s="64"/>
      <c r="P103" s="64"/>
      <c r="Q103" s="64"/>
      <c r="R103" s="64"/>
      <c r="S103" s="64"/>
      <c r="T103" s="64"/>
      <c r="U103" s="64"/>
      <c r="V103" s="64"/>
      <c r="W103" s="64"/>
      <c r="X103" s="64"/>
      <c r="Y103" s="64"/>
      <c r="Z103" s="64"/>
    </row>
    <row r="104" ht="12.75" customHeight="1">
      <c r="A104" s="108"/>
      <c r="B104" s="64"/>
      <c r="C104" s="64"/>
      <c r="D104" s="64"/>
      <c r="E104" s="64"/>
      <c r="F104" s="63"/>
      <c r="G104" s="63"/>
      <c r="H104" s="64"/>
      <c r="I104" s="64"/>
      <c r="J104" s="64"/>
      <c r="K104" s="64"/>
      <c r="L104" s="64"/>
      <c r="M104" s="64"/>
      <c r="N104" s="64"/>
      <c r="O104" s="64"/>
      <c r="P104" s="64"/>
      <c r="Q104" s="64"/>
      <c r="R104" s="64"/>
      <c r="S104" s="64"/>
      <c r="T104" s="64"/>
      <c r="U104" s="64"/>
      <c r="V104" s="64"/>
      <c r="W104" s="64"/>
      <c r="X104" s="64"/>
      <c r="Y104" s="64"/>
      <c r="Z104" s="64"/>
    </row>
    <row r="105" ht="12.75" customHeight="1">
      <c r="A105" s="108"/>
      <c r="B105" s="64"/>
      <c r="C105" s="64"/>
      <c r="D105" s="64"/>
      <c r="E105" s="64"/>
      <c r="F105" s="63"/>
      <c r="G105" s="63"/>
      <c r="H105" s="64"/>
      <c r="I105" s="64"/>
      <c r="J105" s="64"/>
      <c r="K105" s="64"/>
      <c r="L105" s="64"/>
      <c r="M105" s="64"/>
      <c r="N105" s="64"/>
      <c r="O105" s="64"/>
      <c r="P105" s="64"/>
      <c r="Q105" s="64"/>
      <c r="R105" s="64"/>
      <c r="S105" s="64"/>
      <c r="T105" s="64"/>
      <c r="U105" s="64"/>
      <c r="V105" s="64"/>
      <c r="W105" s="64"/>
      <c r="X105" s="64"/>
      <c r="Y105" s="64"/>
      <c r="Z105" s="64"/>
    </row>
    <row r="106" ht="12.75" customHeight="1">
      <c r="A106" s="108"/>
      <c r="B106" s="64"/>
      <c r="C106" s="64"/>
      <c r="D106" s="64"/>
      <c r="E106" s="64"/>
      <c r="F106" s="63"/>
      <c r="G106" s="63"/>
      <c r="H106" s="64"/>
      <c r="I106" s="64"/>
      <c r="J106" s="64"/>
      <c r="K106" s="64"/>
      <c r="L106" s="64"/>
      <c r="M106" s="64"/>
      <c r="N106" s="64"/>
      <c r="O106" s="64"/>
      <c r="P106" s="64"/>
      <c r="Q106" s="64"/>
      <c r="R106" s="64"/>
      <c r="S106" s="64"/>
      <c r="T106" s="64"/>
      <c r="U106" s="64"/>
      <c r="V106" s="64"/>
      <c r="W106" s="64"/>
      <c r="X106" s="64"/>
      <c r="Y106" s="64"/>
      <c r="Z106" s="64"/>
    </row>
    <row r="107" ht="12.75" customHeight="1">
      <c r="A107" s="108"/>
      <c r="B107" s="64"/>
      <c r="C107" s="64"/>
      <c r="D107" s="64"/>
      <c r="E107" s="64"/>
      <c r="F107" s="63"/>
      <c r="G107" s="63"/>
      <c r="H107" s="64"/>
      <c r="I107" s="64"/>
      <c r="J107" s="64"/>
      <c r="K107" s="64"/>
      <c r="L107" s="64"/>
      <c r="M107" s="64"/>
      <c r="N107" s="64"/>
      <c r="O107" s="64"/>
      <c r="P107" s="64"/>
      <c r="Q107" s="64"/>
      <c r="R107" s="64"/>
      <c r="S107" s="64"/>
      <c r="T107" s="64"/>
      <c r="U107" s="64"/>
      <c r="V107" s="64"/>
      <c r="W107" s="64"/>
      <c r="X107" s="64"/>
      <c r="Y107" s="64"/>
      <c r="Z107" s="64"/>
    </row>
    <row r="108" ht="12.75" customHeight="1">
      <c r="A108" s="108"/>
      <c r="B108" s="64"/>
      <c r="C108" s="64"/>
      <c r="D108" s="64"/>
      <c r="E108" s="64"/>
      <c r="F108" s="63"/>
      <c r="G108" s="63"/>
      <c r="H108" s="64"/>
      <c r="I108" s="64"/>
      <c r="J108" s="64"/>
      <c r="K108" s="64"/>
      <c r="L108" s="64"/>
      <c r="M108" s="64"/>
      <c r="N108" s="64"/>
      <c r="O108" s="64"/>
      <c r="P108" s="64"/>
      <c r="Q108" s="64"/>
      <c r="R108" s="64"/>
      <c r="S108" s="64"/>
      <c r="T108" s="64"/>
      <c r="U108" s="64"/>
      <c r="V108" s="64"/>
      <c r="W108" s="64"/>
      <c r="X108" s="64"/>
      <c r="Y108" s="64"/>
      <c r="Z108" s="64"/>
    </row>
    <row r="109" ht="12.75" customHeight="1">
      <c r="A109" s="108"/>
      <c r="B109" s="64"/>
      <c r="C109" s="64"/>
      <c r="D109" s="64"/>
      <c r="E109" s="64"/>
      <c r="F109" s="63"/>
      <c r="G109" s="63"/>
      <c r="H109" s="64"/>
      <c r="I109" s="64"/>
      <c r="J109" s="64"/>
      <c r="K109" s="64"/>
      <c r="L109" s="64"/>
      <c r="M109" s="64"/>
      <c r="N109" s="64"/>
      <c r="O109" s="64"/>
      <c r="P109" s="64"/>
      <c r="Q109" s="64"/>
      <c r="R109" s="64"/>
      <c r="S109" s="64"/>
      <c r="T109" s="64"/>
      <c r="U109" s="64"/>
      <c r="V109" s="64"/>
      <c r="W109" s="64"/>
      <c r="X109" s="64"/>
      <c r="Y109" s="64"/>
      <c r="Z109" s="64"/>
    </row>
    <row r="110" ht="12.75" customHeight="1">
      <c r="A110" s="108"/>
      <c r="B110" s="64"/>
      <c r="C110" s="64"/>
      <c r="D110" s="64"/>
      <c r="E110" s="64"/>
      <c r="F110" s="63"/>
      <c r="G110" s="63"/>
      <c r="H110" s="64"/>
      <c r="I110" s="64"/>
      <c r="J110" s="64"/>
      <c r="K110" s="64"/>
      <c r="L110" s="64"/>
      <c r="M110" s="64"/>
      <c r="N110" s="64"/>
      <c r="O110" s="64"/>
      <c r="P110" s="64"/>
      <c r="Q110" s="64"/>
      <c r="R110" s="64"/>
      <c r="S110" s="64"/>
      <c r="T110" s="64"/>
      <c r="U110" s="64"/>
      <c r="V110" s="64"/>
      <c r="W110" s="64"/>
      <c r="X110" s="64"/>
      <c r="Y110" s="64"/>
      <c r="Z110" s="64"/>
    </row>
    <row r="111" ht="12.75" customHeight="1">
      <c r="A111" s="108"/>
      <c r="B111" s="64"/>
      <c r="C111" s="64"/>
      <c r="D111" s="64"/>
      <c r="E111" s="64"/>
      <c r="F111" s="63"/>
      <c r="G111" s="63"/>
      <c r="H111" s="64"/>
      <c r="I111" s="64"/>
      <c r="J111" s="64"/>
      <c r="K111" s="64"/>
      <c r="L111" s="64"/>
      <c r="M111" s="64"/>
      <c r="N111" s="64"/>
      <c r="O111" s="64"/>
      <c r="P111" s="64"/>
      <c r="Q111" s="64"/>
      <c r="R111" s="64"/>
      <c r="S111" s="64"/>
      <c r="T111" s="64"/>
      <c r="U111" s="64"/>
      <c r="V111" s="64"/>
      <c r="W111" s="64"/>
      <c r="X111" s="64"/>
      <c r="Y111" s="64"/>
      <c r="Z111" s="64"/>
    </row>
    <row r="112" ht="12.75" customHeight="1">
      <c r="A112" s="108"/>
      <c r="B112" s="64"/>
      <c r="C112" s="64"/>
      <c r="D112" s="64"/>
      <c r="E112" s="64"/>
      <c r="F112" s="63"/>
      <c r="G112" s="63"/>
      <c r="H112" s="64"/>
      <c r="I112" s="64"/>
      <c r="J112" s="64"/>
      <c r="K112" s="64"/>
      <c r="L112" s="64"/>
      <c r="M112" s="64"/>
      <c r="N112" s="64"/>
      <c r="O112" s="64"/>
      <c r="P112" s="64"/>
      <c r="Q112" s="64"/>
      <c r="R112" s="64"/>
      <c r="S112" s="64"/>
      <c r="T112" s="64"/>
      <c r="U112" s="64"/>
      <c r="V112" s="64"/>
      <c r="W112" s="64"/>
      <c r="X112" s="64"/>
      <c r="Y112" s="64"/>
      <c r="Z112" s="64"/>
    </row>
    <row r="113" ht="12.75" customHeight="1">
      <c r="A113" s="108"/>
      <c r="B113" s="64"/>
      <c r="C113" s="64"/>
      <c r="D113" s="64"/>
      <c r="E113" s="64"/>
      <c r="F113" s="63"/>
      <c r="G113" s="63"/>
      <c r="H113" s="64"/>
      <c r="I113" s="64"/>
      <c r="J113" s="64"/>
      <c r="K113" s="64"/>
      <c r="L113" s="64"/>
      <c r="M113" s="64"/>
      <c r="N113" s="64"/>
      <c r="O113" s="64"/>
      <c r="P113" s="64"/>
      <c r="Q113" s="64"/>
      <c r="R113" s="64"/>
      <c r="S113" s="64"/>
      <c r="T113" s="64"/>
      <c r="U113" s="64"/>
      <c r="V113" s="64"/>
      <c r="W113" s="64"/>
      <c r="X113" s="64"/>
      <c r="Y113" s="64"/>
      <c r="Z113" s="64"/>
    </row>
    <row r="114" ht="12.75" customHeight="1">
      <c r="A114" s="108"/>
      <c r="B114" s="64"/>
      <c r="C114" s="64"/>
      <c r="D114" s="64"/>
      <c r="E114" s="64"/>
      <c r="F114" s="63"/>
      <c r="G114" s="63"/>
      <c r="H114" s="64"/>
      <c r="I114" s="64"/>
      <c r="J114" s="64"/>
      <c r="K114" s="64"/>
      <c r="L114" s="64"/>
      <c r="M114" s="64"/>
      <c r="N114" s="64"/>
      <c r="O114" s="64"/>
      <c r="P114" s="64"/>
      <c r="Q114" s="64"/>
      <c r="R114" s="64"/>
      <c r="S114" s="64"/>
      <c r="T114" s="64"/>
      <c r="U114" s="64"/>
      <c r="V114" s="64"/>
      <c r="W114" s="64"/>
      <c r="X114" s="64"/>
      <c r="Y114" s="64"/>
      <c r="Z114" s="64"/>
    </row>
    <row r="115" ht="12.75" customHeight="1">
      <c r="A115" s="108"/>
      <c r="B115" s="64"/>
      <c r="C115" s="64"/>
      <c r="D115" s="64"/>
      <c r="E115" s="64"/>
      <c r="F115" s="63"/>
      <c r="G115" s="63"/>
      <c r="H115" s="64"/>
      <c r="I115" s="64"/>
      <c r="J115" s="64"/>
      <c r="K115" s="64"/>
      <c r="L115" s="64"/>
      <c r="M115" s="64"/>
      <c r="N115" s="64"/>
      <c r="O115" s="64"/>
      <c r="P115" s="64"/>
      <c r="Q115" s="64"/>
      <c r="R115" s="64"/>
      <c r="S115" s="64"/>
      <c r="T115" s="64"/>
      <c r="U115" s="64"/>
      <c r="V115" s="64"/>
      <c r="W115" s="64"/>
      <c r="X115" s="64"/>
      <c r="Y115" s="64"/>
      <c r="Z115" s="64"/>
    </row>
    <row r="116" ht="12.75" customHeight="1">
      <c r="A116" s="108"/>
      <c r="B116" s="64"/>
      <c r="C116" s="64"/>
      <c r="D116" s="64"/>
      <c r="E116" s="64"/>
      <c r="F116" s="63"/>
      <c r="G116" s="63"/>
      <c r="H116" s="64"/>
      <c r="I116" s="64"/>
      <c r="J116" s="64"/>
      <c r="K116" s="64"/>
      <c r="L116" s="64"/>
      <c r="M116" s="64"/>
      <c r="N116" s="64"/>
      <c r="O116" s="64"/>
      <c r="P116" s="64"/>
      <c r="Q116" s="64"/>
      <c r="R116" s="64"/>
      <c r="S116" s="64"/>
      <c r="T116" s="64"/>
      <c r="U116" s="64"/>
      <c r="V116" s="64"/>
      <c r="W116" s="64"/>
      <c r="X116" s="64"/>
      <c r="Y116" s="64"/>
      <c r="Z116" s="64"/>
    </row>
    <row r="117" ht="12.75" customHeight="1">
      <c r="A117" s="108"/>
      <c r="B117" s="64"/>
      <c r="C117" s="64"/>
      <c r="D117" s="64"/>
      <c r="E117" s="64"/>
      <c r="F117" s="63"/>
      <c r="G117" s="63"/>
      <c r="H117" s="64"/>
      <c r="I117" s="64"/>
      <c r="J117" s="64"/>
      <c r="K117" s="64"/>
      <c r="L117" s="64"/>
      <c r="M117" s="64"/>
      <c r="N117" s="64"/>
      <c r="O117" s="64"/>
      <c r="P117" s="64"/>
      <c r="Q117" s="64"/>
      <c r="R117" s="64"/>
      <c r="S117" s="64"/>
      <c r="T117" s="64"/>
      <c r="U117" s="64"/>
      <c r="V117" s="64"/>
      <c r="W117" s="64"/>
      <c r="X117" s="64"/>
      <c r="Y117" s="64"/>
      <c r="Z117" s="64"/>
    </row>
    <row r="118" ht="12.75" customHeight="1">
      <c r="A118" s="108"/>
      <c r="B118" s="64"/>
      <c r="C118" s="64"/>
      <c r="D118" s="64"/>
      <c r="E118" s="64"/>
      <c r="F118" s="63"/>
      <c r="G118" s="63"/>
      <c r="H118" s="64"/>
      <c r="I118" s="64"/>
      <c r="J118" s="64"/>
      <c r="K118" s="64"/>
      <c r="L118" s="64"/>
      <c r="M118" s="64"/>
      <c r="N118" s="64"/>
      <c r="O118" s="64"/>
      <c r="P118" s="64"/>
      <c r="Q118" s="64"/>
      <c r="R118" s="64"/>
      <c r="S118" s="64"/>
      <c r="T118" s="64"/>
      <c r="U118" s="64"/>
      <c r="V118" s="64"/>
      <c r="W118" s="64"/>
      <c r="X118" s="64"/>
      <c r="Y118" s="64"/>
      <c r="Z118" s="64"/>
    </row>
    <row r="119" ht="12.75" customHeight="1">
      <c r="A119" s="108"/>
      <c r="B119" s="64"/>
      <c r="C119" s="64"/>
      <c r="D119" s="64"/>
      <c r="E119" s="64"/>
      <c r="F119" s="63"/>
      <c r="G119" s="63"/>
      <c r="H119" s="64"/>
      <c r="I119" s="64"/>
      <c r="J119" s="64"/>
      <c r="K119" s="64"/>
      <c r="L119" s="64"/>
      <c r="M119" s="64"/>
      <c r="N119" s="64"/>
      <c r="O119" s="64"/>
      <c r="P119" s="64"/>
      <c r="Q119" s="64"/>
      <c r="R119" s="64"/>
      <c r="S119" s="64"/>
      <c r="T119" s="64"/>
      <c r="U119" s="64"/>
      <c r="V119" s="64"/>
      <c r="W119" s="64"/>
      <c r="X119" s="64"/>
      <c r="Y119" s="64"/>
      <c r="Z119" s="64"/>
    </row>
    <row r="120" ht="12.75" customHeight="1">
      <c r="A120" s="108"/>
      <c r="B120" s="64"/>
      <c r="C120" s="64"/>
      <c r="D120" s="64"/>
      <c r="E120" s="64"/>
      <c r="F120" s="63"/>
      <c r="G120" s="63"/>
      <c r="H120" s="64"/>
      <c r="I120" s="64"/>
      <c r="J120" s="64"/>
      <c r="K120" s="64"/>
      <c r="L120" s="64"/>
      <c r="M120" s="64"/>
      <c r="N120" s="64"/>
      <c r="O120" s="64"/>
      <c r="P120" s="64"/>
      <c r="Q120" s="64"/>
      <c r="R120" s="64"/>
      <c r="S120" s="64"/>
      <c r="T120" s="64"/>
      <c r="U120" s="64"/>
      <c r="V120" s="64"/>
      <c r="W120" s="64"/>
      <c r="X120" s="64"/>
      <c r="Y120" s="64"/>
      <c r="Z120" s="64"/>
    </row>
    <row r="121" ht="12.75" customHeight="1">
      <c r="A121" s="108"/>
      <c r="B121" s="64"/>
      <c r="C121" s="64"/>
      <c r="D121" s="64"/>
      <c r="E121" s="64"/>
      <c r="F121" s="63"/>
      <c r="G121" s="63"/>
      <c r="H121" s="64"/>
      <c r="I121" s="64"/>
      <c r="J121" s="64"/>
      <c r="K121" s="64"/>
      <c r="L121" s="64"/>
      <c r="M121" s="64"/>
      <c r="N121" s="64"/>
      <c r="O121" s="64"/>
      <c r="P121" s="64"/>
      <c r="Q121" s="64"/>
      <c r="R121" s="64"/>
      <c r="S121" s="64"/>
      <c r="T121" s="64"/>
      <c r="U121" s="64"/>
      <c r="V121" s="64"/>
      <c r="W121" s="64"/>
      <c r="X121" s="64"/>
      <c r="Y121" s="64"/>
      <c r="Z121" s="64"/>
    </row>
    <row r="122" ht="12.75" customHeight="1">
      <c r="A122" s="108"/>
      <c r="B122" s="64"/>
      <c r="C122" s="64"/>
      <c r="D122" s="64"/>
      <c r="E122" s="64"/>
      <c r="F122" s="63"/>
      <c r="G122" s="63"/>
      <c r="H122" s="64"/>
      <c r="I122" s="64"/>
      <c r="J122" s="64"/>
      <c r="K122" s="64"/>
      <c r="L122" s="64"/>
      <c r="M122" s="64"/>
      <c r="N122" s="64"/>
      <c r="O122" s="64"/>
      <c r="P122" s="64"/>
      <c r="Q122" s="64"/>
      <c r="R122" s="64"/>
      <c r="S122" s="64"/>
      <c r="T122" s="64"/>
      <c r="U122" s="64"/>
      <c r="V122" s="64"/>
      <c r="W122" s="64"/>
      <c r="X122" s="64"/>
      <c r="Y122" s="64"/>
      <c r="Z122" s="64"/>
    </row>
    <row r="123" ht="12.75" customHeight="1">
      <c r="A123" s="108"/>
      <c r="B123" s="64"/>
      <c r="C123" s="64"/>
      <c r="D123" s="64"/>
      <c r="E123" s="64"/>
      <c r="F123" s="63"/>
      <c r="G123" s="63"/>
      <c r="H123" s="64"/>
      <c r="I123" s="64"/>
      <c r="J123" s="64"/>
      <c r="K123" s="64"/>
      <c r="L123" s="64"/>
      <c r="M123" s="64"/>
      <c r="N123" s="64"/>
      <c r="O123" s="64"/>
      <c r="P123" s="64"/>
      <c r="Q123" s="64"/>
      <c r="R123" s="64"/>
      <c r="S123" s="64"/>
      <c r="T123" s="64"/>
      <c r="U123" s="64"/>
      <c r="V123" s="64"/>
      <c r="W123" s="64"/>
      <c r="X123" s="64"/>
      <c r="Y123" s="64"/>
      <c r="Z123" s="64"/>
    </row>
    <row r="124" ht="12.75" customHeight="1">
      <c r="A124" s="108"/>
      <c r="B124" s="64"/>
      <c r="C124" s="64"/>
      <c r="D124" s="64"/>
      <c r="E124" s="64"/>
      <c r="F124" s="63"/>
      <c r="G124" s="63"/>
      <c r="H124" s="64"/>
      <c r="I124" s="64"/>
      <c r="J124" s="64"/>
      <c r="K124" s="64"/>
      <c r="L124" s="64"/>
      <c r="M124" s="64"/>
      <c r="N124" s="64"/>
      <c r="O124" s="64"/>
      <c r="P124" s="64"/>
      <c r="Q124" s="64"/>
      <c r="R124" s="64"/>
      <c r="S124" s="64"/>
      <c r="T124" s="64"/>
      <c r="U124" s="64"/>
      <c r="V124" s="64"/>
      <c r="W124" s="64"/>
      <c r="X124" s="64"/>
      <c r="Y124" s="64"/>
      <c r="Z124" s="64"/>
    </row>
    <row r="125" ht="12.75" customHeight="1">
      <c r="A125" s="108"/>
      <c r="B125" s="64"/>
      <c r="C125" s="64"/>
      <c r="D125" s="64"/>
      <c r="E125" s="64"/>
      <c r="F125" s="63"/>
      <c r="G125" s="63"/>
      <c r="H125" s="64"/>
      <c r="I125" s="64"/>
      <c r="J125" s="64"/>
      <c r="K125" s="64"/>
      <c r="L125" s="64"/>
      <c r="M125" s="64"/>
      <c r="N125" s="64"/>
      <c r="O125" s="64"/>
      <c r="P125" s="64"/>
      <c r="Q125" s="64"/>
      <c r="R125" s="64"/>
      <c r="S125" s="64"/>
      <c r="T125" s="64"/>
      <c r="U125" s="64"/>
      <c r="V125" s="64"/>
      <c r="W125" s="64"/>
      <c r="X125" s="64"/>
      <c r="Y125" s="64"/>
      <c r="Z125" s="64"/>
    </row>
    <row r="126" ht="12.75" customHeight="1">
      <c r="A126" s="108"/>
      <c r="B126" s="64"/>
      <c r="C126" s="64"/>
      <c r="D126" s="64"/>
      <c r="E126" s="64"/>
      <c r="F126" s="63"/>
      <c r="G126" s="63"/>
      <c r="H126" s="64"/>
      <c r="I126" s="64"/>
      <c r="J126" s="64"/>
      <c r="K126" s="64"/>
      <c r="L126" s="64"/>
      <c r="M126" s="64"/>
      <c r="N126" s="64"/>
      <c r="O126" s="64"/>
      <c r="P126" s="64"/>
      <c r="Q126" s="64"/>
      <c r="R126" s="64"/>
      <c r="S126" s="64"/>
      <c r="T126" s="64"/>
      <c r="U126" s="64"/>
      <c r="V126" s="64"/>
      <c r="W126" s="64"/>
      <c r="X126" s="64"/>
      <c r="Y126" s="64"/>
      <c r="Z126" s="64"/>
    </row>
    <row r="127" ht="12.75" customHeight="1">
      <c r="A127" s="108"/>
      <c r="B127" s="64"/>
      <c r="C127" s="64"/>
      <c r="D127" s="64"/>
      <c r="E127" s="64"/>
      <c r="F127" s="63"/>
      <c r="G127" s="63"/>
      <c r="H127" s="64"/>
      <c r="I127" s="64"/>
      <c r="J127" s="64"/>
      <c r="K127" s="64"/>
      <c r="L127" s="64"/>
      <c r="M127" s="64"/>
      <c r="N127" s="64"/>
      <c r="O127" s="64"/>
      <c r="P127" s="64"/>
      <c r="Q127" s="64"/>
      <c r="R127" s="64"/>
      <c r="S127" s="64"/>
      <c r="T127" s="64"/>
      <c r="U127" s="64"/>
      <c r="V127" s="64"/>
      <c r="W127" s="64"/>
      <c r="X127" s="64"/>
      <c r="Y127" s="64"/>
      <c r="Z127" s="64"/>
    </row>
    <row r="128" ht="12.75" customHeight="1">
      <c r="A128" s="108"/>
      <c r="B128" s="64"/>
      <c r="C128" s="64"/>
      <c r="D128" s="64"/>
      <c r="E128" s="64"/>
      <c r="F128" s="63"/>
      <c r="G128" s="63"/>
      <c r="H128" s="64"/>
      <c r="I128" s="64"/>
      <c r="J128" s="64"/>
      <c r="K128" s="64"/>
      <c r="L128" s="64"/>
      <c r="M128" s="64"/>
      <c r="N128" s="64"/>
      <c r="O128" s="64"/>
      <c r="P128" s="64"/>
      <c r="Q128" s="64"/>
      <c r="R128" s="64"/>
      <c r="S128" s="64"/>
      <c r="T128" s="64"/>
      <c r="U128" s="64"/>
      <c r="V128" s="64"/>
      <c r="W128" s="64"/>
      <c r="X128" s="64"/>
      <c r="Y128" s="64"/>
      <c r="Z128" s="64"/>
    </row>
    <row r="129" ht="12.75" customHeight="1">
      <c r="A129" s="108"/>
      <c r="B129" s="64"/>
      <c r="C129" s="64"/>
      <c r="D129" s="64"/>
      <c r="E129" s="64"/>
      <c r="F129" s="63"/>
      <c r="G129" s="63"/>
      <c r="H129" s="64"/>
      <c r="I129" s="64"/>
      <c r="J129" s="64"/>
      <c r="K129" s="64"/>
      <c r="L129" s="64"/>
      <c r="M129" s="64"/>
      <c r="N129" s="64"/>
      <c r="O129" s="64"/>
      <c r="P129" s="64"/>
      <c r="Q129" s="64"/>
      <c r="R129" s="64"/>
      <c r="S129" s="64"/>
      <c r="T129" s="64"/>
      <c r="U129" s="64"/>
      <c r="V129" s="64"/>
      <c r="W129" s="64"/>
      <c r="X129" s="64"/>
      <c r="Y129" s="64"/>
      <c r="Z129" s="64"/>
    </row>
    <row r="130" ht="12.75" customHeight="1">
      <c r="A130" s="108"/>
      <c r="B130" s="64"/>
      <c r="C130" s="64"/>
      <c r="D130" s="64"/>
      <c r="E130" s="64"/>
      <c r="F130" s="63"/>
      <c r="G130" s="63"/>
      <c r="H130" s="64"/>
      <c r="I130" s="64"/>
      <c r="J130" s="64"/>
      <c r="K130" s="64"/>
      <c r="L130" s="64"/>
      <c r="M130" s="64"/>
      <c r="N130" s="64"/>
      <c r="O130" s="64"/>
      <c r="P130" s="64"/>
      <c r="Q130" s="64"/>
      <c r="R130" s="64"/>
      <c r="S130" s="64"/>
      <c r="T130" s="64"/>
      <c r="U130" s="64"/>
      <c r="V130" s="64"/>
      <c r="W130" s="64"/>
      <c r="X130" s="64"/>
      <c r="Y130" s="64"/>
      <c r="Z130" s="64"/>
    </row>
    <row r="131" ht="12.75" customHeight="1">
      <c r="A131" s="108"/>
      <c r="B131" s="64"/>
      <c r="C131" s="64"/>
      <c r="D131" s="64"/>
      <c r="E131" s="64"/>
      <c r="F131" s="63"/>
      <c r="G131" s="63"/>
      <c r="H131" s="64"/>
      <c r="I131" s="64"/>
      <c r="J131" s="64"/>
      <c r="K131" s="64"/>
      <c r="L131" s="64"/>
      <c r="M131" s="64"/>
      <c r="N131" s="64"/>
      <c r="O131" s="64"/>
      <c r="P131" s="64"/>
      <c r="Q131" s="64"/>
      <c r="R131" s="64"/>
      <c r="S131" s="64"/>
      <c r="T131" s="64"/>
      <c r="U131" s="64"/>
      <c r="V131" s="64"/>
      <c r="W131" s="64"/>
      <c r="X131" s="64"/>
      <c r="Y131" s="64"/>
      <c r="Z131" s="64"/>
    </row>
    <row r="132" ht="12.75" customHeight="1">
      <c r="A132" s="108"/>
      <c r="B132" s="64"/>
      <c r="C132" s="64"/>
      <c r="D132" s="64"/>
      <c r="E132" s="64"/>
      <c r="F132" s="63"/>
      <c r="G132" s="63"/>
      <c r="H132" s="64"/>
      <c r="I132" s="64"/>
      <c r="J132" s="64"/>
      <c r="K132" s="64"/>
      <c r="L132" s="64"/>
      <c r="M132" s="64"/>
      <c r="N132" s="64"/>
      <c r="O132" s="64"/>
      <c r="P132" s="64"/>
      <c r="Q132" s="64"/>
      <c r="R132" s="64"/>
      <c r="S132" s="64"/>
      <c r="T132" s="64"/>
      <c r="U132" s="64"/>
      <c r="V132" s="64"/>
      <c r="W132" s="64"/>
      <c r="X132" s="64"/>
      <c r="Y132" s="64"/>
      <c r="Z132" s="64"/>
    </row>
    <row r="133" ht="12.75" customHeight="1">
      <c r="A133" s="108"/>
      <c r="B133" s="64"/>
      <c r="C133" s="64"/>
      <c r="D133" s="64"/>
      <c r="E133" s="64"/>
      <c r="F133" s="63"/>
      <c r="G133" s="63"/>
      <c r="H133" s="64"/>
      <c r="I133" s="64"/>
      <c r="J133" s="64"/>
      <c r="K133" s="64"/>
      <c r="L133" s="64"/>
      <c r="M133" s="64"/>
      <c r="N133" s="64"/>
      <c r="O133" s="64"/>
      <c r="P133" s="64"/>
      <c r="Q133" s="64"/>
      <c r="R133" s="64"/>
      <c r="S133" s="64"/>
      <c r="T133" s="64"/>
      <c r="U133" s="64"/>
      <c r="V133" s="64"/>
      <c r="W133" s="64"/>
      <c r="X133" s="64"/>
      <c r="Y133" s="64"/>
      <c r="Z133" s="64"/>
    </row>
    <row r="134" ht="12.75" customHeight="1">
      <c r="A134" s="108"/>
      <c r="B134" s="64"/>
      <c r="C134" s="64"/>
      <c r="D134" s="64"/>
      <c r="E134" s="64"/>
      <c r="F134" s="63"/>
      <c r="G134" s="63"/>
      <c r="H134" s="64"/>
      <c r="I134" s="64"/>
      <c r="J134" s="64"/>
      <c r="K134" s="64"/>
      <c r="L134" s="64"/>
      <c r="M134" s="64"/>
      <c r="N134" s="64"/>
      <c r="O134" s="64"/>
      <c r="P134" s="64"/>
      <c r="Q134" s="64"/>
      <c r="R134" s="64"/>
      <c r="S134" s="64"/>
      <c r="T134" s="64"/>
      <c r="U134" s="64"/>
      <c r="V134" s="64"/>
      <c r="W134" s="64"/>
      <c r="X134" s="64"/>
      <c r="Y134" s="64"/>
      <c r="Z134" s="64"/>
    </row>
    <row r="135" ht="12.75" customHeight="1">
      <c r="A135" s="108"/>
      <c r="B135" s="64"/>
      <c r="C135" s="64"/>
      <c r="D135" s="64"/>
      <c r="E135" s="64"/>
      <c r="F135" s="63"/>
      <c r="G135" s="63"/>
      <c r="H135" s="64"/>
      <c r="I135" s="64"/>
      <c r="J135" s="64"/>
      <c r="K135" s="64"/>
      <c r="L135" s="64"/>
      <c r="M135" s="64"/>
      <c r="N135" s="64"/>
      <c r="O135" s="64"/>
      <c r="P135" s="64"/>
      <c r="Q135" s="64"/>
      <c r="R135" s="64"/>
      <c r="S135" s="64"/>
      <c r="T135" s="64"/>
      <c r="U135" s="64"/>
      <c r="V135" s="64"/>
      <c r="W135" s="64"/>
      <c r="X135" s="64"/>
      <c r="Y135" s="64"/>
      <c r="Z135" s="64"/>
    </row>
    <row r="136" ht="12.75" customHeight="1">
      <c r="A136" s="108"/>
      <c r="B136" s="64"/>
      <c r="C136" s="64"/>
      <c r="D136" s="64"/>
      <c r="E136" s="64"/>
      <c r="F136" s="63"/>
      <c r="G136" s="63"/>
      <c r="H136" s="64"/>
      <c r="I136" s="64"/>
      <c r="J136" s="64"/>
      <c r="K136" s="64"/>
      <c r="L136" s="64"/>
      <c r="M136" s="64"/>
      <c r="N136" s="64"/>
      <c r="O136" s="64"/>
      <c r="P136" s="64"/>
      <c r="Q136" s="64"/>
      <c r="R136" s="64"/>
      <c r="S136" s="64"/>
      <c r="T136" s="64"/>
      <c r="U136" s="64"/>
      <c r="V136" s="64"/>
      <c r="W136" s="64"/>
      <c r="X136" s="64"/>
      <c r="Y136" s="64"/>
      <c r="Z136" s="64"/>
    </row>
    <row r="137" ht="12.75" customHeight="1">
      <c r="A137" s="108"/>
      <c r="B137" s="64"/>
      <c r="C137" s="64"/>
      <c r="D137" s="64"/>
      <c r="E137" s="64"/>
      <c r="F137" s="63"/>
      <c r="G137" s="63"/>
      <c r="H137" s="64"/>
      <c r="I137" s="64"/>
      <c r="J137" s="64"/>
      <c r="K137" s="64"/>
      <c r="L137" s="64"/>
      <c r="M137" s="64"/>
      <c r="N137" s="64"/>
      <c r="O137" s="64"/>
      <c r="P137" s="64"/>
      <c r="Q137" s="64"/>
      <c r="R137" s="64"/>
      <c r="S137" s="64"/>
      <c r="T137" s="64"/>
      <c r="U137" s="64"/>
      <c r="V137" s="64"/>
      <c r="W137" s="64"/>
      <c r="X137" s="64"/>
      <c r="Y137" s="64"/>
      <c r="Z137" s="64"/>
    </row>
    <row r="138" ht="12.75" customHeight="1">
      <c r="A138" s="108"/>
      <c r="B138" s="64"/>
      <c r="C138" s="64"/>
      <c r="D138" s="64"/>
      <c r="E138" s="64"/>
      <c r="F138" s="63"/>
      <c r="G138" s="63"/>
      <c r="H138" s="64"/>
      <c r="I138" s="64"/>
      <c r="J138" s="64"/>
      <c r="K138" s="64"/>
      <c r="L138" s="64"/>
      <c r="M138" s="64"/>
      <c r="N138" s="64"/>
      <c r="O138" s="64"/>
      <c r="P138" s="64"/>
      <c r="Q138" s="64"/>
      <c r="R138" s="64"/>
      <c r="S138" s="64"/>
      <c r="T138" s="64"/>
      <c r="U138" s="64"/>
      <c r="V138" s="64"/>
      <c r="W138" s="64"/>
      <c r="X138" s="64"/>
      <c r="Y138" s="64"/>
      <c r="Z138" s="64"/>
    </row>
    <row r="139" ht="12.75" customHeight="1">
      <c r="A139" s="108"/>
      <c r="B139" s="64"/>
      <c r="C139" s="64"/>
      <c r="D139" s="64"/>
      <c r="E139" s="64"/>
      <c r="F139" s="63"/>
      <c r="G139" s="63"/>
      <c r="H139" s="64"/>
      <c r="I139" s="64"/>
      <c r="J139" s="64"/>
      <c r="K139" s="64"/>
      <c r="L139" s="64"/>
      <c r="M139" s="64"/>
      <c r="N139" s="64"/>
      <c r="O139" s="64"/>
      <c r="P139" s="64"/>
      <c r="Q139" s="64"/>
      <c r="R139" s="64"/>
      <c r="S139" s="64"/>
      <c r="T139" s="64"/>
      <c r="U139" s="64"/>
      <c r="V139" s="64"/>
      <c r="W139" s="64"/>
      <c r="X139" s="64"/>
      <c r="Y139" s="64"/>
      <c r="Z139" s="64"/>
    </row>
    <row r="140" ht="12.75" customHeight="1">
      <c r="A140" s="108"/>
      <c r="B140" s="64"/>
      <c r="C140" s="64"/>
      <c r="D140" s="64"/>
      <c r="E140" s="64"/>
      <c r="F140" s="63"/>
      <c r="G140" s="63"/>
      <c r="H140" s="64"/>
      <c r="I140" s="64"/>
      <c r="J140" s="64"/>
      <c r="K140" s="64"/>
      <c r="L140" s="64"/>
      <c r="M140" s="64"/>
      <c r="N140" s="64"/>
      <c r="O140" s="64"/>
      <c r="P140" s="64"/>
      <c r="Q140" s="64"/>
      <c r="R140" s="64"/>
      <c r="S140" s="64"/>
      <c r="T140" s="64"/>
      <c r="U140" s="64"/>
      <c r="V140" s="64"/>
      <c r="W140" s="64"/>
      <c r="X140" s="64"/>
      <c r="Y140" s="64"/>
      <c r="Z140" s="64"/>
    </row>
    <row r="141" ht="12.75" customHeight="1">
      <c r="A141" s="108"/>
      <c r="B141" s="64"/>
      <c r="C141" s="64"/>
      <c r="D141" s="64"/>
      <c r="E141" s="64"/>
      <c r="F141" s="63"/>
      <c r="G141" s="63"/>
      <c r="H141" s="64"/>
      <c r="I141" s="64"/>
      <c r="J141" s="64"/>
      <c r="K141" s="64"/>
      <c r="L141" s="64"/>
      <c r="M141" s="64"/>
      <c r="N141" s="64"/>
      <c r="O141" s="64"/>
      <c r="P141" s="64"/>
      <c r="Q141" s="64"/>
      <c r="R141" s="64"/>
      <c r="S141" s="64"/>
      <c r="T141" s="64"/>
      <c r="U141" s="64"/>
      <c r="V141" s="64"/>
      <c r="W141" s="64"/>
      <c r="X141" s="64"/>
      <c r="Y141" s="64"/>
      <c r="Z141" s="64"/>
    </row>
    <row r="142" ht="12.75" customHeight="1">
      <c r="A142" s="108"/>
      <c r="B142" s="64"/>
      <c r="C142" s="64"/>
      <c r="D142" s="64"/>
      <c r="E142" s="64"/>
      <c r="F142" s="63"/>
      <c r="G142" s="63"/>
      <c r="H142" s="64"/>
      <c r="I142" s="64"/>
      <c r="J142" s="64"/>
      <c r="K142" s="64"/>
      <c r="L142" s="64"/>
      <c r="M142" s="64"/>
      <c r="N142" s="64"/>
      <c r="O142" s="64"/>
      <c r="P142" s="64"/>
      <c r="Q142" s="64"/>
      <c r="R142" s="64"/>
      <c r="S142" s="64"/>
      <c r="T142" s="64"/>
      <c r="U142" s="64"/>
      <c r="V142" s="64"/>
      <c r="W142" s="64"/>
      <c r="X142" s="64"/>
      <c r="Y142" s="64"/>
      <c r="Z142" s="64"/>
    </row>
    <row r="143" ht="12.75" customHeight="1">
      <c r="A143" s="108"/>
      <c r="B143" s="64"/>
      <c r="C143" s="64"/>
      <c r="D143" s="64"/>
      <c r="E143" s="64"/>
      <c r="F143" s="63"/>
      <c r="G143" s="63"/>
      <c r="H143" s="64"/>
      <c r="I143" s="64"/>
      <c r="J143" s="64"/>
      <c r="K143" s="64"/>
      <c r="L143" s="64"/>
      <c r="M143" s="64"/>
      <c r="N143" s="64"/>
      <c r="O143" s="64"/>
      <c r="P143" s="64"/>
      <c r="Q143" s="64"/>
      <c r="R143" s="64"/>
      <c r="S143" s="64"/>
      <c r="T143" s="64"/>
      <c r="U143" s="64"/>
      <c r="V143" s="64"/>
      <c r="W143" s="64"/>
      <c r="X143" s="64"/>
      <c r="Y143" s="64"/>
      <c r="Z143" s="64"/>
    </row>
    <row r="144" ht="12.75" customHeight="1">
      <c r="A144" s="108"/>
      <c r="B144" s="64"/>
      <c r="C144" s="64"/>
      <c r="D144" s="64"/>
      <c r="E144" s="64"/>
      <c r="F144" s="63"/>
      <c r="G144" s="63"/>
      <c r="H144" s="64"/>
      <c r="I144" s="64"/>
      <c r="J144" s="64"/>
      <c r="K144" s="64"/>
      <c r="L144" s="64"/>
      <c r="M144" s="64"/>
      <c r="N144" s="64"/>
      <c r="O144" s="64"/>
      <c r="P144" s="64"/>
      <c r="Q144" s="64"/>
      <c r="R144" s="64"/>
      <c r="S144" s="64"/>
      <c r="T144" s="64"/>
      <c r="U144" s="64"/>
      <c r="V144" s="64"/>
      <c r="W144" s="64"/>
      <c r="X144" s="64"/>
      <c r="Y144" s="64"/>
      <c r="Z144" s="64"/>
    </row>
    <row r="145" ht="12.75" customHeight="1">
      <c r="A145" s="108"/>
      <c r="B145" s="64"/>
      <c r="C145" s="64"/>
      <c r="D145" s="64"/>
      <c r="E145" s="64"/>
      <c r="F145" s="63"/>
      <c r="G145" s="63"/>
      <c r="H145" s="64"/>
      <c r="I145" s="64"/>
      <c r="J145" s="64"/>
      <c r="K145" s="64"/>
      <c r="L145" s="64"/>
      <c r="M145" s="64"/>
      <c r="N145" s="64"/>
      <c r="O145" s="64"/>
      <c r="P145" s="64"/>
      <c r="Q145" s="64"/>
      <c r="R145" s="64"/>
      <c r="S145" s="64"/>
      <c r="T145" s="64"/>
      <c r="U145" s="64"/>
      <c r="V145" s="64"/>
      <c r="W145" s="64"/>
      <c r="X145" s="64"/>
      <c r="Y145" s="64"/>
      <c r="Z145" s="64"/>
    </row>
    <row r="146" ht="12.75" customHeight="1">
      <c r="A146" s="108"/>
      <c r="B146" s="64"/>
      <c r="C146" s="64"/>
      <c r="D146" s="64"/>
      <c r="E146" s="64"/>
      <c r="F146" s="63"/>
      <c r="G146" s="63"/>
      <c r="H146" s="64"/>
      <c r="I146" s="64"/>
      <c r="J146" s="64"/>
      <c r="K146" s="64"/>
      <c r="L146" s="64"/>
      <c r="M146" s="64"/>
      <c r="N146" s="64"/>
      <c r="O146" s="64"/>
      <c r="P146" s="64"/>
      <c r="Q146" s="64"/>
      <c r="R146" s="64"/>
      <c r="S146" s="64"/>
      <c r="T146" s="64"/>
      <c r="U146" s="64"/>
      <c r="V146" s="64"/>
      <c r="W146" s="64"/>
      <c r="X146" s="64"/>
      <c r="Y146" s="64"/>
      <c r="Z146" s="64"/>
    </row>
    <row r="147" ht="12.75" customHeight="1">
      <c r="A147" s="108"/>
      <c r="B147" s="64"/>
      <c r="C147" s="64"/>
      <c r="D147" s="64"/>
      <c r="E147" s="64"/>
      <c r="F147" s="63"/>
      <c r="G147" s="63"/>
      <c r="H147" s="64"/>
      <c r="I147" s="64"/>
      <c r="J147" s="64"/>
      <c r="K147" s="64"/>
      <c r="L147" s="64"/>
      <c r="M147" s="64"/>
      <c r="N147" s="64"/>
      <c r="O147" s="64"/>
      <c r="P147" s="64"/>
      <c r="Q147" s="64"/>
      <c r="R147" s="64"/>
      <c r="S147" s="64"/>
      <c r="T147" s="64"/>
      <c r="U147" s="64"/>
      <c r="V147" s="64"/>
      <c r="W147" s="64"/>
      <c r="X147" s="64"/>
      <c r="Y147" s="64"/>
      <c r="Z147" s="64"/>
    </row>
    <row r="148" ht="12.75" customHeight="1">
      <c r="A148" s="108"/>
      <c r="B148" s="64"/>
      <c r="C148" s="64"/>
      <c r="D148" s="64"/>
      <c r="E148" s="64"/>
      <c r="F148" s="63"/>
      <c r="G148" s="63"/>
      <c r="H148" s="64"/>
      <c r="I148" s="64"/>
      <c r="J148" s="64"/>
      <c r="K148" s="64"/>
      <c r="L148" s="64"/>
      <c r="M148" s="64"/>
      <c r="N148" s="64"/>
      <c r="O148" s="64"/>
      <c r="P148" s="64"/>
      <c r="Q148" s="64"/>
      <c r="R148" s="64"/>
      <c r="S148" s="64"/>
      <c r="T148" s="64"/>
      <c r="U148" s="64"/>
      <c r="V148" s="64"/>
      <c r="W148" s="64"/>
      <c r="X148" s="64"/>
      <c r="Y148" s="64"/>
      <c r="Z148" s="64"/>
    </row>
    <row r="149" ht="12.75" customHeight="1">
      <c r="A149" s="108"/>
      <c r="B149" s="64"/>
      <c r="C149" s="64"/>
      <c r="D149" s="64"/>
      <c r="E149" s="64"/>
      <c r="F149" s="63"/>
      <c r="G149" s="63"/>
      <c r="H149" s="64"/>
      <c r="I149" s="64"/>
      <c r="J149" s="64"/>
      <c r="K149" s="64"/>
      <c r="L149" s="64"/>
      <c r="M149" s="64"/>
      <c r="N149" s="64"/>
      <c r="O149" s="64"/>
      <c r="P149" s="64"/>
      <c r="Q149" s="64"/>
      <c r="R149" s="64"/>
      <c r="S149" s="64"/>
      <c r="T149" s="64"/>
      <c r="U149" s="64"/>
      <c r="V149" s="64"/>
      <c r="W149" s="64"/>
      <c r="X149" s="64"/>
      <c r="Y149" s="64"/>
      <c r="Z149" s="64"/>
    </row>
    <row r="150" ht="12.75" customHeight="1">
      <c r="A150" s="108"/>
      <c r="B150" s="64"/>
      <c r="C150" s="64"/>
      <c r="D150" s="64"/>
      <c r="E150" s="64"/>
      <c r="F150" s="63"/>
      <c r="G150" s="63"/>
      <c r="H150" s="64"/>
      <c r="I150" s="64"/>
      <c r="J150" s="64"/>
      <c r="K150" s="64"/>
      <c r="L150" s="64"/>
      <c r="M150" s="64"/>
      <c r="N150" s="64"/>
      <c r="O150" s="64"/>
      <c r="P150" s="64"/>
      <c r="Q150" s="64"/>
      <c r="R150" s="64"/>
      <c r="S150" s="64"/>
      <c r="T150" s="64"/>
      <c r="U150" s="64"/>
      <c r="V150" s="64"/>
      <c r="W150" s="64"/>
      <c r="X150" s="64"/>
      <c r="Y150" s="64"/>
      <c r="Z150" s="64"/>
    </row>
    <row r="151" ht="12.75" customHeight="1">
      <c r="A151" s="108"/>
      <c r="B151" s="64"/>
      <c r="C151" s="64"/>
      <c r="D151" s="64"/>
      <c r="E151" s="64"/>
      <c r="F151" s="63"/>
      <c r="G151" s="63"/>
      <c r="H151" s="64"/>
      <c r="I151" s="64"/>
      <c r="J151" s="64"/>
      <c r="K151" s="64"/>
      <c r="L151" s="64"/>
      <c r="M151" s="64"/>
      <c r="N151" s="64"/>
      <c r="O151" s="64"/>
      <c r="P151" s="64"/>
      <c r="Q151" s="64"/>
      <c r="R151" s="64"/>
      <c r="S151" s="64"/>
      <c r="T151" s="64"/>
      <c r="U151" s="64"/>
      <c r="V151" s="64"/>
      <c r="W151" s="64"/>
      <c r="X151" s="64"/>
      <c r="Y151" s="64"/>
      <c r="Z151" s="64"/>
    </row>
    <row r="152" ht="12.75" customHeight="1">
      <c r="A152" s="108"/>
      <c r="B152" s="64"/>
      <c r="C152" s="64"/>
      <c r="D152" s="64"/>
      <c r="E152" s="64"/>
      <c r="F152" s="63"/>
      <c r="G152" s="63"/>
      <c r="H152" s="64"/>
      <c r="I152" s="64"/>
      <c r="J152" s="64"/>
      <c r="K152" s="64"/>
      <c r="L152" s="64"/>
      <c r="M152" s="64"/>
      <c r="N152" s="64"/>
      <c r="O152" s="64"/>
      <c r="P152" s="64"/>
      <c r="Q152" s="64"/>
      <c r="R152" s="64"/>
      <c r="S152" s="64"/>
      <c r="T152" s="64"/>
      <c r="U152" s="64"/>
      <c r="V152" s="64"/>
      <c r="W152" s="64"/>
      <c r="X152" s="64"/>
      <c r="Y152" s="64"/>
      <c r="Z152" s="64"/>
    </row>
    <row r="153" ht="12.75" customHeight="1">
      <c r="A153" s="108"/>
      <c r="B153" s="64"/>
      <c r="C153" s="64"/>
      <c r="D153" s="64"/>
      <c r="E153" s="64"/>
      <c r="F153" s="63"/>
      <c r="G153" s="63"/>
      <c r="H153" s="64"/>
      <c r="I153" s="64"/>
      <c r="J153" s="64"/>
      <c r="K153" s="64"/>
      <c r="L153" s="64"/>
      <c r="M153" s="64"/>
      <c r="N153" s="64"/>
      <c r="O153" s="64"/>
      <c r="P153" s="64"/>
      <c r="Q153" s="64"/>
      <c r="R153" s="64"/>
      <c r="S153" s="64"/>
      <c r="T153" s="64"/>
      <c r="U153" s="64"/>
      <c r="V153" s="64"/>
      <c r="W153" s="64"/>
      <c r="X153" s="64"/>
      <c r="Y153" s="64"/>
      <c r="Z153" s="64"/>
    </row>
    <row r="154" ht="12.75" customHeight="1">
      <c r="A154" s="108"/>
      <c r="B154" s="64"/>
      <c r="C154" s="64"/>
      <c r="D154" s="64"/>
      <c r="E154" s="64"/>
      <c r="F154" s="63"/>
      <c r="G154" s="63"/>
      <c r="H154" s="64"/>
      <c r="I154" s="64"/>
      <c r="J154" s="64"/>
      <c r="K154" s="64"/>
      <c r="L154" s="64"/>
      <c r="M154" s="64"/>
      <c r="N154" s="64"/>
      <c r="O154" s="64"/>
      <c r="P154" s="64"/>
      <c r="Q154" s="64"/>
      <c r="R154" s="64"/>
      <c r="S154" s="64"/>
      <c r="T154" s="64"/>
      <c r="U154" s="64"/>
      <c r="V154" s="64"/>
      <c r="W154" s="64"/>
      <c r="X154" s="64"/>
      <c r="Y154" s="64"/>
      <c r="Z154" s="64"/>
    </row>
    <row r="155" ht="12.75" customHeight="1">
      <c r="A155" s="108"/>
      <c r="B155" s="64"/>
      <c r="C155" s="64"/>
      <c r="D155" s="64"/>
      <c r="E155" s="64"/>
      <c r="F155" s="63"/>
      <c r="G155" s="63"/>
      <c r="H155" s="64"/>
      <c r="I155" s="64"/>
      <c r="J155" s="64"/>
      <c r="K155" s="64"/>
      <c r="L155" s="64"/>
      <c r="M155" s="64"/>
      <c r="N155" s="64"/>
      <c r="O155" s="64"/>
      <c r="P155" s="64"/>
      <c r="Q155" s="64"/>
      <c r="R155" s="64"/>
      <c r="S155" s="64"/>
      <c r="T155" s="64"/>
      <c r="U155" s="64"/>
      <c r="V155" s="64"/>
      <c r="W155" s="64"/>
      <c r="X155" s="64"/>
      <c r="Y155" s="64"/>
      <c r="Z155" s="64"/>
    </row>
    <row r="156" ht="12.75" customHeight="1">
      <c r="A156" s="108"/>
      <c r="B156" s="64"/>
      <c r="C156" s="64"/>
      <c r="D156" s="64"/>
      <c r="E156" s="64"/>
      <c r="F156" s="63"/>
      <c r="G156" s="63"/>
      <c r="H156" s="64"/>
      <c r="I156" s="64"/>
      <c r="J156" s="64"/>
      <c r="K156" s="64"/>
      <c r="L156" s="64"/>
      <c r="M156" s="64"/>
      <c r="N156" s="64"/>
      <c r="O156" s="64"/>
      <c r="P156" s="64"/>
      <c r="Q156" s="64"/>
      <c r="R156" s="64"/>
      <c r="S156" s="64"/>
      <c r="T156" s="64"/>
      <c r="U156" s="64"/>
      <c r="V156" s="64"/>
      <c r="W156" s="64"/>
      <c r="X156" s="64"/>
      <c r="Y156" s="64"/>
      <c r="Z156" s="64"/>
    </row>
    <row r="157" ht="12.75" customHeight="1">
      <c r="A157" s="108"/>
      <c r="B157" s="64"/>
      <c r="C157" s="64"/>
      <c r="D157" s="64"/>
      <c r="E157" s="64"/>
      <c r="F157" s="63"/>
      <c r="G157" s="63"/>
      <c r="H157" s="64"/>
      <c r="I157" s="64"/>
      <c r="J157" s="64"/>
      <c r="K157" s="64"/>
      <c r="L157" s="64"/>
      <c r="M157" s="64"/>
      <c r="N157" s="64"/>
      <c r="O157" s="64"/>
      <c r="P157" s="64"/>
      <c r="Q157" s="64"/>
      <c r="R157" s="64"/>
      <c r="S157" s="64"/>
      <c r="T157" s="64"/>
      <c r="U157" s="64"/>
      <c r="V157" s="64"/>
      <c r="W157" s="64"/>
      <c r="X157" s="64"/>
      <c r="Y157" s="64"/>
      <c r="Z157" s="64"/>
    </row>
    <row r="158" ht="12.75" customHeight="1">
      <c r="A158" s="108"/>
      <c r="B158" s="64"/>
      <c r="C158" s="64"/>
      <c r="D158" s="64"/>
      <c r="E158" s="64"/>
      <c r="F158" s="63"/>
      <c r="G158" s="63"/>
      <c r="H158" s="64"/>
      <c r="I158" s="64"/>
      <c r="J158" s="64"/>
      <c r="K158" s="64"/>
      <c r="L158" s="64"/>
      <c r="M158" s="64"/>
      <c r="N158" s="64"/>
      <c r="O158" s="64"/>
      <c r="P158" s="64"/>
      <c r="Q158" s="64"/>
      <c r="R158" s="64"/>
      <c r="S158" s="64"/>
      <c r="T158" s="64"/>
      <c r="U158" s="64"/>
      <c r="V158" s="64"/>
      <c r="W158" s="64"/>
      <c r="X158" s="64"/>
      <c r="Y158" s="64"/>
      <c r="Z158" s="64"/>
    </row>
    <row r="159" ht="12.75" customHeight="1">
      <c r="A159" s="108"/>
      <c r="B159" s="64"/>
      <c r="C159" s="64"/>
      <c r="D159" s="64"/>
      <c r="E159" s="64"/>
      <c r="F159" s="63"/>
      <c r="G159" s="63"/>
      <c r="H159" s="64"/>
      <c r="I159" s="64"/>
      <c r="J159" s="64"/>
      <c r="K159" s="64"/>
      <c r="L159" s="64"/>
      <c r="M159" s="64"/>
      <c r="N159" s="64"/>
      <c r="O159" s="64"/>
      <c r="P159" s="64"/>
      <c r="Q159" s="64"/>
      <c r="R159" s="64"/>
      <c r="S159" s="64"/>
      <c r="T159" s="64"/>
      <c r="U159" s="64"/>
      <c r="V159" s="64"/>
      <c r="W159" s="64"/>
      <c r="X159" s="64"/>
      <c r="Y159" s="64"/>
      <c r="Z159" s="64"/>
    </row>
    <row r="160" ht="12.75" customHeight="1">
      <c r="A160" s="108"/>
      <c r="B160" s="64"/>
      <c r="C160" s="64"/>
      <c r="D160" s="64"/>
      <c r="E160" s="64"/>
      <c r="F160" s="63"/>
      <c r="G160" s="63"/>
      <c r="H160" s="64"/>
      <c r="I160" s="64"/>
      <c r="J160" s="64"/>
      <c r="K160" s="64"/>
      <c r="L160" s="64"/>
      <c r="M160" s="64"/>
      <c r="N160" s="64"/>
      <c r="O160" s="64"/>
      <c r="P160" s="64"/>
      <c r="Q160" s="64"/>
      <c r="R160" s="64"/>
      <c r="S160" s="64"/>
      <c r="T160" s="64"/>
      <c r="U160" s="64"/>
      <c r="V160" s="64"/>
      <c r="W160" s="64"/>
      <c r="X160" s="64"/>
      <c r="Y160" s="64"/>
      <c r="Z160" s="64"/>
    </row>
    <row r="161" ht="12.75" customHeight="1">
      <c r="A161" s="108"/>
      <c r="B161" s="64"/>
      <c r="C161" s="64"/>
      <c r="D161" s="64"/>
      <c r="E161" s="64"/>
      <c r="F161" s="63"/>
      <c r="G161" s="63"/>
      <c r="H161" s="64"/>
      <c r="I161" s="64"/>
      <c r="J161" s="64"/>
      <c r="K161" s="64"/>
      <c r="L161" s="64"/>
      <c r="M161" s="64"/>
      <c r="N161" s="64"/>
      <c r="O161" s="64"/>
      <c r="P161" s="64"/>
      <c r="Q161" s="64"/>
      <c r="R161" s="64"/>
      <c r="S161" s="64"/>
      <c r="T161" s="64"/>
      <c r="U161" s="64"/>
      <c r="V161" s="64"/>
      <c r="W161" s="64"/>
      <c r="X161" s="64"/>
      <c r="Y161" s="64"/>
      <c r="Z161" s="64"/>
    </row>
    <row r="162" ht="12.75" customHeight="1">
      <c r="A162" s="108"/>
      <c r="B162" s="64"/>
      <c r="C162" s="64"/>
      <c r="D162" s="64"/>
      <c r="E162" s="64"/>
      <c r="F162" s="63"/>
      <c r="G162" s="63"/>
      <c r="H162" s="64"/>
      <c r="I162" s="64"/>
      <c r="J162" s="64"/>
      <c r="K162" s="64"/>
      <c r="L162" s="64"/>
      <c r="M162" s="64"/>
      <c r="N162" s="64"/>
      <c r="O162" s="64"/>
      <c r="P162" s="64"/>
      <c r="Q162" s="64"/>
      <c r="R162" s="64"/>
      <c r="S162" s="64"/>
      <c r="T162" s="64"/>
      <c r="U162" s="64"/>
      <c r="V162" s="64"/>
      <c r="W162" s="64"/>
      <c r="X162" s="64"/>
      <c r="Y162" s="64"/>
      <c r="Z162" s="64"/>
    </row>
    <row r="163" ht="12.75" customHeight="1">
      <c r="A163" s="108"/>
      <c r="B163" s="64"/>
      <c r="C163" s="64"/>
      <c r="D163" s="64"/>
      <c r="E163" s="64"/>
      <c r="F163" s="63"/>
      <c r="G163" s="63"/>
      <c r="H163" s="64"/>
      <c r="I163" s="64"/>
      <c r="J163" s="64"/>
      <c r="K163" s="64"/>
      <c r="L163" s="64"/>
      <c r="M163" s="64"/>
      <c r="N163" s="64"/>
      <c r="O163" s="64"/>
      <c r="P163" s="64"/>
      <c r="Q163" s="64"/>
      <c r="R163" s="64"/>
      <c r="S163" s="64"/>
      <c r="T163" s="64"/>
      <c r="U163" s="64"/>
      <c r="V163" s="64"/>
      <c r="W163" s="64"/>
      <c r="X163" s="64"/>
      <c r="Y163" s="64"/>
      <c r="Z163" s="64"/>
    </row>
    <row r="164" ht="12.75" customHeight="1">
      <c r="A164" s="108"/>
      <c r="B164" s="64"/>
      <c r="C164" s="64"/>
      <c r="D164" s="64"/>
      <c r="E164" s="64"/>
      <c r="F164" s="63"/>
      <c r="G164" s="63"/>
      <c r="H164" s="64"/>
      <c r="I164" s="64"/>
      <c r="J164" s="64"/>
      <c r="K164" s="64"/>
      <c r="L164" s="64"/>
      <c r="M164" s="64"/>
      <c r="N164" s="64"/>
      <c r="O164" s="64"/>
      <c r="P164" s="64"/>
      <c r="Q164" s="64"/>
      <c r="R164" s="64"/>
      <c r="S164" s="64"/>
      <c r="T164" s="64"/>
      <c r="U164" s="64"/>
      <c r="V164" s="64"/>
      <c r="W164" s="64"/>
      <c r="X164" s="64"/>
      <c r="Y164" s="64"/>
      <c r="Z164" s="64"/>
    </row>
    <row r="165" ht="12.75" customHeight="1">
      <c r="A165" s="108"/>
      <c r="B165" s="64"/>
      <c r="C165" s="64"/>
      <c r="D165" s="64"/>
      <c r="E165" s="64"/>
      <c r="F165" s="63"/>
      <c r="G165" s="63"/>
      <c r="H165" s="64"/>
      <c r="I165" s="64"/>
      <c r="J165" s="64"/>
      <c r="K165" s="64"/>
      <c r="L165" s="64"/>
      <c r="M165" s="64"/>
      <c r="N165" s="64"/>
      <c r="O165" s="64"/>
      <c r="P165" s="64"/>
      <c r="Q165" s="64"/>
      <c r="R165" s="64"/>
      <c r="S165" s="64"/>
      <c r="T165" s="64"/>
      <c r="U165" s="64"/>
      <c r="V165" s="64"/>
      <c r="W165" s="64"/>
      <c r="X165" s="64"/>
      <c r="Y165" s="64"/>
      <c r="Z165" s="64"/>
    </row>
    <row r="166" ht="12.75" customHeight="1">
      <c r="A166" s="108"/>
      <c r="B166" s="64"/>
      <c r="C166" s="64"/>
      <c r="D166" s="64"/>
      <c r="E166" s="64"/>
      <c r="F166" s="63"/>
      <c r="G166" s="63"/>
      <c r="H166" s="64"/>
      <c r="I166" s="64"/>
      <c r="J166" s="64"/>
      <c r="K166" s="64"/>
      <c r="L166" s="64"/>
      <c r="M166" s="64"/>
      <c r="N166" s="64"/>
      <c r="O166" s="64"/>
      <c r="P166" s="64"/>
      <c r="Q166" s="64"/>
      <c r="R166" s="64"/>
      <c r="S166" s="64"/>
      <c r="T166" s="64"/>
      <c r="U166" s="64"/>
      <c r="V166" s="64"/>
      <c r="W166" s="64"/>
      <c r="X166" s="64"/>
      <c r="Y166" s="64"/>
      <c r="Z166" s="64"/>
    </row>
    <row r="167" ht="12.75" customHeight="1">
      <c r="A167" s="108"/>
      <c r="B167" s="64"/>
      <c r="C167" s="64"/>
      <c r="D167" s="64"/>
      <c r="E167" s="64"/>
      <c r="F167" s="63"/>
      <c r="G167" s="63"/>
      <c r="H167" s="64"/>
      <c r="I167" s="64"/>
      <c r="J167" s="64"/>
      <c r="K167" s="64"/>
      <c r="L167" s="64"/>
      <c r="M167" s="64"/>
      <c r="N167" s="64"/>
      <c r="O167" s="64"/>
      <c r="P167" s="64"/>
      <c r="Q167" s="64"/>
      <c r="R167" s="64"/>
      <c r="S167" s="64"/>
      <c r="T167" s="64"/>
      <c r="U167" s="64"/>
      <c r="V167" s="64"/>
      <c r="W167" s="64"/>
      <c r="X167" s="64"/>
      <c r="Y167" s="64"/>
      <c r="Z167" s="64"/>
    </row>
    <row r="168" ht="12.75" customHeight="1">
      <c r="A168" s="108"/>
      <c r="B168" s="64"/>
      <c r="C168" s="64"/>
      <c r="D168" s="64"/>
      <c r="E168" s="64"/>
      <c r="F168" s="63"/>
      <c r="G168" s="63"/>
      <c r="H168" s="64"/>
      <c r="I168" s="64"/>
      <c r="J168" s="64"/>
      <c r="K168" s="64"/>
      <c r="L168" s="64"/>
      <c r="M168" s="64"/>
      <c r="N168" s="64"/>
      <c r="O168" s="64"/>
      <c r="P168" s="64"/>
      <c r="Q168" s="64"/>
      <c r="R168" s="64"/>
      <c r="S168" s="64"/>
      <c r="T168" s="64"/>
      <c r="U168" s="64"/>
      <c r="V168" s="64"/>
      <c r="W168" s="64"/>
      <c r="X168" s="64"/>
      <c r="Y168" s="64"/>
      <c r="Z168" s="64"/>
    </row>
    <row r="169" ht="12.75" customHeight="1">
      <c r="A169" s="108"/>
      <c r="B169" s="64"/>
      <c r="C169" s="64"/>
      <c r="D169" s="64"/>
      <c r="E169" s="64"/>
      <c r="F169" s="63"/>
      <c r="G169" s="63"/>
      <c r="H169" s="64"/>
      <c r="I169" s="64"/>
      <c r="J169" s="64"/>
      <c r="K169" s="64"/>
      <c r="L169" s="64"/>
      <c r="M169" s="64"/>
      <c r="N169" s="64"/>
      <c r="O169" s="64"/>
      <c r="P169" s="64"/>
      <c r="Q169" s="64"/>
      <c r="R169" s="64"/>
      <c r="S169" s="64"/>
      <c r="T169" s="64"/>
      <c r="U169" s="64"/>
      <c r="V169" s="64"/>
      <c r="W169" s="64"/>
      <c r="X169" s="64"/>
      <c r="Y169" s="64"/>
      <c r="Z169" s="64"/>
    </row>
    <row r="170" ht="12.75" customHeight="1">
      <c r="A170" s="108"/>
      <c r="B170" s="64"/>
      <c r="C170" s="64"/>
      <c r="D170" s="64"/>
      <c r="E170" s="64"/>
      <c r="F170" s="63"/>
      <c r="G170" s="63"/>
      <c r="H170" s="64"/>
      <c r="I170" s="64"/>
      <c r="J170" s="64"/>
      <c r="K170" s="64"/>
      <c r="L170" s="64"/>
      <c r="M170" s="64"/>
      <c r="N170" s="64"/>
      <c r="O170" s="64"/>
      <c r="P170" s="64"/>
      <c r="Q170" s="64"/>
      <c r="R170" s="64"/>
      <c r="S170" s="64"/>
      <c r="T170" s="64"/>
      <c r="U170" s="64"/>
      <c r="V170" s="64"/>
      <c r="W170" s="64"/>
      <c r="X170" s="64"/>
      <c r="Y170" s="64"/>
      <c r="Z170" s="64"/>
    </row>
    <row r="171" ht="12.75" customHeight="1">
      <c r="A171" s="108"/>
      <c r="B171" s="64"/>
      <c r="C171" s="64"/>
      <c r="D171" s="64"/>
      <c r="E171" s="64"/>
      <c r="F171" s="63"/>
      <c r="G171" s="63"/>
      <c r="H171" s="64"/>
      <c r="I171" s="64"/>
      <c r="J171" s="64"/>
      <c r="K171" s="64"/>
      <c r="L171" s="64"/>
      <c r="M171" s="64"/>
      <c r="N171" s="64"/>
      <c r="O171" s="64"/>
      <c r="P171" s="64"/>
      <c r="Q171" s="64"/>
      <c r="R171" s="64"/>
      <c r="S171" s="64"/>
      <c r="T171" s="64"/>
      <c r="U171" s="64"/>
      <c r="V171" s="64"/>
      <c r="W171" s="64"/>
      <c r="X171" s="64"/>
      <c r="Y171" s="64"/>
      <c r="Z171" s="64"/>
    </row>
    <row r="172" ht="12.75" customHeight="1">
      <c r="A172" s="108"/>
      <c r="B172" s="64"/>
      <c r="C172" s="64"/>
      <c r="D172" s="64"/>
      <c r="E172" s="64"/>
      <c r="F172" s="63"/>
      <c r="G172" s="63"/>
      <c r="H172" s="64"/>
      <c r="I172" s="64"/>
      <c r="J172" s="64"/>
      <c r="K172" s="64"/>
      <c r="L172" s="64"/>
      <c r="M172" s="64"/>
      <c r="N172" s="64"/>
      <c r="O172" s="64"/>
      <c r="P172" s="64"/>
      <c r="Q172" s="64"/>
      <c r="R172" s="64"/>
      <c r="S172" s="64"/>
      <c r="T172" s="64"/>
      <c r="U172" s="64"/>
      <c r="V172" s="64"/>
      <c r="W172" s="64"/>
      <c r="X172" s="64"/>
      <c r="Y172" s="64"/>
      <c r="Z172" s="64"/>
    </row>
    <row r="173" ht="12.75" customHeight="1">
      <c r="A173" s="108"/>
      <c r="B173" s="64"/>
      <c r="C173" s="64"/>
      <c r="D173" s="64"/>
      <c r="E173" s="64"/>
      <c r="F173" s="63"/>
      <c r="G173" s="63"/>
      <c r="H173" s="64"/>
      <c r="I173" s="64"/>
      <c r="J173" s="64"/>
      <c r="K173" s="64"/>
      <c r="L173" s="64"/>
      <c r="M173" s="64"/>
      <c r="N173" s="64"/>
      <c r="O173" s="64"/>
      <c r="P173" s="64"/>
      <c r="Q173" s="64"/>
      <c r="R173" s="64"/>
      <c r="S173" s="64"/>
      <c r="T173" s="64"/>
      <c r="U173" s="64"/>
      <c r="V173" s="64"/>
      <c r="W173" s="64"/>
      <c r="X173" s="64"/>
      <c r="Y173" s="64"/>
      <c r="Z173" s="64"/>
    </row>
    <row r="174" ht="12.75" customHeight="1">
      <c r="A174" s="108"/>
      <c r="B174" s="64"/>
      <c r="C174" s="64"/>
      <c r="D174" s="64"/>
      <c r="E174" s="64"/>
      <c r="F174" s="63"/>
      <c r="G174" s="63"/>
      <c r="H174" s="64"/>
      <c r="I174" s="64"/>
      <c r="J174" s="64"/>
      <c r="K174" s="64"/>
      <c r="L174" s="64"/>
      <c r="M174" s="64"/>
      <c r="N174" s="64"/>
      <c r="O174" s="64"/>
      <c r="P174" s="64"/>
      <c r="Q174" s="64"/>
      <c r="R174" s="64"/>
      <c r="S174" s="64"/>
      <c r="T174" s="64"/>
      <c r="U174" s="64"/>
      <c r="V174" s="64"/>
      <c r="W174" s="64"/>
      <c r="X174" s="64"/>
      <c r="Y174" s="64"/>
      <c r="Z174" s="64"/>
    </row>
    <row r="175" ht="12.75" customHeight="1">
      <c r="A175" s="108"/>
      <c r="B175" s="64"/>
      <c r="C175" s="64"/>
      <c r="D175" s="64"/>
      <c r="E175" s="64"/>
      <c r="F175" s="63"/>
      <c r="G175" s="63"/>
      <c r="H175" s="64"/>
      <c r="I175" s="64"/>
      <c r="J175" s="64"/>
      <c r="K175" s="64"/>
      <c r="L175" s="64"/>
      <c r="M175" s="64"/>
      <c r="N175" s="64"/>
      <c r="O175" s="64"/>
      <c r="P175" s="64"/>
      <c r="Q175" s="64"/>
      <c r="R175" s="64"/>
      <c r="S175" s="64"/>
      <c r="T175" s="64"/>
      <c r="U175" s="64"/>
      <c r="V175" s="64"/>
      <c r="W175" s="64"/>
      <c r="X175" s="64"/>
      <c r="Y175" s="64"/>
      <c r="Z175" s="64"/>
    </row>
    <row r="176" ht="12.75" customHeight="1">
      <c r="A176" s="108"/>
      <c r="B176" s="64"/>
      <c r="C176" s="64"/>
      <c r="D176" s="64"/>
      <c r="E176" s="64"/>
      <c r="F176" s="63"/>
      <c r="G176" s="63"/>
      <c r="H176" s="64"/>
      <c r="I176" s="64"/>
      <c r="J176" s="64"/>
      <c r="K176" s="64"/>
      <c r="L176" s="64"/>
      <c r="M176" s="64"/>
      <c r="N176" s="64"/>
      <c r="O176" s="64"/>
      <c r="P176" s="64"/>
      <c r="Q176" s="64"/>
      <c r="R176" s="64"/>
      <c r="S176" s="64"/>
      <c r="T176" s="64"/>
      <c r="U176" s="64"/>
      <c r="V176" s="64"/>
      <c r="W176" s="64"/>
      <c r="X176" s="64"/>
      <c r="Y176" s="64"/>
      <c r="Z176" s="64"/>
    </row>
    <row r="177" ht="12.75" customHeight="1">
      <c r="A177" s="108"/>
      <c r="B177" s="64"/>
      <c r="C177" s="64"/>
      <c r="D177" s="64"/>
      <c r="E177" s="64"/>
      <c r="F177" s="63"/>
      <c r="G177" s="63"/>
      <c r="H177" s="64"/>
      <c r="I177" s="64"/>
      <c r="J177" s="64"/>
      <c r="K177" s="64"/>
      <c r="L177" s="64"/>
      <c r="M177" s="64"/>
      <c r="N177" s="64"/>
      <c r="O177" s="64"/>
      <c r="P177" s="64"/>
      <c r="Q177" s="64"/>
      <c r="R177" s="64"/>
      <c r="S177" s="64"/>
      <c r="T177" s="64"/>
      <c r="U177" s="64"/>
      <c r="V177" s="64"/>
      <c r="W177" s="64"/>
      <c r="X177" s="64"/>
      <c r="Y177" s="64"/>
      <c r="Z177" s="64"/>
    </row>
    <row r="178" ht="12.75" customHeight="1">
      <c r="A178" s="108"/>
      <c r="B178" s="64"/>
      <c r="C178" s="64"/>
      <c r="D178" s="64"/>
      <c r="E178" s="64"/>
      <c r="F178" s="63"/>
      <c r="G178" s="63"/>
      <c r="H178" s="64"/>
      <c r="I178" s="64"/>
      <c r="J178" s="64"/>
      <c r="K178" s="64"/>
      <c r="L178" s="64"/>
      <c r="M178" s="64"/>
      <c r="N178" s="64"/>
      <c r="O178" s="64"/>
      <c r="P178" s="64"/>
      <c r="Q178" s="64"/>
      <c r="R178" s="64"/>
      <c r="S178" s="64"/>
      <c r="T178" s="64"/>
      <c r="U178" s="64"/>
      <c r="V178" s="64"/>
      <c r="W178" s="64"/>
      <c r="X178" s="64"/>
      <c r="Y178" s="64"/>
      <c r="Z178" s="64"/>
    </row>
    <row r="179" ht="12.75" customHeight="1">
      <c r="A179" s="108"/>
      <c r="B179" s="64"/>
      <c r="C179" s="64"/>
      <c r="D179" s="64"/>
      <c r="E179" s="64"/>
      <c r="F179" s="63"/>
      <c r="G179" s="63"/>
      <c r="H179" s="64"/>
      <c r="I179" s="64"/>
      <c r="J179" s="64"/>
      <c r="K179" s="64"/>
      <c r="L179" s="64"/>
      <c r="M179" s="64"/>
      <c r="N179" s="64"/>
      <c r="O179" s="64"/>
      <c r="P179" s="64"/>
      <c r="Q179" s="64"/>
      <c r="R179" s="64"/>
      <c r="S179" s="64"/>
      <c r="T179" s="64"/>
      <c r="U179" s="64"/>
      <c r="V179" s="64"/>
      <c r="W179" s="64"/>
      <c r="X179" s="64"/>
      <c r="Y179" s="64"/>
      <c r="Z179" s="64"/>
    </row>
    <row r="180" ht="12.75" customHeight="1">
      <c r="A180" s="108"/>
      <c r="B180" s="64"/>
      <c r="C180" s="64"/>
      <c r="D180" s="64"/>
      <c r="E180" s="64"/>
      <c r="F180" s="63"/>
      <c r="G180" s="63"/>
      <c r="H180" s="64"/>
      <c r="I180" s="64"/>
      <c r="J180" s="64"/>
      <c r="K180" s="64"/>
      <c r="L180" s="64"/>
      <c r="M180" s="64"/>
      <c r="N180" s="64"/>
      <c r="O180" s="64"/>
      <c r="P180" s="64"/>
      <c r="Q180" s="64"/>
      <c r="R180" s="64"/>
      <c r="S180" s="64"/>
      <c r="T180" s="64"/>
      <c r="U180" s="64"/>
      <c r="V180" s="64"/>
      <c r="W180" s="64"/>
      <c r="X180" s="64"/>
      <c r="Y180" s="64"/>
      <c r="Z180" s="64"/>
    </row>
    <row r="181" ht="12.75" customHeight="1">
      <c r="A181" s="108"/>
      <c r="B181" s="64"/>
      <c r="C181" s="64"/>
      <c r="D181" s="64"/>
      <c r="E181" s="64"/>
      <c r="F181" s="63"/>
      <c r="G181" s="63"/>
      <c r="H181" s="64"/>
      <c r="I181" s="64"/>
      <c r="J181" s="64"/>
      <c r="K181" s="64"/>
      <c r="L181" s="64"/>
      <c r="M181" s="64"/>
      <c r="N181" s="64"/>
      <c r="O181" s="64"/>
      <c r="P181" s="64"/>
      <c r="Q181" s="64"/>
      <c r="R181" s="64"/>
      <c r="S181" s="64"/>
      <c r="T181" s="64"/>
      <c r="U181" s="64"/>
      <c r="V181" s="64"/>
      <c r="W181" s="64"/>
      <c r="X181" s="64"/>
      <c r="Y181" s="64"/>
      <c r="Z181" s="64"/>
    </row>
    <row r="182" ht="12.75" customHeight="1">
      <c r="A182" s="108"/>
      <c r="B182" s="64"/>
      <c r="C182" s="64"/>
      <c r="D182" s="64"/>
      <c r="E182" s="64"/>
      <c r="F182" s="63"/>
      <c r="G182" s="63"/>
      <c r="H182" s="64"/>
      <c r="I182" s="64"/>
      <c r="J182" s="64"/>
      <c r="K182" s="64"/>
      <c r="L182" s="64"/>
      <c r="M182" s="64"/>
      <c r="N182" s="64"/>
      <c r="O182" s="64"/>
      <c r="P182" s="64"/>
      <c r="Q182" s="64"/>
      <c r="R182" s="64"/>
      <c r="S182" s="64"/>
      <c r="T182" s="64"/>
      <c r="U182" s="64"/>
      <c r="V182" s="64"/>
      <c r="W182" s="64"/>
      <c r="X182" s="64"/>
      <c r="Y182" s="64"/>
      <c r="Z182" s="64"/>
    </row>
    <row r="183" ht="12.75" customHeight="1">
      <c r="A183" s="108"/>
      <c r="B183" s="64"/>
      <c r="C183" s="64"/>
      <c r="D183" s="64"/>
      <c r="E183" s="64"/>
      <c r="F183" s="63"/>
      <c r="G183" s="63"/>
      <c r="H183" s="64"/>
      <c r="I183" s="64"/>
      <c r="J183" s="64"/>
      <c r="K183" s="64"/>
      <c r="L183" s="64"/>
      <c r="M183" s="64"/>
      <c r="N183" s="64"/>
      <c r="O183" s="64"/>
      <c r="P183" s="64"/>
      <c r="Q183" s="64"/>
      <c r="R183" s="64"/>
      <c r="S183" s="64"/>
      <c r="T183" s="64"/>
      <c r="U183" s="64"/>
      <c r="V183" s="64"/>
      <c r="W183" s="64"/>
      <c r="X183" s="64"/>
      <c r="Y183" s="64"/>
      <c r="Z183" s="64"/>
    </row>
    <row r="184" ht="12.75" customHeight="1">
      <c r="A184" s="108"/>
      <c r="B184" s="64"/>
      <c r="C184" s="64"/>
      <c r="D184" s="64"/>
      <c r="E184" s="64"/>
      <c r="F184" s="63"/>
      <c r="G184" s="63"/>
      <c r="H184" s="64"/>
      <c r="I184" s="64"/>
      <c r="J184" s="64"/>
      <c r="K184" s="64"/>
      <c r="L184" s="64"/>
      <c r="M184" s="64"/>
      <c r="N184" s="64"/>
      <c r="O184" s="64"/>
      <c r="P184" s="64"/>
      <c r="Q184" s="64"/>
      <c r="R184" s="64"/>
      <c r="S184" s="64"/>
      <c r="T184" s="64"/>
      <c r="U184" s="64"/>
      <c r="V184" s="64"/>
      <c r="W184" s="64"/>
      <c r="X184" s="64"/>
      <c r="Y184" s="64"/>
      <c r="Z184" s="64"/>
    </row>
    <row r="185" ht="12.75" customHeight="1">
      <c r="A185" s="108"/>
      <c r="B185" s="64"/>
      <c r="C185" s="64"/>
      <c r="D185" s="64"/>
      <c r="E185" s="64"/>
      <c r="F185" s="63"/>
      <c r="G185" s="63"/>
      <c r="H185" s="64"/>
      <c r="I185" s="64"/>
      <c r="J185" s="64"/>
      <c r="K185" s="64"/>
      <c r="L185" s="64"/>
      <c r="M185" s="64"/>
      <c r="N185" s="64"/>
      <c r="O185" s="64"/>
      <c r="P185" s="64"/>
      <c r="Q185" s="64"/>
      <c r="R185" s="64"/>
      <c r="S185" s="64"/>
      <c r="T185" s="64"/>
      <c r="U185" s="64"/>
      <c r="V185" s="64"/>
      <c r="W185" s="64"/>
      <c r="X185" s="64"/>
      <c r="Y185" s="64"/>
      <c r="Z185" s="64"/>
    </row>
    <row r="186" ht="12.75" customHeight="1">
      <c r="A186" s="108"/>
      <c r="B186" s="64"/>
      <c r="C186" s="64"/>
      <c r="D186" s="64"/>
      <c r="E186" s="64"/>
      <c r="F186" s="63"/>
      <c r="G186" s="63"/>
      <c r="H186" s="64"/>
      <c r="I186" s="64"/>
      <c r="J186" s="64"/>
      <c r="K186" s="64"/>
      <c r="L186" s="64"/>
      <c r="M186" s="64"/>
      <c r="N186" s="64"/>
      <c r="O186" s="64"/>
      <c r="P186" s="64"/>
      <c r="Q186" s="64"/>
      <c r="R186" s="64"/>
      <c r="S186" s="64"/>
      <c r="T186" s="64"/>
      <c r="U186" s="64"/>
      <c r="V186" s="64"/>
      <c r="W186" s="64"/>
      <c r="X186" s="64"/>
      <c r="Y186" s="64"/>
      <c r="Z186" s="64"/>
    </row>
    <row r="187" ht="12.75" customHeight="1">
      <c r="A187" s="108"/>
      <c r="B187" s="64"/>
      <c r="C187" s="64"/>
      <c r="D187" s="64"/>
      <c r="E187" s="64"/>
      <c r="F187" s="63"/>
      <c r="G187" s="63"/>
      <c r="H187" s="64"/>
      <c r="I187" s="64"/>
      <c r="J187" s="64"/>
      <c r="K187" s="64"/>
      <c r="L187" s="64"/>
      <c r="M187" s="64"/>
      <c r="N187" s="64"/>
      <c r="O187" s="64"/>
      <c r="P187" s="64"/>
      <c r="Q187" s="64"/>
      <c r="R187" s="64"/>
      <c r="S187" s="64"/>
      <c r="T187" s="64"/>
      <c r="U187" s="64"/>
      <c r="V187" s="64"/>
      <c r="W187" s="64"/>
      <c r="X187" s="64"/>
      <c r="Y187" s="64"/>
      <c r="Z187" s="64"/>
    </row>
    <row r="188" ht="12.75" customHeight="1">
      <c r="A188" s="108"/>
      <c r="B188" s="64"/>
      <c r="C188" s="64"/>
      <c r="D188" s="64"/>
      <c r="E188" s="64"/>
      <c r="F188" s="63"/>
      <c r="G188" s="63"/>
      <c r="H188" s="64"/>
      <c r="I188" s="64"/>
      <c r="J188" s="64"/>
      <c r="K188" s="64"/>
      <c r="L188" s="64"/>
      <c r="M188" s="64"/>
      <c r="N188" s="64"/>
      <c r="O188" s="64"/>
      <c r="P188" s="64"/>
      <c r="Q188" s="64"/>
      <c r="R188" s="64"/>
      <c r="S188" s="64"/>
      <c r="T188" s="64"/>
      <c r="U188" s="64"/>
      <c r="V188" s="64"/>
      <c r="W188" s="64"/>
      <c r="X188" s="64"/>
      <c r="Y188" s="64"/>
      <c r="Z188" s="64"/>
    </row>
    <row r="189" ht="12.75" customHeight="1">
      <c r="A189" s="108"/>
      <c r="B189" s="64"/>
      <c r="C189" s="64"/>
      <c r="D189" s="64"/>
      <c r="E189" s="64"/>
      <c r="F189" s="63"/>
      <c r="G189" s="63"/>
      <c r="H189" s="64"/>
      <c r="I189" s="64"/>
      <c r="J189" s="64"/>
      <c r="K189" s="64"/>
      <c r="L189" s="64"/>
      <c r="M189" s="64"/>
      <c r="N189" s="64"/>
      <c r="O189" s="64"/>
      <c r="P189" s="64"/>
      <c r="Q189" s="64"/>
      <c r="R189" s="64"/>
      <c r="S189" s="64"/>
      <c r="T189" s="64"/>
      <c r="U189" s="64"/>
      <c r="V189" s="64"/>
      <c r="W189" s="64"/>
      <c r="X189" s="64"/>
      <c r="Y189" s="64"/>
      <c r="Z189" s="64"/>
    </row>
    <row r="190" ht="12.75" customHeight="1">
      <c r="A190" s="108"/>
      <c r="B190" s="64"/>
      <c r="C190" s="64"/>
      <c r="D190" s="64"/>
      <c r="E190" s="64"/>
      <c r="F190" s="63"/>
      <c r="G190" s="63"/>
      <c r="H190" s="64"/>
      <c r="I190" s="64"/>
      <c r="J190" s="64"/>
      <c r="K190" s="64"/>
      <c r="L190" s="64"/>
      <c r="M190" s="64"/>
      <c r="N190" s="64"/>
      <c r="O190" s="64"/>
      <c r="P190" s="64"/>
      <c r="Q190" s="64"/>
      <c r="R190" s="64"/>
      <c r="S190" s="64"/>
      <c r="T190" s="64"/>
      <c r="U190" s="64"/>
      <c r="V190" s="64"/>
      <c r="W190" s="64"/>
      <c r="X190" s="64"/>
      <c r="Y190" s="64"/>
      <c r="Z190" s="64"/>
    </row>
    <row r="191" ht="12.75" customHeight="1">
      <c r="A191" s="108"/>
      <c r="B191" s="64"/>
      <c r="C191" s="64"/>
      <c r="D191" s="64"/>
      <c r="E191" s="64"/>
      <c r="F191" s="63"/>
      <c r="G191" s="63"/>
      <c r="H191" s="64"/>
      <c r="I191" s="64"/>
      <c r="J191" s="64"/>
      <c r="K191" s="64"/>
      <c r="L191" s="64"/>
      <c r="M191" s="64"/>
      <c r="N191" s="64"/>
      <c r="O191" s="64"/>
      <c r="P191" s="64"/>
      <c r="Q191" s="64"/>
      <c r="R191" s="64"/>
      <c r="S191" s="64"/>
      <c r="T191" s="64"/>
      <c r="U191" s="64"/>
      <c r="V191" s="64"/>
      <c r="W191" s="64"/>
      <c r="X191" s="64"/>
      <c r="Y191" s="64"/>
      <c r="Z191" s="64"/>
    </row>
    <row r="192" ht="12.75" customHeight="1">
      <c r="A192" s="108"/>
      <c r="B192" s="64"/>
      <c r="C192" s="64"/>
      <c r="D192" s="64"/>
      <c r="E192" s="64"/>
      <c r="F192" s="63"/>
      <c r="G192" s="63"/>
      <c r="H192" s="64"/>
      <c r="I192" s="64"/>
      <c r="J192" s="64"/>
      <c r="K192" s="64"/>
      <c r="L192" s="64"/>
      <c r="M192" s="64"/>
      <c r="N192" s="64"/>
      <c r="O192" s="64"/>
      <c r="P192" s="64"/>
      <c r="Q192" s="64"/>
      <c r="R192" s="64"/>
      <c r="S192" s="64"/>
      <c r="T192" s="64"/>
      <c r="U192" s="64"/>
      <c r="V192" s="64"/>
      <c r="W192" s="64"/>
      <c r="X192" s="64"/>
      <c r="Y192" s="64"/>
      <c r="Z192" s="64"/>
    </row>
    <row r="193" ht="12.75" customHeight="1">
      <c r="A193" s="108"/>
      <c r="B193" s="64"/>
      <c r="C193" s="64"/>
      <c r="D193" s="64"/>
      <c r="E193" s="64"/>
      <c r="F193" s="63"/>
      <c r="G193" s="63"/>
      <c r="H193" s="64"/>
      <c r="I193" s="64"/>
      <c r="J193" s="64"/>
      <c r="K193" s="64"/>
      <c r="L193" s="64"/>
      <c r="M193" s="64"/>
      <c r="N193" s="64"/>
      <c r="O193" s="64"/>
      <c r="P193" s="64"/>
      <c r="Q193" s="64"/>
      <c r="R193" s="64"/>
      <c r="S193" s="64"/>
      <c r="T193" s="64"/>
      <c r="U193" s="64"/>
      <c r="V193" s="64"/>
      <c r="W193" s="64"/>
      <c r="X193" s="64"/>
      <c r="Y193" s="64"/>
      <c r="Z193" s="64"/>
    </row>
    <row r="194" ht="12.75" customHeight="1">
      <c r="A194" s="108"/>
      <c r="B194" s="64"/>
      <c r="C194" s="64"/>
      <c r="D194" s="64"/>
      <c r="E194" s="64"/>
      <c r="F194" s="63"/>
      <c r="G194" s="63"/>
      <c r="H194" s="64"/>
      <c r="I194" s="64"/>
      <c r="J194" s="64"/>
      <c r="K194" s="64"/>
      <c r="L194" s="64"/>
      <c r="M194" s="64"/>
      <c r="N194" s="64"/>
      <c r="O194" s="64"/>
      <c r="P194" s="64"/>
      <c r="Q194" s="64"/>
      <c r="R194" s="64"/>
      <c r="S194" s="64"/>
      <c r="T194" s="64"/>
      <c r="U194" s="64"/>
      <c r="V194" s="64"/>
      <c r="W194" s="64"/>
      <c r="X194" s="64"/>
      <c r="Y194" s="64"/>
      <c r="Z194" s="64"/>
    </row>
    <row r="195" ht="12.75" customHeight="1">
      <c r="A195" s="108"/>
      <c r="B195" s="64"/>
      <c r="C195" s="64"/>
      <c r="D195" s="64"/>
      <c r="E195" s="64"/>
      <c r="F195" s="63"/>
      <c r="G195" s="63"/>
      <c r="H195" s="64"/>
      <c r="I195" s="64"/>
      <c r="J195" s="64"/>
      <c r="K195" s="64"/>
      <c r="L195" s="64"/>
      <c r="M195" s="64"/>
      <c r="N195" s="64"/>
      <c r="O195" s="64"/>
      <c r="P195" s="64"/>
      <c r="Q195" s="64"/>
      <c r="R195" s="64"/>
      <c r="S195" s="64"/>
      <c r="T195" s="64"/>
      <c r="U195" s="64"/>
      <c r="V195" s="64"/>
      <c r="W195" s="64"/>
      <c r="X195" s="64"/>
      <c r="Y195" s="64"/>
      <c r="Z195" s="64"/>
    </row>
    <row r="196" ht="12.75" customHeight="1">
      <c r="A196" s="108"/>
      <c r="B196" s="64"/>
      <c r="C196" s="64"/>
      <c r="D196" s="64"/>
      <c r="E196" s="64"/>
      <c r="F196" s="63"/>
      <c r="G196" s="63"/>
      <c r="H196" s="64"/>
      <c r="I196" s="64"/>
      <c r="J196" s="64"/>
      <c r="K196" s="64"/>
      <c r="L196" s="64"/>
      <c r="M196" s="64"/>
      <c r="N196" s="64"/>
      <c r="O196" s="64"/>
      <c r="P196" s="64"/>
      <c r="Q196" s="64"/>
      <c r="R196" s="64"/>
      <c r="S196" s="64"/>
      <c r="T196" s="64"/>
      <c r="U196" s="64"/>
      <c r="V196" s="64"/>
      <c r="W196" s="64"/>
      <c r="X196" s="64"/>
      <c r="Y196" s="64"/>
      <c r="Z196" s="64"/>
    </row>
    <row r="197" ht="12.75" customHeight="1">
      <c r="A197" s="108"/>
      <c r="B197" s="64"/>
      <c r="C197" s="64"/>
      <c r="D197" s="64"/>
      <c r="E197" s="64"/>
      <c r="F197" s="63"/>
      <c r="G197" s="63"/>
      <c r="H197" s="64"/>
      <c r="I197" s="64"/>
      <c r="J197" s="64"/>
      <c r="K197" s="64"/>
      <c r="L197" s="64"/>
      <c r="M197" s="64"/>
      <c r="N197" s="64"/>
      <c r="O197" s="64"/>
      <c r="P197" s="64"/>
      <c r="Q197" s="64"/>
      <c r="R197" s="64"/>
      <c r="S197" s="64"/>
      <c r="T197" s="64"/>
      <c r="U197" s="64"/>
      <c r="V197" s="64"/>
      <c r="W197" s="64"/>
      <c r="X197" s="64"/>
      <c r="Y197" s="64"/>
      <c r="Z197" s="64"/>
    </row>
    <row r="198" ht="12.75" customHeight="1">
      <c r="A198" s="108"/>
      <c r="B198" s="64"/>
      <c r="C198" s="64"/>
      <c r="D198" s="64"/>
      <c r="E198" s="64"/>
      <c r="F198" s="63"/>
      <c r="G198" s="63"/>
      <c r="H198" s="64"/>
      <c r="I198" s="64"/>
      <c r="J198" s="64"/>
      <c r="K198" s="64"/>
      <c r="L198" s="64"/>
      <c r="M198" s="64"/>
      <c r="N198" s="64"/>
      <c r="O198" s="64"/>
      <c r="P198" s="64"/>
      <c r="Q198" s="64"/>
      <c r="R198" s="64"/>
      <c r="S198" s="64"/>
      <c r="T198" s="64"/>
      <c r="U198" s="64"/>
      <c r="V198" s="64"/>
      <c r="W198" s="64"/>
      <c r="X198" s="64"/>
      <c r="Y198" s="64"/>
      <c r="Z198" s="64"/>
    </row>
    <row r="199" ht="12.75" customHeight="1">
      <c r="A199" s="108"/>
      <c r="B199" s="64"/>
      <c r="C199" s="64"/>
      <c r="D199" s="64"/>
      <c r="E199" s="64"/>
      <c r="F199" s="63"/>
      <c r="G199" s="63"/>
      <c r="H199" s="64"/>
      <c r="I199" s="64"/>
      <c r="J199" s="64"/>
      <c r="K199" s="64"/>
      <c r="L199" s="64"/>
      <c r="M199" s="64"/>
      <c r="N199" s="64"/>
      <c r="O199" s="64"/>
      <c r="P199" s="64"/>
      <c r="Q199" s="64"/>
      <c r="R199" s="64"/>
      <c r="S199" s="64"/>
      <c r="T199" s="64"/>
      <c r="U199" s="64"/>
      <c r="V199" s="64"/>
      <c r="W199" s="64"/>
      <c r="X199" s="64"/>
      <c r="Y199" s="64"/>
      <c r="Z199" s="64"/>
    </row>
    <row r="200" ht="12.75" customHeight="1">
      <c r="A200" s="108"/>
      <c r="B200" s="64"/>
      <c r="C200" s="64"/>
      <c r="D200" s="64"/>
      <c r="E200" s="64"/>
      <c r="F200" s="63"/>
      <c r="G200" s="63"/>
      <c r="H200" s="64"/>
      <c r="I200" s="64"/>
      <c r="J200" s="64"/>
      <c r="K200" s="64"/>
      <c r="L200" s="64"/>
      <c r="M200" s="64"/>
      <c r="N200" s="64"/>
      <c r="O200" s="64"/>
      <c r="P200" s="64"/>
      <c r="Q200" s="64"/>
      <c r="R200" s="64"/>
      <c r="S200" s="64"/>
      <c r="T200" s="64"/>
      <c r="U200" s="64"/>
      <c r="V200" s="64"/>
      <c r="W200" s="64"/>
      <c r="X200" s="64"/>
      <c r="Y200" s="64"/>
      <c r="Z200" s="64"/>
    </row>
    <row r="201" ht="12.75" customHeight="1">
      <c r="A201" s="108"/>
      <c r="B201" s="64"/>
      <c r="C201" s="64"/>
      <c r="D201" s="64"/>
      <c r="E201" s="64"/>
      <c r="F201" s="63"/>
      <c r="G201" s="63"/>
      <c r="H201" s="64"/>
      <c r="I201" s="64"/>
      <c r="J201" s="64"/>
      <c r="K201" s="64"/>
      <c r="L201" s="64"/>
      <c r="M201" s="64"/>
      <c r="N201" s="64"/>
      <c r="O201" s="64"/>
      <c r="P201" s="64"/>
      <c r="Q201" s="64"/>
      <c r="R201" s="64"/>
      <c r="S201" s="64"/>
      <c r="T201" s="64"/>
      <c r="U201" s="64"/>
      <c r="V201" s="64"/>
      <c r="W201" s="64"/>
      <c r="X201" s="64"/>
      <c r="Y201" s="64"/>
      <c r="Z201" s="64"/>
    </row>
    <row r="202" ht="12.75" customHeight="1">
      <c r="A202" s="108"/>
      <c r="B202" s="64"/>
      <c r="C202" s="64"/>
      <c r="D202" s="64"/>
      <c r="E202" s="64"/>
      <c r="F202" s="63"/>
      <c r="G202" s="63"/>
      <c r="H202" s="64"/>
      <c r="I202" s="64"/>
      <c r="J202" s="64"/>
      <c r="K202" s="64"/>
      <c r="L202" s="64"/>
      <c r="M202" s="64"/>
      <c r="N202" s="64"/>
      <c r="O202" s="64"/>
      <c r="P202" s="64"/>
      <c r="Q202" s="64"/>
      <c r="R202" s="64"/>
      <c r="S202" s="64"/>
      <c r="T202" s="64"/>
      <c r="U202" s="64"/>
      <c r="V202" s="64"/>
      <c r="W202" s="64"/>
      <c r="X202" s="64"/>
      <c r="Y202" s="64"/>
      <c r="Z202" s="64"/>
    </row>
    <row r="203" ht="12.75" customHeight="1">
      <c r="A203" s="108"/>
      <c r="B203" s="64"/>
      <c r="C203" s="64"/>
      <c r="D203" s="64"/>
      <c r="E203" s="64"/>
      <c r="F203" s="63"/>
      <c r="G203" s="63"/>
      <c r="H203" s="64"/>
      <c r="I203" s="64"/>
      <c r="J203" s="64"/>
      <c r="K203" s="64"/>
      <c r="L203" s="64"/>
      <c r="M203" s="64"/>
      <c r="N203" s="64"/>
      <c r="O203" s="64"/>
      <c r="P203" s="64"/>
      <c r="Q203" s="64"/>
      <c r="R203" s="64"/>
      <c r="S203" s="64"/>
      <c r="T203" s="64"/>
      <c r="U203" s="64"/>
      <c r="V203" s="64"/>
      <c r="W203" s="64"/>
      <c r="X203" s="64"/>
      <c r="Y203" s="64"/>
      <c r="Z203" s="64"/>
    </row>
    <row r="204" ht="12.75" customHeight="1">
      <c r="A204" s="108"/>
      <c r="B204" s="64"/>
      <c r="C204" s="64"/>
      <c r="D204" s="64"/>
      <c r="E204" s="64"/>
      <c r="F204" s="63"/>
      <c r="G204" s="63"/>
      <c r="H204" s="64"/>
      <c r="I204" s="64"/>
      <c r="J204" s="64"/>
      <c r="K204" s="64"/>
      <c r="L204" s="64"/>
      <c r="M204" s="64"/>
      <c r="N204" s="64"/>
      <c r="O204" s="64"/>
      <c r="P204" s="64"/>
      <c r="Q204" s="64"/>
      <c r="R204" s="64"/>
      <c r="S204" s="64"/>
      <c r="T204" s="64"/>
      <c r="U204" s="64"/>
      <c r="V204" s="64"/>
      <c r="W204" s="64"/>
      <c r="X204" s="64"/>
      <c r="Y204" s="64"/>
      <c r="Z204" s="64"/>
    </row>
    <row r="205" ht="12.75" customHeight="1">
      <c r="A205" s="108"/>
      <c r="B205" s="64"/>
      <c r="C205" s="64"/>
      <c r="D205" s="64"/>
      <c r="E205" s="64"/>
      <c r="F205" s="63"/>
      <c r="G205" s="63"/>
      <c r="H205" s="64"/>
      <c r="I205" s="64"/>
      <c r="J205" s="64"/>
      <c r="K205" s="64"/>
      <c r="L205" s="64"/>
      <c r="M205" s="64"/>
      <c r="N205" s="64"/>
      <c r="O205" s="64"/>
      <c r="P205" s="64"/>
      <c r="Q205" s="64"/>
      <c r="R205" s="64"/>
      <c r="S205" s="64"/>
      <c r="T205" s="64"/>
      <c r="U205" s="64"/>
      <c r="V205" s="64"/>
      <c r="W205" s="64"/>
      <c r="X205" s="64"/>
      <c r="Y205" s="64"/>
      <c r="Z205" s="64"/>
    </row>
    <row r="206" ht="12.75" customHeight="1">
      <c r="A206" s="108"/>
      <c r="B206" s="64"/>
      <c r="C206" s="64"/>
      <c r="D206" s="64"/>
      <c r="E206" s="64"/>
      <c r="F206" s="63"/>
      <c r="G206" s="63"/>
      <c r="H206" s="64"/>
      <c r="I206" s="64"/>
      <c r="J206" s="64"/>
      <c r="K206" s="64"/>
      <c r="L206" s="64"/>
      <c r="M206" s="64"/>
      <c r="N206" s="64"/>
      <c r="O206" s="64"/>
      <c r="P206" s="64"/>
      <c r="Q206" s="64"/>
      <c r="R206" s="64"/>
      <c r="S206" s="64"/>
      <c r="T206" s="64"/>
      <c r="U206" s="64"/>
      <c r="V206" s="64"/>
      <c r="W206" s="64"/>
      <c r="X206" s="64"/>
      <c r="Y206" s="64"/>
      <c r="Z206" s="64"/>
    </row>
    <row r="207" ht="12.75" customHeight="1">
      <c r="A207" s="108"/>
      <c r="B207" s="64"/>
      <c r="C207" s="64"/>
      <c r="D207" s="64"/>
      <c r="E207" s="64"/>
      <c r="F207" s="63"/>
      <c r="G207" s="63"/>
      <c r="H207" s="64"/>
      <c r="I207" s="64"/>
      <c r="J207" s="64"/>
      <c r="K207" s="64"/>
      <c r="L207" s="64"/>
      <c r="M207" s="64"/>
      <c r="N207" s="64"/>
      <c r="O207" s="64"/>
      <c r="P207" s="64"/>
      <c r="Q207" s="64"/>
      <c r="R207" s="64"/>
      <c r="S207" s="64"/>
      <c r="T207" s="64"/>
      <c r="U207" s="64"/>
      <c r="V207" s="64"/>
      <c r="W207" s="64"/>
      <c r="X207" s="64"/>
      <c r="Y207" s="64"/>
      <c r="Z207" s="64"/>
    </row>
    <row r="208" ht="12.75" customHeight="1">
      <c r="A208" s="108"/>
      <c r="B208" s="64"/>
      <c r="C208" s="64"/>
      <c r="D208" s="64"/>
      <c r="E208" s="64"/>
      <c r="F208" s="63"/>
      <c r="G208" s="63"/>
      <c r="H208" s="64"/>
      <c r="I208" s="64"/>
      <c r="J208" s="64"/>
      <c r="K208" s="64"/>
      <c r="L208" s="64"/>
      <c r="M208" s="64"/>
      <c r="N208" s="64"/>
      <c r="O208" s="64"/>
      <c r="P208" s="64"/>
      <c r="Q208" s="64"/>
      <c r="R208" s="64"/>
      <c r="S208" s="64"/>
      <c r="T208" s="64"/>
      <c r="U208" s="64"/>
      <c r="V208" s="64"/>
      <c r="W208" s="64"/>
      <c r="X208" s="64"/>
      <c r="Y208" s="64"/>
      <c r="Z208" s="64"/>
    </row>
    <row r="209" ht="12.75" customHeight="1">
      <c r="A209" s="108"/>
      <c r="B209" s="64"/>
      <c r="C209" s="64"/>
      <c r="D209" s="64"/>
      <c r="E209" s="64"/>
      <c r="F209" s="63"/>
      <c r="G209" s="63"/>
      <c r="H209" s="64"/>
      <c r="I209" s="64"/>
      <c r="J209" s="64"/>
      <c r="K209" s="64"/>
      <c r="L209" s="64"/>
      <c r="M209" s="64"/>
      <c r="N209" s="64"/>
      <c r="O209" s="64"/>
      <c r="P209" s="64"/>
      <c r="Q209" s="64"/>
      <c r="R209" s="64"/>
      <c r="S209" s="64"/>
      <c r="T209" s="64"/>
      <c r="U209" s="64"/>
      <c r="V209" s="64"/>
      <c r="W209" s="64"/>
      <c r="X209" s="64"/>
      <c r="Y209" s="64"/>
      <c r="Z209" s="64"/>
    </row>
    <row r="210" ht="12.75" customHeight="1">
      <c r="A210" s="108"/>
      <c r="B210" s="64"/>
      <c r="C210" s="64"/>
      <c r="D210" s="64"/>
      <c r="E210" s="64"/>
      <c r="F210" s="63"/>
      <c r="G210" s="63"/>
      <c r="H210" s="64"/>
      <c r="I210" s="64"/>
      <c r="J210" s="64"/>
      <c r="K210" s="64"/>
      <c r="L210" s="64"/>
      <c r="M210" s="64"/>
      <c r="N210" s="64"/>
      <c r="O210" s="64"/>
      <c r="P210" s="64"/>
      <c r="Q210" s="64"/>
      <c r="R210" s="64"/>
      <c r="S210" s="64"/>
      <c r="T210" s="64"/>
      <c r="U210" s="64"/>
      <c r="V210" s="64"/>
      <c r="W210" s="64"/>
      <c r="X210" s="64"/>
      <c r="Y210" s="64"/>
      <c r="Z210" s="64"/>
    </row>
    <row r="211" ht="12.75" customHeight="1">
      <c r="A211" s="108"/>
      <c r="B211" s="64"/>
      <c r="C211" s="64"/>
      <c r="D211" s="64"/>
      <c r="E211" s="64"/>
      <c r="F211" s="63"/>
      <c r="G211" s="63"/>
      <c r="H211" s="64"/>
      <c r="I211" s="64"/>
      <c r="J211" s="64"/>
      <c r="K211" s="64"/>
      <c r="L211" s="64"/>
      <c r="M211" s="64"/>
      <c r="N211" s="64"/>
      <c r="O211" s="64"/>
      <c r="P211" s="64"/>
      <c r="Q211" s="64"/>
      <c r="R211" s="64"/>
      <c r="S211" s="64"/>
      <c r="T211" s="64"/>
      <c r="U211" s="64"/>
      <c r="V211" s="64"/>
      <c r="W211" s="64"/>
      <c r="X211" s="64"/>
      <c r="Y211" s="64"/>
      <c r="Z211" s="64"/>
    </row>
    <row r="212" ht="12.75" customHeight="1">
      <c r="A212" s="108"/>
      <c r="B212" s="64"/>
      <c r="C212" s="64"/>
      <c r="D212" s="64"/>
      <c r="E212" s="64"/>
      <c r="F212" s="63"/>
      <c r="G212" s="63"/>
      <c r="H212" s="64"/>
      <c r="I212" s="64"/>
      <c r="J212" s="64"/>
      <c r="K212" s="64"/>
      <c r="L212" s="64"/>
      <c r="M212" s="64"/>
      <c r="N212" s="64"/>
      <c r="O212" s="64"/>
      <c r="P212" s="64"/>
      <c r="Q212" s="64"/>
      <c r="R212" s="64"/>
      <c r="S212" s="64"/>
      <c r="T212" s="64"/>
      <c r="U212" s="64"/>
      <c r="V212" s="64"/>
      <c r="W212" s="64"/>
      <c r="X212" s="64"/>
      <c r="Y212" s="64"/>
      <c r="Z212" s="64"/>
    </row>
    <row r="213" ht="12.75" customHeight="1">
      <c r="A213" s="108"/>
      <c r="B213" s="64"/>
      <c r="C213" s="64"/>
      <c r="D213" s="64"/>
      <c r="E213" s="64"/>
      <c r="F213" s="63"/>
      <c r="G213" s="63"/>
      <c r="H213" s="64"/>
      <c r="I213" s="64"/>
      <c r="J213" s="64"/>
      <c r="K213" s="64"/>
      <c r="L213" s="64"/>
      <c r="M213" s="64"/>
      <c r="N213" s="64"/>
      <c r="O213" s="64"/>
      <c r="P213" s="64"/>
      <c r="Q213" s="64"/>
      <c r="R213" s="64"/>
      <c r="S213" s="64"/>
      <c r="T213" s="64"/>
      <c r="U213" s="64"/>
      <c r="V213" s="64"/>
      <c r="W213" s="64"/>
      <c r="X213" s="64"/>
      <c r="Y213" s="64"/>
      <c r="Z213" s="64"/>
    </row>
    <row r="214" ht="12.75" customHeight="1">
      <c r="A214" s="108"/>
      <c r="B214" s="64"/>
      <c r="C214" s="64"/>
      <c r="D214" s="64"/>
      <c r="E214" s="64"/>
      <c r="F214" s="63"/>
      <c r="G214" s="63"/>
      <c r="H214" s="64"/>
      <c r="I214" s="64"/>
      <c r="J214" s="64"/>
      <c r="K214" s="64"/>
      <c r="L214" s="64"/>
      <c r="M214" s="64"/>
      <c r="N214" s="64"/>
      <c r="O214" s="64"/>
      <c r="P214" s="64"/>
      <c r="Q214" s="64"/>
      <c r="R214" s="64"/>
      <c r="S214" s="64"/>
      <c r="T214" s="64"/>
      <c r="U214" s="64"/>
      <c r="V214" s="64"/>
      <c r="W214" s="64"/>
      <c r="X214" s="64"/>
      <c r="Y214" s="64"/>
      <c r="Z214" s="64"/>
    </row>
    <row r="215" ht="12.75" customHeight="1">
      <c r="A215" s="108"/>
      <c r="B215" s="64"/>
      <c r="C215" s="64"/>
      <c r="D215" s="64"/>
      <c r="E215" s="64"/>
      <c r="F215" s="63"/>
      <c r="G215" s="63"/>
      <c r="H215" s="64"/>
      <c r="I215" s="64"/>
      <c r="J215" s="64"/>
      <c r="K215" s="64"/>
      <c r="L215" s="64"/>
      <c r="M215" s="64"/>
      <c r="N215" s="64"/>
      <c r="O215" s="64"/>
      <c r="P215" s="64"/>
      <c r="Q215" s="64"/>
      <c r="R215" s="64"/>
      <c r="S215" s="64"/>
      <c r="T215" s="64"/>
      <c r="U215" s="64"/>
      <c r="V215" s="64"/>
      <c r="W215" s="64"/>
      <c r="X215" s="64"/>
      <c r="Y215" s="64"/>
      <c r="Z215" s="64"/>
    </row>
    <row r="216" ht="12.75" customHeight="1">
      <c r="A216" s="108"/>
      <c r="B216" s="64"/>
      <c r="C216" s="64"/>
      <c r="D216" s="64"/>
      <c r="E216" s="64"/>
      <c r="F216" s="63"/>
      <c r="G216" s="63"/>
      <c r="H216" s="64"/>
      <c r="I216" s="64"/>
      <c r="J216" s="64"/>
      <c r="K216" s="64"/>
      <c r="L216" s="64"/>
      <c r="M216" s="64"/>
      <c r="N216" s="64"/>
      <c r="O216" s="64"/>
      <c r="P216" s="64"/>
      <c r="Q216" s="64"/>
      <c r="R216" s="64"/>
      <c r="S216" s="64"/>
      <c r="T216" s="64"/>
      <c r="U216" s="64"/>
      <c r="V216" s="64"/>
      <c r="W216" s="64"/>
      <c r="X216" s="64"/>
      <c r="Y216" s="64"/>
      <c r="Z216" s="64"/>
    </row>
    <row r="217" ht="12.75" customHeight="1">
      <c r="A217" s="108"/>
      <c r="B217" s="64"/>
      <c r="C217" s="64"/>
      <c r="D217" s="64"/>
      <c r="E217" s="64"/>
      <c r="F217" s="63"/>
      <c r="G217" s="63"/>
      <c r="H217" s="64"/>
      <c r="I217" s="64"/>
      <c r="J217" s="64"/>
      <c r="K217" s="64"/>
      <c r="L217" s="64"/>
      <c r="M217" s="64"/>
      <c r="N217" s="64"/>
      <c r="O217" s="64"/>
      <c r="P217" s="64"/>
      <c r="Q217" s="64"/>
      <c r="R217" s="64"/>
      <c r="S217" s="64"/>
      <c r="T217" s="64"/>
      <c r="U217" s="64"/>
      <c r="V217" s="64"/>
      <c r="W217" s="64"/>
      <c r="X217" s="64"/>
      <c r="Y217" s="64"/>
      <c r="Z217" s="64"/>
    </row>
    <row r="218" ht="12.75" customHeight="1">
      <c r="A218" s="108"/>
      <c r="B218" s="64"/>
      <c r="C218" s="64"/>
      <c r="D218" s="64"/>
      <c r="E218" s="64"/>
      <c r="F218" s="63"/>
      <c r="G218" s="63"/>
      <c r="H218" s="64"/>
      <c r="I218" s="64"/>
      <c r="J218" s="64"/>
      <c r="K218" s="64"/>
      <c r="L218" s="64"/>
      <c r="M218" s="64"/>
      <c r="N218" s="64"/>
      <c r="O218" s="64"/>
      <c r="P218" s="64"/>
      <c r="Q218" s="64"/>
      <c r="R218" s="64"/>
      <c r="S218" s="64"/>
      <c r="T218" s="64"/>
      <c r="U218" s="64"/>
      <c r="V218" s="64"/>
      <c r="W218" s="64"/>
      <c r="X218" s="64"/>
      <c r="Y218" s="64"/>
      <c r="Z218" s="64"/>
    </row>
    <row r="219" ht="12.75" customHeight="1">
      <c r="A219" s="108"/>
      <c r="B219" s="64"/>
      <c r="C219" s="64"/>
      <c r="D219" s="64"/>
      <c r="E219" s="64"/>
      <c r="F219" s="63"/>
      <c r="G219" s="63"/>
      <c r="H219" s="64"/>
      <c r="I219" s="64"/>
      <c r="J219" s="64"/>
      <c r="K219" s="64"/>
      <c r="L219" s="64"/>
      <c r="M219" s="64"/>
      <c r="N219" s="64"/>
      <c r="O219" s="64"/>
      <c r="P219" s="64"/>
      <c r="Q219" s="64"/>
      <c r="R219" s="64"/>
      <c r="S219" s="64"/>
      <c r="T219" s="64"/>
      <c r="U219" s="64"/>
      <c r="V219" s="64"/>
      <c r="W219" s="64"/>
      <c r="X219" s="64"/>
      <c r="Y219" s="64"/>
      <c r="Z219" s="64"/>
    </row>
    <row r="220" ht="12.75" customHeight="1">
      <c r="A220" s="108"/>
      <c r="B220" s="64"/>
      <c r="C220" s="64"/>
      <c r="D220" s="64"/>
      <c r="E220" s="64"/>
      <c r="F220" s="63"/>
      <c r="G220" s="63"/>
      <c r="H220" s="64"/>
      <c r="I220" s="64"/>
      <c r="J220" s="64"/>
      <c r="K220" s="64"/>
      <c r="L220" s="64"/>
      <c r="M220" s="64"/>
      <c r="N220" s="64"/>
      <c r="O220" s="64"/>
      <c r="P220" s="64"/>
      <c r="Q220" s="64"/>
      <c r="R220" s="64"/>
      <c r="S220" s="64"/>
      <c r="T220" s="64"/>
      <c r="U220" s="64"/>
      <c r="V220" s="64"/>
      <c r="W220" s="64"/>
      <c r="X220" s="64"/>
      <c r="Y220" s="64"/>
      <c r="Z220" s="64"/>
    </row>
    <row r="221" ht="12.75" customHeight="1">
      <c r="A221" s="108"/>
      <c r="B221" s="64"/>
      <c r="C221" s="64"/>
      <c r="D221" s="64"/>
      <c r="E221" s="64"/>
      <c r="F221" s="63"/>
      <c r="G221" s="63"/>
      <c r="H221" s="64"/>
      <c r="I221" s="64"/>
      <c r="J221" s="64"/>
      <c r="K221" s="64"/>
      <c r="L221" s="64"/>
      <c r="M221" s="64"/>
      <c r="N221" s="64"/>
      <c r="O221" s="64"/>
      <c r="P221" s="64"/>
      <c r="Q221" s="64"/>
      <c r="R221" s="64"/>
      <c r="S221" s="64"/>
      <c r="T221" s="64"/>
      <c r="U221" s="64"/>
      <c r="V221" s="64"/>
      <c r="W221" s="64"/>
      <c r="X221" s="64"/>
      <c r="Y221" s="64"/>
      <c r="Z221" s="64"/>
    </row>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mergeCells count="10">
    <mergeCell ref="C19:D19"/>
    <mergeCell ref="C20:D20"/>
    <mergeCell ref="C21:D21"/>
    <mergeCell ref="C12:D12"/>
    <mergeCell ref="C13:D13"/>
    <mergeCell ref="C14:D14"/>
    <mergeCell ref="C15:D15"/>
    <mergeCell ref="C16:D16"/>
    <mergeCell ref="C17:D17"/>
    <mergeCell ref="C18:D18"/>
  </mergeCells>
  <dataValidations>
    <dataValidation type="decimal" allowBlank="1" showErrorMessage="1" sqref="F13:F20">
      <formula1>0.0</formula1>
      <formula2>50.0</formula2>
    </dataValidation>
  </dataValidations>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4A3B8"/>
    <pageSetUpPr/>
  </sheetPr>
  <sheetViews>
    <sheetView showGridLines="0" workbookViewId="0"/>
  </sheetViews>
  <sheetFormatPr customHeight="1" defaultColWidth="12.63" defaultRowHeight="15.0"/>
  <cols>
    <col customWidth="1" min="1" max="1" width="16.88"/>
    <col customWidth="1" min="2" max="2" width="52.13"/>
    <col customWidth="1" min="3" max="3" width="27.63"/>
    <col customWidth="1" min="4" max="4" width="14.63"/>
    <col customWidth="1" min="5" max="5" width="18.38"/>
    <col customWidth="1" min="6" max="6" width="17.38"/>
    <col customWidth="1" min="7" max="7" width="15.0"/>
    <col customWidth="1" min="8" max="26" width="9.13"/>
  </cols>
  <sheetData>
    <row r="1" ht="12.75" customHeight="1">
      <c r="A1" s="105" t="s">
        <v>260</v>
      </c>
      <c r="B1" s="77" t="s">
        <v>159</v>
      </c>
      <c r="C1" s="78"/>
      <c r="D1" s="78"/>
      <c r="E1" s="64"/>
      <c r="F1" s="63"/>
      <c r="G1" s="63"/>
      <c r="H1" s="64"/>
      <c r="I1" s="64"/>
      <c r="J1" s="64"/>
      <c r="K1" s="64"/>
      <c r="L1" s="64"/>
      <c r="M1" s="64"/>
      <c r="N1" s="64"/>
      <c r="O1" s="64"/>
      <c r="P1" s="64"/>
      <c r="Q1" s="64"/>
      <c r="R1" s="64"/>
      <c r="S1" s="64"/>
      <c r="T1" s="64"/>
      <c r="U1" s="64"/>
      <c r="V1" s="64"/>
      <c r="W1" s="64"/>
      <c r="X1" s="64"/>
      <c r="Y1" s="64"/>
      <c r="Z1" s="64"/>
    </row>
    <row r="2" ht="12.75" customHeight="1">
      <c r="A2" s="110" t="s">
        <v>5</v>
      </c>
      <c r="B2" s="62" t="str">
        <f t="array" ref="B2">IFERROR(INDEX(Sessions!$C$2:$C$173,MATCH($B$1,Sessions!$B$2:$B$173,0))&amp;"","")</f>
        <v/>
      </c>
      <c r="C2" s="64"/>
      <c r="D2" s="64"/>
      <c r="E2" s="64"/>
      <c r="F2" s="63"/>
      <c r="G2" s="63"/>
      <c r="H2" s="64"/>
      <c r="I2" s="64"/>
      <c r="J2" s="64"/>
      <c r="K2" s="64"/>
      <c r="L2" s="64"/>
      <c r="M2" s="64"/>
      <c r="N2" s="64"/>
      <c r="O2" s="64"/>
      <c r="P2" s="64"/>
      <c r="Q2" s="64"/>
      <c r="R2" s="64"/>
      <c r="S2" s="64"/>
      <c r="T2" s="64"/>
      <c r="U2" s="64"/>
      <c r="V2" s="64"/>
      <c r="W2" s="64"/>
      <c r="X2" s="64"/>
      <c r="Y2" s="64"/>
      <c r="Z2" s="64"/>
    </row>
    <row r="3" ht="12.75" customHeight="1">
      <c r="A3" s="112" t="s">
        <v>704</v>
      </c>
      <c r="B3" s="86" t="str">
        <f>IF(LEFT($B$1,2)="T1",Schedule!$A$4&amp;", "&amp;Schedule!$A$10,IF(LEFT($B$1,2)="T2",Schedule!$A$4&amp;", "&amp;Schedule!$A$12,IF(LEFT($B$1,2)="T3",Schedule!$A$4&amp;", "&amp;#REF!,IF(LEFT($B$1,2)="T4",Schedule!$A$16&amp;", "&amp;Schedule!$A$18,IF($B$1="Keynote 1",Schedule!$A$4&amp;", "&amp;Schedule!$A$8,IF($B$1="Keynote 2",Schedule!$A$4&amp;", "&amp;Schedule!$A$13,IF($B$1="Keynote 3",Schedule!$A$16&amp;", "&amp;Schedule!$A$19,IF($B$1="IEEE Workshop",Schedule!$A$16&amp;", "&amp;#REF!,""))))))))</f>
        <v>#REF!</v>
      </c>
      <c r="C3" s="80"/>
      <c r="D3" s="80"/>
      <c r="E3" s="64"/>
      <c r="F3" s="63"/>
      <c r="G3" s="63"/>
      <c r="H3" s="64"/>
      <c r="I3" s="64"/>
      <c r="J3" s="64"/>
      <c r="K3" s="64"/>
      <c r="L3" s="64"/>
      <c r="M3" s="64"/>
      <c r="N3" s="64"/>
      <c r="O3" s="64"/>
      <c r="P3" s="64"/>
      <c r="Q3" s="64"/>
      <c r="R3" s="64"/>
      <c r="S3" s="64"/>
      <c r="T3" s="64"/>
      <c r="U3" s="64"/>
      <c r="V3" s="64"/>
      <c r="W3" s="64"/>
      <c r="X3" s="64"/>
      <c r="Y3" s="64"/>
      <c r="Z3" s="64"/>
    </row>
    <row r="4" ht="12.75" customHeight="1">
      <c r="A4" s="112" t="s">
        <v>11</v>
      </c>
      <c r="B4" s="115" t="s">
        <v>731</v>
      </c>
      <c r="C4" s="80"/>
      <c r="D4" s="80"/>
      <c r="E4" s="64"/>
      <c r="F4" s="63"/>
      <c r="G4" s="63"/>
      <c r="H4" s="64"/>
      <c r="I4" s="64"/>
      <c r="J4" s="64"/>
      <c r="K4" s="64"/>
      <c r="L4" s="64"/>
      <c r="M4" s="64"/>
      <c r="N4" s="64"/>
      <c r="O4" s="64"/>
      <c r="P4" s="64"/>
      <c r="Q4" s="64"/>
      <c r="R4" s="64"/>
      <c r="S4" s="64"/>
      <c r="T4" s="64"/>
      <c r="U4" s="64"/>
      <c r="V4" s="64"/>
      <c r="W4" s="64"/>
      <c r="X4" s="64"/>
      <c r="Y4" s="64"/>
      <c r="Z4" s="64"/>
    </row>
    <row r="5" ht="12.75" customHeight="1">
      <c r="A5" s="112" t="s">
        <v>707</v>
      </c>
      <c r="B5" s="86" t="str">
        <f t="array" ref="B5">IFERROR(INDEX(Chairs!$J$2:$J$359,MATCH(1,INDEX((Chairs!$K$2:$K$359=$B$1)*(Chairs!$N$2:$N$359=1),0),0)),"")</f>
        <v>Dr. Mustafa Habib Chowdhury</v>
      </c>
      <c r="C5" s="86" t="str">
        <f t="array" ref="C5">IFERROR(INDEX(Chairs!$L$2:$L$359,MATCH(1,INDEX((Chairs!$K$2:$K$359=$B$1)*(Chairs!$N$2:$N$359=1),0),0))&amp;"","")</f>
        <v>mchowdhury@iub.edu.bd</v>
      </c>
      <c r="D5" s="86" t="str">
        <f t="array" ref="D5">IFERROR(INDEX(Chairs!$M$2:$M$359,MATCH(1,INDEX((Chairs!$K$2:$K$359=$B$1)*(Chairs!$N$2:$N$359=1),0),0))&amp;"","")</f>
        <v>01706635679</v>
      </c>
      <c r="E5" s="64"/>
      <c r="F5" s="63"/>
      <c r="G5" s="63"/>
      <c r="H5" s="64"/>
      <c r="I5" s="64"/>
      <c r="J5" s="64"/>
      <c r="K5" s="64"/>
      <c r="L5" s="64"/>
      <c r="M5" s="64"/>
      <c r="N5" s="64"/>
      <c r="O5" s="64"/>
      <c r="P5" s="64"/>
      <c r="Q5" s="64"/>
      <c r="R5" s="64"/>
      <c r="S5" s="64"/>
      <c r="T5" s="64"/>
      <c r="U5" s="64"/>
      <c r="V5" s="64"/>
      <c r="W5" s="64"/>
      <c r="X5" s="64"/>
      <c r="Y5" s="64"/>
      <c r="Z5" s="64"/>
    </row>
    <row r="6" ht="12.75" customHeight="1">
      <c r="A6" s="112" t="s">
        <v>709</v>
      </c>
      <c r="B6" s="86" t="str">
        <f t="array" ref="B6">IFERROR(INDEX('Senior Faculty'!$J$2:$J$401,MATCH(1,INDEX(('Senior Faculty'!$K$2:$K$401=$B$1)*('Senior Faculty'!$N$2:$N$401=1),0),0)),"")</f>
        <v>Rubaiya Hafiz</v>
      </c>
      <c r="C6" s="86" t="str">
        <f t="array" ref="C6">IFERROR(INDEX('Senior Faculty'!$L$2:$L$401,MATCH(1,INDEX(('Senior Faculty'!$K$2:$K$401=$B$1)*('Senior Faculty'!$N$2:$N$401=1),0),0))&amp;"","")</f>
        <v>rubaiya.hafiz@ulab.edu.bd</v>
      </c>
      <c r="D6" s="86" t="str">
        <f t="array" ref="D6">IFERROR(INDEX('Senior Faculty'!$M$2:$M$401,MATCH(1,INDEX(('Senior Faculty'!$K$2:$K$401=$B$1)*('Senior Faculty'!$N$2:$N$401=1),0),0))&amp;"","")</f>
        <v>01914194973</v>
      </c>
      <c r="E6" s="64"/>
      <c r="F6" s="63"/>
      <c r="G6" s="63"/>
      <c r="H6" s="64"/>
      <c r="I6" s="64"/>
      <c r="J6" s="64"/>
      <c r="K6" s="64"/>
      <c r="L6" s="64"/>
      <c r="M6" s="64"/>
      <c r="N6" s="64"/>
      <c r="O6" s="64"/>
      <c r="P6" s="64"/>
      <c r="Q6" s="64"/>
      <c r="R6" s="64"/>
      <c r="S6" s="64"/>
      <c r="T6" s="64"/>
      <c r="U6" s="64"/>
      <c r="V6" s="64"/>
      <c r="W6" s="64"/>
      <c r="X6" s="64"/>
      <c r="Y6" s="64"/>
      <c r="Z6" s="64"/>
    </row>
    <row r="7" ht="12.75" customHeight="1">
      <c r="A7" s="112" t="s">
        <v>713</v>
      </c>
      <c r="B7" s="86" t="str">
        <f t="array" ref="B7">IFERROR(INDEX('Junior Faculty'!$J$2:$J$401,MATCH(1,INDEX(('Junior Faculty'!$K$2:$K$401=$B$1)*('Junior Faculty'!$N$2:$N$401=1),0),0)),"")</f>
        <v>Atanu Shuvam Roy</v>
      </c>
      <c r="C7" s="86" t="str">
        <f t="array" ref="C7">IFERROR(INDEX('Junior Faculty'!$L$2:$L$401,MATCH(1,INDEX(('Junior Faculty'!$K$2:$K$401=$B$1)*('Junior Faculty'!$N$2:$N$401=1),0),0))&amp;"","")</f>
        <v>atanu.shuvam@ulab.edu.bd</v>
      </c>
      <c r="D7" s="86" t="str">
        <f t="array" ref="D7">IFERROR(INDEX('Junior Faculty'!$M$2:$M$401,MATCH(1,INDEX(('Junior Faculty'!$K$2:$K$401=$B$1)*('Junior Faculty'!$N$2:$N$401=1),0),0))&amp;"","")</f>
        <v>01937545261</v>
      </c>
      <c r="E7" s="64"/>
      <c r="F7" s="63"/>
      <c r="G7" s="63"/>
      <c r="H7" s="64"/>
      <c r="I7" s="64"/>
      <c r="J7" s="64"/>
      <c r="K7" s="64"/>
      <c r="L7" s="64"/>
      <c r="M7" s="64"/>
      <c r="N7" s="64"/>
      <c r="O7" s="64"/>
      <c r="P7" s="64"/>
      <c r="Q7" s="64"/>
      <c r="R7" s="64"/>
      <c r="S7" s="64"/>
      <c r="T7" s="64"/>
      <c r="U7" s="64"/>
      <c r="V7" s="64"/>
      <c r="W7" s="64"/>
      <c r="X7" s="64"/>
      <c r="Y7" s="64"/>
      <c r="Z7" s="64"/>
    </row>
    <row r="8" ht="12.75" customHeight="1">
      <c r="A8" s="119" t="s">
        <v>714</v>
      </c>
      <c r="B8" s="95" t="str">
        <f t="array" ref="B8">IFERROR(INDEX('Junior Faculty'!$J$2:$J$401,MATCH(1,INDEX(('Junior Faculty'!$K$2:$K$401=$B$1)*('Junior Faculty'!$N$2:$N$401=2),0),0)),"")</f>
        <v>Fatema Khan</v>
      </c>
      <c r="C8" s="95" t="str">
        <f t="array" ref="C8">IFERROR(INDEX('Junior Faculty'!$L$2:$L$401,MATCH(1,INDEX(('Junior Faculty'!$K$2:$K$401=$B$1)*('Junior Faculty'!$N$2:$N$401=2),0),0))&amp;"","")</f>
        <v>fatema.khan@ulab.edu.bd</v>
      </c>
      <c r="D8" s="95" t="str">
        <f t="array" ref="D8">IFERROR(INDEX('Junior Faculty'!$M$2:$M$401,MATCH(1,INDEX(('Junior Faculty'!$K$2:$K$401=$B$1)*('Junior Faculty'!$N$2:$N$401=2),0),0))&amp;"","")</f>
        <v>01781527079</v>
      </c>
      <c r="E8" s="64"/>
      <c r="F8" s="63"/>
      <c r="G8" s="63"/>
      <c r="H8" s="64"/>
      <c r="I8" s="64"/>
      <c r="J8" s="64"/>
      <c r="K8" s="64"/>
      <c r="L8" s="64"/>
      <c r="M8" s="64"/>
      <c r="N8" s="64"/>
      <c r="O8" s="64"/>
      <c r="P8" s="64"/>
      <c r="Q8" s="64"/>
      <c r="R8" s="64"/>
      <c r="S8" s="64"/>
      <c r="T8" s="64"/>
      <c r="U8" s="64"/>
      <c r="V8" s="64"/>
      <c r="W8" s="64"/>
      <c r="X8" s="64"/>
      <c r="Y8" s="64"/>
      <c r="Z8" s="64"/>
    </row>
    <row r="9" ht="12.75" customHeight="1">
      <c r="A9" s="108"/>
      <c r="B9" s="64"/>
      <c r="C9" s="64"/>
      <c r="D9" s="64"/>
      <c r="E9" s="64"/>
      <c r="F9" s="63"/>
      <c r="G9" s="63"/>
      <c r="H9" s="64"/>
      <c r="I9" s="64"/>
      <c r="J9" s="64"/>
      <c r="K9" s="64"/>
      <c r="L9" s="64"/>
      <c r="M9" s="64"/>
      <c r="N9" s="64"/>
      <c r="O9" s="64"/>
      <c r="P9" s="64"/>
      <c r="Q9" s="64"/>
      <c r="R9" s="64"/>
      <c r="S9" s="64"/>
      <c r="T9" s="64"/>
      <c r="U9" s="64"/>
      <c r="V9" s="64"/>
      <c r="W9" s="64"/>
      <c r="X9" s="64"/>
      <c r="Y9" s="64"/>
      <c r="Z9" s="64"/>
    </row>
    <row r="10" ht="12.75" customHeight="1">
      <c r="A10" s="121" t="s">
        <v>727</v>
      </c>
      <c r="B10" s="86"/>
      <c r="C10" s="86"/>
      <c r="D10" s="86"/>
      <c r="E10" s="64"/>
      <c r="F10" s="63"/>
      <c r="G10" s="63"/>
      <c r="H10" s="64"/>
      <c r="I10" s="64"/>
      <c r="J10" s="64"/>
      <c r="K10" s="64"/>
      <c r="L10" s="64"/>
      <c r="M10" s="64"/>
      <c r="N10" s="64"/>
      <c r="O10" s="64"/>
      <c r="P10" s="64"/>
      <c r="Q10" s="64"/>
      <c r="R10" s="64"/>
      <c r="S10" s="64"/>
      <c r="T10" s="64"/>
      <c r="U10" s="64"/>
      <c r="V10" s="64"/>
      <c r="W10" s="64"/>
      <c r="X10" s="64"/>
      <c r="Y10" s="64"/>
      <c r="Z10" s="64"/>
    </row>
    <row r="11" ht="15.0" customHeight="1">
      <c r="A11" s="122" t="s">
        <v>174</v>
      </c>
      <c r="B11" s="122" t="s">
        <v>256</v>
      </c>
      <c r="C11" s="123" t="s">
        <v>257</v>
      </c>
      <c r="D11" s="124"/>
      <c r="E11" s="61" t="s">
        <v>258</v>
      </c>
      <c r="F11" s="60" t="s">
        <v>265</v>
      </c>
      <c r="G11" s="64"/>
      <c r="H11" s="64"/>
      <c r="I11" s="64"/>
      <c r="J11" s="64"/>
      <c r="K11" s="64"/>
      <c r="L11" s="64"/>
      <c r="M11" s="64"/>
      <c r="N11" s="64"/>
      <c r="O11" s="64"/>
      <c r="P11" s="64"/>
      <c r="Q11" s="64"/>
      <c r="R11" s="64"/>
      <c r="S11" s="64"/>
      <c r="T11" s="64"/>
      <c r="U11" s="64"/>
      <c r="V11" s="64"/>
      <c r="W11" s="64"/>
      <c r="X11" s="64"/>
      <c r="Y11" s="64"/>
      <c r="Z11" s="64"/>
    </row>
    <row r="12" ht="12.75" customHeight="1">
      <c r="A12" s="113" t="str">
        <f t="array" ref="A12">IFERROR(INDEX(Papers!$A$2:$A$201,MATCH(1,INDEX((Papers!$G$2:$G$201=$B$1)*(Papers!$I$2:$I$201=1),0),0)),"")</f>
        <v/>
      </c>
      <c r="B12" s="113" t="str">
        <f t="array" ref="B12">IFERROR(INDEX(Papers!$C$2:$C$201,MATCH(1,INDEX((Papers!$G$2:$G$201=$B$1)*(Papers!$I$2:$I$201=1),0),0)),"")</f>
        <v/>
      </c>
      <c r="C12" s="113" t="str">
        <f t="array" ref="C12">IFERROR(INDEX(Papers!$D$2:$D$201,MATCH(1,INDEX((Papers!$G$2:$G$201=$B$1)*(Papers!$I$2:$I$201=1),0),0)),"")</f>
        <v/>
      </c>
      <c r="D12" s="125"/>
      <c r="E12" s="86" t="str">
        <f t="array" ref="E12">IFERROR(INDEX(Papers!$E$2:$E$201,MATCH(1,INDEX((Papers!$G$2:$G$201=$B$1)*(Papers!$I$2:$I$201=1),0),0)),"")</f>
        <v/>
      </c>
      <c r="F12" s="67"/>
      <c r="G12" s="64"/>
      <c r="H12" s="64"/>
      <c r="I12" s="64"/>
      <c r="J12" s="64"/>
      <c r="K12" s="64"/>
      <c r="L12" s="64"/>
      <c r="M12" s="64"/>
      <c r="N12" s="64"/>
      <c r="O12" s="64"/>
      <c r="P12" s="64"/>
      <c r="Q12" s="64"/>
      <c r="R12" s="64"/>
      <c r="S12" s="64"/>
      <c r="T12" s="64"/>
      <c r="U12" s="64"/>
      <c r="V12" s="64"/>
      <c r="W12" s="64"/>
      <c r="X12" s="64"/>
      <c r="Y12" s="64"/>
      <c r="Z12" s="64"/>
    </row>
    <row r="13" ht="12.75" customHeight="1">
      <c r="A13" s="113" t="str">
        <f t="array" ref="A13">IFERROR(INDEX(Papers!$A$2:$A$201,MATCH(1,INDEX((Papers!$G$2:$G$201=$B$1)*(Papers!$I$2:$I$201=2),0),0)),"")</f>
        <v/>
      </c>
      <c r="B13" s="113" t="str">
        <f t="array" ref="B13">IFERROR(INDEX(Papers!$C$2:$C$201,MATCH(1,INDEX((Papers!$G$2:$G$201=$B$1)*(Papers!$I$2:$I$201=2),0),0)),"")</f>
        <v/>
      </c>
      <c r="C13" s="113" t="str">
        <f t="array" ref="C13">IFERROR(INDEX(Papers!$D$2:$D$201,MATCH(1,INDEX((Papers!$G$2:$G$201=$B$1)*(Papers!$I$2:$I$201=2),0),0)),"")</f>
        <v/>
      </c>
      <c r="D13" s="125"/>
      <c r="E13" s="86" t="str">
        <f t="array" ref="E13">IFERROR(INDEX(Papers!$E$2:$E$201,MATCH(1,INDEX((Papers!$G$2:$G$201=$B$1)*(Papers!$I$2:$I$201=2),0),0)),"")</f>
        <v/>
      </c>
      <c r="F13" s="67"/>
      <c r="G13" s="64"/>
      <c r="H13" s="64"/>
      <c r="I13" s="64"/>
      <c r="J13" s="64"/>
      <c r="K13" s="64"/>
      <c r="L13" s="64"/>
      <c r="M13" s="64"/>
      <c r="N13" s="64"/>
      <c r="O13" s="64"/>
      <c r="P13" s="64"/>
      <c r="Q13" s="64"/>
      <c r="R13" s="64"/>
      <c r="S13" s="64"/>
      <c r="T13" s="64"/>
      <c r="U13" s="64"/>
      <c r="V13" s="64"/>
      <c r="W13" s="64"/>
      <c r="X13" s="64"/>
      <c r="Y13" s="64"/>
      <c r="Z13" s="64"/>
    </row>
    <row r="14" ht="12.75" customHeight="1">
      <c r="A14" s="113" t="str">
        <f t="array" ref="A14">IFERROR(INDEX(Papers!$A$2:$A$201,MATCH(1,INDEX((Papers!$G$2:$G$201=$B$1)*(Papers!$I$2:$I$201=3),0),0)),"")</f>
        <v/>
      </c>
      <c r="B14" s="113" t="str">
        <f t="array" ref="B14">IFERROR(INDEX(Papers!$C$2:$C$201,MATCH(1,INDEX((Papers!$G$2:$G$201=$B$1)*(Papers!$I$2:$I$201=3),0),0)),"")</f>
        <v/>
      </c>
      <c r="C14" s="113" t="str">
        <f t="array" ref="C14">IFERROR(INDEX(Papers!$D$2:$D$201,MATCH(1,INDEX((Papers!$G$2:$G$201=$B$1)*(Papers!$I$2:$I$201=3),0),0)),"")</f>
        <v/>
      </c>
      <c r="D14" s="125"/>
      <c r="E14" s="86" t="str">
        <f t="array" ref="E14">IFERROR(INDEX(Papers!$E$2:$E$201,MATCH(1,INDEX((Papers!$G$2:$G$201=$B$1)*(Papers!$I$2:$I$201=3),0),0)),"")</f>
        <v/>
      </c>
      <c r="F14" s="67"/>
      <c r="G14" s="64"/>
      <c r="H14" s="64"/>
      <c r="I14" s="64"/>
      <c r="J14" s="64"/>
      <c r="K14" s="64"/>
      <c r="L14" s="64"/>
      <c r="M14" s="64"/>
      <c r="N14" s="64"/>
      <c r="O14" s="64"/>
      <c r="P14" s="64"/>
      <c r="Q14" s="64"/>
      <c r="R14" s="64"/>
      <c r="S14" s="64"/>
      <c r="T14" s="64"/>
      <c r="U14" s="64"/>
      <c r="V14" s="64"/>
      <c r="W14" s="64"/>
      <c r="X14" s="64"/>
      <c r="Y14" s="64"/>
      <c r="Z14" s="64"/>
    </row>
    <row r="15" ht="12.75" customHeight="1">
      <c r="A15" s="113" t="str">
        <f t="array" ref="A15">IFERROR(INDEX(Papers!$A$2:$A$201,MATCH(1,INDEX((Papers!$G$2:$G$201=$B$1)*(Papers!$I$2:$I$201=4),0),0)),"")</f>
        <v/>
      </c>
      <c r="B15" s="113" t="str">
        <f t="array" ref="B15">IFERROR(INDEX(Papers!$C$2:$C$201,MATCH(1,INDEX((Papers!$G$2:$G$201=$B$1)*(Papers!$I$2:$I$201=4),0),0)),"")</f>
        <v/>
      </c>
      <c r="C15" s="113" t="str">
        <f t="array" ref="C15">IFERROR(INDEX(Papers!$D$2:$D$201,MATCH(1,INDEX((Papers!$G$2:$G$201=$B$1)*(Papers!$I$2:$I$201=4),0),0)),"")</f>
        <v/>
      </c>
      <c r="D15" s="125"/>
      <c r="E15" s="86" t="str">
        <f t="array" ref="E15">IFERROR(INDEX(Papers!$E$2:$E$201,MATCH(1,INDEX((Papers!$G$2:$G$201=$B$1)*(Papers!$I$2:$I$201=4),0),0)),"")</f>
        <v/>
      </c>
      <c r="F15" s="67"/>
      <c r="G15" s="64"/>
      <c r="H15" s="64"/>
      <c r="I15" s="64"/>
      <c r="J15" s="64"/>
      <c r="K15" s="64"/>
      <c r="L15" s="64"/>
      <c r="M15" s="64"/>
      <c r="N15" s="64"/>
      <c r="O15" s="64"/>
      <c r="P15" s="64"/>
      <c r="Q15" s="64"/>
      <c r="R15" s="64"/>
      <c r="S15" s="64"/>
      <c r="T15" s="64"/>
      <c r="U15" s="64"/>
      <c r="V15" s="64"/>
      <c r="W15" s="64"/>
      <c r="X15" s="64"/>
      <c r="Y15" s="64"/>
      <c r="Z15" s="64"/>
    </row>
    <row r="16" ht="12.75" customHeight="1">
      <c r="A16" s="113" t="str">
        <f t="array" ref="A16">IFERROR(INDEX(Papers!$A$2:$A$201,MATCH(1,INDEX((Papers!$G$2:$G$201=$B$1)*(Papers!$I$2:$I$201=5),0),0)),"")</f>
        <v/>
      </c>
      <c r="B16" s="113" t="str">
        <f t="array" ref="B16">IFERROR(INDEX(Papers!$C$2:$C$201,MATCH(1,INDEX((Papers!$G$2:$G$201=$B$1)*(Papers!$I$2:$I$201=5),0),0)),"")</f>
        <v/>
      </c>
      <c r="C16" s="113" t="str">
        <f t="array" ref="C16">IFERROR(INDEX(Papers!$D$2:$D$201,MATCH(1,INDEX((Papers!$G$2:$G$201=$B$1)*(Papers!$I$2:$I$201=5),0),0)),"")</f>
        <v/>
      </c>
      <c r="D16" s="125"/>
      <c r="E16" s="86" t="str">
        <f t="array" ref="E16">IFERROR(INDEX(Papers!$E$2:$E$201,MATCH(1,INDEX((Papers!$G$2:$G$201=$B$1)*(Papers!$I$2:$I$201=5),0),0)),"")</f>
        <v/>
      </c>
      <c r="F16" s="67"/>
      <c r="G16" s="64"/>
      <c r="H16" s="64"/>
      <c r="I16" s="64"/>
      <c r="J16" s="64"/>
      <c r="K16" s="64"/>
      <c r="L16" s="64"/>
      <c r="M16" s="64"/>
      <c r="N16" s="64"/>
      <c r="O16" s="64"/>
      <c r="P16" s="64"/>
      <c r="Q16" s="64"/>
      <c r="R16" s="64"/>
      <c r="S16" s="64"/>
      <c r="T16" s="64"/>
      <c r="U16" s="64"/>
      <c r="V16" s="64"/>
      <c r="W16" s="64"/>
      <c r="X16" s="64"/>
      <c r="Y16" s="64"/>
      <c r="Z16" s="64"/>
    </row>
    <row r="17" ht="12.75" customHeight="1">
      <c r="A17" s="113" t="str">
        <f t="array" ref="A17">IFERROR(INDEX(Papers!$A$2:$A$201,MATCH(1,INDEX((Papers!$G$2:$G$201=$B$1)*(Papers!$I$2:$I$201=6),0),0)),"")</f>
        <v/>
      </c>
      <c r="B17" s="113" t="str">
        <f t="array" ref="B17">IFERROR(INDEX(Papers!$C$2:$C$201,MATCH(1,INDEX((Papers!$G$2:$G$201=$B$1)*(Papers!$I$2:$I$201=6),0),0)),"")</f>
        <v/>
      </c>
      <c r="C17" s="113" t="str">
        <f t="array" ref="C17">IFERROR(INDEX(Papers!$D$2:$D$201,MATCH(1,INDEX((Papers!$G$2:$G$201=$B$1)*(Papers!$I$2:$I$201=6),0),0)),"")</f>
        <v/>
      </c>
      <c r="D17" s="125"/>
      <c r="E17" s="86" t="str">
        <f t="array" ref="E17">IFERROR(INDEX(Papers!$E$2:$E$201,MATCH(1,INDEX((Papers!$G$2:$G$201=$B$1)*(Papers!$I$2:$I$201=6),0),0)),"")</f>
        <v/>
      </c>
      <c r="F17" s="67"/>
      <c r="G17" s="64"/>
      <c r="H17" s="64"/>
      <c r="I17" s="64"/>
      <c r="J17" s="64"/>
      <c r="K17" s="64"/>
      <c r="L17" s="64"/>
      <c r="M17" s="64"/>
      <c r="N17" s="64"/>
      <c r="O17" s="64"/>
      <c r="P17" s="64"/>
      <c r="Q17" s="64"/>
      <c r="R17" s="64"/>
      <c r="S17" s="64"/>
      <c r="T17" s="64"/>
      <c r="U17" s="64"/>
      <c r="V17" s="64"/>
      <c r="W17" s="64"/>
      <c r="X17" s="64"/>
      <c r="Y17" s="64"/>
      <c r="Z17" s="64"/>
    </row>
    <row r="18" ht="12.75" customHeight="1">
      <c r="A18" s="113" t="str">
        <f t="array" ref="A18">IFERROR(INDEX(Papers!$A$2:$A$201,MATCH(1,INDEX((Papers!$G$2:$G$201=$B$1)*(Papers!$I$2:$I$201=7),0),0)),"")</f>
        <v/>
      </c>
      <c r="B18" s="113" t="str">
        <f t="array" ref="B18">IFERROR(INDEX(Papers!$C$2:$C$201,MATCH(1,INDEX((Papers!$G$2:$G$201=$B$1)*(Papers!$I$2:$I$201=7),0),0)),"")</f>
        <v/>
      </c>
      <c r="C18" s="113" t="str">
        <f t="array" ref="C18">IFERROR(INDEX(Papers!$D$2:$D$201,MATCH(1,INDEX((Papers!$G$2:$G$201=$B$1)*(Papers!$I$2:$I$201=7),0),0)),"")</f>
        <v/>
      </c>
      <c r="D18" s="125"/>
      <c r="E18" s="86" t="str">
        <f t="array" ref="E18">IFERROR(INDEX(Papers!$E$2:$E$201,MATCH(1,INDEX((Papers!$G$2:$G$201=$B$1)*(Papers!$I$2:$I$201=7),0),0)),"")</f>
        <v/>
      </c>
      <c r="F18" s="67"/>
      <c r="G18" s="64"/>
      <c r="H18" s="64"/>
      <c r="I18" s="64"/>
      <c r="J18" s="64"/>
      <c r="K18" s="64"/>
      <c r="L18" s="64"/>
      <c r="M18" s="64"/>
      <c r="N18" s="64"/>
      <c r="O18" s="64"/>
      <c r="P18" s="64"/>
      <c r="Q18" s="64"/>
      <c r="R18" s="64"/>
      <c r="S18" s="64"/>
      <c r="T18" s="64"/>
      <c r="U18" s="64"/>
      <c r="V18" s="64"/>
      <c r="W18" s="64"/>
      <c r="X18" s="64"/>
      <c r="Y18" s="64"/>
      <c r="Z18" s="64"/>
    </row>
    <row r="19" ht="12.75" customHeight="1">
      <c r="A19" s="113" t="str">
        <f t="array" ref="A19">IFERROR(INDEX(Papers!$A$2:$A$201,MATCH(1,INDEX((Papers!$G$2:$G$201=$B$1)*(Papers!$I$2:$I$201=8),0),0)),"")</f>
        <v/>
      </c>
      <c r="B19" s="113" t="str">
        <f t="array" ref="B19">IFERROR(INDEX(Papers!$C$2:$C$201,MATCH(1,INDEX((Papers!$G$2:$G$201=$B$1)*(Papers!$I$2:$I$201=8),0),0)),"")</f>
        <v/>
      </c>
      <c r="C19" s="113" t="str">
        <f t="array" ref="C19">IFERROR(INDEX(Papers!$D$2:$D$201,MATCH(1,INDEX((Papers!$G$2:$G$201=$B$1)*(Papers!$I$2:$I$201=8),0),0)),"")</f>
        <v/>
      </c>
      <c r="D19" s="125"/>
      <c r="E19" s="86" t="str">
        <f t="array" ref="E19">IFERROR(INDEX(Papers!$E$2:$E$201,MATCH(1,INDEX((Papers!$G$2:$G$201=$B$1)*(Papers!$I$2:$I$201=8),0),0)),"")</f>
        <v/>
      </c>
      <c r="F19" s="67"/>
      <c r="G19" s="64"/>
      <c r="H19" s="64"/>
      <c r="I19" s="64"/>
      <c r="J19" s="64"/>
      <c r="K19" s="64"/>
      <c r="L19" s="64"/>
      <c r="M19" s="64"/>
      <c r="N19" s="64"/>
      <c r="O19" s="64"/>
      <c r="P19" s="64"/>
      <c r="Q19" s="64"/>
      <c r="R19" s="64"/>
      <c r="S19" s="64"/>
      <c r="T19" s="64"/>
      <c r="U19" s="64"/>
      <c r="V19" s="64"/>
      <c r="W19" s="64"/>
      <c r="X19" s="64"/>
      <c r="Y19" s="64"/>
      <c r="Z19" s="64"/>
    </row>
    <row r="20" ht="12.75" customHeight="1">
      <c r="A20" s="108"/>
      <c r="B20" s="64"/>
      <c r="C20" s="64"/>
      <c r="E20" s="64"/>
      <c r="F20" s="63"/>
      <c r="G20" s="64"/>
      <c r="H20" s="64"/>
      <c r="I20" s="64"/>
      <c r="J20" s="64"/>
      <c r="K20" s="64"/>
      <c r="L20" s="64"/>
      <c r="M20" s="64"/>
      <c r="N20" s="64"/>
      <c r="O20" s="64"/>
      <c r="P20" s="64"/>
      <c r="Q20" s="64"/>
      <c r="R20" s="64"/>
      <c r="S20" s="64"/>
      <c r="T20" s="64"/>
      <c r="U20" s="64"/>
      <c r="V20" s="64"/>
      <c r="W20" s="64"/>
      <c r="X20" s="64"/>
      <c r="Y20" s="64"/>
      <c r="Z20" s="64"/>
    </row>
    <row r="21" ht="12.75" customHeight="1">
      <c r="A21" s="108"/>
      <c r="B21" s="64"/>
      <c r="C21" s="64"/>
      <c r="D21" s="64"/>
      <c r="E21" s="64"/>
      <c r="F21" s="63"/>
      <c r="G21" s="63"/>
      <c r="H21" s="64"/>
      <c r="I21" s="64"/>
      <c r="J21" s="64"/>
      <c r="K21" s="64"/>
      <c r="L21" s="64"/>
      <c r="M21" s="64"/>
      <c r="N21" s="64"/>
      <c r="O21" s="64"/>
      <c r="P21" s="64"/>
      <c r="Q21" s="64"/>
      <c r="R21" s="64"/>
      <c r="S21" s="64"/>
      <c r="T21" s="64"/>
      <c r="U21" s="64"/>
      <c r="V21" s="64"/>
      <c r="W21" s="64"/>
      <c r="X21" s="64"/>
      <c r="Y21" s="64"/>
      <c r="Z21" s="64"/>
    </row>
    <row r="22" ht="12.75" customHeight="1">
      <c r="A22" s="108"/>
      <c r="B22" s="64"/>
      <c r="C22" s="64"/>
      <c r="D22" s="64"/>
      <c r="E22" s="64"/>
      <c r="F22" s="63"/>
      <c r="G22" s="63"/>
      <c r="H22" s="64"/>
      <c r="I22" s="64"/>
      <c r="J22" s="64"/>
      <c r="K22" s="64"/>
      <c r="L22" s="64"/>
      <c r="M22" s="64"/>
      <c r="N22" s="64"/>
      <c r="O22" s="64"/>
      <c r="P22" s="64"/>
      <c r="Q22" s="64"/>
      <c r="R22" s="64"/>
      <c r="S22" s="64"/>
      <c r="T22" s="64"/>
      <c r="U22" s="64"/>
      <c r="V22" s="64"/>
      <c r="W22" s="64"/>
      <c r="X22" s="64"/>
      <c r="Y22" s="64"/>
      <c r="Z22" s="64"/>
    </row>
    <row r="23" ht="12.75" customHeight="1">
      <c r="A23" s="108"/>
      <c r="B23" s="64"/>
      <c r="C23" s="64"/>
      <c r="D23" s="64"/>
      <c r="E23" s="64"/>
      <c r="F23" s="63"/>
      <c r="G23" s="63"/>
      <c r="H23" s="64"/>
      <c r="I23" s="64"/>
      <c r="J23" s="64"/>
      <c r="K23" s="64"/>
      <c r="L23" s="64"/>
      <c r="M23" s="64"/>
      <c r="N23" s="64"/>
      <c r="O23" s="64"/>
      <c r="P23" s="64"/>
      <c r="Q23" s="64"/>
      <c r="R23" s="64"/>
      <c r="S23" s="64"/>
      <c r="T23" s="64"/>
      <c r="U23" s="64"/>
      <c r="V23" s="64"/>
      <c r="W23" s="64"/>
      <c r="X23" s="64"/>
      <c r="Y23" s="64"/>
      <c r="Z23" s="64"/>
    </row>
    <row r="24" ht="12.75" customHeight="1">
      <c r="A24" s="108"/>
      <c r="B24" s="64"/>
      <c r="C24" s="64"/>
      <c r="D24" s="64"/>
      <c r="E24" s="64"/>
      <c r="F24" s="63"/>
      <c r="G24" s="63"/>
      <c r="H24" s="64"/>
      <c r="I24" s="64"/>
      <c r="J24" s="64"/>
      <c r="K24" s="64"/>
      <c r="L24" s="64"/>
      <c r="M24" s="64"/>
      <c r="N24" s="64"/>
      <c r="O24" s="64"/>
      <c r="P24" s="64"/>
      <c r="Q24" s="64"/>
      <c r="R24" s="64"/>
      <c r="S24" s="64"/>
      <c r="T24" s="64"/>
      <c r="U24" s="64"/>
      <c r="V24" s="64"/>
      <c r="W24" s="64"/>
      <c r="X24" s="64"/>
      <c r="Y24" s="64"/>
      <c r="Z24" s="64"/>
    </row>
    <row r="25" ht="12.75" customHeight="1">
      <c r="A25" s="108"/>
      <c r="B25" s="64"/>
      <c r="C25" s="64"/>
      <c r="D25" s="64"/>
      <c r="E25" s="64"/>
      <c r="F25" s="63"/>
      <c r="G25" s="63"/>
      <c r="H25" s="64"/>
      <c r="I25" s="64"/>
      <c r="J25" s="64"/>
      <c r="K25" s="64"/>
      <c r="L25" s="64"/>
      <c r="M25" s="64"/>
      <c r="N25" s="64"/>
      <c r="O25" s="64"/>
      <c r="P25" s="64"/>
      <c r="Q25" s="64"/>
      <c r="R25" s="64"/>
      <c r="S25" s="64"/>
      <c r="T25" s="64"/>
      <c r="U25" s="64"/>
      <c r="V25" s="64"/>
      <c r="W25" s="64"/>
      <c r="X25" s="64"/>
      <c r="Y25" s="64"/>
      <c r="Z25" s="64"/>
    </row>
    <row r="26" ht="12.75" customHeight="1">
      <c r="A26" s="108"/>
      <c r="B26" s="64"/>
      <c r="C26" s="64"/>
      <c r="D26" s="64"/>
      <c r="E26" s="64"/>
      <c r="F26" s="63"/>
      <c r="G26" s="63"/>
      <c r="H26" s="64"/>
      <c r="I26" s="64"/>
      <c r="J26" s="64"/>
      <c r="K26" s="64"/>
      <c r="L26" s="64"/>
      <c r="M26" s="64"/>
      <c r="N26" s="64"/>
      <c r="O26" s="64"/>
      <c r="P26" s="64"/>
      <c r="Q26" s="64"/>
      <c r="R26" s="64"/>
      <c r="S26" s="64"/>
      <c r="T26" s="64"/>
      <c r="U26" s="64"/>
      <c r="V26" s="64"/>
      <c r="W26" s="64"/>
      <c r="X26" s="64"/>
      <c r="Y26" s="64"/>
      <c r="Z26" s="64"/>
    </row>
    <row r="27" ht="12.75" customHeight="1">
      <c r="A27" s="108"/>
      <c r="B27" s="64"/>
      <c r="C27" s="64"/>
      <c r="D27" s="64"/>
      <c r="E27" s="64"/>
      <c r="F27" s="63"/>
      <c r="G27" s="63"/>
      <c r="H27" s="64"/>
      <c r="I27" s="64"/>
      <c r="J27" s="64"/>
      <c r="K27" s="64"/>
      <c r="L27" s="64"/>
      <c r="M27" s="64"/>
      <c r="N27" s="64"/>
      <c r="O27" s="64"/>
      <c r="P27" s="64"/>
      <c r="Q27" s="64"/>
      <c r="R27" s="64"/>
      <c r="S27" s="64"/>
      <c r="T27" s="64"/>
      <c r="U27" s="64"/>
      <c r="V27" s="64"/>
      <c r="W27" s="64"/>
      <c r="X27" s="64"/>
      <c r="Y27" s="64"/>
      <c r="Z27" s="64"/>
    </row>
    <row r="28" ht="12.75" customHeight="1">
      <c r="A28" s="108"/>
      <c r="B28" s="64"/>
      <c r="C28" s="64"/>
      <c r="D28" s="64"/>
      <c r="E28" s="64"/>
      <c r="F28" s="63"/>
      <c r="G28" s="63"/>
      <c r="H28" s="64"/>
      <c r="I28" s="64"/>
      <c r="J28" s="64"/>
      <c r="K28" s="64"/>
      <c r="L28" s="64"/>
      <c r="M28" s="64"/>
      <c r="N28" s="64"/>
      <c r="O28" s="64"/>
      <c r="P28" s="64"/>
      <c r="Q28" s="64"/>
      <c r="R28" s="64"/>
      <c r="S28" s="64"/>
      <c r="T28" s="64"/>
      <c r="U28" s="64"/>
      <c r="V28" s="64"/>
      <c r="W28" s="64"/>
      <c r="X28" s="64"/>
      <c r="Y28" s="64"/>
      <c r="Z28" s="64"/>
    </row>
    <row r="29" ht="12.75" customHeight="1">
      <c r="A29" s="108"/>
      <c r="B29" s="64"/>
      <c r="C29" s="64"/>
      <c r="D29" s="64"/>
      <c r="E29" s="64"/>
      <c r="F29" s="63"/>
      <c r="G29" s="63"/>
      <c r="H29" s="64"/>
      <c r="I29" s="64"/>
      <c r="J29" s="64"/>
      <c r="K29" s="64"/>
      <c r="L29" s="64"/>
      <c r="M29" s="64"/>
      <c r="N29" s="64"/>
      <c r="O29" s="64"/>
      <c r="P29" s="64"/>
      <c r="Q29" s="64"/>
      <c r="R29" s="64"/>
      <c r="S29" s="64"/>
      <c r="T29" s="64"/>
      <c r="U29" s="64"/>
      <c r="V29" s="64"/>
      <c r="W29" s="64"/>
      <c r="X29" s="64"/>
      <c r="Y29" s="64"/>
      <c r="Z29" s="64"/>
    </row>
    <row r="30" ht="12.75" customHeight="1">
      <c r="A30" s="108"/>
      <c r="B30" s="64"/>
      <c r="C30" s="64"/>
      <c r="D30" s="64"/>
      <c r="E30" s="64"/>
      <c r="F30" s="63"/>
      <c r="G30" s="63"/>
      <c r="H30" s="64"/>
      <c r="I30" s="64"/>
      <c r="J30" s="64"/>
      <c r="K30" s="64"/>
      <c r="L30" s="64"/>
      <c r="M30" s="64"/>
      <c r="N30" s="64"/>
      <c r="O30" s="64"/>
      <c r="P30" s="64"/>
      <c r="Q30" s="64"/>
      <c r="R30" s="64"/>
      <c r="S30" s="64"/>
      <c r="T30" s="64"/>
      <c r="U30" s="64"/>
      <c r="V30" s="64"/>
      <c r="W30" s="64"/>
      <c r="X30" s="64"/>
      <c r="Y30" s="64"/>
      <c r="Z30" s="64"/>
    </row>
    <row r="31" ht="12.75" customHeight="1">
      <c r="A31" s="108"/>
      <c r="B31" s="64"/>
      <c r="C31" s="64"/>
      <c r="D31" s="64"/>
      <c r="E31" s="64"/>
      <c r="F31" s="63"/>
      <c r="G31" s="63"/>
      <c r="H31" s="64"/>
      <c r="I31" s="64"/>
      <c r="J31" s="64"/>
      <c r="K31" s="64"/>
      <c r="L31" s="64"/>
      <c r="M31" s="64"/>
      <c r="N31" s="64"/>
      <c r="O31" s="64"/>
      <c r="P31" s="64"/>
      <c r="Q31" s="64"/>
      <c r="R31" s="64"/>
      <c r="S31" s="64"/>
      <c r="T31" s="64"/>
      <c r="U31" s="64"/>
      <c r="V31" s="64"/>
      <c r="W31" s="64"/>
      <c r="X31" s="64"/>
      <c r="Y31" s="64"/>
      <c r="Z31" s="64"/>
    </row>
    <row r="32" ht="12.75" customHeight="1">
      <c r="A32" s="108"/>
      <c r="B32" s="64"/>
      <c r="C32" s="64"/>
      <c r="D32" s="64"/>
      <c r="E32" s="64"/>
      <c r="F32" s="63"/>
      <c r="G32" s="63"/>
      <c r="H32" s="64"/>
      <c r="I32" s="64"/>
      <c r="J32" s="64"/>
      <c r="K32" s="64"/>
      <c r="L32" s="64"/>
      <c r="M32" s="64"/>
      <c r="N32" s="64"/>
      <c r="O32" s="64"/>
      <c r="P32" s="64"/>
      <c r="Q32" s="64"/>
      <c r="R32" s="64"/>
      <c r="S32" s="64"/>
      <c r="T32" s="64"/>
      <c r="U32" s="64"/>
      <c r="V32" s="64"/>
      <c r="W32" s="64"/>
      <c r="X32" s="64"/>
      <c r="Y32" s="64"/>
      <c r="Z32" s="64"/>
    </row>
    <row r="33" ht="12.75" customHeight="1">
      <c r="A33" s="108"/>
      <c r="B33" s="64"/>
      <c r="C33" s="64"/>
      <c r="D33" s="64"/>
      <c r="E33" s="64"/>
      <c r="F33" s="63"/>
      <c r="G33" s="63"/>
      <c r="H33" s="64"/>
      <c r="I33" s="64"/>
      <c r="J33" s="64"/>
      <c r="K33" s="64"/>
      <c r="L33" s="64"/>
      <c r="M33" s="64"/>
      <c r="N33" s="64"/>
      <c r="O33" s="64"/>
      <c r="P33" s="64"/>
      <c r="Q33" s="64"/>
      <c r="R33" s="64"/>
      <c r="S33" s="64"/>
      <c r="T33" s="64"/>
      <c r="U33" s="64"/>
      <c r="V33" s="64"/>
      <c r="W33" s="64"/>
      <c r="X33" s="64"/>
      <c r="Y33" s="64"/>
      <c r="Z33" s="64"/>
    </row>
    <row r="34" ht="12.75" customHeight="1">
      <c r="A34" s="108"/>
      <c r="B34" s="64"/>
      <c r="C34" s="64"/>
      <c r="D34" s="64"/>
      <c r="E34" s="64"/>
      <c r="F34" s="63"/>
      <c r="G34" s="63"/>
      <c r="H34" s="64"/>
      <c r="I34" s="64"/>
      <c r="J34" s="64"/>
      <c r="K34" s="64"/>
      <c r="L34" s="64"/>
      <c r="M34" s="64"/>
      <c r="N34" s="64"/>
      <c r="O34" s="64"/>
      <c r="P34" s="64"/>
      <c r="Q34" s="64"/>
      <c r="R34" s="64"/>
      <c r="S34" s="64"/>
      <c r="T34" s="64"/>
      <c r="U34" s="64"/>
      <c r="V34" s="64"/>
      <c r="W34" s="64"/>
      <c r="X34" s="64"/>
      <c r="Y34" s="64"/>
      <c r="Z34" s="64"/>
    </row>
    <row r="35" ht="12.75" customHeight="1">
      <c r="A35" s="108"/>
      <c r="B35" s="64"/>
      <c r="C35" s="64"/>
      <c r="D35" s="64"/>
      <c r="E35" s="64"/>
      <c r="F35" s="63"/>
      <c r="G35" s="63"/>
      <c r="H35" s="64"/>
      <c r="I35" s="64"/>
      <c r="J35" s="64"/>
      <c r="K35" s="64"/>
      <c r="L35" s="64"/>
      <c r="M35" s="64"/>
      <c r="N35" s="64"/>
      <c r="O35" s="64"/>
      <c r="P35" s="64"/>
      <c r="Q35" s="64"/>
      <c r="R35" s="64"/>
      <c r="S35" s="64"/>
      <c r="T35" s="64"/>
      <c r="U35" s="64"/>
      <c r="V35" s="64"/>
      <c r="W35" s="64"/>
      <c r="X35" s="64"/>
      <c r="Y35" s="64"/>
      <c r="Z35" s="64"/>
    </row>
    <row r="36" ht="12.75" customHeight="1">
      <c r="A36" s="108"/>
      <c r="B36" s="64"/>
      <c r="C36" s="64"/>
      <c r="D36" s="64"/>
      <c r="E36" s="64"/>
      <c r="F36" s="63"/>
      <c r="G36" s="63"/>
      <c r="H36" s="64"/>
      <c r="I36" s="64"/>
      <c r="J36" s="64"/>
      <c r="K36" s="64"/>
      <c r="L36" s="64"/>
      <c r="M36" s="64"/>
      <c r="N36" s="64"/>
      <c r="O36" s="64"/>
      <c r="P36" s="64"/>
      <c r="Q36" s="64"/>
      <c r="R36" s="64"/>
      <c r="S36" s="64"/>
      <c r="T36" s="64"/>
      <c r="U36" s="64"/>
      <c r="V36" s="64"/>
      <c r="W36" s="64"/>
      <c r="X36" s="64"/>
      <c r="Y36" s="64"/>
      <c r="Z36" s="64"/>
    </row>
    <row r="37" ht="12.75" customHeight="1">
      <c r="A37" s="108"/>
      <c r="B37" s="64"/>
      <c r="C37" s="64"/>
      <c r="D37" s="64"/>
      <c r="E37" s="64"/>
      <c r="F37" s="63"/>
      <c r="G37" s="63"/>
      <c r="H37" s="64"/>
      <c r="I37" s="64"/>
      <c r="J37" s="64"/>
      <c r="K37" s="64"/>
      <c r="L37" s="64"/>
      <c r="M37" s="64"/>
      <c r="N37" s="64"/>
      <c r="O37" s="64"/>
      <c r="P37" s="64"/>
      <c r="Q37" s="64"/>
      <c r="R37" s="64"/>
      <c r="S37" s="64"/>
      <c r="T37" s="64"/>
      <c r="U37" s="64"/>
      <c r="V37" s="64"/>
      <c r="W37" s="64"/>
      <c r="X37" s="64"/>
      <c r="Y37" s="64"/>
      <c r="Z37" s="64"/>
    </row>
    <row r="38" ht="12.75" customHeight="1">
      <c r="A38" s="108"/>
      <c r="B38" s="64"/>
      <c r="C38" s="64"/>
      <c r="D38" s="64"/>
      <c r="E38" s="64"/>
      <c r="F38" s="63"/>
      <c r="G38" s="63"/>
      <c r="H38" s="64"/>
      <c r="I38" s="64"/>
      <c r="J38" s="64"/>
      <c r="K38" s="64"/>
      <c r="L38" s="64"/>
      <c r="M38" s="64"/>
      <c r="N38" s="64"/>
      <c r="O38" s="64"/>
      <c r="P38" s="64"/>
      <c r="Q38" s="64"/>
      <c r="R38" s="64"/>
      <c r="S38" s="64"/>
      <c r="T38" s="64"/>
      <c r="U38" s="64"/>
      <c r="V38" s="64"/>
      <c r="W38" s="64"/>
      <c r="X38" s="64"/>
      <c r="Y38" s="64"/>
      <c r="Z38" s="64"/>
    </row>
    <row r="39" ht="12.75" customHeight="1">
      <c r="A39" s="108"/>
      <c r="B39" s="64"/>
      <c r="C39" s="64"/>
      <c r="D39" s="64"/>
      <c r="E39" s="64"/>
      <c r="F39" s="63"/>
      <c r="G39" s="63"/>
      <c r="H39" s="64"/>
      <c r="I39" s="64"/>
      <c r="J39" s="64"/>
      <c r="K39" s="64"/>
      <c r="L39" s="64"/>
      <c r="M39" s="64"/>
      <c r="N39" s="64"/>
      <c r="O39" s="64"/>
      <c r="P39" s="64"/>
      <c r="Q39" s="64"/>
      <c r="R39" s="64"/>
      <c r="S39" s="64"/>
      <c r="T39" s="64"/>
      <c r="U39" s="64"/>
      <c r="V39" s="64"/>
      <c r="W39" s="64"/>
      <c r="X39" s="64"/>
      <c r="Y39" s="64"/>
      <c r="Z39" s="64"/>
    </row>
    <row r="40" ht="12.75" customHeight="1">
      <c r="A40" s="108"/>
      <c r="B40" s="64"/>
      <c r="C40" s="64"/>
      <c r="D40" s="64"/>
      <c r="E40" s="64"/>
      <c r="F40" s="63"/>
      <c r="G40" s="63"/>
      <c r="H40" s="64"/>
      <c r="I40" s="64"/>
      <c r="J40" s="64"/>
      <c r="K40" s="64"/>
      <c r="L40" s="64"/>
      <c r="M40" s="64"/>
      <c r="N40" s="64"/>
      <c r="O40" s="64"/>
      <c r="P40" s="64"/>
      <c r="Q40" s="64"/>
      <c r="R40" s="64"/>
      <c r="S40" s="64"/>
      <c r="T40" s="64"/>
      <c r="U40" s="64"/>
      <c r="V40" s="64"/>
      <c r="W40" s="64"/>
      <c r="X40" s="64"/>
      <c r="Y40" s="64"/>
      <c r="Z40" s="64"/>
    </row>
    <row r="41" ht="12.75" customHeight="1">
      <c r="A41" s="108"/>
      <c r="B41" s="64"/>
      <c r="C41" s="64"/>
      <c r="D41" s="64"/>
      <c r="E41" s="64"/>
      <c r="F41" s="63"/>
      <c r="G41" s="63"/>
      <c r="H41" s="64"/>
      <c r="I41" s="64"/>
      <c r="J41" s="64"/>
      <c r="K41" s="64"/>
      <c r="L41" s="64"/>
      <c r="M41" s="64"/>
      <c r="N41" s="64"/>
      <c r="O41" s="64"/>
      <c r="P41" s="64"/>
      <c r="Q41" s="64"/>
      <c r="R41" s="64"/>
      <c r="S41" s="64"/>
      <c r="T41" s="64"/>
      <c r="U41" s="64"/>
      <c r="V41" s="64"/>
      <c r="W41" s="64"/>
      <c r="X41" s="64"/>
      <c r="Y41" s="64"/>
      <c r="Z41" s="64"/>
    </row>
    <row r="42" ht="12.75" customHeight="1">
      <c r="A42" s="108"/>
      <c r="B42" s="64"/>
      <c r="C42" s="64"/>
      <c r="D42" s="64"/>
      <c r="E42" s="64"/>
      <c r="F42" s="63"/>
      <c r="G42" s="63"/>
      <c r="H42" s="64"/>
      <c r="I42" s="64"/>
      <c r="J42" s="64"/>
      <c r="K42" s="64"/>
      <c r="L42" s="64"/>
      <c r="M42" s="64"/>
      <c r="N42" s="64"/>
      <c r="O42" s="64"/>
      <c r="P42" s="64"/>
      <c r="Q42" s="64"/>
      <c r="R42" s="64"/>
      <c r="S42" s="64"/>
      <c r="T42" s="64"/>
      <c r="U42" s="64"/>
      <c r="V42" s="64"/>
      <c r="W42" s="64"/>
      <c r="X42" s="64"/>
      <c r="Y42" s="64"/>
      <c r="Z42" s="64"/>
    </row>
    <row r="43" ht="12.75" customHeight="1">
      <c r="A43" s="108"/>
      <c r="B43" s="64"/>
      <c r="C43" s="64"/>
      <c r="D43" s="64"/>
      <c r="E43" s="64"/>
      <c r="F43" s="63"/>
      <c r="G43" s="63"/>
      <c r="H43" s="64"/>
      <c r="I43" s="64"/>
      <c r="J43" s="64"/>
      <c r="K43" s="64"/>
      <c r="L43" s="64"/>
      <c r="M43" s="64"/>
      <c r="N43" s="64"/>
      <c r="O43" s="64"/>
      <c r="P43" s="64"/>
      <c r="Q43" s="64"/>
      <c r="R43" s="64"/>
      <c r="S43" s="64"/>
      <c r="T43" s="64"/>
      <c r="U43" s="64"/>
      <c r="V43" s="64"/>
      <c r="W43" s="64"/>
      <c r="X43" s="64"/>
      <c r="Y43" s="64"/>
      <c r="Z43" s="64"/>
    </row>
    <row r="44" ht="12.75" customHeight="1">
      <c r="A44" s="108"/>
      <c r="B44" s="64"/>
      <c r="C44" s="64"/>
      <c r="D44" s="64"/>
      <c r="E44" s="64"/>
      <c r="F44" s="63"/>
      <c r="G44" s="63"/>
      <c r="H44" s="64"/>
      <c r="I44" s="64"/>
      <c r="J44" s="64"/>
      <c r="K44" s="64"/>
      <c r="L44" s="64"/>
      <c r="M44" s="64"/>
      <c r="N44" s="64"/>
      <c r="O44" s="64"/>
      <c r="P44" s="64"/>
      <c r="Q44" s="64"/>
      <c r="R44" s="64"/>
      <c r="S44" s="64"/>
      <c r="T44" s="64"/>
      <c r="U44" s="64"/>
      <c r="V44" s="64"/>
      <c r="W44" s="64"/>
      <c r="X44" s="64"/>
      <c r="Y44" s="64"/>
      <c r="Z44" s="64"/>
    </row>
    <row r="45" ht="12.75" customHeight="1">
      <c r="A45" s="108"/>
      <c r="B45" s="64"/>
      <c r="C45" s="64"/>
      <c r="D45" s="64"/>
      <c r="E45" s="64"/>
      <c r="F45" s="63"/>
      <c r="G45" s="63"/>
      <c r="H45" s="64"/>
      <c r="I45" s="64"/>
      <c r="J45" s="64"/>
      <c r="K45" s="64"/>
      <c r="L45" s="64"/>
      <c r="M45" s="64"/>
      <c r="N45" s="64"/>
      <c r="O45" s="64"/>
      <c r="P45" s="64"/>
      <c r="Q45" s="64"/>
      <c r="R45" s="64"/>
      <c r="S45" s="64"/>
      <c r="T45" s="64"/>
      <c r="U45" s="64"/>
      <c r="V45" s="64"/>
      <c r="W45" s="64"/>
      <c r="X45" s="64"/>
      <c r="Y45" s="64"/>
      <c r="Z45" s="64"/>
    </row>
    <row r="46" ht="12.75" customHeight="1">
      <c r="A46" s="108"/>
      <c r="B46" s="64"/>
      <c r="C46" s="64"/>
      <c r="D46" s="64"/>
      <c r="E46" s="64"/>
      <c r="F46" s="63"/>
      <c r="G46" s="63"/>
      <c r="H46" s="64"/>
      <c r="I46" s="64"/>
      <c r="J46" s="64"/>
      <c r="K46" s="64"/>
      <c r="L46" s="64"/>
      <c r="M46" s="64"/>
      <c r="N46" s="64"/>
      <c r="O46" s="64"/>
      <c r="P46" s="64"/>
      <c r="Q46" s="64"/>
      <c r="R46" s="64"/>
      <c r="S46" s="64"/>
      <c r="T46" s="64"/>
      <c r="U46" s="64"/>
      <c r="V46" s="64"/>
      <c r="W46" s="64"/>
      <c r="X46" s="64"/>
      <c r="Y46" s="64"/>
      <c r="Z46" s="64"/>
    </row>
    <row r="47" ht="12.75" customHeight="1">
      <c r="A47" s="108"/>
      <c r="B47" s="64"/>
      <c r="C47" s="64"/>
      <c r="D47" s="64"/>
      <c r="E47" s="64"/>
      <c r="F47" s="63"/>
      <c r="G47" s="63"/>
      <c r="H47" s="64"/>
      <c r="I47" s="64"/>
      <c r="J47" s="64"/>
      <c r="K47" s="64"/>
      <c r="L47" s="64"/>
      <c r="M47" s="64"/>
      <c r="N47" s="64"/>
      <c r="O47" s="64"/>
      <c r="P47" s="64"/>
      <c r="Q47" s="64"/>
      <c r="R47" s="64"/>
      <c r="S47" s="64"/>
      <c r="T47" s="64"/>
      <c r="U47" s="64"/>
      <c r="V47" s="64"/>
      <c r="W47" s="64"/>
      <c r="X47" s="64"/>
      <c r="Y47" s="64"/>
      <c r="Z47" s="64"/>
    </row>
    <row r="48" ht="12.75" customHeight="1">
      <c r="A48" s="108"/>
      <c r="B48" s="64"/>
      <c r="C48" s="64"/>
      <c r="D48" s="64"/>
      <c r="E48" s="64"/>
      <c r="F48" s="63"/>
      <c r="G48" s="63"/>
      <c r="H48" s="64"/>
      <c r="I48" s="64"/>
      <c r="J48" s="64"/>
      <c r="K48" s="64"/>
      <c r="L48" s="64"/>
      <c r="M48" s="64"/>
      <c r="N48" s="64"/>
      <c r="O48" s="64"/>
      <c r="P48" s="64"/>
      <c r="Q48" s="64"/>
      <c r="R48" s="64"/>
      <c r="S48" s="64"/>
      <c r="T48" s="64"/>
      <c r="U48" s="64"/>
      <c r="V48" s="64"/>
      <c r="W48" s="64"/>
      <c r="X48" s="64"/>
      <c r="Y48" s="64"/>
      <c r="Z48" s="64"/>
    </row>
    <row r="49" ht="12.75" customHeight="1">
      <c r="A49" s="108"/>
      <c r="B49" s="64"/>
      <c r="C49" s="64"/>
      <c r="D49" s="64"/>
      <c r="E49" s="64"/>
      <c r="F49" s="63"/>
      <c r="G49" s="63"/>
      <c r="H49" s="64"/>
      <c r="I49" s="64"/>
      <c r="J49" s="64"/>
      <c r="K49" s="64"/>
      <c r="L49" s="64"/>
      <c r="M49" s="64"/>
      <c r="N49" s="64"/>
      <c r="O49" s="64"/>
      <c r="P49" s="64"/>
      <c r="Q49" s="64"/>
      <c r="R49" s="64"/>
      <c r="S49" s="64"/>
      <c r="T49" s="64"/>
      <c r="U49" s="64"/>
      <c r="V49" s="64"/>
      <c r="W49" s="64"/>
      <c r="X49" s="64"/>
      <c r="Y49" s="64"/>
      <c r="Z49" s="64"/>
    </row>
    <row r="50" ht="12.75" customHeight="1">
      <c r="A50" s="108"/>
      <c r="B50" s="64"/>
      <c r="C50" s="64"/>
      <c r="D50" s="64"/>
      <c r="E50" s="64"/>
      <c r="F50" s="63"/>
      <c r="G50" s="63"/>
      <c r="H50" s="64"/>
      <c r="I50" s="64"/>
      <c r="J50" s="64"/>
      <c r="K50" s="64"/>
      <c r="L50" s="64"/>
      <c r="M50" s="64"/>
      <c r="N50" s="64"/>
      <c r="O50" s="64"/>
      <c r="P50" s="64"/>
      <c r="Q50" s="64"/>
      <c r="R50" s="64"/>
      <c r="S50" s="64"/>
      <c r="T50" s="64"/>
      <c r="U50" s="64"/>
      <c r="V50" s="64"/>
      <c r="W50" s="64"/>
      <c r="X50" s="64"/>
      <c r="Y50" s="64"/>
      <c r="Z50" s="64"/>
    </row>
    <row r="51" ht="12.75" customHeight="1">
      <c r="A51" s="108"/>
      <c r="B51" s="64"/>
      <c r="C51" s="64"/>
      <c r="D51" s="64"/>
      <c r="E51" s="64"/>
      <c r="F51" s="63"/>
      <c r="G51" s="63"/>
      <c r="H51" s="64"/>
      <c r="I51" s="64"/>
      <c r="J51" s="64"/>
      <c r="K51" s="64"/>
      <c r="L51" s="64"/>
      <c r="M51" s="64"/>
      <c r="N51" s="64"/>
      <c r="O51" s="64"/>
      <c r="P51" s="64"/>
      <c r="Q51" s="64"/>
      <c r="R51" s="64"/>
      <c r="S51" s="64"/>
      <c r="T51" s="64"/>
      <c r="U51" s="64"/>
      <c r="V51" s="64"/>
      <c r="W51" s="64"/>
      <c r="X51" s="64"/>
      <c r="Y51" s="64"/>
      <c r="Z51" s="64"/>
    </row>
    <row r="52" ht="12.75" customHeight="1">
      <c r="A52" s="108"/>
      <c r="B52" s="64"/>
      <c r="C52" s="64"/>
      <c r="D52" s="64"/>
      <c r="E52" s="64"/>
      <c r="F52" s="63"/>
      <c r="G52" s="63"/>
      <c r="H52" s="64"/>
      <c r="I52" s="64"/>
      <c r="J52" s="64"/>
      <c r="K52" s="64"/>
      <c r="L52" s="64"/>
      <c r="M52" s="64"/>
      <c r="N52" s="64"/>
      <c r="O52" s="64"/>
      <c r="P52" s="64"/>
      <c r="Q52" s="64"/>
      <c r="R52" s="64"/>
      <c r="S52" s="64"/>
      <c r="T52" s="64"/>
      <c r="U52" s="64"/>
      <c r="V52" s="64"/>
      <c r="W52" s="64"/>
      <c r="X52" s="64"/>
      <c r="Y52" s="64"/>
      <c r="Z52" s="64"/>
    </row>
    <row r="53" ht="12.75" customHeight="1">
      <c r="A53" s="108"/>
      <c r="B53" s="64"/>
      <c r="C53" s="64"/>
      <c r="D53" s="64"/>
      <c r="E53" s="64"/>
      <c r="F53" s="63"/>
      <c r="G53" s="63"/>
      <c r="H53" s="64"/>
      <c r="I53" s="64"/>
      <c r="J53" s="64"/>
      <c r="K53" s="64"/>
      <c r="L53" s="64"/>
      <c r="M53" s="64"/>
      <c r="N53" s="64"/>
      <c r="O53" s="64"/>
      <c r="P53" s="64"/>
      <c r="Q53" s="64"/>
      <c r="R53" s="64"/>
      <c r="S53" s="64"/>
      <c r="T53" s="64"/>
      <c r="U53" s="64"/>
      <c r="V53" s="64"/>
      <c r="W53" s="64"/>
      <c r="X53" s="64"/>
      <c r="Y53" s="64"/>
      <c r="Z53" s="64"/>
    </row>
    <row r="54" ht="12.75" customHeight="1">
      <c r="A54" s="108"/>
      <c r="B54" s="64"/>
      <c r="C54" s="64"/>
      <c r="D54" s="64"/>
      <c r="E54" s="64"/>
      <c r="F54" s="63"/>
      <c r="G54" s="63"/>
      <c r="H54" s="64"/>
      <c r="I54" s="64"/>
      <c r="J54" s="64"/>
      <c r="K54" s="64"/>
      <c r="L54" s="64"/>
      <c r="M54" s="64"/>
      <c r="N54" s="64"/>
      <c r="O54" s="64"/>
      <c r="P54" s="64"/>
      <c r="Q54" s="64"/>
      <c r="R54" s="64"/>
      <c r="S54" s="64"/>
      <c r="T54" s="64"/>
      <c r="U54" s="64"/>
      <c r="V54" s="64"/>
      <c r="W54" s="64"/>
      <c r="X54" s="64"/>
      <c r="Y54" s="64"/>
      <c r="Z54" s="64"/>
    </row>
    <row r="55" ht="12.75" customHeight="1">
      <c r="A55" s="108"/>
      <c r="B55" s="64"/>
      <c r="C55" s="64"/>
      <c r="D55" s="64"/>
      <c r="E55" s="64"/>
      <c r="F55" s="63"/>
      <c r="G55" s="63"/>
      <c r="H55" s="64"/>
      <c r="I55" s="64"/>
      <c r="J55" s="64"/>
      <c r="K55" s="64"/>
      <c r="L55" s="64"/>
      <c r="M55" s="64"/>
      <c r="N55" s="64"/>
      <c r="O55" s="64"/>
      <c r="P55" s="64"/>
      <c r="Q55" s="64"/>
      <c r="R55" s="64"/>
      <c r="S55" s="64"/>
      <c r="T55" s="64"/>
      <c r="U55" s="64"/>
      <c r="V55" s="64"/>
      <c r="W55" s="64"/>
      <c r="X55" s="64"/>
      <c r="Y55" s="64"/>
      <c r="Z55" s="64"/>
    </row>
    <row r="56" ht="12.75" customHeight="1">
      <c r="A56" s="108"/>
      <c r="B56" s="64"/>
      <c r="C56" s="64"/>
      <c r="D56" s="64"/>
      <c r="E56" s="64"/>
      <c r="F56" s="63"/>
      <c r="G56" s="63"/>
      <c r="H56" s="64"/>
      <c r="I56" s="64"/>
      <c r="J56" s="64"/>
      <c r="K56" s="64"/>
      <c r="L56" s="64"/>
      <c r="M56" s="64"/>
      <c r="N56" s="64"/>
      <c r="O56" s="64"/>
      <c r="P56" s="64"/>
      <c r="Q56" s="64"/>
      <c r="R56" s="64"/>
      <c r="S56" s="64"/>
      <c r="T56" s="64"/>
      <c r="U56" s="64"/>
      <c r="V56" s="64"/>
      <c r="W56" s="64"/>
      <c r="X56" s="64"/>
      <c r="Y56" s="64"/>
      <c r="Z56" s="64"/>
    </row>
    <row r="57" ht="12.75" customHeight="1">
      <c r="A57" s="108"/>
      <c r="B57" s="64"/>
      <c r="C57" s="64"/>
      <c r="D57" s="64"/>
      <c r="E57" s="64"/>
      <c r="F57" s="63"/>
      <c r="G57" s="63"/>
      <c r="H57" s="64"/>
      <c r="I57" s="64"/>
      <c r="J57" s="64"/>
      <c r="K57" s="64"/>
      <c r="L57" s="64"/>
      <c r="M57" s="64"/>
      <c r="N57" s="64"/>
      <c r="O57" s="64"/>
      <c r="P57" s="64"/>
      <c r="Q57" s="64"/>
      <c r="R57" s="64"/>
      <c r="S57" s="64"/>
      <c r="T57" s="64"/>
      <c r="U57" s="64"/>
      <c r="V57" s="64"/>
      <c r="W57" s="64"/>
      <c r="X57" s="64"/>
      <c r="Y57" s="64"/>
      <c r="Z57" s="64"/>
    </row>
    <row r="58" ht="12.75" customHeight="1">
      <c r="A58" s="108"/>
      <c r="B58" s="64"/>
      <c r="C58" s="64"/>
      <c r="D58" s="64"/>
      <c r="E58" s="64"/>
      <c r="F58" s="63"/>
      <c r="G58" s="63"/>
      <c r="H58" s="64"/>
      <c r="I58" s="64"/>
      <c r="J58" s="64"/>
      <c r="K58" s="64"/>
      <c r="L58" s="64"/>
      <c r="M58" s="64"/>
      <c r="N58" s="64"/>
      <c r="O58" s="64"/>
      <c r="P58" s="64"/>
      <c r="Q58" s="64"/>
      <c r="R58" s="64"/>
      <c r="S58" s="64"/>
      <c r="T58" s="64"/>
      <c r="U58" s="64"/>
      <c r="V58" s="64"/>
      <c r="W58" s="64"/>
      <c r="X58" s="64"/>
      <c r="Y58" s="64"/>
      <c r="Z58" s="64"/>
    </row>
    <row r="59" ht="12.75" customHeight="1">
      <c r="A59" s="108"/>
      <c r="B59" s="64"/>
      <c r="C59" s="64"/>
      <c r="D59" s="64"/>
      <c r="E59" s="64"/>
      <c r="F59" s="63"/>
      <c r="G59" s="63"/>
      <c r="H59" s="64"/>
      <c r="I59" s="64"/>
      <c r="J59" s="64"/>
      <c r="K59" s="64"/>
      <c r="L59" s="64"/>
      <c r="M59" s="64"/>
      <c r="N59" s="64"/>
      <c r="O59" s="64"/>
      <c r="P59" s="64"/>
      <c r="Q59" s="64"/>
      <c r="R59" s="64"/>
      <c r="S59" s="64"/>
      <c r="T59" s="64"/>
      <c r="U59" s="64"/>
      <c r="V59" s="64"/>
      <c r="W59" s="64"/>
      <c r="X59" s="64"/>
      <c r="Y59" s="64"/>
      <c r="Z59" s="64"/>
    </row>
    <row r="60" ht="12.75" customHeight="1">
      <c r="A60" s="108"/>
      <c r="B60" s="64"/>
      <c r="C60" s="64"/>
      <c r="D60" s="64"/>
      <c r="E60" s="64"/>
      <c r="F60" s="63"/>
      <c r="G60" s="63"/>
      <c r="H60" s="64"/>
      <c r="I60" s="64"/>
      <c r="J60" s="64"/>
      <c r="K60" s="64"/>
      <c r="L60" s="64"/>
      <c r="M60" s="64"/>
      <c r="N60" s="64"/>
      <c r="O60" s="64"/>
      <c r="P60" s="64"/>
      <c r="Q60" s="64"/>
      <c r="R60" s="64"/>
      <c r="S60" s="64"/>
      <c r="T60" s="64"/>
      <c r="U60" s="64"/>
      <c r="V60" s="64"/>
      <c r="W60" s="64"/>
      <c r="X60" s="64"/>
      <c r="Y60" s="64"/>
      <c r="Z60" s="64"/>
    </row>
    <row r="61" ht="12.75" customHeight="1">
      <c r="A61" s="108"/>
      <c r="B61" s="64"/>
      <c r="C61" s="64"/>
      <c r="D61" s="64"/>
      <c r="E61" s="64"/>
      <c r="F61" s="63"/>
      <c r="G61" s="63"/>
      <c r="H61" s="64"/>
      <c r="I61" s="64"/>
      <c r="J61" s="64"/>
      <c r="K61" s="64"/>
      <c r="L61" s="64"/>
      <c r="M61" s="64"/>
      <c r="N61" s="64"/>
      <c r="O61" s="64"/>
      <c r="P61" s="64"/>
      <c r="Q61" s="64"/>
      <c r="R61" s="64"/>
      <c r="S61" s="64"/>
      <c r="T61" s="64"/>
      <c r="U61" s="64"/>
      <c r="V61" s="64"/>
      <c r="W61" s="64"/>
      <c r="X61" s="64"/>
      <c r="Y61" s="64"/>
      <c r="Z61" s="64"/>
    </row>
    <row r="62" ht="12.75" customHeight="1">
      <c r="A62" s="108"/>
      <c r="B62" s="64"/>
      <c r="C62" s="64"/>
      <c r="D62" s="64"/>
      <c r="E62" s="64"/>
      <c r="F62" s="63"/>
      <c r="G62" s="63"/>
      <c r="H62" s="64"/>
      <c r="I62" s="64"/>
      <c r="J62" s="64"/>
      <c r="K62" s="64"/>
      <c r="L62" s="64"/>
      <c r="M62" s="64"/>
      <c r="N62" s="64"/>
      <c r="O62" s="64"/>
      <c r="P62" s="64"/>
      <c r="Q62" s="64"/>
      <c r="R62" s="64"/>
      <c r="S62" s="64"/>
      <c r="T62" s="64"/>
      <c r="U62" s="64"/>
      <c r="V62" s="64"/>
      <c r="W62" s="64"/>
      <c r="X62" s="64"/>
      <c r="Y62" s="64"/>
      <c r="Z62" s="64"/>
    </row>
    <row r="63" ht="12.75" customHeight="1">
      <c r="A63" s="108"/>
      <c r="B63" s="64"/>
      <c r="C63" s="64"/>
      <c r="D63" s="64"/>
      <c r="E63" s="64"/>
      <c r="F63" s="63"/>
      <c r="G63" s="63"/>
      <c r="H63" s="64"/>
      <c r="I63" s="64"/>
      <c r="J63" s="64"/>
      <c r="K63" s="64"/>
      <c r="L63" s="64"/>
      <c r="M63" s="64"/>
      <c r="N63" s="64"/>
      <c r="O63" s="64"/>
      <c r="P63" s="64"/>
      <c r="Q63" s="64"/>
      <c r="R63" s="64"/>
      <c r="S63" s="64"/>
      <c r="T63" s="64"/>
      <c r="U63" s="64"/>
      <c r="V63" s="64"/>
      <c r="W63" s="64"/>
      <c r="X63" s="64"/>
      <c r="Y63" s="64"/>
      <c r="Z63" s="64"/>
    </row>
    <row r="64" ht="12.75" customHeight="1">
      <c r="A64" s="108"/>
      <c r="B64" s="64"/>
      <c r="C64" s="64"/>
      <c r="D64" s="64"/>
      <c r="E64" s="64"/>
      <c r="F64" s="63"/>
      <c r="G64" s="63"/>
      <c r="H64" s="64"/>
      <c r="I64" s="64"/>
      <c r="J64" s="64"/>
      <c r="K64" s="64"/>
      <c r="L64" s="64"/>
      <c r="M64" s="64"/>
      <c r="N64" s="64"/>
      <c r="O64" s="64"/>
      <c r="P64" s="64"/>
      <c r="Q64" s="64"/>
      <c r="R64" s="64"/>
      <c r="S64" s="64"/>
      <c r="T64" s="64"/>
      <c r="U64" s="64"/>
      <c r="V64" s="64"/>
      <c r="W64" s="64"/>
      <c r="X64" s="64"/>
      <c r="Y64" s="64"/>
      <c r="Z64" s="64"/>
    </row>
    <row r="65" ht="12.75" customHeight="1">
      <c r="A65" s="108"/>
      <c r="B65" s="64"/>
      <c r="C65" s="64"/>
      <c r="D65" s="64"/>
      <c r="E65" s="64"/>
      <c r="F65" s="63"/>
      <c r="G65" s="63"/>
      <c r="H65" s="64"/>
      <c r="I65" s="64"/>
      <c r="J65" s="64"/>
      <c r="K65" s="64"/>
      <c r="L65" s="64"/>
      <c r="M65" s="64"/>
      <c r="N65" s="64"/>
      <c r="O65" s="64"/>
      <c r="P65" s="64"/>
      <c r="Q65" s="64"/>
      <c r="R65" s="64"/>
      <c r="S65" s="64"/>
      <c r="T65" s="64"/>
      <c r="U65" s="64"/>
      <c r="V65" s="64"/>
      <c r="W65" s="64"/>
      <c r="X65" s="64"/>
      <c r="Y65" s="64"/>
      <c r="Z65" s="64"/>
    </row>
    <row r="66" ht="12.75" customHeight="1">
      <c r="A66" s="108"/>
      <c r="B66" s="64"/>
      <c r="C66" s="64"/>
      <c r="D66" s="64"/>
      <c r="E66" s="64"/>
      <c r="F66" s="63"/>
      <c r="G66" s="63"/>
      <c r="H66" s="64"/>
      <c r="I66" s="64"/>
      <c r="J66" s="64"/>
      <c r="K66" s="64"/>
      <c r="L66" s="64"/>
      <c r="M66" s="64"/>
      <c r="N66" s="64"/>
      <c r="O66" s="64"/>
      <c r="P66" s="64"/>
      <c r="Q66" s="64"/>
      <c r="R66" s="64"/>
      <c r="S66" s="64"/>
      <c r="T66" s="64"/>
      <c r="U66" s="64"/>
      <c r="V66" s="64"/>
      <c r="W66" s="64"/>
      <c r="X66" s="64"/>
      <c r="Y66" s="64"/>
      <c r="Z66" s="64"/>
    </row>
    <row r="67" ht="12.75" customHeight="1">
      <c r="A67" s="108"/>
      <c r="B67" s="64"/>
      <c r="C67" s="64"/>
      <c r="D67" s="64"/>
      <c r="E67" s="64"/>
      <c r="F67" s="63"/>
      <c r="G67" s="63"/>
      <c r="H67" s="64"/>
      <c r="I67" s="64"/>
      <c r="J67" s="64"/>
      <c r="K67" s="64"/>
      <c r="L67" s="64"/>
      <c r="M67" s="64"/>
      <c r="N67" s="64"/>
      <c r="O67" s="64"/>
      <c r="P67" s="64"/>
      <c r="Q67" s="64"/>
      <c r="R67" s="64"/>
      <c r="S67" s="64"/>
      <c r="T67" s="64"/>
      <c r="U67" s="64"/>
      <c r="V67" s="64"/>
      <c r="W67" s="64"/>
      <c r="X67" s="64"/>
      <c r="Y67" s="64"/>
      <c r="Z67" s="64"/>
    </row>
    <row r="68" ht="12.75" customHeight="1">
      <c r="A68" s="108"/>
      <c r="B68" s="64"/>
      <c r="C68" s="64"/>
      <c r="D68" s="64"/>
      <c r="E68" s="64"/>
      <c r="F68" s="63"/>
      <c r="G68" s="63"/>
      <c r="H68" s="64"/>
      <c r="I68" s="64"/>
      <c r="J68" s="64"/>
      <c r="K68" s="64"/>
      <c r="L68" s="64"/>
      <c r="M68" s="64"/>
      <c r="N68" s="64"/>
      <c r="O68" s="64"/>
      <c r="P68" s="64"/>
      <c r="Q68" s="64"/>
      <c r="R68" s="64"/>
      <c r="S68" s="64"/>
      <c r="T68" s="64"/>
      <c r="U68" s="64"/>
      <c r="V68" s="64"/>
      <c r="W68" s="64"/>
      <c r="X68" s="64"/>
      <c r="Y68" s="64"/>
      <c r="Z68" s="64"/>
    </row>
    <row r="69" ht="12.75" customHeight="1">
      <c r="A69" s="108"/>
      <c r="B69" s="64"/>
      <c r="C69" s="64"/>
      <c r="D69" s="64"/>
      <c r="E69" s="64"/>
      <c r="F69" s="63"/>
      <c r="G69" s="63"/>
      <c r="H69" s="64"/>
      <c r="I69" s="64"/>
      <c r="J69" s="64"/>
      <c r="K69" s="64"/>
      <c r="L69" s="64"/>
      <c r="M69" s="64"/>
      <c r="N69" s="64"/>
      <c r="O69" s="64"/>
      <c r="P69" s="64"/>
      <c r="Q69" s="64"/>
      <c r="R69" s="64"/>
      <c r="S69" s="64"/>
      <c r="T69" s="64"/>
      <c r="U69" s="64"/>
      <c r="V69" s="64"/>
      <c r="W69" s="64"/>
      <c r="X69" s="64"/>
      <c r="Y69" s="64"/>
      <c r="Z69" s="64"/>
    </row>
    <row r="70" ht="12.75" customHeight="1">
      <c r="A70" s="108"/>
      <c r="B70" s="64"/>
      <c r="C70" s="64"/>
      <c r="D70" s="64"/>
      <c r="E70" s="64"/>
      <c r="F70" s="63"/>
      <c r="G70" s="63"/>
      <c r="H70" s="64"/>
      <c r="I70" s="64"/>
      <c r="J70" s="64"/>
      <c r="K70" s="64"/>
      <c r="L70" s="64"/>
      <c r="M70" s="64"/>
      <c r="N70" s="64"/>
      <c r="O70" s="64"/>
      <c r="P70" s="64"/>
      <c r="Q70" s="64"/>
      <c r="R70" s="64"/>
      <c r="S70" s="64"/>
      <c r="T70" s="64"/>
      <c r="U70" s="64"/>
      <c r="V70" s="64"/>
      <c r="W70" s="64"/>
      <c r="X70" s="64"/>
      <c r="Y70" s="64"/>
      <c r="Z70" s="64"/>
    </row>
    <row r="71" ht="12.75" customHeight="1">
      <c r="A71" s="108"/>
      <c r="B71" s="64"/>
      <c r="C71" s="64"/>
      <c r="D71" s="64"/>
      <c r="E71" s="64"/>
      <c r="F71" s="63"/>
      <c r="G71" s="63"/>
      <c r="H71" s="64"/>
      <c r="I71" s="64"/>
      <c r="J71" s="64"/>
      <c r="K71" s="64"/>
      <c r="L71" s="64"/>
      <c r="M71" s="64"/>
      <c r="N71" s="64"/>
      <c r="O71" s="64"/>
      <c r="P71" s="64"/>
      <c r="Q71" s="64"/>
      <c r="R71" s="64"/>
      <c r="S71" s="64"/>
      <c r="T71" s="64"/>
      <c r="U71" s="64"/>
      <c r="V71" s="64"/>
      <c r="W71" s="64"/>
      <c r="X71" s="64"/>
      <c r="Y71" s="64"/>
      <c r="Z71" s="64"/>
    </row>
    <row r="72" ht="12.75" customHeight="1">
      <c r="A72" s="108"/>
      <c r="B72" s="64"/>
      <c r="C72" s="64"/>
      <c r="D72" s="64"/>
      <c r="E72" s="64"/>
      <c r="F72" s="63"/>
      <c r="G72" s="63"/>
      <c r="H72" s="64"/>
      <c r="I72" s="64"/>
      <c r="J72" s="64"/>
      <c r="K72" s="64"/>
      <c r="L72" s="64"/>
      <c r="M72" s="64"/>
      <c r="N72" s="64"/>
      <c r="O72" s="64"/>
      <c r="P72" s="64"/>
      <c r="Q72" s="64"/>
      <c r="R72" s="64"/>
      <c r="S72" s="64"/>
      <c r="T72" s="64"/>
      <c r="U72" s="64"/>
      <c r="V72" s="64"/>
      <c r="W72" s="64"/>
      <c r="X72" s="64"/>
      <c r="Y72" s="64"/>
      <c r="Z72" s="64"/>
    </row>
    <row r="73" ht="12.75" customHeight="1">
      <c r="A73" s="108"/>
      <c r="B73" s="64"/>
      <c r="C73" s="64"/>
      <c r="D73" s="64"/>
      <c r="E73" s="64"/>
      <c r="F73" s="63"/>
      <c r="G73" s="63"/>
      <c r="H73" s="64"/>
      <c r="I73" s="64"/>
      <c r="J73" s="64"/>
      <c r="K73" s="64"/>
      <c r="L73" s="64"/>
      <c r="M73" s="64"/>
      <c r="N73" s="64"/>
      <c r="O73" s="64"/>
      <c r="P73" s="64"/>
      <c r="Q73" s="64"/>
      <c r="R73" s="64"/>
      <c r="S73" s="64"/>
      <c r="T73" s="64"/>
      <c r="U73" s="64"/>
      <c r="V73" s="64"/>
      <c r="W73" s="64"/>
      <c r="X73" s="64"/>
      <c r="Y73" s="64"/>
      <c r="Z73" s="64"/>
    </row>
    <row r="74" ht="12.75" customHeight="1">
      <c r="A74" s="108"/>
      <c r="B74" s="64"/>
      <c r="C74" s="64"/>
      <c r="D74" s="64"/>
      <c r="E74" s="64"/>
      <c r="F74" s="63"/>
      <c r="G74" s="63"/>
      <c r="H74" s="64"/>
      <c r="I74" s="64"/>
      <c r="J74" s="64"/>
      <c r="K74" s="64"/>
      <c r="L74" s="64"/>
      <c r="M74" s="64"/>
      <c r="N74" s="64"/>
      <c r="O74" s="64"/>
      <c r="P74" s="64"/>
      <c r="Q74" s="64"/>
      <c r="R74" s="64"/>
      <c r="S74" s="64"/>
      <c r="T74" s="64"/>
      <c r="U74" s="64"/>
      <c r="V74" s="64"/>
      <c r="W74" s="64"/>
      <c r="X74" s="64"/>
      <c r="Y74" s="64"/>
      <c r="Z74" s="64"/>
    </row>
    <row r="75" ht="12.75" customHeight="1">
      <c r="A75" s="108"/>
      <c r="B75" s="64"/>
      <c r="C75" s="64"/>
      <c r="D75" s="64"/>
      <c r="E75" s="64"/>
      <c r="F75" s="63"/>
      <c r="G75" s="63"/>
      <c r="H75" s="64"/>
      <c r="I75" s="64"/>
      <c r="J75" s="64"/>
      <c r="K75" s="64"/>
      <c r="L75" s="64"/>
      <c r="M75" s="64"/>
      <c r="N75" s="64"/>
      <c r="O75" s="64"/>
      <c r="P75" s="64"/>
      <c r="Q75" s="64"/>
      <c r="R75" s="64"/>
      <c r="S75" s="64"/>
      <c r="T75" s="64"/>
      <c r="U75" s="64"/>
      <c r="V75" s="64"/>
      <c r="W75" s="64"/>
      <c r="X75" s="64"/>
      <c r="Y75" s="64"/>
      <c r="Z75" s="64"/>
    </row>
    <row r="76" ht="12.75" customHeight="1">
      <c r="A76" s="108"/>
      <c r="B76" s="64"/>
      <c r="C76" s="64"/>
      <c r="D76" s="64"/>
      <c r="E76" s="64"/>
      <c r="F76" s="63"/>
      <c r="G76" s="63"/>
      <c r="H76" s="64"/>
      <c r="I76" s="64"/>
      <c r="J76" s="64"/>
      <c r="K76" s="64"/>
      <c r="L76" s="64"/>
      <c r="M76" s="64"/>
      <c r="N76" s="64"/>
      <c r="O76" s="64"/>
      <c r="P76" s="64"/>
      <c r="Q76" s="64"/>
      <c r="R76" s="64"/>
      <c r="S76" s="64"/>
      <c r="T76" s="64"/>
      <c r="U76" s="64"/>
      <c r="V76" s="64"/>
      <c r="W76" s="64"/>
      <c r="X76" s="64"/>
      <c r="Y76" s="64"/>
      <c r="Z76" s="64"/>
    </row>
    <row r="77" ht="12.75" customHeight="1">
      <c r="A77" s="108"/>
      <c r="B77" s="64"/>
      <c r="C77" s="64"/>
      <c r="D77" s="64"/>
      <c r="E77" s="64"/>
      <c r="F77" s="63"/>
      <c r="G77" s="63"/>
      <c r="H77" s="64"/>
      <c r="I77" s="64"/>
      <c r="J77" s="64"/>
      <c r="K77" s="64"/>
      <c r="L77" s="64"/>
      <c r="M77" s="64"/>
      <c r="N77" s="64"/>
      <c r="O77" s="64"/>
      <c r="P77" s="64"/>
      <c r="Q77" s="64"/>
      <c r="R77" s="64"/>
      <c r="S77" s="64"/>
      <c r="T77" s="64"/>
      <c r="U77" s="64"/>
      <c r="V77" s="64"/>
      <c r="W77" s="64"/>
      <c r="X77" s="64"/>
      <c r="Y77" s="64"/>
      <c r="Z77" s="64"/>
    </row>
    <row r="78" ht="12.75" customHeight="1">
      <c r="A78" s="108"/>
      <c r="B78" s="64"/>
      <c r="C78" s="64"/>
      <c r="D78" s="64"/>
      <c r="E78" s="64"/>
      <c r="F78" s="63"/>
      <c r="G78" s="63"/>
      <c r="H78" s="64"/>
      <c r="I78" s="64"/>
      <c r="J78" s="64"/>
      <c r="K78" s="64"/>
      <c r="L78" s="64"/>
      <c r="M78" s="64"/>
      <c r="N78" s="64"/>
      <c r="O78" s="64"/>
      <c r="P78" s="64"/>
      <c r="Q78" s="64"/>
      <c r="R78" s="64"/>
      <c r="S78" s="64"/>
      <c r="T78" s="64"/>
      <c r="U78" s="64"/>
      <c r="V78" s="64"/>
      <c r="W78" s="64"/>
      <c r="X78" s="64"/>
      <c r="Y78" s="64"/>
      <c r="Z78" s="64"/>
    </row>
    <row r="79" ht="12.75" customHeight="1">
      <c r="A79" s="108"/>
      <c r="B79" s="64"/>
      <c r="C79" s="64"/>
      <c r="D79" s="64"/>
      <c r="E79" s="64"/>
      <c r="F79" s="63"/>
      <c r="G79" s="63"/>
      <c r="H79" s="64"/>
      <c r="I79" s="64"/>
      <c r="J79" s="64"/>
      <c r="K79" s="64"/>
      <c r="L79" s="64"/>
      <c r="M79" s="64"/>
      <c r="N79" s="64"/>
      <c r="O79" s="64"/>
      <c r="P79" s="64"/>
      <c r="Q79" s="64"/>
      <c r="R79" s="64"/>
      <c r="S79" s="64"/>
      <c r="T79" s="64"/>
      <c r="U79" s="64"/>
      <c r="V79" s="64"/>
      <c r="W79" s="64"/>
      <c r="X79" s="64"/>
      <c r="Y79" s="64"/>
      <c r="Z79" s="64"/>
    </row>
    <row r="80" ht="12.75" customHeight="1">
      <c r="A80" s="108"/>
      <c r="B80" s="64"/>
      <c r="C80" s="64"/>
      <c r="D80" s="64"/>
      <c r="E80" s="64"/>
      <c r="F80" s="63"/>
      <c r="G80" s="63"/>
      <c r="H80" s="64"/>
      <c r="I80" s="64"/>
      <c r="J80" s="64"/>
      <c r="K80" s="64"/>
      <c r="L80" s="64"/>
      <c r="M80" s="64"/>
      <c r="N80" s="64"/>
      <c r="O80" s="64"/>
      <c r="P80" s="64"/>
      <c r="Q80" s="64"/>
      <c r="R80" s="64"/>
      <c r="S80" s="64"/>
      <c r="T80" s="64"/>
      <c r="U80" s="64"/>
      <c r="V80" s="64"/>
      <c r="W80" s="64"/>
      <c r="X80" s="64"/>
      <c r="Y80" s="64"/>
      <c r="Z80" s="64"/>
    </row>
    <row r="81" ht="12.75" customHeight="1">
      <c r="A81" s="108"/>
      <c r="B81" s="64"/>
      <c r="C81" s="64"/>
      <c r="D81" s="64"/>
      <c r="E81" s="64"/>
      <c r="F81" s="63"/>
      <c r="G81" s="63"/>
      <c r="H81" s="64"/>
      <c r="I81" s="64"/>
      <c r="J81" s="64"/>
      <c r="K81" s="64"/>
      <c r="L81" s="64"/>
      <c r="M81" s="64"/>
      <c r="N81" s="64"/>
      <c r="O81" s="64"/>
      <c r="P81" s="64"/>
      <c r="Q81" s="64"/>
      <c r="R81" s="64"/>
      <c r="S81" s="64"/>
      <c r="T81" s="64"/>
      <c r="U81" s="64"/>
      <c r="V81" s="64"/>
      <c r="W81" s="64"/>
      <c r="X81" s="64"/>
      <c r="Y81" s="64"/>
      <c r="Z81" s="64"/>
    </row>
    <row r="82" ht="12.75" customHeight="1">
      <c r="A82" s="108"/>
      <c r="B82" s="64"/>
      <c r="C82" s="64"/>
      <c r="D82" s="64"/>
      <c r="E82" s="64"/>
      <c r="F82" s="63"/>
      <c r="G82" s="63"/>
      <c r="H82" s="64"/>
      <c r="I82" s="64"/>
      <c r="J82" s="64"/>
      <c r="K82" s="64"/>
      <c r="L82" s="64"/>
      <c r="M82" s="64"/>
      <c r="N82" s="64"/>
      <c r="O82" s="64"/>
      <c r="P82" s="64"/>
      <c r="Q82" s="64"/>
      <c r="R82" s="64"/>
      <c r="S82" s="64"/>
      <c r="T82" s="64"/>
      <c r="U82" s="64"/>
      <c r="V82" s="64"/>
      <c r="W82" s="64"/>
      <c r="X82" s="64"/>
      <c r="Y82" s="64"/>
      <c r="Z82" s="64"/>
    </row>
    <row r="83" ht="12.75" customHeight="1">
      <c r="A83" s="108"/>
      <c r="B83" s="64"/>
      <c r="C83" s="64"/>
      <c r="D83" s="64"/>
      <c r="E83" s="64"/>
      <c r="F83" s="63"/>
      <c r="G83" s="63"/>
      <c r="H83" s="64"/>
      <c r="I83" s="64"/>
      <c r="J83" s="64"/>
      <c r="K83" s="64"/>
      <c r="L83" s="64"/>
      <c r="M83" s="64"/>
      <c r="N83" s="64"/>
      <c r="O83" s="64"/>
      <c r="P83" s="64"/>
      <c r="Q83" s="64"/>
      <c r="R83" s="64"/>
      <c r="S83" s="64"/>
      <c r="T83" s="64"/>
      <c r="U83" s="64"/>
      <c r="V83" s="64"/>
      <c r="W83" s="64"/>
      <c r="X83" s="64"/>
      <c r="Y83" s="64"/>
      <c r="Z83" s="64"/>
    </row>
    <row r="84" ht="12.75" customHeight="1">
      <c r="A84" s="108"/>
      <c r="B84" s="64"/>
      <c r="C84" s="64"/>
      <c r="D84" s="64"/>
      <c r="E84" s="64"/>
      <c r="F84" s="63"/>
      <c r="G84" s="63"/>
      <c r="H84" s="64"/>
      <c r="I84" s="64"/>
      <c r="J84" s="64"/>
      <c r="K84" s="64"/>
      <c r="L84" s="64"/>
      <c r="M84" s="64"/>
      <c r="N84" s="64"/>
      <c r="O84" s="64"/>
      <c r="P84" s="64"/>
      <c r="Q84" s="64"/>
      <c r="R84" s="64"/>
      <c r="S84" s="64"/>
      <c r="T84" s="64"/>
      <c r="U84" s="64"/>
      <c r="V84" s="64"/>
      <c r="W84" s="64"/>
      <c r="X84" s="64"/>
      <c r="Y84" s="64"/>
      <c r="Z84" s="64"/>
    </row>
    <row r="85" ht="12.75" customHeight="1">
      <c r="A85" s="108"/>
      <c r="B85" s="64"/>
      <c r="C85" s="64"/>
      <c r="D85" s="64"/>
      <c r="E85" s="64"/>
      <c r="F85" s="63"/>
      <c r="G85" s="63"/>
      <c r="H85" s="64"/>
      <c r="I85" s="64"/>
      <c r="J85" s="64"/>
      <c r="K85" s="64"/>
      <c r="L85" s="64"/>
      <c r="M85" s="64"/>
      <c r="N85" s="64"/>
      <c r="O85" s="64"/>
      <c r="P85" s="64"/>
      <c r="Q85" s="64"/>
      <c r="R85" s="64"/>
      <c r="S85" s="64"/>
      <c r="T85" s="64"/>
      <c r="U85" s="64"/>
      <c r="V85" s="64"/>
      <c r="W85" s="64"/>
      <c r="X85" s="64"/>
      <c r="Y85" s="64"/>
      <c r="Z85" s="64"/>
    </row>
    <row r="86" ht="12.75" customHeight="1">
      <c r="A86" s="108"/>
      <c r="B86" s="64"/>
      <c r="C86" s="64"/>
      <c r="D86" s="64"/>
      <c r="E86" s="64"/>
      <c r="F86" s="63"/>
      <c r="G86" s="63"/>
      <c r="H86" s="64"/>
      <c r="I86" s="64"/>
      <c r="J86" s="64"/>
      <c r="K86" s="64"/>
      <c r="L86" s="64"/>
      <c r="M86" s="64"/>
      <c r="N86" s="64"/>
      <c r="O86" s="64"/>
      <c r="P86" s="64"/>
      <c r="Q86" s="64"/>
      <c r="R86" s="64"/>
      <c r="S86" s="64"/>
      <c r="T86" s="64"/>
      <c r="U86" s="64"/>
      <c r="V86" s="64"/>
      <c r="W86" s="64"/>
      <c r="X86" s="64"/>
      <c r="Y86" s="64"/>
      <c r="Z86" s="64"/>
    </row>
    <row r="87" ht="12.75" customHeight="1">
      <c r="A87" s="108"/>
      <c r="B87" s="64"/>
      <c r="C87" s="64"/>
      <c r="D87" s="64"/>
      <c r="E87" s="64"/>
      <c r="F87" s="63"/>
      <c r="G87" s="63"/>
      <c r="H87" s="64"/>
      <c r="I87" s="64"/>
      <c r="J87" s="64"/>
      <c r="K87" s="64"/>
      <c r="L87" s="64"/>
      <c r="M87" s="64"/>
      <c r="N87" s="64"/>
      <c r="O87" s="64"/>
      <c r="P87" s="64"/>
      <c r="Q87" s="64"/>
      <c r="R87" s="64"/>
      <c r="S87" s="64"/>
      <c r="T87" s="64"/>
      <c r="U87" s="64"/>
      <c r="V87" s="64"/>
      <c r="W87" s="64"/>
      <c r="X87" s="64"/>
      <c r="Y87" s="64"/>
      <c r="Z87" s="64"/>
    </row>
    <row r="88" ht="12.75" customHeight="1">
      <c r="A88" s="108"/>
      <c r="B88" s="64"/>
      <c r="C88" s="64"/>
      <c r="D88" s="64"/>
      <c r="E88" s="64"/>
      <c r="F88" s="63"/>
      <c r="G88" s="63"/>
      <c r="H88" s="64"/>
      <c r="I88" s="64"/>
      <c r="J88" s="64"/>
      <c r="K88" s="64"/>
      <c r="L88" s="64"/>
      <c r="M88" s="64"/>
      <c r="N88" s="64"/>
      <c r="O88" s="64"/>
      <c r="P88" s="64"/>
      <c r="Q88" s="64"/>
      <c r="R88" s="64"/>
      <c r="S88" s="64"/>
      <c r="T88" s="64"/>
      <c r="U88" s="64"/>
      <c r="V88" s="64"/>
      <c r="W88" s="64"/>
      <c r="X88" s="64"/>
      <c r="Y88" s="64"/>
      <c r="Z88" s="64"/>
    </row>
    <row r="89" ht="12.75" customHeight="1">
      <c r="A89" s="108"/>
      <c r="B89" s="64"/>
      <c r="C89" s="64"/>
      <c r="D89" s="64"/>
      <c r="E89" s="64"/>
      <c r="F89" s="63"/>
      <c r="G89" s="63"/>
      <c r="H89" s="64"/>
      <c r="I89" s="64"/>
      <c r="J89" s="64"/>
      <c r="K89" s="64"/>
      <c r="L89" s="64"/>
      <c r="M89" s="64"/>
      <c r="N89" s="64"/>
      <c r="O89" s="64"/>
      <c r="P89" s="64"/>
      <c r="Q89" s="64"/>
      <c r="R89" s="64"/>
      <c r="S89" s="64"/>
      <c r="T89" s="64"/>
      <c r="U89" s="64"/>
      <c r="V89" s="64"/>
      <c r="W89" s="64"/>
      <c r="X89" s="64"/>
      <c r="Y89" s="64"/>
      <c r="Z89" s="64"/>
    </row>
    <row r="90" ht="12.75" customHeight="1">
      <c r="A90" s="108"/>
      <c r="B90" s="64"/>
      <c r="C90" s="64"/>
      <c r="D90" s="64"/>
      <c r="E90" s="64"/>
      <c r="F90" s="63"/>
      <c r="G90" s="63"/>
      <c r="H90" s="64"/>
      <c r="I90" s="64"/>
      <c r="J90" s="64"/>
      <c r="K90" s="64"/>
      <c r="L90" s="64"/>
      <c r="M90" s="64"/>
      <c r="N90" s="64"/>
      <c r="O90" s="64"/>
      <c r="P90" s="64"/>
      <c r="Q90" s="64"/>
      <c r="R90" s="64"/>
      <c r="S90" s="64"/>
      <c r="T90" s="64"/>
      <c r="U90" s="64"/>
      <c r="V90" s="64"/>
      <c r="W90" s="64"/>
      <c r="X90" s="64"/>
      <c r="Y90" s="64"/>
      <c r="Z90" s="64"/>
    </row>
    <row r="91" ht="12.75" customHeight="1">
      <c r="A91" s="108"/>
      <c r="B91" s="64"/>
      <c r="C91" s="64"/>
      <c r="D91" s="64"/>
      <c r="E91" s="64"/>
      <c r="F91" s="63"/>
      <c r="G91" s="63"/>
      <c r="H91" s="64"/>
      <c r="I91" s="64"/>
      <c r="J91" s="64"/>
      <c r="K91" s="64"/>
      <c r="L91" s="64"/>
      <c r="M91" s="64"/>
      <c r="N91" s="64"/>
      <c r="O91" s="64"/>
      <c r="P91" s="64"/>
      <c r="Q91" s="64"/>
      <c r="R91" s="64"/>
      <c r="S91" s="64"/>
      <c r="T91" s="64"/>
      <c r="U91" s="64"/>
      <c r="V91" s="64"/>
      <c r="W91" s="64"/>
      <c r="X91" s="64"/>
      <c r="Y91" s="64"/>
      <c r="Z91" s="64"/>
    </row>
    <row r="92" ht="12.75" customHeight="1">
      <c r="A92" s="108"/>
      <c r="B92" s="64"/>
      <c r="C92" s="64"/>
      <c r="D92" s="64"/>
      <c r="E92" s="64"/>
      <c r="F92" s="63"/>
      <c r="G92" s="63"/>
      <c r="H92" s="64"/>
      <c r="I92" s="64"/>
      <c r="J92" s="64"/>
      <c r="K92" s="64"/>
      <c r="L92" s="64"/>
      <c r="M92" s="64"/>
      <c r="N92" s="64"/>
      <c r="O92" s="64"/>
      <c r="P92" s="64"/>
      <c r="Q92" s="64"/>
      <c r="R92" s="64"/>
      <c r="S92" s="64"/>
      <c r="T92" s="64"/>
      <c r="U92" s="64"/>
      <c r="V92" s="64"/>
      <c r="W92" s="64"/>
      <c r="X92" s="64"/>
      <c r="Y92" s="64"/>
      <c r="Z92" s="64"/>
    </row>
    <row r="93" ht="12.75" customHeight="1">
      <c r="A93" s="108"/>
      <c r="B93" s="64"/>
      <c r="C93" s="64"/>
      <c r="D93" s="64"/>
      <c r="E93" s="64"/>
      <c r="F93" s="63"/>
      <c r="G93" s="63"/>
      <c r="H93" s="64"/>
      <c r="I93" s="64"/>
      <c r="J93" s="64"/>
      <c r="K93" s="64"/>
      <c r="L93" s="64"/>
      <c r="M93" s="64"/>
      <c r="N93" s="64"/>
      <c r="O93" s="64"/>
      <c r="P93" s="64"/>
      <c r="Q93" s="64"/>
      <c r="R93" s="64"/>
      <c r="S93" s="64"/>
      <c r="T93" s="64"/>
      <c r="U93" s="64"/>
      <c r="V93" s="64"/>
      <c r="W93" s="64"/>
      <c r="X93" s="64"/>
      <c r="Y93" s="64"/>
      <c r="Z93" s="64"/>
    </row>
    <row r="94" ht="12.75" customHeight="1">
      <c r="A94" s="108"/>
      <c r="B94" s="64"/>
      <c r="C94" s="64"/>
      <c r="D94" s="64"/>
      <c r="E94" s="64"/>
      <c r="F94" s="63"/>
      <c r="G94" s="63"/>
      <c r="H94" s="64"/>
      <c r="I94" s="64"/>
      <c r="J94" s="64"/>
      <c r="K94" s="64"/>
      <c r="L94" s="64"/>
      <c r="M94" s="64"/>
      <c r="N94" s="64"/>
      <c r="O94" s="64"/>
      <c r="P94" s="64"/>
      <c r="Q94" s="64"/>
      <c r="R94" s="64"/>
      <c r="S94" s="64"/>
      <c r="T94" s="64"/>
      <c r="U94" s="64"/>
      <c r="V94" s="64"/>
      <c r="W94" s="64"/>
      <c r="X94" s="64"/>
      <c r="Y94" s="64"/>
      <c r="Z94" s="64"/>
    </row>
    <row r="95" ht="12.75" customHeight="1">
      <c r="A95" s="108"/>
      <c r="B95" s="64"/>
      <c r="C95" s="64"/>
      <c r="D95" s="64"/>
      <c r="E95" s="64"/>
      <c r="F95" s="63"/>
      <c r="G95" s="63"/>
      <c r="H95" s="64"/>
      <c r="I95" s="64"/>
      <c r="J95" s="64"/>
      <c r="K95" s="64"/>
      <c r="L95" s="64"/>
      <c r="M95" s="64"/>
      <c r="N95" s="64"/>
      <c r="O95" s="64"/>
      <c r="P95" s="64"/>
      <c r="Q95" s="64"/>
      <c r="R95" s="64"/>
      <c r="S95" s="64"/>
      <c r="T95" s="64"/>
      <c r="U95" s="64"/>
      <c r="V95" s="64"/>
      <c r="W95" s="64"/>
      <c r="X95" s="64"/>
      <c r="Y95" s="64"/>
      <c r="Z95" s="64"/>
    </row>
    <row r="96" ht="12.75" customHeight="1">
      <c r="A96" s="108"/>
      <c r="B96" s="64"/>
      <c r="C96" s="64"/>
      <c r="D96" s="64"/>
      <c r="E96" s="64"/>
      <c r="F96" s="63"/>
      <c r="G96" s="63"/>
      <c r="H96" s="64"/>
      <c r="I96" s="64"/>
      <c r="J96" s="64"/>
      <c r="K96" s="64"/>
      <c r="L96" s="64"/>
      <c r="M96" s="64"/>
      <c r="N96" s="64"/>
      <c r="O96" s="64"/>
      <c r="P96" s="64"/>
      <c r="Q96" s="64"/>
      <c r="R96" s="64"/>
      <c r="S96" s="64"/>
      <c r="T96" s="64"/>
      <c r="U96" s="64"/>
      <c r="V96" s="64"/>
      <c r="W96" s="64"/>
      <c r="X96" s="64"/>
      <c r="Y96" s="64"/>
      <c r="Z96" s="64"/>
    </row>
    <row r="97" ht="12.75" customHeight="1">
      <c r="A97" s="108"/>
      <c r="B97" s="64"/>
      <c r="C97" s="64"/>
      <c r="D97" s="64"/>
      <c r="E97" s="64"/>
      <c r="F97" s="63"/>
      <c r="G97" s="63"/>
      <c r="H97" s="64"/>
      <c r="I97" s="64"/>
      <c r="J97" s="64"/>
      <c r="K97" s="64"/>
      <c r="L97" s="64"/>
      <c r="M97" s="64"/>
      <c r="N97" s="64"/>
      <c r="O97" s="64"/>
      <c r="P97" s="64"/>
      <c r="Q97" s="64"/>
      <c r="R97" s="64"/>
      <c r="S97" s="64"/>
      <c r="T97" s="64"/>
      <c r="U97" s="64"/>
      <c r="V97" s="64"/>
      <c r="W97" s="64"/>
      <c r="X97" s="64"/>
      <c r="Y97" s="64"/>
      <c r="Z97" s="64"/>
    </row>
    <row r="98" ht="12.75" customHeight="1">
      <c r="A98" s="108"/>
      <c r="B98" s="64"/>
      <c r="C98" s="64"/>
      <c r="D98" s="64"/>
      <c r="E98" s="64"/>
      <c r="F98" s="63"/>
      <c r="G98" s="63"/>
      <c r="H98" s="64"/>
      <c r="I98" s="64"/>
      <c r="J98" s="64"/>
      <c r="K98" s="64"/>
      <c r="L98" s="64"/>
      <c r="M98" s="64"/>
      <c r="N98" s="64"/>
      <c r="O98" s="64"/>
      <c r="P98" s="64"/>
      <c r="Q98" s="64"/>
      <c r="R98" s="64"/>
      <c r="S98" s="64"/>
      <c r="T98" s="64"/>
      <c r="U98" s="64"/>
      <c r="V98" s="64"/>
      <c r="W98" s="64"/>
      <c r="X98" s="64"/>
      <c r="Y98" s="64"/>
      <c r="Z98" s="64"/>
    </row>
    <row r="99" ht="12.75" customHeight="1">
      <c r="A99" s="108"/>
      <c r="B99" s="64"/>
      <c r="C99" s="64"/>
      <c r="D99" s="64"/>
      <c r="E99" s="64"/>
      <c r="F99" s="63"/>
      <c r="G99" s="63"/>
      <c r="H99" s="64"/>
      <c r="I99" s="64"/>
      <c r="J99" s="64"/>
      <c r="K99" s="64"/>
      <c r="L99" s="64"/>
      <c r="M99" s="64"/>
      <c r="N99" s="64"/>
      <c r="O99" s="64"/>
      <c r="P99" s="64"/>
      <c r="Q99" s="64"/>
      <c r="R99" s="64"/>
      <c r="S99" s="64"/>
      <c r="T99" s="64"/>
      <c r="U99" s="64"/>
      <c r="V99" s="64"/>
      <c r="W99" s="64"/>
      <c r="X99" s="64"/>
      <c r="Y99" s="64"/>
      <c r="Z99" s="64"/>
    </row>
    <row r="100" ht="12.75" customHeight="1">
      <c r="A100" s="108"/>
      <c r="B100" s="64"/>
      <c r="C100" s="64"/>
      <c r="D100" s="64"/>
      <c r="E100" s="64"/>
      <c r="F100" s="63"/>
      <c r="G100" s="63"/>
      <c r="H100" s="64"/>
      <c r="I100" s="64"/>
      <c r="J100" s="64"/>
      <c r="K100" s="64"/>
      <c r="L100" s="64"/>
      <c r="M100" s="64"/>
      <c r="N100" s="64"/>
      <c r="O100" s="64"/>
      <c r="P100" s="64"/>
      <c r="Q100" s="64"/>
      <c r="R100" s="64"/>
      <c r="S100" s="64"/>
      <c r="T100" s="64"/>
      <c r="U100" s="64"/>
      <c r="V100" s="64"/>
      <c r="W100" s="64"/>
      <c r="X100" s="64"/>
      <c r="Y100" s="64"/>
      <c r="Z100" s="64"/>
    </row>
    <row r="101" ht="12.75" customHeight="1">
      <c r="A101" s="108"/>
      <c r="B101" s="64"/>
      <c r="C101" s="64"/>
      <c r="D101" s="64"/>
      <c r="E101" s="64"/>
      <c r="F101" s="63"/>
      <c r="G101" s="63"/>
      <c r="H101" s="64"/>
      <c r="I101" s="64"/>
      <c r="J101" s="64"/>
      <c r="K101" s="64"/>
      <c r="L101" s="64"/>
      <c r="M101" s="64"/>
      <c r="N101" s="64"/>
      <c r="O101" s="64"/>
      <c r="P101" s="64"/>
      <c r="Q101" s="64"/>
      <c r="R101" s="64"/>
      <c r="S101" s="64"/>
      <c r="T101" s="64"/>
      <c r="U101" s="64"/>
      <c r="V101" s="64"/>
      <c r="W101" s="64"/>
      <c r="X101" s="64"/>
      <c r="Y101" s="64"/>
      <c r="Z101" s="64"/>
    </row>
    <row r="102" ht="12.75" customHeight="1">
      <c r="A102" s="108"/>
      <c r="B102" s="64"/>
      <c r="C102" s="64"/>
      <c r="D102" s="64"/>
      <c r="E102" s="64"/>
      <c r="F102" s="63"/>
      <c r="G102" s="63"/>
      <c r="H102" s="64"/>
      <c r="I102" s="64"/>
      <c r="J102" s="64"/>
      <c r="K102" s="64"/>
      <c r="L102" s="64"/>
      <c r="M102" s="64"/>
      <c r="N102" s="64"/>
      <c r="O102" s="64"/>
      <c r="P102" s="64"/>
      <c r="Q102" s="64"/>
      <c r="R102" s="64"/>
      <c r="S102" s="64"/>
      <c r="T102" s="64"/>
      <c r="U102" s="64"/>
      <c r="V102" s="64"/>
      <c r="W102" s="64"/>
      <c r="X102" s="64"/>
      <c r="Y102" s="64"/>
      <c r="Z102" s="64"/>
    </row>
    <row r="103" ht="12.75" customHeight="1">
      <c r="A103" s="108"/>
      <c r="B103" s="64"/>
      <c r="C103" s="64"/>
      <c r="D103" s="64"/>
      <c r="E103" s="64"/>
      <c r="F103" s="63"/>
      <c r="G103" s="63"/>
      <c r="H103" s="64"/>
      <c r="I103" s="64"/>
      <c r="J103" s="64"/>
      <c r="K103" s="64"/>
      <c r="L103" s="64"/>
      <c r="M103" s="64"/>
      <c r="N103" s="64"/>
      <c r="O103" s="64"/>
      <c r="P103" s="64"/>
      <c r="Q103" s="64"/>
      <c r="R103" s="64"/>
      <c r="S103" s="64"/>
      <c r="T103" s="64"/>
      <c r="U103" s="64"/>
      <c r="V103" s="64"/>
      <c r="W103" s="64"/>
      <c r="X103" s="64"/>
      <c r="Y103" s="64"/>
      <c r="Z103" s="64"/>
    </row>
    <row r="104" ht="12.75" customHeight="1">
      <c r="A104" s="108"/>
      <c r="B104" s="64"/>
      <c r="C104" s="64"/>
      <c r="D104" s="64"/>
      <c r="E104" s="64"/>
      <c r="F104" s="63"/>
      <c r="G104" s="63"/>
      <c r="H104" s="64"/>
      <c r="I104" s="64"/>
      <c r="J104" s="64"/>
      <c r="K104" s="64"/>
      <c r="L104" s="64"/>
      <c r="M104" s="64"/>
      <c r="N104" s="64"/>
      <c r="O104" s="64"/>
      <c r="P104" s="64"/>
      <c r="Q104" s="64"/>
      <c r="R104" s="64"/>
      <c r="S104" s="64"/>
      <c r="T104" s="64"/>
      <c r="U104" s="64"/>
      <c r="V104" s="64"/>
      <c r="W104" s="64"/>
      <c r="X104" s="64"/>
      <c r="Y104" s="64"/>
      <c r="Z104" s="64"/>
    </row>
    <row r="105" ht="12.75" customHeight="1">
      <c r="A105" s="108"/>
      <c r="B105" s="64"/>
      <c r="C105" s="64"/>
      <c r="D105" s="64"/>
      <c r="E105" s="64"/>
      <c r="F105" s="63"/>
      <c r="G105" s="63"/>
      <c r="H105" s="64"/>
      <c r="I105" s="64"/>
      <c r="J105" s="64"/>
      <c r="K105" s="64"/>
      <c r="L105" s="64"/>
      <c r="M105" s="64"/>
      <c r="N105" s="64"/>
      <c r="O105" s="64"/>
      <c r="P105" s="64"/>
      <c r="Q105" s="64"/>
      <c r="R105" s="64"/>
      <c r="S105" s="64"/>
      <c r="T105" s="64"/>
      <c r="U105" s="64"/>
      <c r="V105" s="64"/>
      <c r="W105" s="64"/>
      <c r="X105" s="64"/>
      <c r="Y105" s="64"/>
      <c r="Z105" s="64"/>
    </row>
    <row r="106" ht="12.75" customHeight="1">
      <c r="A106" s="108"/>
      <c r="B106" s="64"/>
      <c r="C106" s="64"/>
      <c r="D106" s="64"/>
      <c r="E106" s="64"/>
      <c r="F106" s="63"/>
      <c r="G106" s="63"/>
      <c r="H106" s="64"/>
      <c r="I106" s="64"/>
      <c r="J106" s="64"/>
      <c r="K106" s="64"/>
      <c r="L106" s="64"/>
      <c r="M106" s="64"/>
      <c r="N106" s="64"/>
      <c r="O106" s="64"/>
      <c r="P106" s="64"/>
      <c r="Q106" s="64"/>
      <c r="R106" s="64"/>
      <c r="S106" s="64"/>
      <c r="T106" s="64"/>
      <c r="U106" s="64"/>
      <c r="V106" s="64"/>
      <c r="W106" s="64"/>
      <c r="X106" s="64"/>
      <c r="Y106" s="64"/>
      <c r="Z106" s="64"/>
    </row>
    <row r="107" ht="12.75" customHeight="1">
      <c r="A107" s="108"/>
      <c r="B107" s="64"/>
      <c r="C107" s="64"/>
      <c r="D107" s="64"/>
      <c r="E107" s="64"/>
      <c r="F107" s="63"/>
      <c r="G107" s="63"/>
      <c r="H107" s="64"/>
      <c r="I107" s="64"/>
      <c r="J107" s="64"/>
      <c r="K107" s="64"/>
      <c r="L107" s="64"/>
      <c r="M107" s="64"/>
      <c r="N107" s="64"/>
      <c r="O107" s="64"/>
      <c r="P107" s="64"/>
      <c r="Q107" s="64"/>
      <c r="R107" s="64"/>
      <c r="S107" s="64"/>
      <c r="T107" s="64"/>
      <c r="U107" s="64"/>
      <c r="V107" s="64"/>
      <c r="W107" s="64"/>
      <c r="X107" s="64"/>
      <c r="Y107" s="64"/>
      <c r="Z107" s="64"/>
    </row>
    <row r="108" ht="12.75" customHeight="1">
      <c r="A108" s="108"/>
      <c r="B108" s="64"/>
      <c r="C108" s="64"/>
      <c r="D108" s="64"/>
      <c r="E108" s="64"/>
      <c r="F108" s="63"/>
      <c r="G108" s="63"/>
      <c r="H108" s="64"/>
      <c r="I108" s="64"/>
      <c r="J108" s="64"/>
      <c r="K108" s="64"/>
      <c r="L108" s="64"/>
      <c r="M108" s="64"/>
      <c r="N108" s="64"/>
      <c r="O108" s="64"/>
      <c r="P108" s="64"/>
      <c r="Q108" s="64"/>
      <c r="R108" s="64"/>
      <c r="S108" s="64"/>
      <c r="T108" s="64"/>
      <c r="U108" s="64"/>
      <c r="V108" s="64"/>
      <c r="W108" s="64"/>
      <c r="X108" s="64"/>
      <c r="Y108" s="64"/>
      <c r="Z108" s="64"/>
    </row>
    <row r="109" ht="12.75" customHeight="1">
      <c r="A109" s="108"/>
      <c r="B109" s="64"/>
      <c r="C109" s="64"/>
      <c r="D109" s="64"/>
      <c r="E109" s="64"/>
      <c r="F109" s="63"/>
      <c r="G109" s="63"/>
      <c r="H109" s="64"/>
      <c r="I109" s="64"/>
      <c r="J109" s="64"/>
      <c r="K109" s="64"/>
      <c r="L109" s="64"/>
      <c r="M109" s="64"/>
      <c r="N109" s="64"/>
      <c r="O109" s="64"/>
      <c r="P109" s="64"/>
      <c r="Q109" s="64"/>
      <c r="R109" s="64"/>
      <c r="S109" s="64"/>
      <c r="T109" s="64"/>
      <c r="U109" s="64"/>
      <c r="V109" s="64"/>
      <c r="W109" s="64"/>
      <c r="X109" s="64"/>
      <c r="Y109" s="64"/>
      <c r="Z109" s="64"/>
    </row>
    <row r="110" ht="12.75" customHeight="1">
      <c r="A110" s="108"/>
      <c r="B110" s="64"/>
      <c r="C110" s="64"/>
      <c r="D110" s="64"/>
      <c r="E110" s="64"/>
      <c r="F110" s="63"/>
      <c r="G110" s="63"/>
      <c r="H110" s="64"/>
      <c r="I110" s="64"/>
      <c r="J110" s="64"/>
      <c r="K110" s="64"/>
      <c r="L110" s="64"/>
      <c r="M110" s="64"/>
      <c r="N110" s="64"/>
      <c r="O110" s="64"/>
      <c r="P110" s="64"/>
      <c r="Q110" s="64"/>
      <c r="R110" s="64"/>
      <c r="S110" s="64"/>
      <c r="T110" s="64"/>
      <c r="U110" s="64"/>
      <c r="V110" s="64"/>
      <c r="W110" s="64"/>
      <c r="X110" s="64"/>
      <c r="Y110" s="64"/>
      <c r="Z110" s="64"/>
    </row>
    <row r="111" ht="12.75" customHeight="1">
      <c r="A111" s="108"/>
      <c r="B111" s="64"/>
      <c r="C111" s="64"/>
      <c r="D111" s="64"/>
      <c r="E111" s="64"/>
      <c r="F111" s="63"/>
      <c r="G111" s="63"/>
      <c r="H111" s="64"/>
      <c r="I111" s="64"/>
      <c r="J111" s="64"/>
      <c r="K111" s="64"/>
      <c r="L111" s="64"/>
      <c r="M111" s="64"/>
      <c r="N111" s="64"/>
      <c r="O111" s="64"/>
      <c r="P111" s="64"/>
      <c r="Q111" s="64"/>
      <c r="R111" s="64"/>
      <c r="S111" s="64"/>
      <c r="T111" s="64"/>
      <c r="U111" s="64"/>
      <c r="V111" s="64"/>
      <c r="W111" s="64"/>
      <c r="X111" s="64"/>
      <c r="Y111" s="64"/>
      <c r="Z111" s="64"/>
    </row>
    <row r="112" ht="12.75" customHeight="1">
      <c r="A112" s="108"/>
      <c r="B112" s="64"/>
      <c r="C112" s="64"/>
      <c r="D112" s="64"/>
      <c r="E112" s="64"/>
      <c r="F112" s="63"/>
      <c r="G112" s="63"/>
      <c r="H112" s="64"/>
      <c r="I112" s="64"/>
      <c r="J112" s="64"/>
      <c r="K112" s="64"/>
      <c r="L112" s="64"/>
      <c r="M112" s="64"/>
      <c r="N112" s="64"/>
      <c r="O112" s="64"/>
      <c r="P112" s="64"/>
      <c r="Q112" s="64"/>
      <c r="R112" s="64"/>
      <c r="S112" s="64"/>
      <c r="T112" s="64"/>
      <c r="U112" s="64"/>
      <c r="V112" s="64"/>
      <c r="W112" s="64"/>
      <c r="X112" s="64"/>
      <c r="Y112" s="64"/>
      <c r="Z112" s="64"/>
    </row>
    <row r="113" ht="12.75" customHeight="1">
      <c r="A113" s="108"/>
      <c r="B113" s="64"/>
      <c r="C113" s="64"/>
      <c r="D113" s="64"/>
      <c r="E113" s="64"/>
      <c r="F113" s="63"/>
      <c r="G113" s="63"/>
      <c r="H113" s="64"/>
      <c r="I113" s="64"/>
      <c r="J113" s="64"/>
      <c r="K113" s="64"/>
      <c r="L113" s="64"/>
      <c r="M113" s="64"/>
      <c r="N113" s="64"/>
      <c r="O113" s="64"/>
      <c r="P113" s="64"/>
      <c r="Q113" s="64"/>
      <c r="R113" s="64"/>
      <c r="S113" s="64"/>
      <c r="T113" s="64"/>
      <c r="U113" s="64"/>
      <c r="V113" s="64"/>
      <c r="W113" s="64"/>
      <c r="X113" s="64"/>
      <c r="Y113" s="64"/>
      <c r="Z113" s="64"/>
    </row>
    <row r="114" ht="12.75" customHeight="1">
      <c r="A114" s="108"/>
      <c r="B114" s="64"/>
      <c r="C114" s="64"/>
      <c r="D114" s="64"/>
      <c r="E114" s="64"/>
      <c r="F114" s="63"/>
      <c r="G114" s="63"/>
      <c r="H114" s="64"/>
      <c r="I114" s="64"/>
      <c r="J114" s="64"/>
      <c r="K114" s="64"/>
      <c r="L114" s="64"/>
      <c r="M114" s="64"/>
      <c r="N114" s="64"/>
      <c r="O114" s="64"/>
      <c r="P114" s="64"/>
      <c r="Q114" s="64"/>
      <c r="R114" s="64"/>
      <c r="S114" s="64"/>
      <c r="T114" s="64"/>
      <c r="U114" s="64"/>
      <c r="V114" s="64"/>
      <c r="W114" s="64"/>
      <c r="X114" s="64"/>
      <c r="Y114" s="64"/>
      <c r="Z114" s="64"/>
    </row>
    <row r="115" ht="12.75" customHeight="1">
      <c r="A115" s="108"/>
      <c r="B115" s="64"/>
      <c r="C115" s="64"/>
      <c r="D115" s="64"/>
      <c r="E115" s="64"/>
      <c r="F115" s="63"/>
      <c r="G115" s="63"/>
      <c r="H115" s="64"/>
      <c r="I115" s="64"/>
      <c r="J115" s="64"/>
      <c r="K115" s="64"/>
      <c r="L115" s="64"/>
      <c r="M115" s="64"/>
      <c r="N115" s="64"/>
      <c r="O115" s="64"/>
      <c r="P115" s="64"/>
      <c r="Q115" s="64"/>
      <c r="R115" s="64"/>
      <c r="S115" s="64"/>
      <c r="T115" s="64"/>
      <c r="U115" s="64"/>
      <c r="V115" s="64"/>
      <c r="W115" s="64"/>
      <c r="X115" s="64"/>
      <c r="Y115" s="64"/>
      <c r="Z115" s="64"/>
    </row>
    <row r="116" ht="12.75" customHeight="1">
      <c r="A116" s="108"/>
      <c r="B116" s="64"/>
      <c r="C116" s="64"/>
      <c r="D116" s="64"/>
      <c r="E116" s="64"/>
      <c r="F116" s="63"/>
      <c r="G116" s="63"/>
      <c r="H116" s="64"/>
      <c r="I116" s="64"/>
      <c r="J116" s="64"/>
      <c r="K116" s="64"/>
      <c r="L116" s="64"/>
      <c r="M116" s="64"/>
      <c r="N116" s="64"/>
      <c r="O116" s="64"/>
      <c r="P116" s="64"/>
      <c r="Q116" s="64"/>
      <c r="R116" s="64"/>
      <c r="S116" s="64"/>
      <c r="T116" s="64"/>
      <c r="U116" s="64"/>
      <c r="V116" s="64"/>
      <c r="W116" s="64"/>
      <c r="X116" s="64"/>
      <c r="Y116" s="64"/>
      <c r="Z116" s="64"/>
    </row>
    <row r="117" ht="12.75" customHeight="1">
      <c r="A117" s="108"/>
      <c r="B117" s="64"/>
      <c r="C117" s="64"/>
      <c r="D117" s="64"/>
      <c r="E117" s="64"/>
      <c r="F117" s="63"/>
      <c r="G117" s="63"/>
      <c r="H117" s="64"/>
      <c r="I117" s="64"/>
      <c r="J117" s="64"/>
      <c r="K117" s="64"/>
      <c r="L117" s="64"/>
      <c r="M117" s="64"/>
      <c r="N117" s="64"/>
      <c r="O117" s="64"/>
      <c r="P117" s="64"/>
      <c r="Q117" s="64"/>
      <c r="R117" s="64"/>
      <c r="S117" s="64"/>
      <c r="T117" s="64"/>
      <c r="U117" s="64"/>
      <c r="V117" s="64"/>
      <c r="W117" s="64"/>
      <c r="X117" s="64"/>
      <c r="Y117" s="64"/>
      <c r="Z117" s="64"/>
    </row>
    <row r="118" ht="12.75" customHeight="1">
      <c r="A118" s="108"/>
      <c r="B118" s="64"/>
      <c r="C118" s="64"/>
      <c r="D118" s="64"/>
      <c r="E118" s="64"/>
      <c r="F118" s="63"/>
      <c r="G118" s="63"/>
      <c r="H118" s="64"/>
      <c r="I118" s="64"/>
      <c r="J118" s="64"/>
      <c r="K118" s="64"/>
      <c r="L118" s="64"/>
      <c r="M118" s="64"/>
      <c r="N118" s="64"/>
      <c r="O118" s="64"/>
      <c r="P118" s="64"/>
      <c r="Q118" s="64"/>
      <c r="R118" s="64"/>
      <c r="S118" s="64"/>
      <c r="T118" s="64"/>
      <c r="U118" s="64"/>
      <c r="V118" s="64"/>
      <c r="W118" s="64"/>
      <c r="X118" s="64"/>
      <c r="Y118" s="64"/>
      <c r="Z118" s="64"/>
    </row>
    <row r="119" ht="12.75" customHeight="1">
      <c r="A119" s="108"/>
      <c r="B119" s="64"/>
      <c r="C119" s="64"/>
      <c r="D119" s="64"/>
      <c r="E119" s="64"/>
      <c r="F119" s="63"/>
      <c r="G119" s="63"/>
      <c r="H119" s="64"/>
      <c r="I119" s="64"/>
      <c r="J119" s="64"/>
      <c r="K119" s="64"/>
      <c r="L119" s="64"/>
      <c r="M119" s="64"/>
      <c r="N119" s="64"/>
      <c r="O119" s="64"/>
      <c r="P119" s="64"/>
      <c r="Q119" s="64"/>
      <c r="R119" s="64"/>
      <c r="S119" s="64"/>
      <c r="T119" s="64"/>
      <c r="U119" s="64"/>
      <c r="V119" s="64"/>
      <c r="W119" s="64"/>
      <c r="X119" s="64"/>
      <c r="Y119" s="64"/>
      <c r="Z119" s="64"/>
    </row>
    <row r="120" ht="12.75" customHeight="1">
      <c r="A120" s="108"/>
      <c r="B120" s="64"/>
      <c r="C120" s="64"/>
      <c r="D120" s="64"/>
      <c r="E120" s="64"/>
      <c r="F120" s="63"/>
      <c r="G120" s="63"/>
      <c r="H120" s="64"/>
      <c r="I120" s="64"/>
      <c r="J120" s="64"/>
      <c r="K120" s="64"/>
      <c r="L120" s="64"/>
      <c r="M120" s="64"/>
      <c r="N120" s="64"/>
      <c r="O120" s="64"/>
      <c r="P120" s="64"/>
      <c r="Q120" s="64"/>
      <c r="R120" s="64"/>
      <c r="S120" s="64"/>
      <c r="T120" s="64"/>
      <c r="U120" s="64"/>
      <c r="V120" s="64"/>
      <c r="W120" s="64"/>
      <c r="X120" s="64"/>
      <c r="Y120" s="64"/>
      <c r="Z120" s="64"/>
    </row>
    <row r="121" ht="12.75" customHeight="1">
      <c r="A121" s="108"/>
      <c r="B121" s="64"/>
      <c r="C121" s="64"/>
      <c r="D121" s="64"/>
      <c r="E121" s="64"/>
      <c r="F121" s="63"/>
      <c r="G121" s="63"/>
      <c r="H121" s="64"/>
      <c r="I121" s="64"/>
      <c r="J121" s="64"/>
      <c r="K121" s="64"/>
      <c r="L121" s="64"/>
      <c r="M121" s="64"/>
      <c r="N121" s="64"/>
      <c r="O121" s="64"/>
      <c r="P121" s="64"/>
      <c r="Q121" s="64"/>
      <c r="R121" s="64"/>
      <c r="S121" s="64"/>
      <c r="T121" s="64"/>
      <c r="U121" s="64"/>
      <c r="V121" s="64"/>
      <c r="W121" s="64"/>
      <c r="X121" s="64"/>
      <c r="Y121" s="64"/>
      <c r="Z121" s="64"/>
    </row>
    <row r="122" ht="12.75" customHeight="1">
      <c r="A122" s="108"/>
      <c r="B122" s="64"/>
      <c r="C122" s="64"/>
      <c r="D122" s="64"/>
      <c r="E122" s="64"/>
      <c r="F122" s="63"/>
      <c r="G122" s="63"/>
      <c r="H122" s="64"/>
      <c r="I122" s="64"/>
      <c r="J122" s="64"/>
      <c r="K122" s="64"/>
      <c r="L122" s="64"/>
      <c r="M122" s="64"/>
      <c r="N122" s="64"/>
      <c r="O122" s="64"/>
      <c r="P122" s="64"/>
      <c r="Q122" s="64"/>
      <c r="R122" s="64"/>
      <c r="S122" s="64"/>
      <c r="T122" s="64"/>
      <c r="U122" s="64"/>
      <c r="V122" s="64"/>
      <c r="W122" s="64"/>
      <c r="X122" s="64"/>
      <c r="Y122" s="64"/>
      <c r="Z122" s="64"/>
    </row>
    <row r="123" ht="12.75" customHeight="1">
      <c r="A123" s="108"/>
      <c r="B123" s="64"/>
      <c r="C123" s="64"/>
      <c r="D123" s="64"/>
      <c r="E123" s="64"/>
      <c r="F123" s="63"/>
      <c r="G123" s="63"/>
      <c r="H123" s="64"/>
      <c r="I123" s="64"/>
      <c r="J123" s="64"/>
      <c r="K123" s="64"/>
      <c r="L123" s="64"/>
      <c r="M123" s="64"/>
      <c r="N123" s="64"/>
      <c r="O123" s="64"/>
      <c r="P123" s="64"/>
      <c r="Q123" s="64"/>
      <c r="R123" s="64"/>
      <c r="S123" s="64"/>
      <c r="T123" s="64"/>
      <c r="U123" s="64"/>
      <c r="V123" s="64"/>
      <c r="W123" s="64"/>
      <c r="X123" s="64"/>
      <c r="Y123" s="64"/>
      <c r="Z123" s="64"/>
    </row>
    <row r="124" ht="12.75" customHeight="1">
      <c r="A124" s="108"/>
      <c r="B124" s="64"/>
      <c r="C124" s="64"/>
      <c r="D124" s="64"/>
      <c r="E124" s="64"/>
      <c r="F124" s="63"/>
      <c r="G124" s="63"/>
      <c r="H124" s="64"/>
      <c r="I124" s="64"/>
      <c r="J124" s="64"/>
      <c r="K124" s="64"/>
      <c r="L124" s="64"/>
      <c r="M124" s="64"/>
      <c r="N124" s="64"/>
      <c r="O124" s="64"/>
      <c r="P124" s="64"/>
      <c r="Q124" s="64"/>
      <c r="R124" s="64"/>
      <c r="S124" s="64"/>
      <c r="T124" s="64"/>
      <c r="U124" s="64"/>
      <c r="V124" s="64"/>
      <c r="W124" s="64"/>
      <c r="X124" s="64"/>
      <c r="Y124" s="64"/>
      <c r="Z124" s="64"/>
    </row>
    <row r="125" ht="12.75" customHeight="1">
      <c r="A125" s="108"/>
      <c r="B125" s="64"/>
      <c r="C125" s="64"/>
      <c r="D125" s="64"/>
      <c r="E125" s="64"/>
      <c r="F125" s="63"/>
      <c r="G125" s="63"/>
      <c r="H125" s="64"/>
      <c r="I125" s="64"/>
      <c r="J125" s="64"/>
      <c r="K125" s="64"/>
      <c r="L125" s="64"/>
      <c r="M125" s="64"/>
      <c r="N125" s="64"/>
      <c r="O125" s="64"/>
      <c r="P125" s="64"/>
      <c r="Q125" s="64"/>
      <c r="R125" s="64"/>
      <c r="S125" s="64"/>
      <c r="T125" s="64"/>
      <c r="U125" s="64"/>
      <c r="V125" s="64"/>
      <c r="W125" s="64"/>
      <c r="X125" s="64"/>
      <c r="Y125" s="64"/>
      <c r="Z125" s="64"/>
    </row>
    <row r="126" ht="12.75" customHeight="1">
      <c r="A126" s="108"/>
      <c r="B126" s="64"/>
      <c r="C126" s="64"/>
      <c r="D126" s="64"/>
      <c r="E126" s="64"/>
      <c r="F126" s="63"/>
      <c r="G126" s="63"/>
      <c r="H126" s="64"/>
      <c r="I126" s="64"/>
      <c r="J126" s="64"/>
      <c r="K126" s="64"/>
      <c r="L126" s="64"/>
      <c r="M126" s="64"/>
      <c r="N126" s="64"/>
      <c r="O126" s="64"/>
      <c r="P126" s="64"/>
      <c r="Q126" s="64"/>
      <c r="R126" s="64"/>
      <c r="S126" s="64"/>
      <c r="T126" s="64"/>
      <c r="U126" s="64"/>
      <c r="V126" s="64"/>
      <c r="W126" s="64"/>
      <c r="X126" s="64"/>
      <c r="Y126" s="64"/>
      <c r="Z126" s="64"/>
    </row>
    <row r="127" ht="12.75" customHeight="1">
      <c r="A127" s="108"/>
      <c r="B127" s="64"/>
      <c r="C127" s="64"/>
      <c r="D127" s="64"/>
      <c r="E127" s="64"/>
      <c r="F127" s="63"/>
      <c r="G127" s="63"/>
      <c r="H127" s="64"/>
      <c r="I127" s="64"/>
      <c r="J127" s="64"/>
      <c r="K127" s="64"/>
      <c r="L127" s="64"/>
      <c r="M127" s="64"/>
      <c r="N127" s="64"/>
      <c r="O127" s="64"/>
      <c r="P127" s="64"/>
      <c r="Q127" s="64"/>
      <c r="R127" s="64"/>
      <c r="S127" s="64"/>
      <c r="T127" s="64"/>
      <c r="U127" s="64"/>
      <c r="V127" s="64"/>
      <c r="W127" s="64"/>
      <c r="X127" s="64"/>
      <c r="Y127" s="64"/>
      <c r="Z127" s="64"/>
    </row>
    <row r="128" ht="12.75" customHeight="1">
      <c r="A128" s="108"/>
      <c r="B128" s="64"/>
      <c r="C128" s="64"/>
      <c r="D128" s="64"/>
      <c r="E128" s="64"/>
      <c r="F128" s="63"/>
      <c r="G128" s="63"/>
      <c r="H128" s="64"/>
      <c r="I128" s="64"/>
      <c r="J128" s="64"/>
      <c r="K128" s="64"/>
      <c r="L128" s="64"/>
      <c r="M128" s="64"/>
      <c r="N128" s="64"/>
      <c r="O128" s="64"/>
      <c r="P128" s="64"/>
      <c r="Q128" s="64"/>
      <c r="R128" s="64"/>
      <c r="S128" s="64"/>
      <c r="T128" s="64"/>
      <c r="U128" s="64"/>
      <c r="V128" s="64"/>
      <c r="W128" s="64"/>
      <c r="X128" s="64"/>
      <c r="Y128" s="64"/>
      <c r="Z128" s="64"/>
    </row>
    <row r="129" ht="12.75" customHeight="1">
      <c r="A129" s="108"/>
      <c r="B129" s="64"/>
      <c r="C129" s="64"/>
      <c r="D129" s="64"/>
      <c r="E129" s="64"/>
      <c r="F129" s="63"/>
      <c r="G129" s="63"/>
      <c r="H129" s="64"/>
      <c r="I129" s="64"/>
      <c r="J129" s="64"/>
      <c r="K129" s="64"/>
      <c r="L129" s="64"/>
      <c r="M129" s="64"/>
      <c r="N129" s="64"/>
      <c r="O129" s="64"/>
      <c r="P129" s="64"/>
      <c r="Q129" s="64"/>
      <c r="R129" s="64"/>
      <c r="S129" s="64"/>
      <c r="T129" s="64"/>
      <c r="U129" s="64"/>
      <c r="V129" s="64"/>
      <c r="W129" s="64"/>
      <c r="X129" s="64"/>
      <c r="Y129" s="64"/>
      <c r="Z129" s="64"/>
    </row>
    <row r="130" ht="12.75" customHeight="1">
      <c r="A130" s="108"/>
      <c r="B130" s="64"/>
      <c r="C130" s="64"/>
      <c r="D130" s="64"/>
      <c r="E130" s="64"/>
      <c r="F130" s="63"/>
      <c r="G130" s="63"/>
      <c r="H130" s="64"/>
      <c r="I130" s="64"/>
      <c r="J130" s="64"/>
      <c r="K130" s="64"/>
      <c r="L130" s="64"/>
      <c r="M130" s="64"/>
      <c r="N130" s="64"/>
      <c r="O130" s="64"/>
      <c r="P130" s="64"/>
      <c r="Q130" s="64"/>
      <c r="R130" s="64"/>
      <c r="S130" s="64"/>
      <c r="T130" s="64"/>
      <c r="U130" s="64"/>
      <c r="V130" s="64"/>
      <c r="W130" s="64"/>
      <c r="X130" s="64"/>
      <c r="Y130" s="64"/>
      <c r="Z130" s="64"/>
    </row>
    <row r="131" ht="12.75" customHeight="1">
      <c r="A131" s="108"/>
      <c r="B131" s="64"/>
      <c r="C131" s="64"/>
      <c r="D131" s="64"/>
      <c r="E131" s="64"/>
      <c r="F131" s="63"/>
      <c r="G131" s="63"/>
      <c r="H131" s="64"/>
      <c r="I131" s="64"/>
      <c r="J131" s="64"/>
      <c r="K131" s="64"/>
      <c r="L131" s="64"/>
      <c r="M131" s="64"/>
      <c r="N131" s="64"/>
      <c r="O131" s="64"/>
      <c r="P131" s="64"/>
      <c r="Q131" s="64"/>
      <c r="R131" s="64"/>
      <c r="S131" s="64"/>
      <c r="T131" s="64"/>
      <c r="U131" s="64"/>
      <c r="V131" s="64"/>
      <c r="W131" s="64"/>
      <c r="X131" s="64"/>
      <c r="Y131" s="64"/>
      <c r="Z131" s="64"/>
    </row>
    <row r="132" ht="12.75" customHeight="1">
      <c r="A132" s="108"/>
      <c r="B132" s="64"/>
      <c r="C132" s="64"/>
      <c r="D132" s="64"/>
      <c r="E132" s="64"/>
      <c r="F132" s="63"/>
      <c r="G132" s="63"/>
      <c r="H132" s="64"/>
      <c r="I132" s="64"/>
      <c r="J132" s="64"/>
      <c r="K132" s="64"/>
      <c r="L132" s="64"/>
      <c r="M132" s="64"/>
      <c r="N132" s="64"/>
      <c r="O132" s="64"/>
      <c r="P132" s="64"/>
      <c r="Q132" s="64"/>
      <c r="R132" s="64"/>
      <c r="S132" s="64"/>
      <c r="T132" s="64"/>
      <c r="U132" s="64"/>
      <c r="V132" s="64"/>
      <c r="W132" s="64"/>
      <c r="X132" s="64"/>
      <c r="Y132" s="64"/>
      <c r="Z132" s="64"/>
    </row>
    <row r="133" ht="12.75" customHeight="1">
      <c r="A133" s="108"/>
      <c r="B133" s="64"/>
      <c r="C133" s="64"/>
      <c r="D133" s="64"/>
      <c r="E133" s="64"/>
      <c r="F133" s="63"/>
      <c r="G133" s="63"/>
      <c r="H133" s="64"/>
      <c r="I133" s="64"/>
      <c r="J133" s="64"/>
      <c r="K133" s="64"/>
      <c r="L133" s="64"/>
      <c r="M133" s="64"/>
      <c r="N133" s="64"/>
      <c r="O133" s="64"/>
      <c r="P133" s="64"/>
      <c r="Q133" s="64"/>
      <c r="R133" s="64"/>
      <c r="S133" s="64"/>
      <c r="T133" s="64"/>
      <c r="U133" s="64"/>
      <c r="V133" s="64"/>
      <c r="W133" s="64"/>
      <c r="X133" s="64"/>
      <c r="Y133" s="64"/>
      <c r="Z133" s="64"/>
    </row>
    <row r="134" ht="12.75" customHeight="1">
      <c r="A134" s="108"/>
      <c r="B134" s="64"/>
      <c r="C134" s="64"/>
      <c r="D134" s="64"/>
      <c r="E134" s="64"/>
      <c r="F134" s="63"/>
      <c r="G134" s="63"/>
      <c r="H134" s="64"/>
      <c r="I134" s="64"/>
      <c r="J134" s="64"/>
      <c r="K134" s="64"/>
      <c r="L134" s="64"/>
      <c r="M134" s="64"/>
      <c r="N134" s="64"/>
      <c r="O134" s="64"/>
      <c r="P134" s="64"/>
      <c r="Q134" s="64"/>
      <c r="R134" s="64"/>
      <c r="S134" s="64"/>
      <c r="T134" s="64"/>
      <c r="U134" s="64"/>
      <c r="V134" s="64"/>
      <c r="W134" s="64"/>
      <c r="X134" s="64"/>
      <c r="Y134" s="64"/>
      <c r="Z134" s="64"/>
    </row>
    <row r="135" ht="12.75" customHeight="1">
      <c r="A135" s="108"/>
      <c r="B135" s="64"/>
      <c r="C135" s="64"/>
      <c r="D135" s="64"/>
      <c r="E135" s="64"/>
      <c r="F135" s="63"/>
      <c r="G135" s="63"/>
      <c r="H135" s="64"/>
      <c r="I135" s="64"/>
      <c r="J135" s="64"/>
      <c r="K135" s="64"/>
      <c r="L135" s="64"/>
      <c r="M135" s="64"/>
      <c r="N135" s="64"/>
      <c r="O135" s="64"/>
      <c r="P135" s="64"/>
      <c r="Q135" s="64"/>
      <c r="R135" s="64"/>
      <c r="S135" s="64"/>
      <c r="T135" s="64"/>
      <c r="U135" s="64"/>
      <c r="V135" s="64"/>
      <c r="W135" s="64"/>
      <c r="X135" s="64"/>
      <c r="Y135" s="64"/>
      <c r="Z135" s="64"/>
    </row>
    <row r="136" ht="12.75" customHeight="1">
      <c r="A136" s="108"/>
      <c r="B136" s="64"/>
      <c r="C136" s="64"/>
      <c r="D136" s="64"/>
      <c r="E136" s="64"/>
      <c r="F136" s="63"/>
      <c r="G136" s="63"/>
      <c r="H136" s="64"/>
      <c r="I136" s="64"/>
      <c r="J136" s="64"/>
      <c r="K136" s="64"/>
      <c r="L136" s="64"/>
      <c r="M136" s="64"/>
      <c r="N136" s="64"/>
      <c r="O136" s="64"/>
      <c r="P136" s="64"/>
      <c r="Q136" s="64"/>
      <c r="R136" s="64"/>
      <c r="S136" s="64"/>
      <c r="T136" s="64"/>
      <c r="U136" s="64"/>
      <c r="V136" s="64"/>
      <c r="W136" s="64"/>
      <c r="X136" s="64"/>
      <c r="Y136" s="64"/>
      <c r="Z136" s="64"/>
    </row>
    <row r="137" ht="12.75" customHeight="1">
      <c r="A137" s="108"/>
      <c r="B137" s="64"/>
      <c r="C137" s="64"/>
      <c r="D137" s="64"/>
      <c r="E137" s="64"/>
      <c r="F137" s="63"/>
      <c r="G137" s="63"/>
      <c r="H137" s="64"/>
      <c r="I137" s="64"/>
      <c r="J137" s="64"/>
      <c r="K137" s="64"/>
      <c r="L137" s="64"/>
      <c r="M137" s="64"/>
      <c r="N137" s="64"/>
      <c r="O137" s="64"/>
      <c r="P137" s="64"/>
      <c r="Q137" s="64"/>
      <c r="R137" s="64"/>
      <c r="S137" s="64"/>
      <c r="T137" s="64"/>
      <c r="U137" s="64"/>
      <c r="V137" s="64"/>
      <c r="W137" s="64"/>
      <c r="X137" s="64"/>
      <c r="Y137" s="64"/>
      <c r="Z137" s="64"/>
    </row>
    <row r="138" ht="12.75" customHeight="1">
      <c r="A138" s="108"/>
      <c r="B138" s="64"/>
      <c r="C138" s="64"/>
      <c r="D138" s="64"/>
      <c r="E138" s="64"/>
      <c r="F138" s="63"/>
      <c r="G138" s="63"/>
      <c r="H138" s="64"/>
      <c r="I138" s="64"/>
      <c r="J138" s="64"/>
      <c r="K138" s="64"/>
      <c r="L138" s="64"/>
      <c r="M138" s="64"/>
      <c r="N138" s="64"/>
      <c r="O138" s="64"/>
      <c r="P138" s="64"/>
      <c r="Q138" s="64"/>
      <c r="R138" s="64"/>
      <c r="S138" s="64"/>
      <c r="T138" s="64"/>
      <c r="U138" s="64"/>
      <c r="V138" s="64"/>
      <c r="W138" s="64"/>
      <c r="X138" s="64"/>
      <c r="Y138" s="64"/>
      <c r="Z138" s="64"/>
    </row>
    <row r="139" ht="12.75" customHeight="1">
      <c r="A139" s="108"/>
      <c r="B139" s="64"/>
      <c r="C139" s="64"/>
      <c r="D139" s="64"/>
      <c r="E139" s="64"/>
      <c r="F139" s="63"/>
      <c r="G139" s="63"/>
      <c r="H139" s="64"/>
      <c r="I139" s="64"/>
      <c r="J139" s="64"/>
      <c r="K139" s="64"/>
      <c r="L139" s="64"/>
      <c r="M139" s="64"/>
      <c r="N139" s="64"/>
      <c r="O139" s="64"/>
      <c r="P139" s="64"/>
      <c r="Q139" s="64"/>
      <c r="R139" s="64"/>
      <c r="S139" s="64"/>
      <c r="T139" s="64"/>
      <c r="U139" s="64"/>
      <c r="V139" s="64"/>
      <c r="W139" s="64"/>
      <c r="X139" s="64"/>
      <c r="Y139" s="64"/>
      <c r="Z139" s="64"/>
    </row>
    <row r="140" ht="12.75" customHeight="1">
      <c r="A140" s="108"/>
      <c r="B140" s="64"/>
      <c r="C140" s="64"/>
      <c r="D140" s="64"/>
      <c r="E140" s="64"/>
      <c r="F140" s="63"/>
      <c r="G140" s="63"/>
      <c r="H140" s="64"/>
      <c r="I140" s="64"/>
      <c r="J140" s="64"/>
      <c r="K140" s="64"/>
      <c r="L140" s="64"/>
      <c r="M140" s="64"/>
      <c r="N140" s="64"/>
      <c r="O140" s="64"/>
      <c r="P140" s="64"/>
      <c r="Q140" s="64"/>
      <c r="R140" s="64"/>
      <c r="S140" s="64"/>
      <c r="T140" s="64"/>
      <c r="U140" s="64"/>
      <c r="V140" s="64"/>
      <c r="W140" s="64"/>
      <c r="X140" s="64"/>
      <c r="Y140" s="64"/>
      <c r="Z140" s="64"/>
    </row>
    <row r="141" ht="12.75" customHeight="1">
      <c r="A141" s="108"/>
      <c r="B141" s="64"/>
      <c r="C141" s="64"/>
      <c r="D141" s="64"/>
      <c r="E141" s="64"/>
      <c r="F141" s="63"/>
      <c r="G141" s="63"/>
      <c r="H141" s="64"/>
      <c r="I141" s="64"/>
      <c r="J141" s="64"/>
      <c r="K141" s="64"/>
      <c r="L141" s="64"/>
      <c r="M141" s="64"/>
      <c r="N141" s="64"/>
      <c r="O141" s="64"/>
      <c r="P141" s="64"/>
      <c r="Q141" s="64"/>
      <c r="R141" s="64"/>
      <c r="S141" s="64"/>
      <c r="T141" s="64"/>
      <c r="U141" s="64"/>
      <c r="V141" s="64"/>
      <c r="W141" s="64"/>
      <c r="X141" s="64"/>
      <c r="Y141" s="64"/>
      <c r="Z141" s="64"/>
    </row>
    <row r="142" ht="12.75" customHeight="1">
      <c r="A142" s="108"/>
      <c r="B142" s="64"/>
      <c r="C142" s="64"/>
      <c r="D142" s="64"/>
      <c r="E142" s="64"/>
      <c r="F142" s="63"/>
      <c r="G142" s="63"/>
      <c r="H142" s="64"/>
      <c r="I142" s="64"/>
      <c r="J142" s="64"/>
      <c r="K142" s="64"/>
      <c r="L142" s="64"/>
      <c r="M142" s="64"/>
      <c r="N142" s="64"/>
      <c r="O142" s="64"/>
      <c r="P142" s="64"/>
      <c r="Q142" s="64"/>
      <c r="R142" s="64"/>
      <c r="S142" s="64"/>
      <c r="T142" s="64"/>
      <c r="U142" s="64"/>
      <c r="V142" s="64"/>
      <c r="W142" s="64"/>
      <c r="X142" s="64"/>
      <c r="Y142" s="64"/>
      <c r="Z142" s="64"/>
    </row>
    <row r="143" ht="12.75" customHeight="1">
      <c r="A143" s="108"/>
      <c r="B143" s="64"/>
      <c r="C143" s="64"/>
      <c r="D143" s="64"/>
      <c r="E143" s="64"/>
      <c r="F143" s="63"/>
      <c r="G143" s="63"/>
      <c r="H143" s="64"/>
      <c r="I143" s="64"/>
      <c r="J143" s="64"/>
      <c r="K143" s="64"/>
      <c r="L143" s="64"/>
      <c r="M143" s="64"/>
      <c r="N143" s="64"/>
      <c r="O143" s="64"/>
      <c r="P143" s="64"/>
      <c r="Q143" s="64"/>
      <c r="R143" s="64"/>
      <c r="S143" s="64"/>
      <c r="T143" s="64"/>
      <c r="U143" s="64"/>
      <c r="V143" s="64"/>
      <c r="W143" s="64"/>
      <c r="X143" s="64"/>
      <c r="Y143" s="64"/>
      <c r="Z143" s="64"/>
    </row>
    <row r="144" ht="12.75" customHeight="1">
      <c r="A144" s="108"/>
      <c r="B144" s="64"/>
      <c r="C144" s="64"/>
      <c r="D144" s="64"/>
      <c r="E144" s="64"/>
      <c r="F144" s="63"/>
      <c r="G144" s="63"/>
      <c r="H144" s="64"/>
      <c r="I144" s="64"/>
      <c r="J144" s="64"/>
      <c r="K144" s="64"/>
      <c r="L144" s="64"/>
      <c r="M144" s="64"/>
      <c r="N144" s="64"/>
      <c r="O144" s="64"/>
      <c r="P144" s="64"/>
      <c r="Q144" s="64"/>
      <c r="R144" s="64"/>
      <c r="S144" s="64"/>
      <c r="T144" s="64"/>
      <c r="U144" s="64"/>
      <c r="V144" s="64"/>
      <c r="W144" s="64"/>
      <c r="X144" s="64"/>
      <c r="Y144" s="64"/>
      <c r="Z144" s="64"/>
    </row>
    <row r="145" ht="12.75" customHeight="1">
      <c r="A145" s="108"/>
      <c r="B145" s="64"/>
      <c r="C145" s="64"/>
      <c r="D145" s="64"/>
      <c r="E145" s="64"/>
      <c r="F145" s="63"/>
      <c r="G145" s="63"/>
      <c r="H145" s="64"/>
      <c r="I145" s="64"/>
      <c r="J145" s="64"/>
      <c r="K145" s="64"/>
      <c r="L145" s="64"/>
      <c r="M145" s="64"/>
      <c r="N145" s="64"/>
      <c r="O145" s="64"/>
      <c r="P145" s="64"/>
      <c r="Q145" s="64"/>
      <c r="R145" s="64"/>
      <c r="S145" s="64"/>
      <c r="T145" s="64"/>
      <c r="U145" s="64"/>
      <c r="V145" s="64"/>
      <c r="W145" s="64"/>
      <c r="X145" s="64"/>
      <c r="Y145" s="64"/>
      <c r="Z145" s="64"/>
    </row>
    <row r="146" ht="12.75" customHeight="1">
      <c r="A146" s="108"/>
      <c r="B146" s="64"/>
      <c r="C146" s="64"/>
      <c r="D146" s="64"/>
      <c r="E146" s="64"/>
      <c r="F146" s="63"/>
      <c r="G146" s="63"/>
      <c r="H146" s="64"/>
      <c r="I146" s="64"/>
      <c r="J146" s="64"/>
      <c r="K146" s="64"/>
      <c r="L146" s="64"/>
      <c r="M146" s="64"/>
      <c r="N146" s="64"/>
      <c r="O146" s="64"/>
      <c r="P146" s="64"/>
      <c r="Q146" s="64"/>
      <c r="R146" s="64"/>
      <c r="S146" s="64"/>
      <c r="T146" s="64"/>
      <c r="U146" s="64"/>
      <c r="V146" s="64"/>
      <c r="W146" s="64"/>
      <c r="X146" s="64"/>
      <c r="Y146" s="64"/>
      <c r="Z146" s="64"/>
    </row>
    <row r="147" ht="12.75" customHeight="1">
      <c r="A147" s="108"/>
      <c r="B147" s="64"/>
      <c r="C147" s="64"/>
      <c r="D147" s="64"/>
      <c r="E147" s="64"/>
      <c r="F147" s="63"/>
      <c r="G147" s="63"/>
      <c r="H147" s="64"/>
      <c r="I147" s="64"/>
      <c r="J147" s="64"/>
      <c r="K147" s="64"/>
      <c r="L147" s="64"/>
      <c r="M147" s="64"/>
      <c r="N147" s="64"/>
      <c r="O147" s="64"/>
      <c r="P147" s="64"/>
      <c r="Q147" s="64"/>
      <c r="R147" s="64"/>
      <c r="S147" s="64"/>
      <c r="T147" s="64"/>
      <c r="U147" s="64"/>
      <c r="V147" s="64"/>
      <c r="W147" s="64"/>
      <c r="X147" s="64"/>
      <c r="Y147" s="64"/>
      <c r="Z147" s="64"/>
    </row>
    <row r="148" ht="12.75" customHeight="1">
      <c r="A148" s="108"/>
      <c r="B148" s="64"/>
      <c r="C148" s="64"/>
      <c r="D148" s="64"/>
      <c r="E148" s="64"/>
      <c r="F148" s="63"/>
      <c r="G148" s="63"/>
      <c r="H148" s="64"/>
      <c r="I148" s="64"/>
      <c r="J148" s="64"/>
      <c r="K148" s="64"/>
      <c r="L148" s="64"/>
      <c r="M148" s="64"/>
      <c r="N148" s="64"/>
      <c r="O148" s="64"/>
      <c r="P148" s="64"/>
      <c r="Q148" s="64"/>
      <c r="R148" s="64"/>
      <c r="S148" s="64"/>
      <c r="T148" s="64"/>
      <c r="U148" s="64"/>
      <c r="V148" s="64"/>
      <c r="W148" s="64"/>
      <c r="X148" s="64"/>
      <c r="Y148" s="64"/>
      <c r="Z148" s="64"/>
    </row>
    <row r="149" ht="12.75" customHeight="1">
      <c r="A149" s="108"/>
      <c r="B149" s="64"/>
      <c r="C149" s="64"/>
      <c r="D149" s="64"/>
      <c r="E149" s="64"/>
      <c r="F149" s="63"/>
      <c r="G149" s="63"/>
      <c r="H149" s="64"/>
      <c r="I149" s="64"/>
      <c r="J149" s="64"/>
      <c r="K149" s="64"/>
      <c r="L149" s="64"/>
      <c r="M149" s="64"/>
      <c r="N149" s="64"/>
      <c r="O149" s="64"/>
      <c r="P149" s="64"/>
      <c r="Q149" s="64"/>
      <c r="R149" s="64"/>
      <c r="S149" s="64"/>
      <c r="T149" s="64"/>
      <c r="U149" s="64"/>
      <c r="V149" s="64"/>
      <c r="W149" s="64"/>
      <c r="X149" s="64"/>
      <c r="Y149" s="64"/>
      <c r="Z149" s="64"/>
    </row>
    <row r="150" ht="12.75" customHeight="1">
      <c r="A150" s="108"/>
      <c r="B150" s="64"/>
      <c r="C150" s="64"/>
      <c r="D150" s="64"/>
      <c r="E150" s="64"/>
      <c r="F150" s="63"/>
      <c r="G150" s="63"/>
      <c r="H150" s="64"/>
      <c r="I150" s="64"/>
      <c r="J150" s="64"/>
      <c r="K150" s="64"/>
      <c r="L150" s="64"/>
      <c r="M150" s="64"/>
      <c r="N150" s="64"/>
      <c r="O150" s="64"/>
      <c r="P150" s="64"/>
      <c r="Q150" s="64"/>
      <c r="R150" s="64"/>
      <c r="S150" s="64"/>
      <c r="T150" s="64"/>
      <c r="U150" s="64"/>
      <c r="V150" s="64"/>
      <c r="W150" s="64"/>
      <c r="X150" s="64"/>
      <c r="Y150" s="64"/>
      <c r="Z150" s="64"/>
    </row>
    <row r="151" ht="12.75" customHeight="1">
      <c r="A151" s="108"/>
      <c r="B151" s="64"/>
      <c r="C151" s="64"/>
      <c r="D151" s="64"/>
      <c r="E151" s="64"/>
      <c r="F151" s="63"/>
      <c r="G151" s="63"/>
      <c r="H151" s="64"/>
      <c r="I151" s="64"/>
      <c r="J151" s="64"/>
      <c r="K151" s="64"/>
      <c r="L151" s="64"/>
      <c r="M151" s="64"/>
      <c r="N151" s="64"/>
      <c r="O151" s="64"/>
      <c r="P151" s="64"/>
      <c r="Q151" s="64"/>
      <c r="R151" s="64"/>
      <c r="S151" s="64"/>
      <c r="T151" s="64"/>
      <c r="U151" s="64"/>
      <c r="V151" s="64"/>
      <c r="W151" s="64"/>
      <c r="X151" s="64"/>
      <c r="Y151" s="64"/>
      <c r="Z151" s="64"/>
    </row>
    <row r="152" ht="12.75" customHeight="1">
      <c r="A152" s="108"/>
      <c r="B152" s="64"/>
      <c r="C152" s="64"/>
      <c r="D152" s="64"/>
      <c r="E152" s="64"/>
      <c r="F152" s="63"/>
      <c r="G152" s="63"/>
      <c r="H152" s="64"/>
      <c r="I152" s="64"/>
      <c r="J152" s="64"/>
      <c r="K152" s="64"/>
      <c r="L152" s="64"/>
      <c r="M152" s="64"/>
      <c r="N152" s="64"/>
      <c r="O152" s="64"/>
      <c r="P152" s="64"/>
      <c r="Q152" s="64"/>
      <c r="R152" s="64"/>
      <c r="S152" s="64"/>
      <c r="T152" s="64"/>
      <c r="U152" s="64"/>
      <c r="V152" s="64"/>
      <c r="W152" s="64"/>
      <c r="X152" s="64"/>
      <c r="Y152" s="64"/>
      <c r="Z152" s="64"/>
    </row>
    <row r="153" ht="12.75" customHeight="1">
      <c r="A153" s="108"/>
      <c r="B153" s="64"/>
      <c r="C153" s="64"/>
      <c r="D153" s="64"/>
      <c r="E153" s="64"/>
      <c r="F153" s="63"/>
      <c r="G153" s="63"/>
      <c r="H153" s="64"/>
      <c r="I153" s="64"/>
      <c r="J153" s="64"/>
      <c r="K153" s="64"/>
      <c r="L153" s="64"/>
      <c r="M153" s="64"/>
      <c r="N153" s="64"/>
      <c r="O153" s="64"/>
      <c r="P153" s="64"/>
      <c r="Q153" s="64"/>
      <c r="R153" s="64"/>
      <c r="S153" s="64"/>
      <c r="T153" s="64"/>
      <c r="U153" s="64"/>
      <c r="V153" s="64"/>
      <c r="W153" s="64"/>
      <c r="X153" s="64"/>
      <c r="Y153" s="64"/>
      <c r="Z153" s="64"/>
    </row>
    <row r="154" ht="12.75" customHeight="1">
      <c r="A154" s="108"/>
      <c r="B154" s="64"/>
      <c r="C154" s="64"/>
      <c r="D154" s="64"/>
      <c r="E154" s="64"/>
      <c r="F154" s="63"/>
      <c r="G154" s="63"/>
      <c r="H154" s="64"/>
      <c r="I154" s="64"/>
      <c r="J154" s="64"/>
      <c r="K154" s="64"/>
      <c r="L154" s="64"/>
      <c r="M154" s="64"/>
      <c r="N154" s="64"/>
      <c r="O154" s="64"/>
      <c r="P154" s="64"/>
      <c r="Q154" s="64"/>
      <c r="R154" s="64"/>
      <c r="S154" s="64"/>
      <c r="T154" s="64"/>
      <c r="U154" s="64"/>
      <c r="V154" s="64"/>
      <c r="W154" s="64"/>
      <c r="X154" s="64"/>
      <c r="Y154" s="64"/>
      <c r="Z154" s="64"/>
    </row>
    <row r="155" ht="12.75" customHeight="1">
      <c r="A155" s="108"/>
      <c r="B155" s="64"/>
      <c r="C155" s="64"/>
      <c r="D155" s="64"/>
      <c r="E155" s="64"/>
      <c r="F155" s="63"/>
      <c r="G155" s="63"/>
      <c r="H155" s="64"/>
      <c r="I155" s="64"/>
      <c r="J155" s="64"/>
      <c r="K155" s="64"/>
      <c r="L155" s="64"/>
      <c r="M155" s="64"/>
      <c r="N155" s="64"/>
      <c r="O155" s="64"/>
      <c r="P155" s="64"/>
      <c r="Q155" s="64"/>
      <c r="R155" s="64"/>
      <c r="S155" s="64"/>
      <c r="T155" s="64"/>
      <c r="U155" s="64"/>
      <c r="V155" s="64"/>
      <c r="W155" s="64"/>
      <c r="X155" s="64"/>
      <c r="Y155" s="64"/>
      <c r="Z155" s="64"/>
    </row>
    <row r="156" ht="12.75" customHeight="1">
      <c r="A156" s="108"/>
      <c r="B156" s="64"/>
      <c r="C156" s="64"/>
      <c r="D156" s="64"/>
      <c r="E156" s="64"/>
      <c r="F156" s="63"/>
      <c r="G156" s="63"/>
      <c r="H156" s="64"/>
      <c r="I156" s="64"/>
      <c r="J156" s="64"/>
      <c r="K156" s="64"/>
      <c r="L156" s="64"/>
      <c r="M156" s="64"/>
      <c r="N156" s="64"/>
      <c r="O156" s="64"/>
      <c r="P156" s="64"/>
      <c r="Q156" s="64"/>
      <c r="R156" s="64"/>
      <c r="S156" s="64"/>
      <c r="T156" s="64"/>
      <c r="U156" s="64"/>
      <c r="V156" s="64"/>
      <c r="W156" s="64"/>
      <c r="X156" s="64"/>
      <c r="Y156" s="64"/>
      <c r="Z156" s="64"/>
    </row>
    <row r="157" ht="12.75" customHeight="1">
      <c r="A157" s="108"/>
      <c r="B157" s="64"/>
      <c r="C157" s="64"/>
      <c r="D157" s="64"/>
      <c r="E157" s="64"/>
      <c r="F157" s="63"/>
      <c r="G157" s="63"/>
      <c r="H157" s="64"/>
      <c r="I157" s="64"/>
      <c r="J157" s="64"/>
      <c r="K157" s="64"/>
      <c r="L157" s="64"/>
      <c r="M157" s="64"/>
      <c r="N157" s="64"/>
      <c r="O157" s="64"/>
      <c r="P157" s="64"/>
      <c r="Q157" s="64"/>
      <c r="R157" s="64"/>
      <c r="S157" s="64"/>
      <c r="T157" s="64"/>
      <c r="U157" s="64"/>
      <c r="V157" s="64"/>
      <c r="W157" s="64"/>
      <c r="X157" s="64"/>
      <c r="Y157" s="64"/>
      <c r="Z157" s="64"/>
    </row>
    <row r="158" ht="12.75" customHeight="1">
      <c r="A158" s="108"/>
      <c r="B158" s="64"/>
      <c r="C158" s="64"/>
      <c r="D158" s="64"/>
      <c r="E158" s="64"/>
      <c r="F158" s="63"/>
      <c r="G158" s="63"/>
      <c r="H158" s="64"/>
      <c r="I158" s="64"/>
      <c r="J158" s="64"/>
      <c r="K158" s="64"/>
      <c r="L158" s="64"/>
      <c r="M158" s="64"/>
      <c r="N158" s="64"/>
      <c r="O158" s="64"/>
      <c r="P158" s="64"/>
      <c r="Q158" s="64"/>
      <c r="R158" s="64"/>
      <c r="S158" s="64"/>
      <c r="T158" s="64"/>
      <c r="U158" s="64"/>
      <c r="V158" s="64"/>
      <c r="W158" s="64"/>
      <c r="X158" s="64"/>
      <c r="Y158" s="64"/>
      <c r="Z158" s="64"/>
    </row>
    <row r="159" ht="12.75" customHeight="1">
      <c r="A159" s="108"/>
      <c r="B159" s="64"/>
      <c r="C159" s="64"/>
      <c r="D159" s="64"/>
      <c r="E159" s="64"/>
      <c r="F159" s="63"/>
      <c r="G159" s="63"/>
      <c r="H159" s="64"/>
      <c r="I159" s="64"/>
      <c r="J159" s="64"/>
      <c r="K159" s="64"/>
      <c r="L159" s="64"/>
      <c r="M159" s="64"/>
      <c r="N159" s="64"/>
      <c r="O159" s="64"/>
      <c r="P159" s="64"/>
      <c r="Q159" s="64"/>
      <c r="R159" s="64"/>
      <c r="S159" s="64"/>
      <c r="T159" s="64"/>
      <c r="U159" s="64"/>
      <c r="V159" s="64"/>
      <c r="W159" s="64"/>
      <c r="X159" s="64"/>
      <c r="Y159" s="64"/>
      <c r="Z159" s="64"/>
    </row>
    <row r="160" ht="12.75" customHeight="1">
      <c r="A160" s="108"/>
      <c r="B160" s="64"/>
      <c r="C160" s="64"/>
      <c r="D160" s="64"/>
      <c r="E160" s="64"/>
      <c r="F160" s="63"/>
      <c r="G160" s="63"/>
      <c r="H160" s="64"/>
      <c r="I160" s="64"/>
      <c r="J160" s="64"/>
      <c r="K160" s="64"/>
      <c r="L160" s="64"/>
      <c r="M160" s="64"/>
      <c r="N160" s="64"/>
      <c r="O160" s="64"/>
      <c r="P160" s="64"/>
      <c r="Q160" s="64"/>
      <c r="R160" s="64"/>
      <c r="S160" s="64"/>
      <c r="T160" s="64"/>
      <c r="U160" s="64"/>
      <c r="V160" s="64"/>
      <c r="W160" s="64"/>
      <c r="X160" s="64"/>
      <c r="Y160" s="64"/>
      <c r="Z160" s="64"/>
    </row>
    <row r="161" ht="12.75" customHeight="1">
      <c r="A161" s="108"/>
      <c r="B161" s="64"/>
      <c r="C161" s="64"/>
      <c r="D161" s="64"/>
      <c r="E161" s="64"/>
      <c r="F161" s="63"/>
      <c r="G161" s="63"/>
      <c r="H161" s="64"/>
      <c r="I161" s="64"/>
      <c r="J161" s="64"/>
      <c r="K161" s="64"/>
      <c r="L161" s="64"/>
      <c r="M161" s="64"/>
      <c r="N161" s="64"/>
      <c r="O161" s="64"/>
      <c r="P161" s="64"/>
      <c r="Q161" s="64"/>
      <c r="R161" s="64"/>
      <c r="S161" s="64"/>
      <c r="T161" s="64"/>
      <c r="U161" s="64"/>
      <c r="V161" s="64"/>
      <c r="W161" s="64"/>
      <c r="X161" s="64"/>
      <c r="Y161" s="64"/>
      <c r="Z161" s="64"/>
    </row>
    <row r="162" ht="12.75" customHeight="1">
      <c r="A162" s="108"/>
      <c r="B162" s="64"/>
      <c r="C162" s="64"/>
      <c r="D162" s="64"/>
      <c r="E162" s="64"/>
      <c r="F162" s="63"/>
      <c r="G162" s="63"/>
      <c r="H162" s="64"/>
      <c r="I162" s="64"/>
      <c r="J162" s="64"/>
      <c r="K162" s="64"/>
      <c r="L162" s="64"/>
      <c r="M162" s="64"/>
      <c r="N162" s="64"/>
      <c r="O162" s="64"/>
      <c r="P162" s="64"/>
      <c r="Q162" s="64"/>
      <c r="R162" s="64"/>
      <c r="S162" s="64"/>
      <c r="T162" s="64"/>
      <c r="U162" s="64"/>
      <c r="V162" s="64"/>
      <c r="W162" s="64"/>
      <c r="X162" s="64"/>
      <c r="Y162" s="64"/>
      <c r="Z162" s="64"/>
    </row>
    <row r="163" ht="12.75" customHeight="1">
      <c r="A163" s="108"/>
      <c r="B163" s="64"/>
      <c r="C163" s="64"/>
      <c r="D163" s="64"/>
      <c r="E163" s="64"/>
      <c r="F163" s="63"/>
      <c r="G163" s="63"/>
      <c r="H163" s="64"/>
      <c r="I163" s="64"/>
      <c r="J163" s="64"/>
      <c r="K163" s="64"/>
      <c r="L163" s="64"/>
      <c r="M163" s="64"/>
      <c r="N163" s="64"/>
      <c r="O163" s="64"/>
      <c r="P163" s="64"/>
      <c r="Q163" s="64"/>
      <c r="R163" s="64"/>
      <c r="S163" s="64"/>
      <c r="T163" s="64"/>
      <c r="U163" s="64"/>
      <c r="V163" s="64"/>
      <c r="W163" s="64"/>
      <c r="X163" s="64"/>
      <c r="Y163" s="64"/>
      <c r="Z163" s="64"/>
    </row>
    <row r="164" ht="12.75" customHeight="1">
      <c r="A164" s="108"/>
      <c r="B164" s="64"/>
      <c r="C164" s="64"/>
      <c r="D164" s="64"/>
      <c r="E164" s="64"/>
      <c r="F164" s="63"/>
      <c r="G164" s="63"/>
      <c r="H164" s="64"/>
      <c r="I164" s="64"/>
      <c r="J164" s="64"/>
      <c r="K164" s="64"/>
      <c r="L164" s="64"/>
      <c r="M164" s="64"/>
      <c r="N164" s="64"/>
      <c r="O164" s="64"/>
      <c r="P164" s="64"/>
      <c r="Q164" s="64"/>
      <c r="R164" s="64"/>
      <c r="S164" s="64"/>
      <c r="T164" s="64"/>
      <c r="U164" s="64"/>
      <c r="V164" s="64"/>
      <c r="W164" s="64"/>
      <c r="X164" s="64"/>
      <c r="Y164" s="64"/>
      <c r="Z164" s="64"/>
    </row>
    <row r="165" ht="12.75" customHeight="1">
      <c r="A165" s="108"/>
      <c r="B165" s="64"/>
      <c r="C165" s="64"/>
      <c r="D165" s="64"/>
      <c r="E165" s="64"/>
      <c r="F165" s="63"/>
      <c r="G165" s="63"/>
      <c r="H165" s="64"/>
      <c r="I165" s="64"/>
      <c r="J165" s="64"/>
      <c r="K165" s="64"/>
      <c r="L165" s="64"/>
      <c r="M165" s="64"/>
      <c r="N165" s="64"/>
      <c r="O165" s="64"/>
      <c r="P165" s="64"/>
      <c r="Q165" s="64"/>
      <c r="R165" s="64"/>
      <c r="S165" s="64"/>
      <c r="T165" s="64"/>
      <c r="U165" s="64"/>
      <c r="V165" s="64"/>
      <c r="W165" s="64"/>
      <c r="X165" s="64"/>
      <c r="Y165" s="64"/>
      <c r="Z165" s="64"/>
    </row>
    <row r="166" ht="12.75" customHeight="1">
      <c r="A166" s="108"/>
      <c r="B166" s="64"/>
      <c r="C166" s="64"/>
      <c r="D166" s="64"/>
      <c r="E166" s="64"/>
      <c r="F166" s="63"/>
      <c r="G166" s="63"/>
      <c r="H166" s="64"/>
      <c r="I166" s="64"/>
      <c r="J166" s="64"/>
      <c r="K166" s="64"/>
      <c r="L166" s="64"/>
      <c r="M166" s="64"/>
      <c r="N166" s="64"/>
      <c r="O166" s="64"/>
      <c r="P166" s="64"/>
      <c r="Q166" s="64"/>
      <c r="R166" s="64"/>
      <c r="S166" s="64"/>
      <c r="T166" s="64"/>
      <c r="U166" s="64"/>
      <c r="V166" s="64"/>
      <c r="W166" s="64"/>
      <c r="X166" s="64"/>
      <c r="Y166" s="64"/>
      <c r="Z166" s="64"/>
    </row>
    <row r="167" ht="12.75" customHeight="1">
      <c r="A167" s="108"/>
      <c r="B167" s="64"/>
      <c r="C167" s="64"/>
      <c r="D167" s="64"/>
      <c r="E167" s="64"/>
      <c r="F167" s="63"/>
      <c r="G167" s="63"/>
      <c r="H167" s="64"/>
      <c r="I167" s="64"/>
      <c r="J167" s="64"/>
      <c r="K167" s="64"/>
      <c r="L167" s="64"/>
      <c r="M167" s="64"/>
      <c r="N167" s="64"/>
      <c r="O167" s="64"/>
      <c r="P167" s="64"/>
      <c r="Q167" s="64"/>
      <c r="R167" s="64"/>
      <c r="S167" s="64"/>
      <c r="T167" s="64"/>
      <c r="U167" s="64"/>
      <c r="V167" s="64"/>
      <c r="W167" s="64"/>
      <c r="X167" s="64"/>
      <c r="Y167" s="64"/>
      <c r="Z167" s="64"/>
    </row>
    <row r="168" ht="12.75" customHeight="1">
      <c r="A168" s="108"/>
      <c r="B168" s="64"/>
      <c r="C168" s="64"/>
      <c r="D168" s="64"/>
      <c r="E168" s="64"/>
      <c r="F168" s="63"/>
      <c r="G168" s="63"/>
      <c r="H168" s="64"/>
      <c r="I168" s="64"/>
      <c r="J168" s="64"/>
      <c r="K168" s="64"/>
      <c r="L168" s="64"/>
      <c r="M168" s="64"/>
      <c r="N168" s="64"/>
      <c r="O168" s="64"/>
      <c r="P168" s="64"/>
      <c r="Q168" s="64"/>
      <c r="R168" s="64"/>
      <c r="S168" s="64"/>
      <c r="T168" s="64"/>
      <c r="U168" s="64"/>
      <c r="V168" s="64"/>
      <c r="W168" s="64"/>
      <c r="X168" s="64"/>
      <c r="Y168" s="64"/>
      <c r="Z168" s="64"/>
    </row>
    <row r="169" ht="12.75" customHeight="1">
      <c r="A169" s="108"/>
      <c r="B169" s="64"/>
      <c r="C169" s="64"/>
      <c r="D169" s="64"/>
      <c r="E169" s="64"/>
      <c r="F169" s="63"/>
      <c r="G169" s="63"/>
      <c r="H169" s="64"/>
      <c r="I169" s="64"/>
      <c r="J169" s="64"/>
      <c r="K169" s="64"/>
      <c r="L169" s="64"/>
      <c r="M169" s="64"/>
      <c r="N169" s="64"/>
      <c r="O169" s="64"/>
      <c r="P169" s="64"/>
      <c r="Q169" s="64"/>
      <c r="R169" s="64"/>
      <c r="S169" s="64"/>
      <c r="T169" s="64"/>
      <c r="U169" s="64"/>
      <c r="V169" s="64"/>
      <c r="W169" s="64"/>
      <c r="X169" s="64"/>
      <c r="Y169" s="64"/>
      <c r="Z169" s="64"/>
    </row>
    <row r="170" ht="12.75" customHeight="1">
      <c r="A170" s="108"/>
      <c r="B170" s="64"/>
      <c r="C170" s="64"/>
      <c r="D170" s="64"/>
      <c r="E170" s="64"/>
      <c r="F170" s="63"/>
      <c r="G170" s="63"/>
      <c r="H170" s="64"/>
      <c r="I170" s="64"/>
      <c r="J170" s="64"/>
      <c r="K170" s="64"/>
      <c r="L170" s="64"/>
      <c r="M170" s="64"/>
      <c r="N170" s="64"/>
      <c r="O170" s="64"/>
      <c r="P170" s="64"/>
      <c r="Q170" s="64"/>
      <c r="R170" s="64"/>
      <c r="S170" s="64"/>
      <c r="T170" s="64"/>
      <c r="U170" s="64"/>
      <c r="V170" s="64"/>
      <c r="W170" s="64"/>
      <c r="X170" s="64"/>
      <c r="Y170" s="64"/>
      <c r="Z170" s="64"/>
    </row>
    <row r="171" ht="12.75" customHeight="1">
      <c r="A171" s="108"/>
      <c r="B171" s="64"/>
      <c r="C171" s="64"/>
      <c r="D171" s="64"/>
      <c r="E171" s="64"/>
      <c r="F171" s="63"/>
      <c r="G171" s="63"/>
      <c r="H171" s="64"/>
      <c r="I171" s="64"/>
      <c r="J171" s="64"/>
      <c r="K171" s="64"/>
      <c r="L171" s="64"/>
      <c r="M171" s="64"/>
      <c r="N171" s="64"/>
      <c r="O171" s="64"/>
      <c r="P171" s="64"/>
      <c r="Q171" s="64"/>
      <c r="R171" s="64"/>
      <c r="S171" s="64"/>
      <c r="T171" s="64"/>
      <c r="U171" s="64"/>
      <c r="V171" s="64"/>
      <c r="W171" s="64"/>
      <c r="X171" s="64"/>
      <c r="Y171" s="64"/>
      <c r="Z171" s="64"/>
    </row>
    <row r="172" ht="12.75" customHeight="1">
      <c r="A172" s="108"/>
      <c r="B172" s="64"/>
      <c r="C172" s="64"/>
      <c r="D172" s="64"/>
      <c r="E172" s="64"/>
      <c r="F172" s="63"/>
      <c r="G172" s="63"/>
      <c r="H172" s="64"/>
      <c r="I172" s="64"/>
      <c r="J172" s="64"/>
      <c r="K172" s="64"/>
      <c r="L172" s="64"/>
      <c r="M172" s="64"/>
      <c r="N172" s="64"/>
      <c r="O172" s="64"/>
      <c r="P172" s="64"/>
      <c r="Q172" s="64"/>
      <c r="R172" s="64"/>
      <c r="S172" s="64"/>
      <c r="T172" s="64"/>
      <c r="U172" s="64"/>
      <c r="V172" s="64"/>
      <c r="W172" s="64"/>
      <c r="X172" s="64"/>
      <c r="Y172" s="64"/>
      <c r="Z172" s="64"/>
    </row>
    <row r="173" ht="12.75" customHeight="1">
      <c r="A173" s="108"/>
      <c r="B173" s="64"/>
      <c r="C173" s="64"/>
      <c r="D173" s="64"/>
      <c r="E173" s="64"/>
      <c r="F173" s="63"/>
      <c r="G173" s="63"/>
      <c r="H173" s="64"/>
      <c r="I173" s="64"/>
      <c r="J173" s="64"/>
      <c r="K173" s="64"/>
      <c r="L173" s="64"/>
      <c r="M173" s="64"/>
      <c r="N173" s="64"/>
      <c r="O173" s="64"/>
      <c r="P173" s="64"/>
      <c r="Q173" s="64"/>
      <c r="R173" s="64"/>
      <c r="S173" s="64"/>
      <c r="T173" s="64"/>
      <c r="U173" s="64"/>
      <c r="V173" s="64"/>
      <c r="W173" s="64"/>
      <c r="X173" s="64"/>
      <c r="Y173" s="64"/>
      <c r="Z173" s="64"/>
    </row>
    <row r="174" ht="12.75" customHeight="1">
      <c r="A174" s="108"/>
      <c r="B174" s="64"/>
      <c r="C174" s="64"/>
      <c r="D174" s="64"/>
      <c r="E174" s="64"/>
      <c r="F174" s="63"/>
      <c r="G174" s="63"/>
      <c r="H174" s="64"/>
      <c r="I174" s="64"/>
      <c r="J174" s="64"/>
      <c r="K174" s="64"/>
      <c r="L174" s="64"/>
      <c r="M174" s="64"/>
      <c r="N174" s="64"/>
      <c r="O174" s="64"/>
      <c r="P174" s="64"/>
      <c r="Q174" s="64"/>
      <c r="R174" s="64"/>
      <c r="S174" s="64"/>
      <c r="T174" s="64"/>
      <c r="U174" s="64"/>
      <c r="V174" s="64"/>
      <c r="W174" s="64"/>
      <c r="X174" s="64"/>
      <c r="Y174" s="64"/>
      <c r="Z174" s="64"/>
    </row>
    <row r="175" ht="12.75" customHeight="1">
      <c r="A175" s="108"/>
      <c r="B175" s="64"/>
      <c r="C175" s="64"/>
      <c r="D175" s="64"/>
      <c r="E175" s="64"/>
      <c r="F175" s="63"/>
      <c r="G175" s="63"/>
      <c r="H175" s="64"/>
      <c r="I175" s="64"/>
      <c r="J175" s="64"/>
      <c r="K175" s="64"/>
      <c r="L175" s="64"/>
      <c r="M175" s="64"/>
      <c r="N175" s="64"/>
      <c r="O175" s="64"/>
      <c r="P175" s="64"/>
      <c r="Q175" s="64"/>
      <c r="R175" s="64"/>
      <c r="S175" s="64"/>
      <c r="T175" s="64"/>
      <c r="U175" s="64"/>
      <c r="V175" s="64"/>
      <c r="W175" s="64"/>
      <c r="X175" s="64"/>
      <c r="Y175" s="64"/>
      <c r="Z175" s="64"/>
    </row>
    <row r="176" ht="12.75" customHeight="1">
      <c r="A176" s="108"/>
      <c r="B176" s="64"/>
      <c r="C176" s="64"/>
      <c r="D176" s="64"/>
      <c r="E176" s="64"/>
      <c r="F176" s="63"/>
      <c r="G176" s="63"/>
      <c r="H176" s="64"/>
      <c r="I176" s="64"/>
      <c r="J176" s="64"/>
      <c r="K176" s="64"/>
      <c r="L176" s="64"/>
      <c r="M176" s="64"/>
      <c r="N176" s="64"/>
      <c r="O176" s="64"/>
      <c r="P176" s="64"/>
      <c r="Q176" s="64"/>
      <c r="R176" s="64"/>
      <c r="S176" s="64"/>
      <c r="T176" s="64"/>
      <c r="U176" s="64"/>
      <c r="V176" s="64"/>
      <c r="W176" s="64"/>
      <c r="X176" s="64"/>
      <c r="Y176" s="64"/>
      <c r="Z176" s="64"/>
    </row>
    <row r="177" ht="12.75" customHeight="1">
      <c r="A177" s="108"/>
      <c r="B177" s="64"/>
      <c r="C177" s="64"/>
      <c r="D177" s="64"/>
      <c r="E177" s="64"/>
      <c r="F177" s="63"/>
      <c r="G177" s="63"/>
      <c r="H177" s="64"/>
      <c r="I177" s="64"/>
      <c r="J177" s="64"/>
      <c r="K177" s="64"/>
      <c r="L177" s="64"/>
      <c r="M177" s="64"/>
      <c r="N177" s="64"/>
      <c r="O177" s="64"/>
      <c r="P177" s="64"/>
      <c r="Q177" s="64"/>
      <c r="R177" s="64"/>
      <c r="S177" s="64"/>
      <c r="T177" s="64"/>
      <c r="U177" s="64"/>
      <c r="V177" s="64"/>
      <c r="W177" s="64"/>
      <c r="X177" s="64"/>
      <c r="Y177" s="64"/>
      <c r="Z177" s="64"/>
    </row>
    <row r="178" ht="12.75" customHeight="1">
      <c r="A178" s="108"/>
      <c r="B178" s="64"/>
      <c r="C178" s="64"/>
      <c r="D178" s="64"/>
      <c r="E178" s="64"/>
      <c r="F178" s="63"/>
      <c r="G178" s="63"/>
      <c r="H178" s="64"/>
      <c r="I178" s="64"/>
      <c r="J178" s="64"/>
      <c r="K178" s="64"/>
      <c r="L178" s="64"/>
      <c r="M178" s="64"/>
      <c r="N178" s="64"/>
      <c r="O178" s="64"/>
      <c r="P178" s="64"/>
      <c r="Q178" s="64"/>
      <c r="R178" s="64"/>
      <c r="S178" s="64"/>
      <c r="T178" s="64"/>
      <c r="U178" s="64"/>
      <c r="V178" s="64"/>
      <c r="W178" s="64"/>
      <c r="X178" s="64"/>
      <c r="Y178" s="64"/>
      <c r="Z178" s="64"/>
    </row>
    <row r="179" ht="12.75" customHeight="1">
      <c r="A179" s="108"/>
      <c r="B179" s="64"/>
      <c r="C179" s="64"/>
      <c r="D179" s="64"/>
      <c r="E179" s="64"/>
      <c r="F179" s="63"/>
      <c r="G179" s="63"/>
      <c r="H179" s="64"/>
      <c r="I179" s="64"/>
      <c r="J179" s="64"/>
      <c r="K179" s="64"/>
      <c r="L179" s="64"/>
      <c r="M179" s="64"/>
      <c r="N179" s="64"/>
      <c r="O179" s="64"/>
      <c r="P179" s="64"/>
      <c r="Q179" s="64"/>
      <c r="R179" s="64"/>
      <c r="S179" s="64"/>
      <c r="T179" s="64"/>
      <c r="U179" s="64"/>
      <c r="V179" s="64"/>
      <c r="W179" s="64"/>
      <c r="X179" s="64"/>
      <c r="Y179" s="64"/>
      <c r="Z179" s="64"/>
    </row>
    <row r="180" ht="12.75" customHeight="1">
      <c r="A180" s="108"/>
      <c r="B180" s="64"/>
      <c r="C180" s="64"/>
      <c r="D180" s="64"/>
      <c r="E180" s="64"/>
      <c r="F180" s="63"/>
      <c r="G180" s="63"/>
      <c r="H180" s="64"/>
      <c r="I180" s="64"/>
      <c r="J180" s="64"/>
      <c r="K180" s="64"/>
      <c r="L180" s="64"/>
      <c r="M180" s="64"/>
      <c r="N180" s="64"/>
      <c r="O180" s="64"/>
      <c r="P180" s="64"/>
      <c r="Q180" s="64"/>
      <c r="R180" s="64"/>
      <c r="S180" s="64"/>
      <c r="T180" s="64"/>
      <c r="U180" s="64"/>
      <c r="V180" s="64"/>
      <c r="W180" s="64"/>
      <c r="X180" s="64"/>
      <c r="Y180" s="64"/>
      <c r="Z180" s="64"/>
    </row>
    <row r="181" ht="12.75" customHeight="1">
      <c r="A181" s="108"/>
      <c r="B181" s="64"/>
      <c r="C181" s="64"/>
      <c r="D181" s="64"/>
      <c r="E181" s="64"/>
      <c r="F181" s="63"/>
      <c r="G181" s="63"/>
      <c r="H181" s="64"/>
      <c r="I181" s="64"/>
      <c r="J181" s="64"/>
      <c r="K181" s="64"/>
      <c r="L181" s="64"/>
      <c r="M181" s="64"/>
      <c r="N181" s="64"/>
      <c r="O181" s="64"/>
      <c r="P181" s="64"/>
      <c r="Q181" s="64"/>
      <c r="R181" s="64"/>
      <c r="S181" s="64"/>
      <c r="T181" s="64"/>
      <c r="U181" s="64"/>
      <c r="V181" s="64"/>
      <c r="W181" s="64"/>
      <c r="X181" s="64"/>
      <c r="Y181" s="64"/>
      <c r="Z181" s="64"/>
    </row>
    <row r="182" ht="12.75" customHeight="1">
      <c r="A182" s="108"/>
      <c r="B182" s="64"/>
      <c r="C182" s="64"/>
      <c r="D182" s="64"/>
      <c r="E182" s="64"/>
      <c r="F182" s="63"/>
      <c r="G182" s="63"/>
      <c r="H182" s="64"/>
      <c r="I182" s="64"/>
      <c r="J182" s="64"/>
      <c r="K182" s="64"/>
      <c r="L182" s="64"/>
      <c r="M182" s="64"/>
      <c r="N182" s="64"/>
      <c r="O182" s="64"/>
      <c r="P182" s="64"/>
      <c r="Q182" s="64"/>
      <c r="R182" s="64"/>
      <c r="S182" s="64"/>
      <c r="T182" s="64"/>
      <c r="U182" s="64"/>
      <c r="V182" s="64"/>
      <c r="W182" s="64"/>
      <c r="X182" s="64"/>
      <c r="Y182" s="64"/>
      <c r="Z182" s="64"/>
    </row>
    <row r="183" ht="12.75" customHeight="1">
      <c r="A183" s="108"/>
      <c r="B183" s="64"/>
      <c r="C183" s="64"/>
      <c r="D183" s="64"/>
      <c r="E183" s="64"/>
      <c r="F183" s="63"/>
      <c r="G183" s="63"/>
      <c r="H183" s="64"/>
      <c r="I183" s="64"/>
      <c r="J183" s="64"/>
      <c r="K183" s="64"/>
      <c r="L183" s="64"/>
      <c r="M183" s="64"/>
      <c r="N183" s="64"/>
      <c r="O183" s="64"/>
      <c r="P183" s="64"/>
      <c r="Q183" s="64"/>
      <c r="R183" s="64"/>
      <c r="S183" s="64"/>
      <c r="T183" s="64"/>
      <c r="U183" s="64"/>
      <c r="V183" s="64"/>
      <c r="W183" s="64"/>
      <c r="X183" s="64"/>
      <c r="Y183" s="64"/>
      <c r="Z183" s="64"/>
    </row>
    <row r="184" ht="12.75" customHeight="1">
      <c r="A184" s="108"/>
      <c r="B184" s="64"/>
      <c r="C184" s="64"/>
      <c r="D184" s="64"/>
      <c r="E184" s="64"/>
      <c r="F184" s="63"/>
      <c r="G184" s="63"/>
      <c r="H184" s="64"/>
      <c r="I184" s="64"/>
      <c r="J184" s="64"/>
      <c r="K184" s="64"/>
      <c r="L184" s="64"/>
      <c r="M184" s="64"/>
      <c r="N184" s="64"/>
      <c r="O184" s="64"/>
      <c r="P184" s="64"/>
      <c r="Q184" s="64"/>
      <c r="R184" s="64"/>
      <c r="S184" s="64"/>
      <c r="T184" s="64"/>
      <c r="U184" s="64"/>
      <c r="V184" s="64"/>
      <c r="W184" s="64"/>
      <c r="X184" s="64"/>
      <c r="Y184" s="64"/>
      <c r="Z184" s="64"/>
    </row>
    <row r="185" ht="12.75" customHeight="1">
      <c r="A185" s="108"/>
      <c r="B185" s="64"/>
      <c r="C185" s="64"/>
      <c r="D185" s="64"/>
      <c r="E185" s="64"/>
      <c r="F185" s="63"/>
      <c r="G185" s="63"/>
      <c r="H185" s="64"/>
      <c r="I185" s="64"/>
      <c r="J185" s="64"/>
      <c r="K185" s="64"/>
      <c r="L185" s="64"/>
      <c r="M185" s="64"/>
      <c r="N185" s="64"/>
      <c r="O185" s="64"/>
      <c r="P185" s="64"/>
      <c r="Q185" s="64"/>
      <c r="R185" s="64"/>
      <c r="S185" s="64"/>
      <c r="T185" s="64"/>
      <c r="U185" s="64"/>
      <c r="V185" s="64"/>
      <c r="W185" s="64"/>
      <c r="X185" s="64"/>
      <c r="Y185" s="64"/>
      <c r="Z185" s="64"/>
    </row>
    <row r="186" ht="12.75" customHeight="1">
      <c r="A186" s="108"/>
      <c r="B186" s="64"/>
      <c r="C186" s="64"/>
      <c r="D186" s="64"/>
      <c r="E186" s="64"/>
      <c r="F186" s="63"/>
      <c r="G186" s="63"/>
      <c r="H186" s="64"/>
      <c r="I186" s="64"/>
      <c r="J186" s="64"/>
      <c r="K186" s="64"/>
      <c r="L186" s="64"/>
      <c r="M186" s="64"/>
      <c r="N186" s="64"/>
      <c r="O186" s="64"/>
      <c r="P186" s="64"/>
      <c r="Q186" s="64"/>
      <c r="R186" s="64"/>
      <c r="S186" s="64"/>
      <c r="T186" s="64"/>
      <c r="U186" s="64"/>
      <c r="V186" s="64"/>
      <c r="W186" s="64"/>
      <c r="X186" s="64"/>
      <c r="Y186" s="64"/>
      <c r="Z186" s="64"/>
    </row>
    <row r="187" ht="12.75" customHeight="1">
      <c r="A187" s="108"/>
      <c r="B187" s="64"/>
      <c r="C187" s="64"/>
      <c r="D187" s="64"/>
      <c r="E187" s="64"/>
      <c r="F187" s="63"/>
      <c r="G187" s="63"/>
      <c r="H187" s="64"/>
      <c r="I187" s="64"/>
      <c r="J187" s="64"/>
      <c r="K187" s="64"/>
      <c r="L187" s="64"/>
      <c r="M187" s="64"/>
      <c r="N187" s="64"/>
      <c r="O187" s="64"/>
      <c r="P187" s="64"/>
      <c r="Q187" s="64"/>
      <c r="R187" s="64"/>
      <c r="S187" s="64"/>
      <c r="T187" s="64"/>
      <c r="U187" s="64"/>
      <c r="V187" s="64"/>
      <c r="W187" s="64"/>
      <c r="X187" s="64"/>
      <c r="Y187" s="64"/>
      <c r="Z187" s="64"/>
    </row>
    <row r="188" ht="12.75" customHeight="1">
      <c r="A188" s="108"/>
      <c r="B188" s="64"/>
      <c r="C188" s="64"/>
      <c r="D188" s="64"/>
      <c r="E188" s="64"/>
      <c r="F188" s="63"/>
      <c r="G188" s="63"/>
      <c r="H188" s="64"/>
      <c r="I188" s="64"/>
      <c r="J188" s="64"/>
      <c r="K188" s="64"/>
      <c r="L188" s="64"/>
      <c r="M188" s="64"/>
      <c r="N188" s="64"/>
      <c r="O188" s="64"/>
      <c r="P188" s="64"/>
      <c r="Q188" s="64"/>
      <c r="R188" s="64"/>
      <c r="S188" s="64"/>
      <c r="T188" s="64"/>
      <c r="U188" s="64"/>
      <c r="V188" s="64"/>
      <c r="W188" s="64"/>
      <c r="X188" s="64"/>
      <c r="Y188" s="64"/>
      <c r="Z188" s="64"/>
    </row>
    <row r="189" ht="12.75" customHeight="1">
      <c r="A189" s="108"/>
      <c r="B189" s="64"/>
      <c r="C189" s="64"/>
      <c r="D189" s="64"/>
      <c r="E189" s="64"/>
      <c r="F189" s="63"/>
      <c r="G189" s="63"/>
      <c r="H189" s="64"/>
      <c r="I189" s="64"/>
      <c r="J189" s="64"/>
      <c r="K189" s="64"/>
      <c r="L189" s="64"/>
      <c r="M189" s="64"/>
      <c r="N189" s="64"/>
      <c r="O189" s="64"/>
      <c r="P189" s="64"/>
      <c r="Q189" s="64"/>
      <c r="R189" s="64"/>
      <c r="S189" s="64"/>
      <c r="T189" s="64"/>
      <c r="U189" s="64"/>
      <c r="V189" s="64"/>
      <c r="W189" s="64"/>
      <c r="X189" s="64"/>
      <c r="Y189" s="64"/>
      <c r="Z189" s="64"/>
    </row>
    <row r="190" ht="12.75" customHeight="1">
      <c r="A190" s="108"/>
      <c r="B190" s="64"/>
      <c r="C190" s="64"/>
      <c r="D190" s="64"/>
      <c r="E190" s="64"/>
      <c r="F190" s="63"/>
      <c r="G190" s="63"/>
      <c r="H190" s="64"/>
      <c r="I190" s="64"/>
      <c r="J190" s="64"/>
      <c r="K190" s="64"/>
      <c r="L190" s="64"/>
      <c r="M190" s="64"/>
      <c r="N190" s="64"/>
      <c r="O190" s="64"/>
      <c r="P190" s="64"/>
      <c r="Q190" s="64"/>
      <c r="R190" s="64"/>
      <c r="S190" s="64"/>
      <c r="T190" s="64"/>
      <c r="U190" s="64"/>
      <c r="V190" s="64"/>
      <c r="W190" s="64"/>
      <c r="X190" s="64"/>
      <c r="Y190" s="64"/>
      <c r="Z190" s="64"/>
    </row>
    <row r="191" ht="12.75" customHeight="1">
      <c r="A191" s="108"/>
      <c r="B191" s="64"/>
      <c r="C191" s="64"/>
      <c r="D191" s="64"/>
      <c r="E191" s="64"/>
      <c r="F191" s="63"/>
      <c r="G191" s="63"/>
      <c r="H191" s="64"/>
      <c r="I191" s="64"/>
      <c r="J191" s="64"/>
      <c r="K191" s="64"/>
      <c r="L191" s="64"/>
      <c r="M191" s="64"/>
      <c r="N191" s="64"/>
      <c r="O191" s="64"/>
      <c r="P191" s="64"/>
      <c r="Q191" s="64"/>
      <c r="R191" s="64"/>
      <c r="S191" s="64"/>
      <c r="T191" s="64"/>
      <c r="U191" s="64"/>
      <c r="V191" s="64"/>
      <c r="W191" s="64"/>
      <c r="X191" s="64"/>
      <c r="Y191" s="64"/>
      <c r="Z191" s="64"/>
    </row>
    <row r="192" ht="12.75" customHeight="1">
      <c r="A192" s="108"/>
      <c r="B192" s="64"/>
      <c r="C192" s="64"/>
      <c r="D192" s="64"/>
      <c r="E192" s="64"/>
      <c r="F192" s="63"/>
      <c r="G192" s="63"/>
      <c r="H192" s="64"/>
      <c r="I192" s="64"/>
      <c r="J192" s="64"/>
      <c r="K192" s="64"/>
      <c r="L192" s="64"/>
      <c r="M192" s="64"/>
      <c r="N192" s="64"/>
      <c r="O192" s="64"/>
      <c r="P192" s="64"/>
      <c r="Q192" s="64"/>
      <c r="R192" s="64"/>
      <c r="S192" s="64"/>
      <c r="T192" s="64"/>
      <c r="U192" s="64"/>
      <c r="V192" s="64"/>
      <c r="W192" s="64"/>
      <c r="X192" s="64"/>
      <c r="Y192" s="64"/>
      <c r="Z192" s="64"/>
    </row>
    <row r="193" ht="12.75" customHeight="1">
      <c r="A193" s="108"/>
      <c r="B193" s="64"/>
      <c r="C193" s="64"/>
      <c r="D193" s="64"/>
      <c r="E193" s="64"/>
      <c r="F193" s="63"/>
      <c r="G193" s="63"/>
      <c r="H193" s="64"/>
      <c r="I193" s="64"/>
      <c r="J193" s="64"/>
      <c r="K193" s="64"/>
      <c r="L193" s="64"/>
      <c r="M193" s="64"/>
      <c r="N193" s="64"/>
      <c r="O193" s="64"/>
      <c r="P193" s="64"/>
      <c r="Q193" s="64"/>
      <c r="R193" s="64"/>
      <c r="S193" s="64"/>
      <c r="T193" s="64"/>
      <c r="U193" s="64"/>
      <c r="V193" s="64"/>
      <c r="W193" s="64"/>
      <c r="X193" s="64"/>
      <c r="Y193" s="64"/>
      <c r="Z193" s="64"/>
    </row>
    <row r="194" ht="12.75" customHeight="1">
      <c r="A194" s="108"/>
      <c r="B194" s="64"/>
      <c r="C194" s="64"/>
      <c r="D194" s="64"/>
      <c r="E194" s="64"/>
      <c r="F194" s="63"/>
      <c r="G194" s="63"/>
      <c r="H194" s="64"/>
      <c r="I194" s="64"/>
      <c r="J194" s="64"/>
      <c r="K194" s="64"/>
      <c r="L194" s="64"/>
      <c r="M194" s="64"/>
      <c r="N194" s="64"/>
      <c r="O194" s="64"/>
      <c r="P194" s="64"/>
      <c r="Q194" s="64"/>
      <c r="R194" s="64"/>
      <c r="S194" s="64"/>
      <c r="T194" s="64"/>
      <c r="U194" s="64"/>
      <c r="V194" s="64"/>
      <c r="W194" s="64"/>
      <c r="X194" s="64"/>
      <c r="Y194" s="64"/>
      <c r="Z194" s="64"/>
    </row>
    <row r="195" ht="12.75" customHeight="1">
      <c r="A195" s="108"/>
      <c r="B195" s="64"/>
      <c r="C195" s="64"/>
      <c r="D195" s="64"/>
      <c r="E195" s="64"/>
      <c r="F195" s="63"/>
      <c r="G195" s="63"/>
      <c r="H195" s="64"/>
      <c r="I195" s="64"/>
      <c r="J195" s="64"/>
      <c r="K195" s="64"/>
      <c r="L195" s="64"/>
      <c r="M195" s="64"/>
      <c r="N195" s="64"/>
      <c r="O195" s="64"/>
      <c r="P195" s="64"/>
      <c r="Q195" s="64"/>
      <c r="R195" s="64"/>
      <c r="S195" s="64"/>
      <c r="T195" s="64"/>
      <c r="U195" s="64"/>
      <c r="V195" s="64"/>
      <c r="W195" s="64"/>
      <c r="X195" s="64"/>
      <c r="Y195" s="64"/>
      <c r="Z195" s="64"/>
    </row>
    <row r="196" ht="12.75" customHeight="1">
      <c r="A196" s="108"/>
      <c r="B196" s="64"/>
      <c r="C196" s="64"/>
      <c r="D196" s="64"/>
      <c r="E196" s="64"/>
      <c r="F196" s="63"/>
      <c r="G196" s="63"/>
      <c r="H196" s="64"/>
      <c r="I196" s="64"/>
      <c r="J196" s="64"/>
      <c r="K196" s="64"/>
      <c r="L196" s="64"/>
      <c r="M196" s="64"/>
      <c r="N196" s="64"/>
      <c r="O196" s="64"/>
      <c r="P196" s="64"/>
      <c r="Q196" s="64"/>
      <c r="R196" s="64"/>
      <c r="S196" s="64"/>
      <c r="T196" s="64"/>
      <c r="U196" s="64"/>
      <c r="V196" s="64"/>
      <c r="W196" s="64"/>
      <c r="X196" s="64"/>
      <c r="Y196" s="64"/>
      <c r="Z196" s="64"/>
    </row>
    <row r="197" ht="12.75" customHeight="1">
      <c r="A197" s="108"/>
      <c r="B197" s="64"/>
      <c r="C197" s="64"/>
      <c r="D197" s="64"/>
      <c r="E197" s="64"/>
      <c r="F197" s="63"/>
      <c r="G197" s="63"/>
      <c r="H197" s="64"/>
      <c r="I197" s="64"/>
      <c r="J197" s="64"/>
      <c r="K197" s="64"/>
      <c r="L197" s="64"/>
      <c r="M197" s="64"/>
      <c r="N197" s="64"/>
      <c r="O197" s="64"/>
      <c r="P197" s="64"/>
      <c r="Q197" s="64"/>
      <c r="R197" s="64"/>
      <c r="S197" s="64"/>
      <c r="T197" s="64"/>
      <c r="U197" s="64"/>
      <c r="V197" s="64"/>
      <c r="W197" s="64"/>
      <c r="X197" s="64"/>
      <c r="Y197" s="64"/>
      <c r="Z197" s="64"/>
    </row>
    <row r="198" ht="12.75" customHeight="1">
      <c r="A198" s="108"/>
      <c r="B198" s="64"/>
      <c r="C198" s="64"/>
      <c r="D198" s="64"/>
      <c r="E198" s="64"/>
      <c r="F198" s="63"/>
      <c r="G198" s="63"/>
      <c r="H198" s="64"/>
      <c r="I198" s="64"/>
      <c r="J198" s="64"/>
      <c r="K198" s="64"/>
      <c r="L198" s="64"/>
      <c r="M198" s="64"/>
      <c r="N198" s="64"/>
      <c r="O198" s="64"/>
      <c r="P198" s="64"/>
      <c r="Q198" s="64"/>
      <c r="R198" s="64"/>
      <c r="S198" s="64"/>
      <c r="T198" s="64"/>
      <c r="U198" s="64"/>
      <c r="V198" s="64"/>
      <c r="W198" s="64"/>
      <c r="X198" s="64"/>
      <c r="Y198" s="64"/>
      <c r="Z198" s="64"/>
    </row>
    <row r="199" ht="12.75" customHeight="1">
      <c r="A199" s="108"/>
      <c r="B199" s="64"/>
      <c r="C199" s="64"/>
      <c r="D199" s="64"/>
      <c r="E199" s="64"/>
      <c r="F199" s="63"/>
      <c r="G199" s="63"/>
      <c r="H199" s="64"/>
      <c r="I199" s="64"/>
      <c r="J199" s="64"/>
      <c r="K199" s="64"/>
      <c r="L199" s="64"/>
      <c r="M199" s="64"/>
      <c r="N199" s="64"/>
      <c r="O199" s="64"/>
      <c r="P199" s="64"/>
      <c r="Q199" s="64"/>
      <c r="R199" s="64"/>
      <c r="S199" s="64"/>
      <c r="T199" s="64"/>
      <c r="U199" s="64"/>
      <c r="V199" s="64"/>
      <c r="W199" s="64"/>
      <c r="X199" s="64"/>
      <c r="Y199" s="64"/>
      <c r="Z199" s="64"/>
    </row>
    <row r="200" ht="12.75" customHeight="1">
      <c r="A200" s="108"/>
      <c r="B200" s="64"/>
      <c r="C200" s="64"/>
      <c r="D200" s="64"/>
      <c r="E200" s="64"/>
      <c r="F200" s="63"/>
      <c r="G200" s="63"/>
      <c r="H200" s="64"/>
      <c r="I200" s="64"/>
      <c r="J200" s="64"/>
      <c r="K200" s="64"/>
      <c r="L200" s="64"/>
      <c r="M200" s="64"/>
      <c r="N200" s="64"/>
      <c r="O200" s="64"/>
      <c r="P200" s="64"/>
      <c r="Q200" s="64"/>
      <c r="R200" s="64"/>
      <c r="S200" s="64"/>
      <c r="T200" s="64"/>
      <c r="U200" s="64"/>
      <c r="V200" s="64"/>
      <c r="W200" s="64"/>
      <c r="X200" s="64"/>
      <c r="Y200" s="64"/>
      <c r="Z200" s="64"/>
    </row>
    <row r="201" ht="12.75" customHeight="1">
      <c r="A201" s="108"/>
      <c r="B201" s="64"/>
      <c r="C201" s="64"/>
      <c r="D201" s="64"/>
      <c r="E201" s="64"/>
      <c r="F201" s="63"/>
      <c r="G201" s="63"/>
      <c r="H201" s="64"/>
      <c r="I201" s="64"/>
      <c r="J201" s="64"/>
      <c r="K201" s="64"/>
      <c r="L201" s="64"/>
      <c r="M201" s="64"/>
      <c r="N201" s="64"/>
      <c r="O201" s="64"/>
      <c r="P201" s="64"/>
      <c r="Q201" s="64"/>
      <c r="R201" s="64"/>
      <c r="S201" s="64"/>
      <c r="T201" s="64"/>
      <c r="U201" s="64"/>
      <c r="V201" s="64"/>
      <c r="W201" s="64"/>
      <c r="X201" s="64"/>
      <c r="Y201" s="64"/>
      <c r="Z201" s="64"/>
    </row>
    <row r="202" ht="12.75" customHeight="1">
      <c r="A202" s="108"/>
      <c r="B202" s="64"/>
      <c r="C202" s="64"/>
      <c r="D202" s="64"/>
      <c r="E202" s="64"/>
      <c r="F202" s="63"/>
      <c r="G202" s="63"/>
      <c r="H202" s="64"/>
      <c r="I202" s="64"/>
      <c r="J202" s="64"/>
      <c r="K202" s="64"/>
      <c r="L202" s="64"/>
      <c r="M202" s="64"/>
      <c r="N202" s="64"/>
      <c r="O202" s="64"/>
      <c r="P202" s="64"/>
      <c r="Q202" s="64"/>
      <c r="R202" s="64"/>
      <c r="S202" s="64"/>
      <c r="T202" s="64"/>
      <c r="U202" s="64"/>
      <c r="V202" s="64"/>
      <c r="W202" s="64"/>
      <c r="X202" s="64"/>
      <c r="Y202" s="64"/>
      <c r="Z202" s="64"/>
    </row>
    <row r="203" ht="12.75" customHeight="1">
      <c r="A203" s="108"/>
      <c r="B203" s="64"/>
      <c r="C203" s="64"/>
      <c r="D203" s="64"/>
      <c r="E203" s="64"/>
      <c r="F203" s="63"/>
      <c r="G203" s="63"/>
      <c r="H203" s="64"/>
      <c r="I203" s="64"/>
      <c r="J203" s="64"/>
      <c r="K203" s="64"/>
      <c r="L203" s="64"/>
      <c r="M203" s="64"/>
      <c r="N203" s="64"/>
      <c r="O203" s="64"/>
      <c r="P203" s="64"/>
      <c r="Q203" s="64"/>
      <c r="R203" s="64"/>
      <c r="S203" s="64"/>
      <c r="T203" s="64"/>
      <c r="U203" s="64"/>
      <c r="V203" s="64"/>
      <c r="W203" s="64"/>
      <c r="X203" s="64"/>
      <c r="Y203" s="64"/>
      <c r="Z203" s="64"/>
    </row>
    <row r="204" ht="12.75" customHeight="1">
      <c r="A204" s="108"/>
      <c r="B204" s="64"/>
      <c r="C204" s="64"/>
      <c r="D204" s="64"/>
      <c r="E204" s="64"/>
      <c r="F204" s="63"/>
      <c r="G204" s="63"/>
      <c r="H204" s="64"/>
      <c r="I204" s="64"/>
      <c r="J204" s="64"/>
      <c r="K204" s="64"/>
      <c r="L204" s="64"/>
      <c r="M204" s="64"/>
      <c r="N204" s="64"/>
      <c r="O204" s="64"/>
      <c r="P204" s="64"/>
      <c r="Q204" s="64"/>
      <c r="R204" s="64"/>
      <c r="S204" s="64"/>
      <c r="T204" s="64"/>
      <c r="U204" s="64"/>
      <c r="V204" s="64"/>
      <c r="W204" s="64"/>
      <c r="X204" s="64"/>
      <c r="Y204" s="64"/>
      <c r="Z204" s="64"/>
    </row>
    <row r="205" ht="12.75" customHeight="1">
      <c r="A205" s="108"/>
      <c r="B205" s="64"/>
      <c r="C205" s="64"/>
      <c r="D205" s="64"/>
      <c r="E205" s="64"/>
      <c r="F205" s="63"/>
      <c r="G205" s="63"/>
      <c r="H205" s="64"/>
      <c r="I205" s="64"/>
      <c r="J205" s="64"/>
      <c r="K205" s="64"/>
      <c r="L205" s="64"/>
      <c r="M205" s="64"/>
      <c r="N205" s="64"/>
      <c r="O205" s="64"/>
      <c r="P205" s="64"/>
      <c r="Q205" s="64"/>
      <c r="R205" s="64"/>
      <c r="S205" s="64"/>
      <c r="T205" s="64"/>
      <c r="U205" s="64"/>
      <c r="V205" s="64"/>
      <c r="W205" s="64"/>
      <c r="X205" s="64"/>
      <c r="Y205" s="64"/>
      <c r="Z205" s="64"/>
    </row>
    <row r="206" ht="12.75" customHeight="1">
      <c r="A206" s="108"/>
      <c r="B206" s="64"/>
      <c r="C206" s="64"/>
      <c r="D206" s="64"/>
      <c r="E206" s="64"/>
      <c r="F206" s="63"/>
      <c r="G206" s="63"/>
      <c r="H206" s="64"/>
      <c r="I206" s="64"/>
      <c r="J206" s="64"/>
      <c r="K206" s="64"/>
      <c r="L206" s="64"/>
      <c r="M206" s="64"/>
      <c r="N206" s="64"/>
      <c r="O206" s="64"/>
      <c r="P206" s="64"/>
      <c r="Q206" s="64"/>
      <c r="R206" s="64"/>
      <c r="S206" s="64"/>
      <c r="T206" s="64"/>
      <c r="U206" s="64"/>
      <c r="V206" s="64"/>
      <c r="W206" s="64"/>
      <c r="X206" s="64"/>
      <c r="Y206" s="64"/>
      <c r="Z206" s="64"/>
    </row>
    <row r="207" ht="12.75" customHeight="1">
      <c r="A207" s="108"/>
      <c r="B207" s="64"/>
      <c r="C207" s="64"/>
      <c r="D207" s="64"/>
      <c r="E207" s="64"/>
      <c r="F207" s="63"/>
      <c r="G207" s="63"/>
      <c r="H207" s="64"/>
      <c r="I207" s="64"/>
      <c r="J207" s="64"/>
      <c r="K207" s="64"/>
      <c r="L207" s="64"/>
      <c r="M207" s="64"/>
      <c r="N207" s="64"/>
      <c r="O207" s="64"/>
      <c r="P207" s="64"/>
      <c r="Q207" s="64"/>
      <c r="R207" s="64"/>
      <c r="S207" s="64"/>
      <c r="T207" s="64"/>
      <c r="U207" s="64"/>
      <c r="V207" s="64"/>
      <c r="W207" s="64"/>
      <c r="X207" s="64"/>
      <c r="Y207" s="64"/>
      <c r="Z207" s="64"/>
    </row>
    <row r="208" ht="12.75" customHeight="1">
      <c r="A208" s="108"/>
      <c r="B208" s="64"/>
      <c r="C208" s="64"/>
      <c r="D208" s="64"/>
      <c r="E208" s="64"/>
      <c r="F208" s="63"/>
      <c r="G208" s="63"/>
      <c r="H208" s="64"/>
      <c r="I208" s="64"/>
      <c r="J208" s="64"/>
      <c r="K208" s="64"/>
      <c r="L208" s="64"/>
      <c r="M208" s="64"/>
      <c r="N208" s="64"/>
      <c r="O208" s="64"/>
      <c r="P208" s="64"/>
      <c r="Q208" s="64"/>
      <c r="R208" s="64"/>
      <c r="S208" s="64"/>
      <c r="T208" s="64"/>
      <c r="U208" s="64"/>
      <c r="V208" s="64"/>
      <c r="W208" s="64"/>
      <c r="X208" s="64"/>
      <c r="Y208" s="64"/>
      <c r="Z208" s="64"/>
    </row>
    <row r="209" ht="12.75" customHeight="1">
      <c r="A209" s="108"/>
      <c r="B209" s="64"/>
      <c r="C209" s="64"/>
      <c r="D209" s="64"/>
      <c r="E209" s="64"/>
      <c r="F209" s="63"/>
      <c r="G209" s="63"/>
      <c r="H209" s="64"/>
      <c r="I209" s="64"/>
      <c r="J209" s="64"/>
      <c r="K209" s="64"/>
      <c r="L209" s="64"/>
      <c r="M209" s="64"/>
      <c r="N209" s="64"/>
      <c r="O209" s="64"/>
      <c r="P209" s="64"/>
      <c r="Q209" s="64"/>
      <c r="R209" s="64"/>
      <c r="S209" s="64"/>
      <c r="T209" s="64"/>
      <c r="U209" s="64"/>
      <c r="V209" s="64"/>
      <c r="W209" s="64"/>
      <c r="X209" s="64"/>
      <c r="Y209" s="64"/>
      <c r="Z209" s="64"/>
    </row>
    <row r="210" ht="12.75" customHeight="1">
      <c r="A210" s="108"/>
      <c r="B210" s="64"/>
      <c r="C210" s="64"/>
      <c r="D210" s="64"/>
      <c r="E210" s="64"/>
      <c r="F210" s="63"/>
      <c r="G210" s="63"/>
      <c r="H210" s="64"/>
      <c r="I210" s="64"/>
      <c r="J210" s="64"/>
      <c r="K210" s="64"/>
      <c r="L210" s="64"/>
      <c r="M210" s="64"/>
      <c r="N210" s="64"/>
      <c r="O210" s="64"/>
      <c r="P210" s="64"/>
      <c r="Q210" s="64"/>
      <c r="R210" s="64"/>
      <c r="S210" s="64"/>
      <c r="T210" s="64"/>
      <c r="U210" s="64"/>
      <c r="V210" s="64"/>
      <c r="W210" s="64"/>
      <c r="X210" s="64"/>
      <c r="Y210" s="64"/>
      <c r="Z210" s="64"/>
    </row>
    <row r="211" ht="12.75" customHeight="1">
      <c r="A211" s="108"/>
      <c r="B211" s="64"/>
      <c r="C211" s="64"/>
      <c r="D211" s="64"/>
      <c r="E211" s="64"/>
      <c r="F211" s="63"/>
      <c r="G211" s="63"/>
      <c r="H211" s="64"/>
      <c r="I211" s="64"/>
      <c r="J211" s="64"/>
      <c r="K211" s="64"/>
      <c r="L211" s="64"/>
      <c r="M211" s="64"/>
      <c r="N211" s="64"/>
      <c r="O211" s="64"/>
      <c r="P211" s="64"/>
      <c r="Q211" s="64"/>
      <c r="R211" s="64"/>
      <c r="S211" s="64"/>
      <c r="T211" s="64"/>
      <c r="U211" s="64"/>
      <c r="V211" s="64"/>
      <c r="W211" s="64"/>
      <c r="X211" s="64"/>
      <c r="Y211" s="64"/>
      <c r="Z211" s="64"/>
    </row>
    <row r="212" ht="12.75" customHeight="1">
      <c r="A212" s="108"/>
      <c r="B212" s="64"/>
      <c r="C212" s="64"/>
      <c r="D212" s="64"/>
      <c r="E212" s="64"/>
      <c r="F212" s="63"/>
      <c r="G212" s="63"/>
      <c r="H212" s="64"/>
      <c r="I212" s="64"/>
      <c r="J212" s="64"/>
      <c r="K212" s="64"/>
      <c r="L212" s="64"/>
      <c r="M212" s="64"/>
      <c r="N212" s="64"/>
      <c r="O212" s="64"/>
      <c r="P212" s="64"/>
      <c r="Q212" s="64"/>
      <c r="R212" s="64"/>
      <c r="S212" s="64"/>
      <c r="T212" s="64"/>
      <c r="U212" s="64"/>
      <c r="V212" s="64"/>
      <c r="W212" s="64"/>
      <c r="X212" s="64"/>
      <c r="Y212" s="64"/>
      <c r="Z212" s="64"/>
    </row>
    <row r="213" ht="12.75" customHeight="1">
      <c r="A213" s="108"/>
      <c r="B213" s="64"/>
      <c r="C213" s="64"/>
      <c r="D213" s="64"/>
      <c r="E213" s="64"/>
      <c r="F213" s="63"/>
      <c r="G213" s="63"/>
      <c r="H213" s="64"/>
      <c r="I213" s="64"/>
      <c r="J213" s="64"/>
      <c r="K213" s="64"/>
      <c r="L213" s="64"/>
      <c r="M213" s="64"/>
      <c r="N213" s="64"/>
      <c r="O213" s="64"/>
      <c r="P213" s="64"/>
      <c r="Q213" s="64"/>
      <c r="R213" s="64"/>
      <c r="S213" s="64"/>
      <c r="T213" s="64"/>
      <c r="U213" s="64"/>
      <c r="V213" s="64"/>
      <c r="W213" s="64"/>
      <c r="X213" s="64"/>
      <c r="Y213" s="64"/>
      <c r="Z213" s="64"/>
    </row>
    <row r="214" ht="12.75" customHeight="1">
      <c r="A214" s="108"/>
      <c r="B214" s="64"/>
      <c r="C214" s="64"/>
      <c r="D214" s="64"/>
      <c r="E214" s="64"/>
      <c r="F214" s="63"/>
      <c r="G214" s="63"/>
      <c r="H214" s="64"/>
      <c r="I214" s="64"/>
      <c r="J214" s="64"/>
      <c r="K214" s="64"/>
      <c r="L214" s="64"/>
      <c r="M214" s="64"/>
      <c r="N214" s="64"/>
      <c r="O214" s="64"/>
      <c r="P214" s="64"/>
      <c r="Q214" s="64"/>
      <c r="R214" s="64"/>
      <c r="S214" s="64"/>
      <c r="T214" s="64"/>
      <c r="U214" s="64"/>
      <c r="V214" s="64"/>
      <c r="W214" s="64"/>
      <c r="X214" s="64"/>
      <c r="Y214" s="64"/>
      <c r="Z214" s="64"/>
    </row>
    <row r="215" ht="12.75" customHeight="1">
      <c r="A215" s="108"/>
      <c r="B215" s="64"/>
      <c r="C215" s="64"/>
      <c r="D215" s="64"/>
      <c r="E215" s="64"/>
      <c r="F215" s="63"/>
      <c r="G215" s="63"/>
      <c r="H215" s="64"/>
      <c r="I215" s="64"/>
      <c r="J215" s="64"/>
      <c r="K215" s="64"/>
      <c r="L215" s="64"/>
      <c r="M215" s="64"/>
      <c r="N215" s="64"/>
      <c r="O215" s="64"/>
      <c r="P215" s="64"/>
      <c r="Q215" s="64"/>
      <c r="R215" s="64"/>
      <c r="S215" s="64"/>
      <c r="T215" s="64"/>
      <c r="U215" s="64"/>
      <c r="V215" s="64"/>
      <c r="W215" s="64"/>
      <c r="X215" s="64"/>
      <c r="Y215" s="64"/>
      <c r="Z215" s="64"/>
    </row>
    <row r="216" ht="12.75" customHeight="1">
      <c r="A216" s="108"/>
      <c r="B216" s="64"/>
      <c r="C216" s="64"/>
      <c r="D216" s="64"/>
      <c r="E216" s="64"/>
      <c r="F216" s="63"/>
      <c r="G216" s="63"/>
      <c r="H216" s="64"/>
      <c r="I216" s="64"/>
      <c r="J216" s="64"/>
      <c r="K216" s="64"/>
      <c r="L216" s="64"/>
      <c r="M216" s="64"/>
      <c r="N216" s="64"/>
      <c r="O216" s="64"/>
      <c r="P216" s="64"/>
      <c r="Q216" s="64"/>
      <c r="R216" s="64"/>
      <c r="S216" s="64"/>
      <c r="T216" s="64"/>
      <c r="U216" s="64"/>
      <c r="V216" s="64"/>
      <c r="W216" s="64"/>
      <c r="X216" s="64"/>
      <c r="Y216" s="64"/>
      <c r="Z216" s="64"/>
    </row>
    <row r="217" ht="12.75" customHeight="1">
      <c r="A217" s="108"/>
      <c r="B217" s="64"/>
      <c r="C217" s="64"/>
      <c r="D217" s="64"/>
      <c r="E217" s="64"/>
      <c r="F217" s="63"/>
      <c r="G217" s="63"/>
      <c r="H217" s="64"/>
      <c r="I217" s="64"/>
      <c r="J217" s="64"/>
      <c r="K217" s="64"/>
      <c r="L217" s="64"/>
      <c r="M217" s="64"/>
      <c r="N217" s="64"/>
      <c r="O217" s="64"/>
      <c r="P217" s="64"/>
      <c r="Q217" s="64"/>
      <c r="R217" s="64"/>
      <c r="S217" s="64"/>
      <c r="T217" s="64"/>
      <c r="U217" s="64"/>
      <c r="V217" s="64"/>
      <c r="W217" s="64"/>
      <c r="X217" s="64"/>
      <c r="Y217" s="64"/>
      <c r="Z217" s="64"/>
    </row>
    <row r="218" ht="12.75" customHeight="1">
      <c r="A218" s="108"/>
      <c r="B218" s="64"/>
      <c r="C218" s="64"/>
      <c r="D218" s="64"/>
      <c r="E218" s="64"/>
      <c r="F218" s="63"/>
      <c r="G218" s="63"/>
      <c r="H218" s="64"/>
      <c r="I218" s="64"/>
      <c r="J218" s="64"/>
      <c r="K218" s="64"/>
      <c r="L218" s="64"/>
      <c r="M218" s="64"/>
      <c r="N218" s="64"/>
      <c r="O218" s="64"/>
      <c r="P218" s="64"/>
      <c r="Q218" s="64"/>
      <c r="R218" s="64"/>
      <c r="S218" s="64"/>
      <c r="T218" s="64"/>
      <c r="U218" s="64"/>
      <c r="V218" s="64"/>
      <c r="W218" s="64"/>
      <c r="X218" s="64"/>
      <c r="Y218" s="64"/>
      <c r="Z218" s="64"/>
    </row>
    <row r="219" ht="12.75" customHeight="1">
      <c r="A219" s="108"/>
      <c r="B219" s="64"/>
      <c r="C219" s="64"/>
      <c r="D219" s="64"/>
      <c r="E219" s="64"/>
      <c r="F219" s="63"/>
      <c r="G219" s="63"/>
      <c r="H219" s="64"/>
      <c r="I219" s="64"/>
      <c r="J219" s="64"/>
      <c r="K219" s="64"/>
      <c r="L219" s="64"/>
      <c r="M219" s="64"/>
      <c r="N219" s="64"/>
      <c r="O219" s="64"/>
      <c r="P219" s="64"/>
      <c r="Q219" s="64"/>
      <c r="R219" s="64"/>
      <c r="S219" s="64"/>
      <c r="T219" s="64"/>
      <c r="U219" s="64"/>
      <c r="V219" s="64"/>
      <c r="W219" s="64"/>
      <c r="X219" s="64"/>
      <c r="Y219" s="64"/>
      <c r="Z219" s="64"/>
    </row>
    <row r="220" ht="12.75" customHeight="1">
      <c r="A220" s="108"/>
      <c r="B220" s="64"/>
      <c r="C220" s="64"/>
      <c r="D220" s="64"/>
      <c r="E220" s="64"/>
      <c r="F220" s="63"/>
      <c r="G220" s="63"/>
      <c r="H220" s="64"/>
      <c r="I220" s="64"/>
      <c r="J220" s="64"/>
      <c r="K220" s="64"/>
      <c r="L220" s="64"/>
      <c r="M220" s="64"/>
      <c r="N220" s="64"/>
      <c r="O220" s="64"/>
      <c r="P220" s="64"/>
      <c r="Q220" s="64"/>
      <c r="R220" s="64"/>
      <c r="S220" s="64"/>
      <c r="T220" s="64"/>
      <c r="U220" s="64"/>
      <c r="V220" s="64"/>
      <c r="W220" s="64"/>
      <c r="X220" s="64"/>
      <c r="Y220" s="64"/>
      <c r="Z220" s="64"/>
    </row>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C18:D18"/>
    <mergeCell ref="C19:D19"/>
    <mergeCell ref="C20:D20"/>
    <mergeCell ref="C11:D11"/>
    <mergeCell ref="C12:D12"/>
    <mergeCell ref="C13:D13"/>
    <mergeCell ref="C14:D14"/>
    <mergeCell ref="C15:D15"/>
    <mergeCell ref="C16:D16"/>
    <mergeCell ref="C17:D17"/>
  </mergeCells>
  <dataValidations>
    <dataValidation type="decimal" allowBlank="1" showErrorMessage="1" sqref="F12:F19">
      <formula1>0.0</formula1>
      <formula2>50.0</formula2>
    </dataValidation>
  </dataValidations>
  <printOptions/>
  <pageMargins bottom="0.75" footer="0.0" header="0.0" left="0.7" right="0.7" top="0.75"/>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4A3B8"/>
    <pageSetUpPr/>
  </sheetPr>
  <sheetViews>
    <sheetView showGridLines="0" workbookViewId="0"/>
  </sheetViews>
  <sheetFormatPr customHeight="1" defaultColWidth="12.63" defaultRowHeight="15.0"/>
  <cols>
    <col customWidth="1" min="1" max="1" width="16.13"/>
    <col customWidth="1" min="2" max="2" width="45.38"/>
    <col customWidth="1" min="3" max="3" width="28.0"/>
    <col customWidth="1" min="4" max="4" width="15.0"/>
    <col customWidth="1" min="5" max="5" width="28.25"/>
    <col customWidth="1" min="6" max="6" width="17.13"/>
    <col customWidth="1" min="7" max="7" width="15.0"/>
    <col customWidth="1" min="8" max="26" width="9.13"/>
  </cols>
  <sheetData>
    <row r="1" ht="12.75" customHeight="1">
      <c r="A1" s="105" t="s">
        <v>260</v>
      </c>
      <c r="B1" s="77" t="s">
        <v>123</v>
      </c>
      <c r="C1" s="78"/>
      <c r="D1" s="78"/>
      <c r="E1" s="64"/>
      <c r="F1" s="63"/>
      <c r="G1" s="63"/>
      <c r="H1" s="64"/>
      <c r="I1" s="64"/>
      <c r="J1" s="64"/>
      <c r="K1" s="64"/>
      <c r="L1" s="64"/>
      <c r="M1" s="64"/>
      <c r="N1" s="64"/>
      <c r="O1" s="64"/>
      <c r="P1" s="64"/>
      <c r="Q1" s="64"/>
      <c r="R1" s="64"/>
      <c r="S1" s="64"/>
      <c r="T1" s="64"/>
      <c r="U1" s="64"/>
      <c r="V1" s="64"/>
      <c r="W1" s="64"/>
      <c r="X1" s="64"/>
      <c r="Y1" s="64"/>
      <c r="Z1" s="64"/>
    </row>
    <row r="2" ht="12.75" customHeight="1">
      <c r="A2" s="110" t="s">
        <v>5</v>
      </c>
      <c r="B2" s="62" t="str">
        <f t="array" ref="B2">IFERROR(INDEX(Sessions!$C$2:$C$173,MATCH($B$1,Sessions!$B$2:$B$173,0))&amp;"","")</f>
        <v/>
      </c>
      <c r="C2" s="64"/>
      <c r="D2" s="64"/>
      <c r="E2" s="64"/>
      <c r="F2" s="63"/>
      <c r="G2" s="63"/>
      <c r="H2" s="64"/>
      <c r="I2" s="64"/>
      <c r="J2" s="64"/>
      <c r="K2" s="64"/>
      <c r="L2" s="64"/>
      <c r="M2" s="64"/>
      <c r="N2" s="64"/>
      <c r="O2" s="64"/>
      <c r="P2" s="64"/>
      <c r="Q2" s="64"/>
      <c r="R2" s="64"/>
      <c r="S2" s="64"/>
      <c r="T2" s="64"/>
      <c r="U2" s="64"/>
      <c r="V2" s="64"/>
      <c r="W2" s="64"/>
      <c r="X2" s="64"/>
      <c r="Y2" s="64"/>
      <c r="Z2" s="64"/>
    </row>
    <row r="3" ht="12.75" customHeight="1">
      <c r="A3" s="112" t="s">
        <v>704</v>
      </c>
      <c r="B3" s="86" t="str">
        <f>IF(LEFT($B$1,2)="T1",Schedule!$A$4&amp;", "&amp;Schedule!$A$10,IF(LEFT($B$1,2)="T2",Schedule!$A$4&amp;", "&amp;Schedule!$A$12,IF(LEFT($B$1,2)="T3",Schedule!$A$4&amp;", "&amp;#REF!,IF(LEFT($B$1,2)="T4",Schedule!$A$16&amp;", "&amp;Schedule!$A$18,IF($B$1="Keynote 1",Schedule!$A$4&amp;", "&amp;Schedule!$A$8,IF($B$1="Keynote 2",Schedule!$A$4&amp;", "&amp;Schedule!$A$13,IF($B$1="Keynote 3",Schedule!$A$16&amp;", "&amp;Schedule!$A$19,IF($B$1="IEEE Workshop",Schedule!$A$16&amp;", "&amp;#REF!,""))))))))</f>
        <v>#REF!</v>
      </c>
      <c r="C3" s="80"/>
      <c r="D3" s="80"/>
      <c r="E3" s="64"/>
      <c r="F3" s="63"/>
      <c r="G3" s="63"/>
      <c r="H3" s="64"/>
      <c r="I3" s="64"/>
      <c r="J3" s="64"/>
      <c r="K3" s="64"/>
      <c r="L3" s="64"/>
      <c r="M3" s="64"/>
      <c r="N3" s="64"/>
      <c r="O3" s="64"/>
      <c r="P3" s="64"/>
      <c r="Q3" s="64"/>
      <c r="R3" s="64"/>
      <c r="S3" s="64"/>
      <c r="T3" s="64"/>
      <c r="U3" s="64"/>
      <c r="V3" s="64"/>
      <c r="W3" s="64"/>
      <c r="X3" s="64"/>
      <c r="Y3" s="64"/>
      <c r="Z3" s="64"/>
    </row>
    <row r="4" ht="12.75" customHeight="1">
      <c r="A4" s="112" t="s">
        <v>11</v>
      </c>
      <c r="B4" s="80" t="str">
        <f t="array" ref="B4">IFERROR(INDEX(Sessions!$D$2:$D$173,MATCH($B$1,Sessions!$B$2:$B$173,0))&amp;"","")</f>
        <v/>
      </c>
      <c r="C4" s="80"/>
      <c r="D4" s="80"/>
      <c r="E4" s="64"/>
      <c r="F4" s="63"/>
      <c r="G4" s="63"/>
      <c r="H4" s="64"/>
      <c r="I4" s="64"/>
      <c r="J4" s="64"/>
      <c r="K4" s="64"/>
      <c r="L4" s="64"/>
      <c r="M4" s="64"/>
      <c r="N4" s="64"/>
      <c r="O4" s="64"/>
      <c r="P4" s="64"/>
      <c r="Q4" s="64"/>
      <c r="R4" s="64"/>
      <c r="S4" s="64"/>
      <c r="T4" s="64"/>
      <c r="U4" s="64"/>
      <c r="V4" s="64"/>
      <c r="W4" s="64"/>
      <c r="X4" s="64"/>
      <c r="Y4" s="64"/>
      <c r="Z4" s="64"/>
    </row>
    <row r="5" ht="12.75" customHeight="1">
      <c r="A5" s="112" t="s">
        <v>707</v>
      </c>
      <c r="B5" s="86" t="str">
        <f t="array" ref="B5">IFERROR(INDEX(Chairs!$J$2:$J$359,MATCH(1,INDEX((Chairs!$K$2:$K$359=$B$1)*(Chairs!$N$2:$N$359=1),0),0)),"")</f>
        <v>Dr. Mohammad Rifat Ahmmad Rashid</v>
      </c>
      <c r="C5" s="86" t="str">
        <f t="array" ref="C5">IFERROR(INDEX(Chairs!$L$2:$L$359,MATCH(1,INDEX((Chairs!$K$2:$K$359=$B$1)*(Chairs!$N$2:$N$359=1),0),0))&amp;"","")</f>
        <v>rifat.rashid@ewubd.edu</v>
      </c>
      <c r="D5" s="86" t="str">
        <f t="array" ref="D5">IFERROR(INDEX(Chairs!$M$2:$M$359,MATCH(1,INDEX((Chairs!$K$2:$K$359=$B$1)*(Chairs!$N$2:$N$359=1),0),0))&amp;"","")</f>
        <v>01314447616</v>
      </c>
      <c r="E5" s="64"/>
      <c r="F5" s="63"/>
      <c r="G5" s="63"/>
      <c r="H5" s="64"/>
      <c r="I5" s="64"/>
      <c r="J5" s="64"/>
      <c r="K5" s="64"/>
      <c r="L5" s="64"/>
      <c r="M5" s="64"/>
      <c r="N5" s="64"/>
      <c r="O5" s="64"/>
      <c r="P5" s="64"/>
      <c r="Q5" s="64"/>
      <c r="R5" s="64"/>
      <c r="S5" s="64"/>
      <c r="T5" s="64"/>
      <c r="U5" s="64"/>
      <c r="V5" s="64"/>
      <c r="W5" s="64"/>
      <c r="X5" s="64"/>
      <c r="Y5" s="64"/>
      <c r="Z5" s="64"/>
    </row>
    <row r="6" ht="12.75" customHeight="1">
      <c r="A6" s="112" t="s">
        <v>709</v>
      </c>
      <c r="B6" s="86" t="str">
        <f t="array" ref="B6">IFERROR(INDEX('Senior Faculty'!$J$2:$J$401,MATCH(1,INDEX(('Senior Faculty'!$K$2:$K$401=$B$1)*('Senior Faculty'!$N$2:$N$401=1),0),0)),"")</f>
        <v>Dr. Al Amin Sheikh</v>
      </c>
      <c r="C6" s="86" t="str">
        <f t="array" ref="C6">IFERROR(INDEX('Senior Faculty'!$L$2:$L$401,MATCH(1,INDEX(('Senior Faculty'!$K$2:$K$401=$B$1)*('Senior Faculty'!$N$2:$N$401=1),0),0))&amp;"","")</f>
        <v>taskia.khatun@ulab.edu.bd</v>
      </c>
      <c r="D6" s="86" t="str">
        <f t="array" ref="D6">IFERROR(INDEX('Senior Faculty'!$M$2:$M$401,MATCH(1,INDEX(('Senior Faculty'!$K$2:$K$401=$B$1)*('Senior Faculty'!$N$2:$N$401=1),0),0))&amp;"","")</f>
        <v>01701564663</v>
      </c>
      <c r="E6" s="64"/>
      <c r="F6" s="63"/>
      <c r="G6" s="63"/>
      <c r="H6" s="64"/>
      <c r="I6" s="64"/>
      <c r="J6" s="64"/>
      <c r="K6" s="64"/>
      <c r="L6" s="64"/>
      <c r="M6" s="64"/>
      <c r="N6" s="64"/>
      <c r="O6" s="64"/>
      <c r="P6" s="64"/>
      <c r="Q6" s="64"/>
      <c r="R6" s="64"/>
      <c r="S6" s="64"/>
      <c r="T6" s="64"/>
      <c r="U6" s="64"/>
      <c r="V6" s="64"/>
      <c r="W6" s="64"/>
      <c r="X6" s="64"/>
      <c r="Y6" s="64"/>
      <c r="Z6" s="64"/>
    </row>
    <row r="7" ht="12.75" customHeight="1">
      <c r="A7" s="112" t="s">
        <v>713</v>
      </c>
      <c r="B7" s="86" t="str">
        <f t="array" ref="B7">IFERROR(INDEX('Junior Faculty'!$J$2:$J$401,MATCH(1,INDEX(('Junior Faculty'!$K$2:$K$401=$B$1)*('Junior Faculty'!$N$2:$N$401=1),0),0)),"")</f>
        <v>Abir Bin Yousuf</v>
      </c>
      <c r="C7" s="86" t="str">
        <f t="array" ref="C7">IFERROR(INDEX('Junior Faculty'!$L$2:$L$401,MATCH(1,INDEX(('Junior Faculty'!$K$2:$K$401=$B$1)*('Junior Faculty'!$N$2:$N$401=1),0),0))&amp;"","")</f>
        <v>abir.yousuf@ulab.edu.bd</v>
      </c>
      <c r="D7" s="86" t="str">
        <f t="array" ref="D7">IFERROR(INDEX('Junior Faculty'!$M$2:$M$401,MATCH(1,INDEX(('Junior Faculty'!$K$2:$K$401=$B$1)*('Junior Faculty'!$N$2:$N$401=1),0),0))&amp;"","")</f>
        <v>01628312807</v>
      </c>
      <c r="E7" s="64"/>
      <c r="F7" s="63"/>
      <c r="G7" s="63"/>
      <c r="H7" s="64"/>
      <c r="I7" s="64"/>
      <c r="J7" s="64"/>
      <c r="K7" s="64"/>
      <c r="L7" s="64"/>
      <c r="M7" s="64"/>
      <c r="N7" s="64"/>
      <c r="O7" s="64"/>
      <c r="P7" s="64"/>
      <c r="Q7" s="64"/>
      <c r="R7" s="64"/>
      <c r="S7" s="64"/>
      <c r="T7" s="64"/>
      <c r="U7" s="64"/>
      <c r="V7" s="64"/>
      <c r="W7" s="64"/>
      <c r="X7" s="64"/>
      <c r="Y7" s="64"/>
      <c r="Z7" s="64"/>
    </row>
    <row r="8" ht="12.75" customHeight="1">
      <c r="A8" s="119" t="s">
        <v>714</v>
      </c>
      <c r="B8" s="95" t="str">
        <f t="array" ref="B8">IFERROR(INDEX('Junior Faculty'!$J$2:$J$401,MATCH(1,INDEX(('Junior Faculty'!$K$2:$K$401=$B$1)*('Junior Faculty'!$N$2:$N$401=2),0),0)),"")</f>
        <v>Nazmul Abdal</v>
      </c>
      <c r="C8" s="95" t="str">
        <f t="array" ref="C8">IFERROR(INDEX('Junior Faculty'!$L$2:$L$401,MATCH(1,INDEX(('Junior Faculty'!$K$2:$K$401=$B$1)*('Junior Faculty'!$N$2:$N$401=2),0),0))&amp;"","")</f>
        <v>nazmul.abdal@ulab.edu.bd</v>
      </c>
      <c r="D8" s="95" t="str">
        <f t="array" ref="D8">IFERROR(INDEX('Junior Faculty'!$M$2:$M$401,MATCH(1,INDEX(('Junior Faculty'!$K$2:$K$401=$B$1)*('Junior Faculty'!$N$2:$N$401=2),0),0))&amp;"","")</f>
        <v>01752813855</v>
      </c>
      <c r="E8" s="64"/>
      <c r="F8" s="63"/>
      <c r="G8" s="63"/>
      <c r="H8" s="64"/>
      <c r="I8" s="64"/>
      <c r="J8" s="64"/>
      <c r="K8" s="64"/>
      <c r="L8" s="64"/>
      <c r="M8" s="64"/>
      <c r="N8" s="64"/>
      <c r="O8" s="64"/>
      <c r="P8" s="64"/>
      <c r="Q8" s="64"/>
      <c r="R8" s="64"/>
      <c r="S8" s="64"/>
      <c r="T8" s="64"/>
      <c r="U8" s="64"/>
      <c r="V8" s="64"/>
      <c r="W8" s="64"/>
      <c r="X8" s="64"/>
      <c r="Y8" s="64"/>
      <c r="Z8" s="64"/>
    </row>
    <row r="9" ht="12.75" customHeight="1">
      <c r="A9" s="108"/>
      <c r="B9" s="64"/>
      <c r="C9" s="64"/>
      <c r="D9" s="64"/>
      <c r="E9" s="64"/>
      <c r="F9" s="63"/>
      <c r="G9" s="63"/>
      <c r="H9" s="64"/>
      <c r="I9" s="64"/>
      <c r="J9" s="64"/>
      <c r="K9" s="64"/>
      <c r="L9" s="64"/>
      <c r="M9" s="64"/>
      <c r="N9" s="64"/>
      <c r="O9" s="64"/>
      <c r="P9" s="64"/>
      <c r="Q9" s="64"/>
      <c r="R9" s="64"/>
      <c r="S9" s="64"/>
      <c r="T9" s="64"/>
      <c r="U9" s="64"/>
      <c r="V9" s="64"/>
      <c r="W9" s="64"/>
      <c r="X9" s="64"/>
      <c r="Y9" s="64"/>
      <c r="Z9" s="64"/>
    </row>
    <row r="10" ht="12.75" customHeight="1">
      <c r="A10" s="121" t="s">
        <v>727</v>
      </c>
      <c r="B10" s="86"/>
      <c r="C10" s="86"/>
      <c r="D10" s="86"/>
      <c r="E10" s="64"/>
      <c r="F10" s="63"/>
      <c r="G10" s="63"/>
      <c r="H10" s="64"/>
      <c r="I10" s="64"/>
      <c r="J10" s="64"/>
      <c r="K10" s="64"/>
      <c r="L10" s="64"/>
      <c r="M10" s="64"/>
      <c r="N10" s="64"/>
      <c r="O10" s="64"/>
      <c r="P10" s="64"/>
      <c r="Q10" s="64"/>
      <c r="R10" s="64"/>
      <c r="S10" s="64"/>
      <c r="T10" s="64"/>
      <c r="U10" s="64"/>
      <c r="V10" s="64"/>
      <c r="W10" s="64"/>
      <c r="X10" s="64"/>
      <c r="Y10" s="64"/>
      <c r="Z10" s="64"/>
    </row>
    <row r="11" ht="15.0" customHeight="1">
      <c r="A11" s="122" t="s">
        <v>174</v>
      </c>
      <c r="B11" s="122" t="s">
        <v>256</v>
      </c>
      <c r="C11" s="123" t="s">
        <v>257</v>
      </c>
      <c r="D11" s="124"/>
      <c r="E11" s="61" t="s">
        <v>258</v>
      </c>
      <c r="F11" s="60" t="s">
        <v>265</v>
      </c>
      <c r="G11" s="64"/>
      <c r="H11" s="64"/>
      <c r="I11" s="64"/>
      <c r="J11" s="64"/>
      <c r="K11" s="64"/>
      <c r="L11" s="64"/>
      <c r="M11" s="64"/>
      <c r="N11" s="64"/>
      <c r="O11" s="64"/>
      <c r="P11" s="64"/>
      <c r="Q11" s="64"/>
      <c r="R11" s="64"/>
      <c r="S11" s="64"/>
      <c r="T11" s="64"/>
      <c r="U11" s="64"/>
      <c r="V11" s="64"/>
      <c r="W11" s="64"/>
      <c r="X11" s="64"/>
      <c r="Y11" s="64"/>
      <c r="Z11" s="64"/>
    </row>
    <row r="12" ht="12.75" customHeight="1">
      <c r="A12" s="113" t="str">
        <f t="array" ref="A12">IFERROR(INDEX(Papers!$A$2:$A$201,MATCH(1,INDEX((Papers!$G$2:$G$201=$B$1)*(Papers!$I$2:$I$201=1),0),0)),"")</f>
        <v/>
      </c>
      <c r="B12" s="113" t="str">
        <f t="array" ref="B12">IFERROR(INDEX(Papers!$C$2:$C$201,MATCH(1,INDEX((Papers!$G$2:$G$201=$B$1)*(Papers!$I$2:$I$201=1),0),0)),"")</f>
        <v/>
      </c>
      <c r="C12" s="113" t="str">
        <f t="array" ref="C12">IFERROR(INDEX(Papers!$D$2:$D$201,MATCH(1,INDEX((Papers!$G$2:$G$201=$B$1)*(Papers!$I$2:$I$201=1),0),0)),"")</f>
        <v/>
      </c>
      <c r="D12" s="125"/>
      <c r="E12" s="86" t="str">
        <f t="array" ref="E12">IFERROR(INDEX(Papers!$E$2:$E$201,MATCH(1,INDEX((Papers!$G$2:$G$201=$B$1)*(Papers!$I$2:$I$201=1),0),0)),"")</f>
        <v/>
      </c>
      <c r="F12" s="67"/>
      <c r="G12" s="64"/>
      <c r="H12" s="64"/>
      <c r="I12" s="64"/>
      <c r="J12" s="64"/>
      <c r="K12" s="64"/>
      <c r="L12" s="64"/>
      <c r="M12" s="64"/>
      <c r="N12" s="64"/>
      <c r="O12" s="64"/>
      <c r="P12" s="64"/>
      <c r="Q12" s="64"/>
      <c r="R12" s="64"/>
      <c r="S12" s="64"/>
      <c r="T12" s="64"/>
      <c r="U12" s="64"/>
      <c r="V12" s="64"/>
      <c r="W12" s="64"/>
      <c r="X12" s="64"/>
      <c r="Y12" s="64"/>
      <c r="Z12" s="64"/>
    </row>
    <row r="13" ht="12.75" customHeight="1">
      <c r="A13" s="113" t="str">
        <f t="array" ref="A13">IFERROR(INDEX(Papers!$A$2:$A$201,MATCH(1,INDEX((Papers!$G$2:$G$201=$B$1)*(Papers!$I$2:$I$201=2),0),0)),"")</f>
        <v/>
      </c>
      <c r="B13" s="113" t="str">
        <f t="array" ref="B13">IFERROR(INDEX(Papers!$C$2:$C$201,MATCH(1,INDEX((Papers!$G$2:$G$201=$B$1)*(Papers!$I$2:$I$201=2),0),0)),"")</f>
        <v/>
      </c>
      <c r="C13" s="113" t="str">
        <f t="array" ref="C13">IFERROR(INDEX(Papers!$D$2:$D$201,MATCH(1,INDEX((Papers!$G$2:$G$201=$B$1)*(Papers!$I$2:$I$201=2),0),0)),"")</f>
        <v/>
      </c>
      <c r="D13" s="125"/>
      <c r="E13" s="86" t="str">
        <f t="array" ref="E13">IFERROR(INDEX(Papers!$E$2:$E$201,MATCH(1,INDEX((Papers!$G$2:$G$201=$B$1)*(Papers!$I$2:$I$201=2),0),0)),"")</f>
        <v/>
      </c>
      <c r="F13" s="67"/>
      <c r="G13" s="64"/>
      <c r="H13" s="64"/>
      <c r="I13" s="64"/>
      <c r="J13" s="64"/>
      <c r="K13" s="64"/>
      <c r="L13" s="64"/>
      <c r="M13" s="64"/>
      <c r="N13" s="64"/>
      <c r="O13" s="64"/>
      <c r="P13" s="64"/>
      <c r="Q13" s="64"/>
      <c r="R13" s="64"/>
      <c r="S13" s="64"/>
      <c r="T13" s="64"/>
      <c r="U13" s="64"/>
      <c r="V13" s="64"/>
      <c r="W13" s="64"/>
      <c r="X13" s="64"/>
      <c r="Y13" s="64"/>
      <c r="Z13" s="64"/>
    </row>
    <row r="14" ht="12.75" customHeight="1">
      <c r="A14" s="113" t="str">
        <f t="array" ref="A14">IFERROR(INDEX(Papers!$A$2:$A$201,MATCH(1,INDEX((Papers!$G$2:$G$201=$B$1)*(Papers!$I$2:$I$201=3),0),0)),"")</f>
        <v/>
      </c>
      <c r="B14" s="113" t="str">
        <f t="array" ref="B14">IFERROR(INDEX(Papers!$C$2:$C$201,MATCH(1,INDEX((Papers!$G$2:$G$201=$B$1)*(Papers!$I$2:$I$201=3),0),0)),"")</f>
        <v/>
      </c>
      <c r="C14" s="113" t="str">
        <f t="array" ref="C14">IFERROR(INDEX(Papers!$D$2:$D$201,MATCH(1,INDEX((Papers!$G$2:$G$201=$B$1)*(Papers!$I$2:$I$201=3),0),0)),"")</f>
        <v/>
      </c>
      <c r="D14" s="125"/>
      <c r="E14" s="86" t="str">
        <f t="array" ref="E14">IFERROR(INDEX(Papers!$E$2:$E$201,MATCH(1,INDEX((Papers!$G$2:$G$201=$B$1)*(Papers!$I$2:$I$201=3),0),0)),"")</f>
        <v/>
      </c>
      <c r="F14" s="67"/>
      <c r="G14" s="64"/>
      <c r="H14" s="64"/>
      <c r="I14" s="64"/>
      <c r="J14" s="64"/>
      <c r="K14" s="64"/>
      <c r="L14" s="64"/>
      <c r="M14" s="64"/>
      <c r="N14" s="64"/>
      <c r="O14" s="64"/>
      <c r="P14" s="64"/>
      <c r="Q14" s="64"/>
      <c r="R14" s="64"/>
      <c r="S14" s="64"/>
      <c r="T14" s="64"/>
      <c r="U14" s="64"/>
      <c r="V14" s="64"/>
      <c r="W14" s="64"/>
      <c r="X14" s="64"/>
      <c r="Y14" s="64"/>
      <c r="Z14" s="64"/>
    </row>
    <row r="15" ht="12.75" customHeight="1">
      <c r="A15" s="113" t="str">
        <f t="array" ref="A15">IFERROR(INDEX(Papers!$A$2:$A$201,MATCH(1,INDEX((Papers!$G$2:$G$201=$B$1)*(Papers!$I$2:$I$201=4),0),0)),"")</f>
        <v/>
      </c>
      <c r="B15" s="113" t="str">
        <f t="array" ref="B15">IFERROR(INDEX(Papers!$C$2:$C$201,MATCH(1,INDEX((Papers!$G$2:$G$201=$B$1)*(Papers!$I$2:$I$201=4),0),0)),"")</f>
        <v/>
      </c>
      <c r="C15" s="113" t="str">
        <f t="array" ref="C15">IFERROR(INDEX(Papers!$D$2:$D$201,MATCH(1,INDEX((Papers!$G$2:$G$201=$B$1)*(Papers!$I$2:$I$201=4),0),0)),"")</f>
        <v/>
      </c>
      <c r="D15" s="125"/>
      <c r="E15" s="86" t="str">
        <f t="array" ref="E15">IFERROR(INDEX(Papers!$E$2:$E$201,MATCH(1,INDEX((Papers!$G$2:$G$201=$B$1)*(Papers!$I$2:$I$201=4),0),0)),"")</f>
        <v/>
      </c>
      <c r="F15" s="67"/>
      <c r="G15" s="64"/>
      <c r="H15" s="64"/>
      <c r="I15" s="64"/>
      <c r="J15" s="64"/>
      <c r="K15" s="64"/>
      <c r="L15" s="64"/>
      <c r="M15" s="64"/>
      <c r="N15" s="64"/>
      <c r="O15" s="64"/>
      <c r="P15" s="64"/>
      <c r="Q15" s="64"/>
      <c r="R15" s="64"/>
      <c r="S15" s="64"/>
      <c r="T15" s="64"/>
      <c r="U15" s="64"/>
      <c r="V15" s="64"/>
      <c r="W15" s="64"/>
      <c r="X15" s="64"/>
      <c r="Y15" s="64"/>
      <c r="Z15" s="64"/>
    </row>
    <row r="16" ht="12.75" customHeight="1">
      <c r="A16" s="113" t="str">
        <f t="array" ref="A16">IFERROR(INDEX(Papers!$A$2:$A$201,MATCH(1,INDEX((Papers!$G$2:$G$201=$B$1)*(Papers!$I$2:$I$201=5),0),0)),"")</f>
        <v/>
      </c>
      <c r="B16" s="113" t="str">
        <f t="array" ref="B16">IFERROR(INDEX(Papers!$C$2:$C$201,MATCH(1,INDEX((Papers!$G$2:$G$201=$B$1)*(Papers!$I$2:$I$201=5),0),0)),"")</f>
        <v/>
      </c>
      <c r="C16" s="113" t="str">
        <f t="array" ref="C16">IFERROR(INDEX(Papers!$D$2:$D$201,MATCH(1,INDEX((Papers!$G$2:$G$201=$B$1)*(Papers!$I$2:$I$201=5),0),0)),"")</f>
        <v/>
      </c>
      <c r="D16" s="125"/>
      <c r="E16" s="86" t="str">
        <f t="array" ref="E16">IFERROR(INDEX(Papers!$E$2:$E$201,MATCH(1,INDEX((Papers!$G$2:$G$201=$B$1)*(Papers!$I$2:$I$201=5),0),0)),"")</f>
        <v/>
      </c>
      <c r="F16" s="67"/>
      <c r="G16" s="64"/>
      <c r="H16" s="64"/>
      <c r="I16" s="64"/>
      <c r="J16" s="64"/>
      <c r="K16" s="64"/>
      <c r="L16" s="64"/>
      <c r="M16" s="64"/>
      <c r="N16" s="64"/>
      <c r="O16" s="64"/>
      <c r="P16" s="64"/>
      <c r="Q16" s="64"/>
      <c r="R16" s="64"/>
      <c r="S16" s="64"/>
      <c r="T16" s="64"/>
      <c r="U16" s="64"/>
      <c r="V16" s="64"/>
      <c r="W16" s="64"/>
      <c r="X16" s="64"/>
      <c r="Y16" s="64"/>
      <c r="Z16" s="64"/>
    </row>
    <row r="17" ht="12.75" customHeight="1">
      <c r="A17" s="113" t="str">
        <f t="array" ref="A17">IFERROR(INDEX(Papers!$A$2:$A$201,MATCH(1,INDEX((Papers!$G$2:$G$201=$B$1)*(Papers!$I$2:$I$201=6),0),0)),"")</f>
        <v/>
      </c>
      <c r="B17" s="113" t="str">
        <f t="array" ref="B17">IFERROR(INDEX(Papers!$C$2:$C$201,MATCH(1,INDEX((Papers!$G$2:$G$201=$B$1)*(Papers!$I$2:$I$201=6),0),0)),"")</f>
        <v/>
      </c>
      <c r="C17" s="113" t="str">
        <f t="array" ref="C17">IFERROR(INDEX(Papers!$D$2:$D$201,MATCH(1,INDEX((Papers!$G$2:$G$201=$B$1)*(Papers!$I$2:$I$201=6),0),0)),"")</f>
        <v/>
      </c>
      <c r="D17" s="125"/>
      <c r="E17" s="86" t="str">
        <f t="array" ref="E17">IFERROR(INDEX(Papers!$E$2:$E$201,MATCH(1,INDEX((Papers!$G$2:$G$201=$B$1)*(Papers!$I$2:$I$201=6),0),0)),"")</f>
        <v/>
      </c>
      <c r="F17" s="67"/>
      <c r="G17" s="64"/>
      <c r="H17" s="64"/>
      <c r="I17" s="64"/>
      <c r="J17" s="64"/>
      <c r="K17" s="64"/>
      <c r="L17" s="64"/>
      <c r="M17" s="64"/>
      <c r="N17" s="64"/>
      <c r="O17" s="64"/>
      <c r="P17" s="64"/>
      <c r="Q17" s="64"/>
      <c r="R17" s="64"/>
      <c r="S17" s="64"/>
      <c r="T17" s="64"/>
      <c r="U17" s="64"/>
      <c r="V17" s="64"/>
      <c r="W17" s="64"/>
      <c r="X17" s="64"/>
      <c r="Y17" s="64"/>
      <c r="Z17" s="64"/>
    </row>
    <row r="18" ht="12.75" customHeight="1">
      <c r="A18" s="113" t="str">
        <f t="array" ref="A18">IFERROR(INDEX(Papers!$A$2:$A$201,MATCH(1,INDEX((Papers!$G$2:$G$201=$B$1)*(Papers!$I$2:$I$201=7),0),0)),"")</f>
        <v/>
      </c>
      <c r="B18" s="113" t="str">
        <f t="array" ref="B18">IFERROR(INDEX(Papers!$C$2:$C$201,MATCH(1,INDEX((Papers!$G$2:$G$201=$B$1)*(Papers!$I$2:$I$201=7),0),0)),"")</f>
        <v/>
      </c>
      <c r="C18" s="113" t="str">
        <f t="array" ref="C18">IFERROR(INDEX(Papers!$D$2:$D$201,MATCH(1,INDEX((Papers!$G$2:$G$201=$B$1)*(Papers!$I$2:$I$201=7),0),0)),"")</f>
        <v/>
      </c>
      <c r="D18" s="125"/>
      <c r="E18" s="86" t="str">
        <f t="array" ref="E18">IFERROR(INDEX(Papers!$E$2:$E$201,MATCH(1,INDEX((Papers!$G$2:$G$201=$B$1)*(Papers!$I$2:$I$201=7),0),0)),"")</f>
        <v/>
      </c>
      <c r="F18" s="67"/>
      <c r="G18" s="64"/>
      <c r="H18" s="64"/>
      <c r="I18" s="64"/>
      <c r="J18" s="64"/>
      <c r="K18" s="64"/>
      <c r="L18" s="64"/>
      <c r="M18" s="64"/>
      <c r="N18" s="64"/>
      <c r="O18" s="64"/>
      <c r="P18" s="64"/>
      <c r="Q18" s="64"/>
      <c r="R18" s="64"/>
      <c r="S18" s="64"/>
      <c r="T18" s="64"/>
      <c r="U18" s="64"/>
      <c r="V18" s="64"/>
      <c r="W18" s="64"/>
      <c r="X18" s="64"/>
      <c r="Y18" s="64"/>
      <c r="Z18" s="64"/>
    </row>
    <row r="19" ht="12.75" customHeight="1">
      <c r="A19" s="113" t="str">
        <f t="array" ref="A19">IFERROR(INDEX(Papers!$A$2:$A$201,MATCH(1,INDEX((Papers!$G$2:$G$201=$B$1)*(Papers!$I$2:$I$201=8),0),0)),"")</f>
        <v/>
      </c>
      <c r="B19" s="113" t="str">
        <f t="array" ref="B19">IFERROR(INDEX(Papers!$C$2:$C$201,MATCH(1,INDEX((Papers!$G$2:$G$201=$B$1)*(Papers!$I$2:$I$201=8),0),0)),"")</f>
        <v/>
      </c>
      <c r="C19" s="113" t="str">
        <f t="array" ref="C19">IFERROR(INDEX(Papers!$D$2:$D$201,MATCH(1,INDEX((Papers!$G$2:$G$201=$B$1)*(Papers!$I$2:$I$201=8),0),0)),"")</f>
        <v/>
      </c>
      <c r="D19" s="125"/>
      <c r="E19" s="86" t="str">
        <f t="array" ref="E19">IFERROR(INDEX(Papers!$E$2:$E$201,MATCH(1,INDEX((Papers!$G$2:$G$201=$B$1)*(Papers!$I$2:$I$201=8),0),0)),"")</f>
        <v/>
      </c>
      <c r="F19" s="67"/>
      <c r="G19" s="64"/>
      <c r="H19" s="64"/>
      <c r="I19" s="64"/>
      <c r="J19" s="64"/>
      <c r="K19" s="64"/>
      <c r="L19" s="64"/>
      <c r="M19" s="64"/>
      <c r="N19" s="64"/>
      <c r="O19" s="64"/>
      <c r="P19" s="64"/>
      <c r="Q19" s="64"/>
      <c r="R19" s="64"/>
      <c r="S19" s="64"/>
      <c r="T19" s="64"/>
      <c r="U19" s="64"/>
      <c r="V19" s="64"/>
      <c r="W19" s="64"/>
      <c r="X19" s="64"/>
      <c r="Y19" s="64"/>
      <c r="Z19" s="64"/>
    </row>
    <row r="20" ht="12.75" customHeight="1">
      <c r="A20" s="108"/>
      <c r="B20" s="64"/>
      <c r="C20" s="64"/>
      <c r="E20" s="64"/>
      <c r="F20" s="63"/>
      <c r="G20" s="64"/>
      <c r="H20" s="64"/>
      <c r="I20" s="64"/>
      <c r="J20" s="64"/>
      <c r="K20" s="64"/>
      <c r="L20" s="64"/>
      <c r="M20" s="64"/>
      <c r="N20" s="64"/>
      <c r="O20" s="64"/>
      <c r="P20" s="64"/>
      <c r="Q20" s="64"/>
      <c r="R20" s="64"/>
      <c r="S20" s="64"/>
      <c r="T20" s="64"/>
      <c r="U20" s="64"/>
      <c r="V20" s="64"/>
      <c r="W20" s="64"/>
      <c r="X20" s="64"/>
      <c r="Y20" s="64"/>
      <c r="Z20" s="64"/>
    </row>
    <row r="21" ht="12.75" customHeight="1">
      <c r="A21" s="108"/>
      <c r="B21" s="64"/>
      <c r="C21" s="64"/>
      <c r="D21" s="64"/>
      <c r="E21" s="64"/>
      <c r="F21" s="63"/>
      <c r="G21" s="63"/>
      <c r="H21" s="64"/>
      <c r="I21" s="64"/>
      <c r="J21" s="64"/>
      <c r="K21" s="64"/>
      <c r="L21" s="64"/>
      <c r="M21" s="64"/>
      <c r="N21" s="64"/>
      <c r="O21" s="64"/>
      <c r="P21" s="64"/>
      <c r="Q21" s="64"/>
      <c r="R21" s="64"/>
      <c r="S21" s="64"/>
      <c r="T21" s="64"/>
      <c r="U21" s="64"/>
      <c r="V21" s="64"/>
      <c r="W21" s="64"/>
      <c r="X21" s="64"/>
      <c r="Y21" s="64"/>
      <c r="Z21" s="64"/>
    </row>
    <row r="22" ht="12.75" customHeight="1">
      <c r="A22" s="108"/>
      <c r="B22" s="64"/>
      <c r="C22" s="64"/>
      <c r="D22" s="64"/>
      <c r="E22" s="64"/>
      <c r="F22" s="63"/>
      <c r="G22" s="63"/>
      <c r="H22" s="64"/>
      <c r="I22" s="64"/>
      <c r="J22" s="64"/>
      <c r="K22" s="64"/>
      <c r="L22" s="64"/>
      <c r="M22" s="64"/>
      <c r="N22" s="64"/>
      <c r="O22" s="64"/>
      <c r="P22" s="64"/>
      <c r="Q22" s="64"/>
      <c r="R22" s="64"/>
      <c r="S22" s="64"/>
      <c r="T22" s="64"/>
      <c r="U22" s="64"/>
      <c r="V22" s="64"/>
      <c r="W22" s="64"/>
      <c r="X22" s="64"/>
      <c r="Y22" s="64"/>
      <c r="Z22" s="64"/>
    </row>
    <row r="23" ht="12.75" customHeight="1">
      <c r="A23" s="108"/>
      <c r="B23" s="64"/>
      <c r="C23" s="64"/>
      <c r="D23" s="64"/>
      <c r="E23" s="64"/>
      <c r="F23" s="63"/>
      <c r="G23" s="63"/>
      <c r="H23" s="64"/>
      <c r="I23" s="64"/>
      <c r="J23" s="64"/>
      <c r="K23" s="64"/>
      <c r="L23" s="64"/>
      <c r="M23" s="64"/>
      <c r="N23" s="64"/>
      <c r="O23" s="64"/>
      <c r="P23" s="64"/>
      <c r="Q23" s="64"/>
      <c r="R23" s="64"/>
      <c r="S23" s="64"/>
      <c r="T23" s="64"/>
      <c r="U23" s="64"/>
      <c r="V23" s="64"/>
      <c r="W23" s="64"/>
      <c r="X23" s="64"/>
      <c r="Y23" s="64"/>
      <c r="Z23" s="64"/>
    </row>
    <row r="24" ht="12.75" customHeight="1">
      <c r="A24" s="108"/>
      <c r="B24" s="64"/>
      <c r="C24" s="64"/>
      <c r="D24" s="64"/>
      <c r="E24" s="64"/>
      <c r="F24" s="63"/>
      <c r="G24" s="63"/>
      <c r="H24" s="64"/>
      <c r="I24" s="64"/>
      <c r="J24" s="64"/>
      <c r="K24" s="64"/>
      <c r="L24" s="64"/>
      <c r="M24" s="64"/>
      <c r="N24" s="64"/>
      <c r="O24" s="64"/>
      <c r="P24" s="64"/>
      <c r="Q24" s="64"/>
      <c r="R24" s="64"/>
      <c r="S24" s="64"/>
      <c r="T24" s="64"/>
      <c r="U24" s="64"/>
      <c r="V24" s="64"/>
      <c r="W24" s="64"/>
      <c r="X24" s="64"/>
      <c r="Y24" s="64"/>
      <c r="Z24" s="64"/>
    </row>
    <row r="25" ht="12.75" customHeight="1">
      <c r="A25" s="108"/>
      <c r="B25" s="64"/>
      <c r="C25" s="64"/>
      <c r="D25" s="64"/>
      <c r="E25" s="64"/>
      <c r="F25" s="63"/>
      <c r="G25" s="63"/>
      <c r="H25" s="64"/>
      <c r="I25" s="64"/>
      <c r="J25" s="64"/>
      <c r="K25" s="64"/>
      <c r="L25" s="64"/>
      <c r="M25" s="64"/>
      <c r="N25" s="64"/>
      <c r="O25" s="64"/>
      <c r="P25" s="64"/>
      <c r="Q25" s="64"/>
      <c r="R25" s="64"/>
      <c r="S25" s="64"/>
      <c r="T25" s="64"/>
      <c r="U25" s="64"/>
      <c r="V25" s="64"/>
      <c r="W25" s="64"/>
      <c r="X25" s="64"/>
      <c r="Y25" s="64"/>
      <c r="Z25" s="64"/>
    </row>
    <row r="26" ht="12.75" customHeight="1">
      <c r="A26" s="108"/>
      <c r="B26" s="64"/>
      <c r="C26" s="64"/>
      <c r="D26" s="64"/>
      <c r="E26" s="64"/>
      <c r="F26" s="63"/>
      <c r="G26" s="63"/>
      <c r="H26" s="64"/>
      <c r="I26" s="64"/>
      <c r="J26" s="64"/>
      <c r="K26" s="64"/>
      <c r="L26" s="64"/>
      <c r="M26" s="64"/>
      <c r="N26" s="64"/>
      <c r="O26" s="64"/>
      <c r="P26" s="64"/>
      <c r="Q26" s="64"/>
      <c r="R26" s="64"/>
      <c r="S26" s="64"/>
      <c r="T26" s="64"/>
      <c r="U26" s="64"/>
      <c r="V26" s="64"/>
      <c r="W26" s="64"/>
      <c r="X26" s="64"/>
      <c r="Y26" s="64"/>
      <c r="Z26" s="64"/>
    </row>
    <row r="27" ht="12.75" customHeight="1">
      <c r="A27" s="108"/>
      <c r="B27" s="64"/>
      <c r="C27" s="64"/>
      <c r="D27" s="64"/>
      <c r="E27" s="64"/>
      <c r="F27" s="63"/>
      <c r="G27" s="63"/>
      <c r="H27" s="64"/>
      <c r="I27" s="64"/>
      <c r="J27" s="64"/>
      <c r="K27" s="64"/>
      <c r="L27" s="64"/>
      <c r="M27" s="64"/>
      <c r="N27" s="64"/>
      <c r="O27" s="64"/>
      <c r="P27" s="64"/>
      <c r="Q27" s="64"/>
      <c r="R27" s="64"/>
      <c r="S27" s="64"/>
      <c r="T27" s="64"/>
      <c r="U27" s="64"/>
      <c r="V27" s="64"/>
      <c r="W27" s="64"/>
      <c r="X27" s="64"/>
      <c r="Y27" s="64"/>
      <c r="Z27" s="64"/>
    </row>
    <row r="28" ht="12.75" customHeight="1">
      <c r="A28" s="108"/>
      <c r="B28" s="64"/>
      <c r="C28" s="64"/>
      <c r="D28" s="64"/>
      <c r="E28" s="64"/>
      <c r="F28" s="63"/>
      <c r="G28" s="63"/>
      <c r="H28" s="64"/>
      <c r="I28" s="64"/>
      <c r="J28" s="64"/>
      <c r="K28" s="64"/>
      <c r="L28" s="64"/>
      <c r="M28" s="64"/>
      <c r="N28" s="64"/>
      <c r="O28" s="64"/>
      <c r="P28" s="64"/>
      <c r="Q28" s="64"/>
      <c r="R28" s="64"/>
      <c r="S28" s="64"/>
      <c r="T28" s="64"/>
      <c r="U28" s="64"/>
      <c r="V28" s="64"/>
      <c r="W28" s="64"/>
      <c r="X28" s="64"/>
      <c r="Y28" s="64"/>
      <c r="Z28" s="64"/>
    </row>
    <row r="29" ht="12.75" customHeight="1">
      <c r="A29" s="108"/>
      <c r="B29" s="64"/>
      <c r="C29" s="64"/>
      <c r="D29" s="64"/>
      <c r="E29" s="64"/>
      <c r="F29" s="63"/>
      <c r="G29" s="63"/>
      <c r="H29" s="64"/>
      <c r="I29" s="64"/>
      <c r="J29" s="64"/>
      <c r="K29" s="64"/>
      <c r="L29" s="64"/>
      <c r="M29" s="64"/>
      <c r="N29" s="64"/>
      <c r="O29" s="64"/>
      <c r="P29" s="64"/>
      <c r="Q29" s="64"/>
      <c r="R29" s="64"/>
      <c r="S29" s="64"/>
      <c r="T29" s="64"/>
      <c r="U29" s="64"/>
      <c r="V29" s="64"/>
      <c r="W29" s="64"/>
      <c r="X29" s="64"/>
      <c r="Y29" s="64"/>
      <c r="Z29" s="64"/>
    </row>
    <row r="30" ht="12.75" customHeight="1">
      <c r="A30" s="108"/>
      <c r="B30" s="64"/>
      <c r="C30" s="64"/>
      <c r="D30" s="64"/>
      <c r="E30" s="64"/>
      <c r="F30" s="63"/>
      <c r="G30" s="63"/>
      <c r="H30" s="64"/>
      <c r="I30" s="64"/>
      <c r="J30" s="64"/>
      <c r="K30" s="64"/>
      <c r="L30" s="64"/>
      <c r="M30" s="64"/>
      <c r="N30" s="64"/>
      <c r="O30" s="64"/>
      <c r="P30" s="64"/>
      <c r="Q30" s="64"/>
      <c r="R30" s="64"/>
      <c r="S30" s="64"/>
      <c r="T30" s="64"/>
      <c r="U30" s="64"/>
      <c r="V30" s="64"/>
      <c r="W30" s="64"/>
      <c r="X30" s="64"/>
      <c r="Y30" s="64"/>
      <c r="Z30" s="64"/>
    </row>
    <row r="31" ht="12.75" customHeight="1">
      <c r="A31" s="108"/>
      <c r="B31" s="64"/>
      <c r="C31" s="64"/>
      <c r="D31" s="64"/>
      <c r="E31" s="64"/>
      <c r="F31" s="63"/>
      <c r="G31" s="63"/>
      <c r="H31" s="64"/>
      <c r="I31" s="64"/>
      <c r="J31" s="64"/>
      <c r="K31" s="64"/>
      <c r="L31" s="64"/>
      <c r="M31" s="64"/>
      <c r="N31" s="64"/>
      <c r="O31" s="64"/>
      <c r="P31" s="64"/>
      <c r="Q31" s="64"/>
      <c r="R31" s="64"/>
      <c r="S31" s="64"/>
      <c r="T31" s="64"/>
      <c r="U31" s="64"/>
      <c r="V31" s="64"/>
      <c r="W31" s="64"/>
      <c r="X31" s="64"/>
      <c r="Y31" s="64"/>
      <c r="Z31" s="64"/>
    </row>
    <row r="32" ht="12.75" customHeight="1">
      <c r="A32" s="108"/>
      <c r="B32" s="64"/>
      <c r="C32" s="64"/>
      <c r="D32" s="64"/>
      <c r="E32" s="64"/>
      <c r="F32" s="63"/>
      <c r="G32" s="63"/>
      <c r="H32" s="64"/>
      <c r="I32" s="64"/>
      <c r="J32" s="64"/>
      <c r="K32" s="64"/>
      <c r="L32" s="64"/>
      <c r="M32" s="64"/>
      <c r="N32" s="64"/>
      <c r="O32" s="64"/>
      <c r="P32" s="64"/>
      <c r="Q32" s="64"/>
      <c r="R32" s="64"/>
      <c r="S32" s="64"/>
      <c r="T32" s="64"/>
      <c r="U32" s="64"/>
      <c r="V32" s="64"/>
      <c r="W32" s="64"/>
      <c r="X32" s="64"/>
      <c r="Y32" s="64"/>
      <c r="Z32" s="64"/>
    </row>
    <row r="33" ht="12.75" customHeight="1">
      <c r="A33" s="108"/>
      <c r="B33" s="64"/>
      <c r="C33" s="64"/>
      <c r="D33" s="64"/>
      <c r="E33" s="64"/>
      <c r="F33" s="63"/>
      <c r="G33" s="63"/>
      <c r="H33" s="64"/>
      <c r="I33" s="64"/>
      <c r="J33" s="64"/>
      <c r="K33" s="64"/>
      <c r="L33" s="64"/>
      <c r="M33" s="64"/>
      <c r="N33" s="64"/>
      <c r="O33" s="64"/>
      <c r="P33" s="64"/>
      <c r="Q33" s="64"/>
      <c r="R33" s="64"/>
      <c r="S33" s="64"/>
      <c r="T33" s="64"/>
      <c r="U33" s="64"/>
      <c r="V33" s="64"/>
      <c r="W33" s="64"/>
      <c r="X33" s="64"/>
      <c r="Y33" s="64"/>
      <c r="Z33" s="64"/>
    </row>
    <row r="34" ht="12.75" customHeight="1">
      <c r="A34" s="108"/>
      <c r="B34" s="64"/>
      <c r="C34" s="64"/>
      <c r="D34" s="64"/>
      <c r="E34" s="64"/>
      <c r="F34" s="63"/>
      <c r="G34" s="63"/>
      <c r="H34" s="64"/>
      <c r="I34" s="64"/>
      <c r="J34" s="64"/>
      <c r="K34" s="64"/>
      <c r="L34" s="64"/>
      <c r="M34" s="64"/>
      <c r="N34" s="64"/>
      <c r="O34" s="64"/>
      <c r="P34" s="64"/>
      <c r="Q34" s="64"/>
      <c r="R34" s="64"/>
      <c r="S34" s="64"/>
      <c r="T34" s="64"/>
      <c r="U34" s="64"/>
      <c r="V34" s="64"/>
      <c r="W34" s="64"/>
      <c r="X34" s="64"/>
      <c r="Y34" s="64"/>
      <c r="Z34" s="64"/>
    </row>
    <row r="35" ht="12.75" customHeight="1">
      <c r="A35" s="108"/>
      <c r="B35" s="64"/>
      <c r="C35" s="64"/>
      <c r="D35" s="64"/>
      <c r="E35" s="64"/>
      <c r="F35" s="63"/>
      <c r="G35" s="63"/>
      <c r="H35" s="64"/>
      <c r="I35" s="64"/>
      <c r="J35" s="64"/>
      <c r="K35" s="64"/>
      <c r="L35" s="64"/>
      <c r="M35" s="64"/>
      <c r="N35" s="64"/>
      <c r="O35" s="64"/>
      <c r="P35" s="64"/>
      <c r="Q35" s="64"/>
      <c r="R35" s="64"/>
      <c r="S35" s="64"/>
      <c r="T35" s="64"/>
      <c r="U35" s="64"/>
      <c r="V35" s="64"/>
      <c r="W35" s="64"/>
      <c r="X35" s="64"/>
      <c r="Y35" s="64"/>
      <c r="Z35" s="64"/>
    </row>
    <row r="36" ht="12.75" customHeight="1">
      <c r="A36" s="108"/>
      <c r="B36" s="64"/>
      <c r="C36" s="64"/>
      <c r="D36" s="64"/>
      <c r="E36" s="64"/>
      <c r="F36" s="63"/>
      <c r="G36" s="63"/>
      <c r="H36" s="64"/>
      <c r="I36" s="64"/>
      <c r="J36" s="64"/>
      <c r="K36" s="64"/>
      <c r="L36" s="64"/>
      <c r="M36" s="64"/>
      <c r="N36" s="64"/>
      <c r="O36" s="64"/>
      <c r="P36" s="64"/>
      <c r="Q36" s="64"/>
      <c r="R36" s="64"/>
      <c r="S36" s="64"/>
      <c r="T36" s="64"/>
      <c r="U36" s="64"/>
      <c r="V36" s="64"/>
      <c r="W36" s="64"/>
      <c r="X36" s="64"/>
      <c r="Y36" s="64"/>
      <c r="Z36" s="64"/>
    </row>
    <row r="37" ht="12.75" customHeight="1">
      <c r="A37" s="108"/>
      <c r="B37" s="64"/>
      <c r="C37" s="64"/>
      <c r="D37" s="64"/>
      <c r="E37" s="64"/>
      <c r="F37" s="63"/>
      <c r="G37" s="63"/>
      <c r="H37" s="64"/>
      <c r="I37" s="64"/>
      <c r="J37" s="64"/>
      <c r="K37" s="64"/>
      <c r="L37" s="64"/>
      <c r="M37" s="64"/>
      <c r="N37" s="64"/>
      <c r="O37" s="64"/>
      <c r="P37" s="64"/>
      <c r="Q37" s="64"/>
      <c r="R37" s="64"/>
      <c r="S37" s="64"/>
      <c r="T37" s="64"/>
      <c r="U37" s="64"/>
      <c r="V37" s="64"/>
      <c r="W37" s="64"/>
      <c r="X37" s="64"/>
      <c r="Y37" s="64"/>
      <c r="Z37" s="64"/>
    </row>
    <row r="38" ht="12.75" customHeight="1">
      <c r="A38" s="108"/>
      <c r="B38" s="64"/>
      <c r="C38" s="64"/>
      <c r="D38" s="64"/>
      <c r="E38" s="64"/>
      <c r="F38" s="63"/>
      <c r="G38" s="63"/>
      <c r="H38" s="64"/>
      <c r="I38" s="64"/>
      <c r="J38" s="64"/>
      <c r="K38" s="64"/>
      <c r="L38" s="64"/>
      <c r="M38" s="64"/>
      <c r="N38" s="64"/>
      <c r="O38" s="64"/>
      <c r="P38" s="64"/>
      <c r="Q38" s="64"/>
      <c r="R38" s="64"/>
      <c r="S38" s="64"/>
      <c r="T38" s="64"/>
      <c r="U38" s="64"/>
      <c r="V38" s="64"/>
      <c r="W38" s="64"/>
      <c r="X38" s="64"/>
      <c r="Y38" s="64"/>
      <c r="Z38" s="64"/>
    </row>
    <row r="39" ht="12.75" customHeight="1">
      <c r="A39" s="108"/>
      <c r="B39" s="64"/>
      <c r="C39" s="64"/>
      <c r="D39" s="64"/>
      <c r="E39" s="64"/>
      <c r="F39" s="63"/>
      <c r="G39" s="63"/>
      <c r="H39" s="64"/>
      <c r="I39" s="64"/>
      <c r="J39" s="64"/>
      <c r="K39" s="64"/>
      <c r="L39" s="64"/>
      <c r="M39" s="64"/>
      <c r="N39" s="64"/>
      <c r="O39" s="64"/>
      <c r="P39" s="64"/>
      <c r="Q39" s="64"/>
      <c r="R39" s="64"/>
      <c r="S39" s="64"/>
      <c r="T39" s="64"/>
      <c r="U39" s="64"/>
      <c r="V39" s="64"/>
      <c r="W39" s="64"/>
      <c r="X39" s="64"/>
      <c r="Y39" s="64"/>
      <c r="Z39" s="64"/>
    </row>
    <row r="40" ht="12.75" customHeight="1">
      <c r="A40" s="108"/>
      <c r="B40" s="64"/>
      <c r="C40" s="64"/>
      <c r="D40" s="64"/>
      <c r="E40" s="64"/>
      <c r="F40" s="63"/>
      <c r="G40" s="63"/>
      <c r="H40" s="64"/>
      <c r="I40" s="64"/>
      <c r="J40" s="64"/>
      <c r="K40" s="64"/>
      <c r="L40" s="64"/>
      <c r="M40" s="64"/>
      <c r="N40" s="64"/>
      <c r="O40" s="64"/>
      <c r="P40" s="64"/>
      <c r="Q40" s="64"/>
      <c r="R40" s="64"/>
      <c r="S40" s="64"/>
      <c r="T40" s="64"/>
      <c r="U40" s="64"/>
      <c r="V40" s="64"/>
      <c r="W40" s="64"/>
      <c r="X40" s="64"/>
      <c r="Y40" s="64"/>
      <c r="Z40" s="64"/>
    </row>
    <row r="41" ht="12.75" customHeight="1">
      <c r="A41" s="108"/>
      <c r="B41" s="64"/>
      <c r="C41" s="64"/>
      <c r="D41" s="64"/>
      <c r="E41" s="64"/>
      <c r="F41" s="63"/>
      <c r="G41" s="63"/>
      <c r="H41" s="64"/>
      <c r="I41" s="64"/>
      <c r="J41" s="64"/>
      <c r="K41" s="64"/>
      <c r="L41" s="64"/>
      <c r="M41" s="64"/>
      <c r="N41" s="64"/>
      <c r="O41" s="64"/>
      <c r="P41" s="64"/>
      <c r="Q41" s="64"/>
      <c r="R41" s="64"/>
      <c r="S41" s="64"/>
      <c r="T41" s="64"/>
      <c r="U41" s="64"/>
      <c r="V41" s="64"/>
      <c r="W41" s="64"/>
      <c r="X41" s="64"/>
      <c r="Y41" s="64"/>
      <c r="Z41" s="64"/>
    </row>
    <row r="42" ht="12.75" customHeight="1">
      <c r="A42" s="108"/>
      <c r="B42" s="64"/>
      <c r="C42" s="64"/>
      <c r="D42" s="64"/>
      <c r="E42" s="64"/>
      <c r="F42" s="63"/>
      <c r="G42" s="63"/>
      <c r="H42" s="64"/>
      <c r="I42" s="64"/>
      <c r="J42" s="64"/>
      <c r="K42" s="64"/>
      <c r="L42" s="64"/>
      <c r="M42" s="64"/>
      <c r="N42" s="64"/>
      <c r="O42" s="64"/>
      <c r="P42" s="64"/>
      <c r="Q42" s="64"/>
      <c r="R42" s="64"/>
      <c r="S42" s="64"/>
      <c r="T42" s="64"/>
      <c r="U42" s="64"/>
      <c r="V42" s="64"/>
      <c r="W42" s="64"/>
      <c r="X42" s="64"/>
      <c r="Y42" s="64"/>
      <c r="Z42" s="64"/>
    </row>
    <row r="43" ht="12.75" customHeight="1">
      <c r="A43" s="108"/>
      <c r="B43" s="64"/>
      <c r="C43" s="64"/>
      <c r="D43" s="64"/>
      <c r="E43" s="64"/>
      <c r="F43" s="63"/>
      <c r="G43" s="63"/>
      <c r="H43" s="64"/>
      <c r="I43" s="64"/>
      <c r="J43" s="64"/>
      <c r="K43" s="64"/>
      <c r="L43" s="64"/>
      <c r="M43" s="64"/>
      <c r="N43" s="64"/>
      <c r="O43" s="64"/>
      <c r="P43" s="64"/>
      <c r="Q43" s="64"/>
      <c r="R43" s="64"/>
      <c r="S43" s="64"/>
      <c r="T43" s="64"/>
      <c r="U43" s="64"/>
      <c r="V43" s="64"/>
      <c r="W43" s="64"/>
      <c r="X43" s="64"/>
      <c r="Y43" s="64"/>
      <c r="Z43" s="64"/>
    </row>
    <row r="44" ht="12.75" customHeight="1">
      <c r="A44" s="108"/>
      <c r="B44" s="64"/>
      <c r="C44" s="64"/>
      <c r="D44" s="64"/>
      <c r="E44" s="64"/>
      <c r="F44" s="63"/>
      <c r="G44" s="63"/>
      <c r="H44" s="64"/>
      <c r="I44" s="64"/>
      <c r="J44" s="64"/>
      <c r="K44" s="64"/>
      <c r="L44" s="64"/>
      <c r="M44" s="64"/>
      <c r="N44" s="64"/>
      <c r="O44" s="64"/>
      <c r="P44" s="64"/>
      <c r="Q44" s="64"/>
      <c r="R44" s="64"/>
      <c r="S44" s="64"/>
      <c r="T44" s="64"/>
      <c r="U44" s="64"/>
      <c r="V44" s="64"/>
      <c r="W44" s="64"/>
      <c r="X44" s="64"/>
      <c r="Y44" s="64"/>
      <c r="Z44" s="64"/>
    </row>
    <row r="45" ht="12.75" customHeight="1">
      <c r="A45" s="108"/>
      <c r="B45" s="64"/>
      <c r="C45" s="64"/>
      <c r="D45" s="64"/>
      <c r="E45" s="64"/>
      <c r="F45" s="63"/>
      <c r="G45" s="63"/>
      <c r="H45" s="64"/>
      <c r="I45" s="64"/>
      <c r="J45" s="64"/>
      <c r="K45" s="64"/>
      <c r="L45" s="64"/>
      <c r="M45" s="64"/>
      <c r="N45" s="64"/>
      <c r="O45" s="64"/>
      <c r="P45" s="64"/>
      <c r="Q45" s="64"/>
      <c r="R45" s="64"/>
      <c r="S45" s="64"/>
      <c r="T45" s="64"/>
      <c r="U45" s="64"/>
      <c r="V45" s="64"/>
      <c r="W45" s="64"/>
      <c r="X45" s="64"/>
      <c r="Y45" s="64"/>
      <c r="Z45" s="64"/>
    </row>
    <row r="46" ht="12.75" customHeight="1">
      <c r="A46" s="108"/>
      <c r="B46" s="64"/>
      <c r="C46" s="64"/>
      <c r="D46" s="64"/>
      <c r="E46" s="64"/>
      <c r="F46" s="63"/>
      <c r="G46" s="63"/>
      <c r="H46" s="64"/>
      <c r="I46" s="64"/>
      <c r="J46" s="64"/>
      <c r="K46" s="64"/>
      <c r="L46" s="64"/>
      <c r="M46" s="64"/>
      <c r="N46" s="64"/>
      <c r="O46" s="64"/>
      <c r="P46" s="64"/>
      <c r="Q46" s="64"/>
      <c r="R46" s="64"/>
      <c r="S46" s="64"/>
      <c r="T46" s="64"/>
      <c r="U46" s="64"/>
      <c r="V46" s="64"/>
      <c r="W46" s="64"/>
      <c r="X46" s="64"/>
      <c r="Y46" s="64"/>
      <c r="Z46" s="64"/>
    </row>
    <row r="47" ht="12.75" customHeight="1">
      <c r="A47" s="108"/>
      <c r="B47" s="64"/>
      <c r="C47" s="64"/>
      <c r="D47" s="64"/>
      <c r="E47" s="64"/>
      <c r="F47" s="63"/>
      <c r="G47" s="63"/>
      <c r="H47" s="64"/>
      <c r="I47" s="64"/>
      <c r="J47" s="64"/>
      <c r="K47" s="64"/>
      <c r="L47" s="64"/>
      <c r="M47" s="64"/>
      <c r="N47" s="64"/>
      <c r="O47" s="64"/>
      <c r="P47" s="64"/>
      <c r="Q47" s="64"/>
      <c r="R47" s="64"/>
      <c r="S47" s="64"/>
      <c r="T47" s="64"/>
      <c r="U47" s="64"/>
      <c r="V47" s="64"/>
      <c r="W47" s="64"/>
      <c r="X47" s="64"/>
      <c r="Y47" s="64"/>
      <c r="Z47" s="64"/>
    </row>
    <row r="48" ht="12.75" customHeight="1">
      <c r="A48" s="108"/>
      <c r="B48" s="64"/>
      <c r="C48" s="64"/>
      <c r="D48" s="64"/>
      <c r="E48" s="64"/>
      <c r="F48" s="63"/>
      <c r="G48" s="63"/>
      <c r="H48" s="64"/>
      <c r="I48" s="64"/>
      <c r="J48" s="64"/>
      <c r="K48" s="64"/>
      <c r="L48" s="64"/>
      <c r="M48" s="64"/>
      <c r="N48" s="64"/>
      <c r="O48" s="64"/>
      <c r="P48" s="64"/>
      <c r="Q48" s="64"/>
      <c r="R48" s="64"/>
      <c r="S48" s="64"/>
      <c r="T48" s="64"/>
      <c r="U48" s="64"/>
      <c r="V48" s="64"/>
      <c r="W48" s="64"/>
      <c r="X48" s="64"/>
      <c r="Y48" s="64"/>
      <c r="Z48" s="64"/>
    </row>
    <row r="49" ht="12.75" customHeight="1">
      <c r="A49" s="108"/>
      <c r="B49" s="64"/>
      <c r="C49" s="64"/>
      <c r="D49" s="64"/>
      <c r="E49" s="64"/>
      <c r="F49" s="63"/>
      <c r="G49" s="63"/>
      <c r="H49" s="64"/>
      <c r="I49" s="64"/>
      <c r="J49" s="64"/>
      <c r="K49" s="64"/>
      <c r="L49" s="64"/>
      <c r="M49" s="64"/>
      <c r="N49" s="64"/>
      <c r="O49" s="64"/>
      <c r="P49" s="64"/>
      <c r="Q49" s="64"/>
      <c r="R49" s="64"/>
      <c r="S49" s="64"/>
      <c r="T49" s="64"/>
      <c r="U49" s="64"/>
      <c r="V49" s="64"/>
      <c r="W49" s="64"/>
      <c r="X49" s="64"/>
      <c r="Y49" s="64"/>
      <c r="Z49" s="64"/>
    </row>
    <row r="50" ht="12.75" customHeight="1">
      <c r="A50" s="108"/>
      <c r="B50" s="64"/>
      <c r="C50" s="64"/>
      <c r="D50" s="64"/>
      <c r="E50" s="64"/>
      <c r="F50" s="63"/>
      <c r="G50" s="63"/>
      <c r="H50" s="64"/>
      <c r="I50" s="64"/>
      <c r="J50" s="64"/>
      <c r="K50" s="64"/>
      <c r="L50" s="64"/>
      <c r="M50" s="64"/>
      <c r="N50" s="64"/>
      <c r="O50" s="64"/>
      <c r="P50" s="64"/>
      <c r="Q50" s="64"/>
      <c r="R50" s="64"/>
      <c r="S50" s="64"/>
      <c r="T50" s="64"/>
      <c r="U50" s="64"/>
      <c r="V50" s="64"/>
      <c r="W50" s="64"/>
      <c r="X50" s="64"/>
      <c r="Y50" s="64"/>
      <c r="Z50" s="64"/>
    </row>
    <row r="51" ht="12.75" customHeight="1">
      <c r="A51" s="108"/>
      <c r="B51" s="64"/>
      <c r="C51" s="64"/>
      <c r="D51" s="64"/>
      <c r="E51" s="64"/>
      <c r="F51" s="63"/>
      <c r="G51" s="63"/>
      <c r="H51" s="64"/>
      <c r="I51" s="64"/>
      <c r="J51" s="64"/>
      <c r="K51" s="64"/>
      <c r="L51" s="64"/>
      <c r="M51" s="64"/>
      <c r="N51" s="64"/>
      <c r="O51" s="64"/>
      <c r="P51" s="64"/>
      <c r="Q51" s="64"/>
      <c r="R51" s="64"/>
      <c r="S51" s="64"/>
      <c r="T51" s="64"/>
      <c r="U51" s="64"/>
      <c r="V51" s="64"/>
      <c r="W51" s="64"/>
      <c r="X51" s="64"/>
      <c r="Y51" s="64"/>
      <c r="Z51" s="64"/>
    </row>
    <row r="52" ht="12.75" customHeight="1">
      <c r="A52" s="108"/>
      <c r="B52" s="64"/>
      <c r="C52" s="64"/>
      <c r="D52" s="64"/>
      <c r="E52" s="64"/>
      <c r="F52" s="63"/>
      <c r="G52" s="63"/>
      <c r="H52" s="64"/>
      <c r="I52" s="64"/>
      <c r="J52" s="64"/>
      <c r="K52" s="64"/>
      <c r="L52" s="64"/>
      <c r="M52" s="64"/>
      <c r="N52" s="64"/>
      <c r="O52" s="64"/>
      <c r="P52" s="64"/>
      <c r="Q52" s="64"/>
      <c r="R52" s="64"/>
      <c r="S52" s="64"/>
      <c r="T52" s="64"/>
      <c r="U52" s="64"/>
      <c r="V52" s="64"/>
      <c r="W52" s="64"/>
      <c r="X52" s="64"/>
      <c r="Y52" s="64"/>
      <c r="Z52" s="64"/>
    </row>
    <row r="53" ht="12.75" customHeight="1">
      <c r="A53" s="108"/>
      <c r="B53" s="64"/>
      <c r="C53" s="64"/>
      <c r="D53" s="64"/>
      <c r="E53" s="64"/>
      <c r="F53" s="63"/>
      <c r="G53" s="63"/>
      <c r="H53" s="64"/>
      <c r="I53" s="64"/>
      <c r="J53" s="64"/>
      <c r="K53" s="64"/>
      <c r="L53" s="64"/>
      <c r="M53" s="64"/>
      <c r="N53" s="64"/>
      <c r="O53" s="64"/>
      <c r="P53" s="64"/>
      <c r="Q53" s="64"/>
      <c r="R53" s="64"/>
      <c r="S53" s="64"/>
      <c r="T53" s="64"/>
      <c r="U53" s="64"/>
      <c r="V53" s="64"/>
      <c r="W53" s="64"/>
      <c r="X53" s="64"/>
      <c r="Y53" s="64"/>
      <c r="Z53" s="64"/>
    </row>
    <row r="54" ht="12.75" customHeight="1">
      <c r="A54" s="108"/>
      <c r="B54" s="64"/>
      <c r="C54" s="64"/>
      <c r="D54" s="64"/>
      <c r="E54" s="64"/>
      <c r="F54" s="63"/>
      <c r="G54" s="63"/>
      <c r="H54" s="64"/>
      <c r="I54" s="64"/>
      <c r="J54" s="64"/>
      <c r="K54" s="64"/>
      <c r="L54" s="64"/>
      <c r="M54" s="64"/>
      <c r="N54" s="64"/>
      <c r="O54" s="64"/>
      <c r="P54" s="64"/>
      <c r="Q54" s="64"/>
      <c r="R54" s="64"/>
      <c r="S54" s="64"/>
      <c r="T54" s="64"/>
      <c r="U54" s="64"/>
      <c r="V54" s="64"/>
      <c r="W54" s="64"/>
      <c r="X54" s="64"/>
      <c r="Y54" s="64"/>
      <c r="Z54" s="64"/>
    </row>
    <row r="55" ht="12.75" customHeight="1">
      <c r="A55" s="108"/>
      <c r="B55" s="64"/>
      <c r="C55" s="64"/>
      <c r="D55" s="64"/>
      <c r="E55" s="64"/>
      <c r="F55" s="63"/>
      <c r="G55" s="63"/>
      <c r="H55" s="64"/>
      <c r="I55" s="64"/>
      <c r="J55" s="64"/>
      <c r="K55" s="64"/>
      <c r="L55" s="64"/>
      <c r="M55" s="64"/>
      <c r="N55" s="64"/>
      <c r="O55" s="64"/>
      <c r="P55" s="64"/>
      <c r="Q55" s="64"/>
      <c r="R55" s="64"/>
      <c r="S55" s="64"/>
      <c r="T55" s="64"/>
      <c r="U55" s="64"/>
      <c r="V55" s="64"/>
      <c r="W55" s="64"/>
      <c r="X55" s="64"/>
      <c r="Y55" s="64"/>
      <c r="Z55" s="64"/>
    </row>
    <row r="56" ht="12.75" customHeight="1">
      <c r="A56" s="108"/>
      <c r="B56" s="64"/>
      <c r="C56" s="64"/>
      <c r="D56" s="64"/>
      <c r="E56" s="64"/>
      <c r="F56" s="63"/>
      <c r="G56" s="63"/>
      <c r="H56" s="64"/>
      <c r="I56" s="64"/>
      <c r="J56" s="64"/>
      <c r="K56" s="64"/>
      <c r="L56" s="64"/>
      <c r="M56" s="64"/>
      <c r="N56" s="64"/>
      <c r="O56" s="64"/>
      <c r="P56" s="64"/>
      <c r="Q56" s="64"/>
      <c r="R56" s="64"/>
      <c r="S56" s="64"/>
      <c r="T56" s="64"/>
      <c r="U56" s="64"/>
      <c r="V56" s="64"/>
      <c r="W56" s="64"/>
      <c r="X56" s="64"/>
      <c r="Y56" s="64"/>
      <c r="Z56" s="64"/>
    </row>
    <row r="57" ht="12.75" customHeight="1">
      <c r="A57" s="108"/>
      <c r="B57" s="64"/>
      <c r="C57" s="64"/>
      <c r="D57" s="64"/>
      <c r="E57" s="64"/>
      <c r="F57" s="63"/>
      <c r="G57" s="63"/>
      <c r="H57" s="64"/>
      <c r="I57" s="64"/>
      <c r="J57" s="64"/>
      <c r="K57" s="64"/>
      <c r="L57" s="64"/>
      <c r="M57" s="64"/>
      <c r="N57" s="64"/>
      <c r="O57" s="64"/>
      <c r="P57" s="64"/>
      <c r="Q57" s="64"/>
      <c r="R57" s="64"/>
      <c r="S57" s="64"/>
      <c r="T57" s="64"/>
      <c r="U57" s="64"/>
      <c r="V57" s="64"/>
      <c r="W57" s="64"/>
      <c r="X57" s="64"/>
      <c r="Y57" s="64"/>
      <c r="Z57" s="64"/>
    </row>
    <row r="58" ht="12.75" customHeight="1">
      <c r="A58" s="108"/>
      <c r="B58" s="64"/>
      <c r="C58" s="64"/>
      <c r="D58" s="64"/>
      <c r="E58" s="64"/>
      <c r="F58" s="63"/>
      <c r="G58" s="63"/>
      <c r="H58" s="64"/>
      <c r="I58" s="64"/>
      <c r="J58" s="64"/>
      <c r="K58" s="64"/>
      <c r="L58" s="64"/>
      <c r="M58" s="64"/>
      <c r="N58" s="64"/>
      <c r="O58" s="64"/>
      <c r="P58" s="64"/>
      <c r="Q58" s="64"/>
      <c r="R58" s="64"/>
      <c r="S58" s="64"/>
      <c r="T58" s="64"/>
      <c r="U58" s="64"/>
      <c r="V58" s="64"/>
      <c r="W58" s="64"/>
      <c r="X58" s="64"/>
      <c r="Y58" s="64"/>
      <c r="Z58" s="64"/>
    </row>
    <row r="59" ht="12.75" customHeight="1">
      <c r="A59" s="108"/>
      <c r="B59" s="64"/>
      <c r="C59" s="64"/>
      <c r="D59" s="64"/>
      <c r="E59" s="64"/>
      <c r="F59" s="63"/>
      <c r="G59" s="63"/>
      <c r="H59" s="64"/>
      <c r="I59" s="64"/>
      <c r="J59" s="64"/>
      <c r="K59" s="64"/>
      <c r="L59" s="64"/>
      <c r="M59" s="64"/>
      <c r="N59" s="64"/>
      <c r="O59" s="64"/>
      <c r="P59" s="64"/>
      <c r="Q59" s="64"/>
      <c r="R59" s="64"/>
      <c r="S59" s="64"/>
      <c r="T59" s="64"/>
      <c r="U59" s="64"/>
      <c r="V59" s="64"/>
      <c r="W59" s="64"/>
      <c r="X59" s="64"/>
      <c r="Y59" s="64"/>
      <c r="Z59" s="64"/>
    </row>
    <row r="60" ht="12.75" customHeight="1">
      <c r="A60" s="108"/>
      <c r="B60" s="64"/>
      <c r="C60" s="64"/>
      <c r="D60" s="64"/>
      <c r="E60" s="64"/>
      <c r="F60" s="63"/>
      <c r="G60" s="63"/>
      <c r="H60" s="64"/>
      <c r="I60" s="64"/>
      <c r="J60" s="64"/>
      <c r="K60" s="64"/>
      <c r="L60" s="64"/>
      <c r="M60" s="64"/>
      <c r="N60" s="64"/>
      <c r="O60" s="64"/>
      <c r="P60" s="64"/>
      <c r="Q60" s="64"/>
      <c r="R60" s="64"/>
      <c r="S60" s="64"/>
      <c r="T60" s="64"/>
      <c r="U60" s="64"/>
      <c r="V60" s="64"/>
      <c r="W60" s="64"/>
      <c r="X60" s="64"/>
      <c r="Y60" s="64"/>
      <c r="Z60" s="64"/>
    </row>
    <row r="61" ht="12.75" customHeight="1">
      <c r="A61" s="108"/>
      <c r="B61" s="64"/>
      <c r="C61" s="64"/>
      <c r="D61" s="64"/>
      <c r="E61" s="64"/>
      <c r="F61" s="63"/>
      <c r="G61" s="63"/>
      <c r="H61" s="64"/>
      <c r="I61" s="64"/>
      <c r="J61" s="64"/>
      <c r="K61" s="64"/>
      <c r="L61" s="64"/>
      <c r="M61" s="64"/>
      <c r="N61" s="64"/>
      <c r="O61" s="64"/>
      <c r="P61" s="64"/>
      <c r="Q61" s="64"/>
      <c r="R61" s="64"/>
      <c r="S61" s="64"/>
      <c r="T61" s="64"/>
      <c r="U61" s="64"/>
      <c r="V61" s="64"/>
      <c r="W61" s="64"/>
      <c r="X61" s="64"/>
      <c r="Y61" s="64"/>
      <c r="Z61" s="64"/>
    </row>
    <row r="62" ht="12.75" customHeight="1">
      <c r="A62" s="108"/>
      <c r="B62" s="64"/>
      <c r="C62" s="64"/>
      <c r="D62" s="64"/>
      <c r="E62" s="64"/>
      <c r="F62" s="63"/>
      <c r="G62" s="63"/>
      <c r="H62" s="64"/>
      <c r="I62" s="64"/>
      <c r="J62" s="64"/>
      <c r="K62" s="64"/>
      <c r="L62" s="64"/>
      <c r="M62" s="64"/>
      <c r="N62" s="64"/>
      <c r="O62" s="64"/>
      <c r="P62" s="64"/>
      <c r="Q62" s="64"/>
      <c r="R62" s="64"/>
      <c r="S62" s="64"/>
      <c r="T62" s="64"/>
      <c r="U62" s="64"/>
      <c r="V62" s="64"/>
      <c r="W62" s="64"/>
      <c r="X62" s="64"/>
      <c r="Y62" s="64"/>
      <c r="Z62" s="64"/>
    </row>
    <row r="63" ht="12.75" customHeight="1">
      <c r="A63" s="108"/>
      <c r="B63" s="64"/>
      <c r="C63" s="64"/>
      <c r="D63" s="64"/>
      <c r="E63" s="64"/>
      <c r="F63" s="63"/>
      <c r="G63" s="63"/>
      <c r="H63" s="64"/>
      <c r="I63" s="64"/>
      <c r="J63" s="64"/>
      <c r="K63" s="64"/>
      <c r="L63" s="64"/>
      <c r="M63" s="64"/>
      <c r="N63" s="64"/>
      <c r="O63" s="64"/>
      <c r="P63" s="64"/>
      <c r="Q63" s="64"/>
      <c r="R63" s="64"/>
      <c r="S63" s="64"/>
      <c r="T63" s="64"/>
      <c r="U63" s="64"/>
      <c r="V63" s="64"/>
      <c r="W63" s="64"/>
      <c r="X63" s="64"/>
      <c r="Y63" s="64"/>
      <c r="Z63" s="64"/>
    </row>
    <row r="64" ht="12.75" customHeight="1">
      <c r="A64" s="108"/>
      <c r="B64" s="64"/>
      <c r="C64" s="64"/>
      <c r="D64" s="64"/>
      <c r="E64" s="64"/>
      <c r="F64" s="63"/>
      <c r="G64" s="63"/>
      <c r="H64" s="64"/>
      <c r="I64" s="64"/>
      <c r="J64" s="64"/>
      <c r="K64" s="64"/>
      <c r="L64" s="64"/>
      <c r="M64" s="64"/>
      <c r="N64" s="64"/>
      <c r="O64" s="64"/>
      <c r="P64" s="64"/>
      <c r="Q64" s="64"/>
      <c r="R64" s="64"/>
      <c r="S64" s="64"/>
      <c r="T64" s="64"/>
      <c r="U64" s="64"/>
      <c r="V64" s="64"/>
      <c r="W64" s="64"/>
      <c r="X64" s="64"/>
      <c r="Y64" s="64"/>
      <c r="Z64" s="64"/>
    </row>
    <row r="65" ht="12.75" customHeight="1">
      <c r="A65" s="108"/>
      <c r="B65" s="64"/>
      <c r="C65" s="64"/>
      <c r="D65" s="64"/>
      <c r="E65" s="64"/>
      <c r="F65" s="63"/>
      <c r="G65" s="63"/>
      <c r="H65" s="64"/>
      <c r="I65" s="64"/>
      <c r="J65" s="64"/>
      <c r="K65" s="64"/>
      <c r="L65" s="64"/>
      <c r="M65" s="64"/>
      <c r="N65" s="64"/>
      <c r="O65" s="64"/>
      <c r="P65" s="64"/>
      <c r="Q65" s="64"/>
      <c r="R65" s="64"/>
      <c r="S65" s="64"/>
      <c r="T65" s="64"/>
      <c r="U65" s="64"/>
      <c r="V65" s="64"/>
      <c r="W65" s="64"/>
      <c r="X65" s="64"/>
      <c r="Y65" s="64"/>
      <c r="Z65" s="64"/>
    </row>
    <row r="66" ht="12.75" customHeight="1">
      <c r="A66" s="108"/>
      <c r="B66" s="64"/>
      <c r="C66" s="64"/>
      <c r="D66" s="64"/>
      <c r="E66" s="64"/>
      <c r="F66" s="63"/>
      <c r="G66" s="63"/>
      <c r="H66" s="64"/>
      <c r="I66" s="64"/>
      <c r="J66" s="64"/>
      <c r="K66" s="64"/>
      <c r="L66" s="64"/>
      <c r="M66" s="64"/>
      <c r="N66" s="64"/>
      <c r="O66" s="64"/>
      <c r="P66" s="64"/>
      <c r="Q66" s="64"/>
      <c r="R66" s="64"/>
      <c r="S66" s="64"/>
      <c r="T66" s="64"/>
      <c r="U66" s="64"/>
      <c r="V66" s="64"/>
      <c r="W66" s="64"/>
      <c r="X66" s="64"/>
      <c r="Y66" s="64"/>
      <c r="Z66" s="64"/>
    </row>
    <row r="67" ht="12.75" customHeight="1">
      <c r="A67" s="108"/>
      <c r="B67" s="64"/>
      <c r="C67" s="64"/>
      <c r="D67" s="64"/>
      <c r="E67" s="64"/>
      <c r="F67" s="63"/>
      <c r="G67" s="63"/>
      <c r="H67" s="64"/>
      <c r="I67" s="64"/>
      <c r="J67" s="64"/>
      <c r="K67" s="64"/>
      <c r="L67" s="64"/>
      <c r="M67" s="64"/>
      <c r="N67" s="64"/>
      <c r="O67" s="64"/>
      <c r="P67" s="64"/>
      <c r="Q67" s="64"/>
      <c r="R67" s="64"/>
      <c r="S67" s="64"/>
      <c r="T67" s="64"/>
      <c r="U67" s="64"/>
      <c r="V67" s="64"/>
      <c r="W67" s="64"/>
      <c r="X67" s="64"/>
      <c r="Y67" s="64"/>
      <c r="Z67" s="64"/>
    </row>
    <row r="68" ht="12.75" customHeight="1">
      <c r="A68" s="108"/>
      <c r="B68" s="64"/>
      <c r="C68" s="64"/>
      <c r="D68" s="64"/>
      <c r="E68" s="64"/>
      <c r="F68" s="63"/>
      <c r="G68" s="63"/>
      <c r="H68" s="64"/>
      <c r="I68" s="64"/>
      <c r="J68" s="64"/>
      <c r="K68" s="64"/>
      <c r="L68" s="64"/>
      <c r="M68" s="64"/>
      <c r="N68" s="64"/>
      <c r="O68" s="64"/>
      <c r="P68" s="64"/>
      <c r="Q68" s="64"/>
      <c r="R68" s="64"/>
      <c r="S68" s="64"/>
      <c r="T68" s="64"/>
      <c r="U68" s="64"/>
      <c r="V68" s="64"/>
      <c r="W68" s="64"/>
      <c r="X68" s="64"/>
      <c r="Y68" s="64"/>
      <c r="Z68" s="64"/>
    </row>
    <row r="69" ht="12.75" customHeight="1">
      <c r="A69" s="108"/>
      <c r="B69" s="64"/>
      <c r="C69" s="64"/>
      <c r="D69" s="64"/>
      <c r="E69" s="64"/>
      <c r="F69" s="63"/>
      <c r="G69" s="63"/>
      <c r="H69" s="64"/>
      <c r="I69" s="64"/>
      <c r="J69" s="64"/>
      <c r="K69" s="64"/>
      <c r="L69" s="64"/>
      <c r="M69" s="64"/>
      <c r="N69" s="64"/>
      <c r="O69" s="64"/>
      <c r="P69" s="64"/>
      <c r="Q69" s="64"/>
      <c r="R69" s="64"/>
      <c r="S69" s="64"/>
      <c r="T69" s="64"/>
      <c r="U69" s="64"/>
      <c r="V69" s="64"/>
      <c r="W69" s="64"/>
      <c r="X69" s="64"/>
      <c r="Y69" s="64"/>
      <c r="Z69" s="64"/>
    </row>
    <row r="70" ht="12.75" customHeight="1">
      <c r="A70" s="108"/>
      <c r="B70" s="64"/>
      <c r="C70" s="64"/>
      <c r="D70" s="64"/>
      <c r="E70" s="64"/>
      <c r="F70" s="63"/>
      <c r="G70" s="63"/>
      <c r="H70" s="64"/>
      <c r="I70" s="64"/>
      <c r="J70" s="64"/>
      <c r="K70" s="64"/>
      <c r="L70" s="64"/>
      <c r="M70" s="64"/>
      <c r="N70" s="64"/>
      <c r="O70" s="64"/>
      <c r="P70" s="64"/>
      <c r="Q70" s="64"/>
      <c r="R70" s="64"/>
      <c r="S70" s="64"/>
      <c r="T70" s="64"/>
      <c r="U70" s="64"/>
      <c r="V70" s="64"/>
      <c r="W70" s="64"/>
      <c r="X70" s="64"/>
      <c r="Y70" s="64"/>
      <c r="Z70" s="64"/>
    </row>
    <row r="71" ht="12.75" customHeight="1">
      <c r="A71" s="108"/>
      <c r="B71" s="64"/>
      <c r="C71" s="64"/>
      <c r="D71" s="64"/>
      <c r="E71" s="64"/>
      <c r="F71" s="63"/>
      <c r="G71" s="63"/>
      <c r="H71" s="64"/>
      <c r="I71" s="64"/>
      <c r="J71" s="64"/>
      <c r="K71" s="64"/>
      <c r="L71" s="64"/>
      <c r="M71" s="64"/>
      <c r="N71" s="64"/>
      <c r="O71" s="64"/>
      <c r="P71" s="64"/>
      <c r="Q71" s="64"/>
      <c r="R71" s="64"/>
      <c r="S71" s="64"/>
      <c r="T71" s="64"/>
      <c r="U71" s="64"/>
      <c r="V71" s="64"/>
      <c r="W71" s="64"/>
      <c r="X71" s="64"/>
      <c r="Y71" s="64"/>
      <c r="Z71" s="64"/>
    </row>
    <row r="72" ht="12.75" customHeight="1">
      <c r="A72" s="108"/>
      <c r="B72" s="64"/>
      <c r="C72" s="64"/>
      <c r="D72" s="64"/>
      <c r="E72" s="64"/>
      <c r="F72" s="63"/>
      <c r="G72" s="63"/>
      <c r="H72" s="64"/>
      <c r="I72" s="64"/>
      <c r="J72" s="64"/>
      <c r="K72" s="64"/>
      <c r="L72" s="64"/>
      <c r="M72" s="64"/>
      <c r="N72" s="64"/>
      <c r="O72" s="64"/>
      <c r="P72" s="64"/>
      <c r="Q72" s="64"/>
      <c r="R72" s="64"/>
      <c r="S72" s="64"/>
      <c r="T72" s="64"/>
      <c r="U72" s="64"/>
      <c r="V72" s="64"/>
      <c r="W72" s="64"/>
      <c r="X72" s="64"/>
      <c r="Y72" s="64"/>
      <c r="Z72" s="64"/>
    </row>
    <row r="73" ht="12.75" customHeight="1">
      <c r="A73" s="108"/>
      <c r="B73" s="64"/>
      <c r="C73" s="64"/>
      <c r="D73" s="64"/>
      <c r="E73" s="64"/>
      <c r="F73" s="63"/>
      <c r="G73" s="63"/>
      <c r="H73" s="64"/>
      <c r="I73" s="64"/>
      <c r="J73" s="64"/>
      <c r="K73" s="64"/>
      <c r="L73" s="64"/>
      <c r="M73" s="64"/>
      <c r="N73" s="64"/>
      <c r="O73" s="64"/>
      <c r="P73" s="64"/>
      <c r="Q73" s="64"/>
      <c r="R73" s="64"/>
      <c r="S73" s="64"/>
      <c r="T73" s="64"/>
      <c r="U73" s="64"/>
      <c r="V73" s="64"/>
      <c r="W73" s="64"/>
      <c r="X73" s="64"/>
      <c r="Y73" s="64"/>
      <c r="Z73" s="64"/>
    </row>
    <row r="74" ht="12.75" customHeight="1">
      <c r="A74" s="108"/>
      <c r="B74" s="64"/>
      <c r="C74" s="64"/>
      <c r="D74" s="64"/>
      <c r="E74" s="64"/>
      <c r="F74" s="63"/>
      <c r="G74" s="63"/>
      <c r="H74" s="64"/>
      <c r="I74" s="64"/>
      <c r="J74" s="64"/>
      <c r="K74" s="64"/>
      <c r="L74" s="64"/>
      <c r="M74" s="64"/>
      <c r="N74" s="64"/>
      <c r="O74" s="64"/>
      <c r="P74" s="64"/>
      <c r="Q74" s="64"/>
      <c r="R74" s="64"/>
      <c r="S74" s="64"/>
      <c r="T74" s="64"/>
      <c r="U74" s="64"/>
      <c r="V74" s="64"/>
      <c r="W74" s="64"/>
      <c r="X74" s="64"/>
      <c r="Y74" s="64"/>
      <c r="Z74" s="64"/>
    </row>
    <row r="75" ht="12.75" customHeight="1">
      <c r="A75" s="108"/>
      <c r="B75" s="64"/>
      <c r="C75" s="64"/>
      <c r="D75" s="64"/>
      <c r="E75" s="64"/>
      <c r="F75" s="63"/>
      <c r="G75" s="63"/>
      <c r="H75" s="64"/>
      <c r="I75" s="64"/>
      <c r="J75" s="64"/>
      <c r="K75" s="64"/>
      <c r="L75" s="64"/>
      <c r="M75" s="64"/>
      <c r="N75" s="64"/>
      <c r="O75" s="64"/>
      <c r="P75" s="64"/>
      <c r="Q75" s="64"/>
      <c r="R75" s="64"/>
      <c r="S75" s="64"/>
      <c r="T75" s="64"/>
      <c r="U75" s="64"/>
      <c r="V75" s="64"/>
      <c r="W75" s="64"/>
      <c r="X75" s="64"/>
      <c r="Y75" s="64"/>
      <c r="Z75" s="64"/>
    </row>
    <row r="76" ht="12.75" customHeight="1">
      <c r="A76" s="108"/>
      <c r="B76" s="64"/>
      <c r="C76" s="64"/>
      <c r="D76" s="64"/>
      <c r="E76" s="64"/>
      <c r="F76" s="63"/>
      <c r="G76" s="63"/>
      <c r="H76" s="64"/>
      <c r="I76" s="64"/>
      <c r="J76" s="64"/>
      <c r="K76" s="64"/>
      <c r="L76" s="64"/>
      <c r="M76" s="64"/>
      <c r="N76" s="64"/>
      <c r="O76" s="64"/>
      <c r="P76" s="64"/>
      <c r="Q76" s="64"/>
      <c r="R76" s="64"/>
      <c r="S76" s="64"/>
      <c r="T76" s="64"/>
      <c r="U76" s="64"/>
      <c r="V76" s="64"/>
      <c r="W76" s="64"/>
      <c r="X76" s="64"/>
      <c r="Y76" s="64"/>
      <c r="Z76" s="64"/>
    </row>
    <row r="77" ht="12.75" customHeight="1">
      <c r="A77" s="108"/>
      <c r="B77" s="64"/>
      <c r="C77" s="64"/>
      <c r="D77" s="64"/>
      <c r="E77" s="64"/>
      <c r="F77" s="63"/>
      <c r="G77" s="63"/>
      <c r="H77" s="64"/>
      <c r="I77" s="64"/>
      <c r="J77" s="64"/>
      <c r="K77" s="64"/>
      <c r="L77" s="64"/>
      <c r="M77" s="64"/>
      <c r="N77" s="64"/>
      <c r="O77" s="64"/>
      <c r="P77" s="64"/>
      <c r="Q77" s="64"/>
      <c r="R77" s="64"/>
      <c r="S77" s="64"/>
      <c r="T77" s="64"/>
      <c r="U77" s="64"/>
      <c r="V77" s="64"/>
      <c r="W77" s="64"/>
      <c r="X77" s="64"/>
      <c r="Y77" s="64"/>
      <c r="Z77" s="64"/>
    </row>
    <row r="78" ht="12.75" customHeight="1">
      <c r="A78" s="108"/>
      <c r="B78" s="64"/>
      <c r="C78" s="64"/>
      <c r="D78" s="64"/>
      <c r="E78" s="64"/>
      <c r="F78" s="63"/>
      <c r="G78" s="63"/>
      <c r="H78" s="64"/>
      <c r="I78" s="64"/>
      <c r="J78" s="64"/>
      <c r="K78" s="64"/>
      <c r="L78" s="64"/>
      <c r="M78" s="64"/>
      <c r="N78" s="64"/>
      <c r="O78" s="64"/>
      <c r="P78" s="64"/>
      <c r="Q78" s="64"/>
      <c r="R78" s="64"/>
      <c r="S78" s="64"/>
      <c r="T78" s="64"/>
      <c r="U78" s="64"/>
      <c r="V78" s="64"/>
      <c r="W78" s="64"/>
      <c r="X78" s="64"/>
      <c r="Y78" s="64"/>
      <c r="Z78" s="64"/>
    </row>
    <row r="79" ht="12.75" customHeight="1">
      <c r="A79" s="108"/>
      <c r="B79" s="64"/>
      <c r="C79" s="64"/>
      <c r="D79" s="64"/>
      <c r="E79" s="64"/>
      <c r="F79" s="63"/>
      <c r="G79" s="63"/>
      <c r="H79" s="64"/>
      <c r="I79" s="64"/>
      <c r="J79" s="64"/>
      <c r="K79" s="64"/>
      <c r="L79" s="64"/>
      <c r="M79" s="64"/>
      <c r="N79" s="64"/>
      <c r="O79" s="64"/>
      <c r="P79" s="64"/>
      <c r="Q79" s="64"/>
      <c r="R79" s="64"/>
      <c r="S79" s="64"/>
      <c r="T79" s="64"/>
      <c r="U79" s="64"/>
      <c r="V79" s="64"/>
      <c r="W79" s="64"/>
      <c r="X79" s="64"/>
      <c r="Y79" s="64"/>
      <c r="Z79" s="64"/>
    </row>
    <row r="80" ht="12.75" customHeight="1">
      <c r="A80" s="108"/>
      <c r="B80" s="64"/>
      <c r="C80" s="64"/>
      <c r="D80" s="64"/>
      <c r="E80" s="64"/>
      <c r="F80" s="63"/>
      <c r="G80" s="63"/>
      <c r="H80" s="64"/>
      <c r="I80" s="64"/>
      <c r="J80" s="64"/>
      <c r="K80" s="64"/>
      <c r="L80" s="64"/>
      <c r="M80" s="64"/>
      <c r="N80" s="64"/>
      <c r="O80" s="64"/>
      <c r="P80" s="64"/>
      <c r="Q80" s="64"/>
      <c r="R80" s="64"/>
      <c r="S80" s="64"/>
      <c r="T80" s="64"/>
      <c r="U80" s="64"/>
      <c r="V80" s="64"/>
      <c r="W80" s="64"/>
      <c r="X80" s="64"/>
      <c r="Y80" s="64"/>
      <c r="Z80" s="64"/>
    </row>
    <row r="81" ht="12.75" customHeight="1">
      <c r="A81" s="108"/>
      <c r="B81" s="64"/>
      <c r="C81" s="64"/>
      <c r="D81" s="64"/>
      <c r="E81" s="64"/>
      <c r="F81" s="63"/>
      <c r="G81" s="63"/>
      <c r="H81" s="64"/>
      <c r="I81" s="64"/>
      <c r="J81" s="64"/>
      <c r="K81" s="64"/>
      <c r="L81" s="64"/>
      <c r="M81" s="64"/>
      <c r="N81" s="64"/>
      <c r="O81" s="64"/>
      <c r="P81" s="64"/>
      <c r="Q81" s="64"/>
      <c r="R81" s="64"/>
      <c r="S81" s="64"/>
      <c r="T81" s="64"/>
      <c r="U81" s="64"/>
      <c r="V81" s="64"/>
      <c r="W81" s="64"/>
      <c r="X81" s="64"/>
      <c r="Y81" s="64"/>
      <c r="Z81" s="64"/>
    </row>
    <row r="82" ht="12.75" customHeight="1">
      <c r="A82" s="108"/>
      <c r="B82" s="64"/>
      <c r="C82" s="64"/>
      <c r="D82" s="64"/>
      <c r="E82" s="64"/>
      <c r="F82" s="63"/>
      <c r="G82" s="63"/>
      <c r="H82" s="64"/>
      <c r="I82" s="64"/>
      <c r="J82" s="64"/>
      <c r="K82" s="64"/>
      <c r="L82" s="64"/>
      <c r="M82" s="64"/>
      <c r="N82" s="64"/>
      <c r="O82" s="64"/>
      <c r="P82" s="64"/>
      <c r="Q82" s="64"/>
      <c r="R82" s="64"/>
      <c r="S82" s="64"/>
      <c r="T82" s="64"/>
      <c r="U82" s="64"/>
      <c r="V82" s="64"/>
      <c r="W82" s="64"/>
      <c r="X82" s="64"/>
      <c r="Y82" s="64"/>
      <c r="Z82" s="64"/>
    </row>
    <row r="83" ht="12.75" customHeight="1">
      <c r="A83" s="108"/>
      <c r="B83" s="64"/>
      <c r="C83" s="64"/>
      <c r="D83" s="64"/>
      <c r="E83" s="64"/>
      <c r="F83" s="63"/>
      <c r="G83" s="63"/>
      <c r="H83" s="64"/>
      <c r="I83" s="64"/>
      <c r="J83" s="64"/>
      <c r="K83" s="64"/>
      <c r="L83" s="64"/>
      <c r="M83" s="64"/>
      <c r="N83" s="64"/>
      <c r="O83" s="64"/>
      <c r="P83" s="64"/>
      <c r="Q83" s="64"/>
      <c r="R83" s="64"/>
      <c r="S83" s="64"/>
      <c r="T83" s="64"/>
      <c r="U83" s="64"/>
      <c r="V83" s="64"/>
      <c r="W83" s="64"/>
      <c r="X83" s="64"/>
      <c r="Y83" s="64"/>
      <c r="Z83" s="64"/>
    </row>
    <row r="84" ht="12.75" customHeight="1">
      <c r="A84" s="108"/>
      <c r="B84" s="64"/>
      <c r="C84" s="64"/>
      <c r="D84" s="64"/>
      <c r="E84" s="64"/>
      <c r="F84" s="63"/>
      <c r="G84" s="63"/>
      <c r="H84" s="64"/>
      <c r="I84" s="64"/>
      <c r="J84" s="64"/>
      <c r="K84" s="64"/>
      <c r="L84" s="64"/>
      <c r="M84" s="64"/>
      <c r="N84" s="64"/>
      <c r="O84" s="64"/>
      <c r="P84" s="64"/>
      <c r="Q84" s="64"/>
      <c r="R84" s="64"/>
      <c r="S84" s="64"/>
      <c r="T84" s="64"/>
      <c r="U84" s="64"/>
      <c r="V84" s="64"/>
      <c r="W84" s="64"/>
      <c r="X84" s="64"/>
      <c r="Y84" s="64"/>
      <c r="Z84" s="64"/>
    </row>
    <row r="85" ht="12.75" customHeight="1">
      <c r="A85" s="108"/>
      <c r="B85" s="64"/>
      <c r="C85" s="64"/>
      <c r="D85" s="64"/>
      <c r="E85" s="64"/>
      <c r="F85" s="63"/>
      <c r="G85" s="63"/>
      <c r="H85" s="64"/>
      <c r="I85" s="64"/>
      <c r="J85" s="64"/>
      <c r="K85" s="64"/>
      <c r="L85" s="64"/>
      <c r="M85" s="64"/>
      <c r="N85" s="64"/>
      <c r="O85" s="64"/>
      <c r="P85" s="64"/>
      <c r="Q85" s="64"/>
      <c r="R85" s="64"/>
      <c r="S85" s="64"/>
      <c r="T85" s="64"/>
      <c r="U85" s="64"/>
      <c r="V85" s="64"/>
      <c r="W85" s="64"/>
      <c r="X85" s="64"/>
      <c r="Y85" s="64"/>
      <c r="Z85" s="64"/>
    </row>
    <row r="86" ht="12.75" customHeight="1">
      <c r="A86" s="108"/>
      <c r="B86" s="64"/>
      <c r="C86" s="64"/>
      <c r="D86" s="64"/>
      <c r="E86" s="64"/>
      <c r="F86" s="63"/>
      <c r="G86" s="63"/>
      <c r="H86" s="64"/>
      <c r="I86" s="64"/>
      <c r="J86" s="64"/>
      <c r="K86" s="64"/>
      <c r="L86" s="64"/>
      <c r="M86" s="64"/>
      <c r="N86" s="64"/>
      <c r="O86" s="64"/>
      <c r="P86" s="64"/>
      <c r="Q86" s="64"/>
      <c r="R86" s="64"/>
      <c r="S86" s="64"/>
      <c r="T86" s="64"/>
      <c r="U86" s="64"/>
      <c r="V86" s="64"/>
      <c r="W86" s="64"/>
      <c r="X86" s="64"/>
      <c r="Y86" s="64"/>
      <c r="Z86" s="64"/>
    </row>
    <row r="87" ht="12.75" customHeight="1">
      <c r="A87" s="108"/>
      <c r="B87" s="64"/>
      <c r="C87" s="64"/>
      <c r="D87" s="64"/>
      <c r="E87" s="64"/>
      <c r="F87" s="63"/>
      <c r="G87" s="63"/>
      <c r="H87" s="64"/>
      <c r="I87" s="64"/>
      <c r="J87" s="64"/>
      <c r="K87" s="64"/>
      <c r="L87" s="64"/>
      <c r="M87" s="64"/>
      <c r="N87" s="64"/>
      <c r="O87" s="64"/>
      <c r="P87" s="64"/>
      <c r="Q87" s="64"/>
      <c r="R87" s="64"/>
      <c r="S87" s="64"/>
      <c r="T87" s="64"/>
      <c r="U87" s="64"/>
      <c r="V87" s="64"/>
      <c r="W87" s="64"/>
      <c r="X87" s="64"/>
      <c r="Y87" s="64"/>
      <c r="Z87" s="64"/>
    </row>
    <row r="88" ht="12.75" customHeight="1">
      <c r="A88" s="108"/>
      <c r="B88" s="64"/>
      <c r="C88" s="64"/>
      <c r="D88" s="64"/>
      <c r="E88" s="64"/>
      <c r="F88" s="63"/>
      <c r="G88" s="63"/>
      <c r="H88" s="64"/>
      <c r="I88" s="64"/>
      <c r="J88" s="64"/>
      <c r="K88" s="64"/>
      <c r="L88" s="64"/>
      <c r="M88" s="64"/>
      <c r="N88" s="64"/>
      <c r="O88" s="64"/>
      <c r="P88" s="64"/>
      <c r="Q88" s="64"/>
      <c r="R88" s="64"/>
      <c r="S88" s="64"/>
      <c r="T88" s="64"/>
      <c r="U88" s="64"/>
      <c r="V88" s="64"/>
      <c r="W88" s="64"/>
      <c r="X88" s="64"/>
      <c r="Y88" s="64"/>
      <c r="Z88" s="64"/>
    </row>
    <row r="89" ht="12.75" customHeight="1">
      <c r="A89" s="108"/>
      <c r="B89" s="64"/>
      <c r="C89" s="64"/>
      <c r="D89" s="64"/>
      <c r="E89" s="64"/>
      <c r="F89" s="63"/>
      <c r="G89" s="63"/>
      <c r="H89" s="64"/>
      <c r="I89" s="64"/>
      <c r="J89" s="64"/>
      <c r="K89" s="64"/>
      <c r="L89" s="64"/>
      <c r="M89" s="64"/>
      <c r="N89" s="64"/>
      <c r="O89" s="64"/>
      <c r="P89" s="64"/>
      <c r="Q89" s="64"/>
      <c r="R89" s="64"/>
      <c r="S89" s="64"/>
      <c r="T89" s="64"/>
      <c r="U89" s="64"/>
      <c r="V89" s="64"/>
      <c r="W89" s="64"/>
      <c r="X89" s="64"/>
      <c r="Y89" s="64"/>
      <c r="Z89" s="64"/>
    </row>
    <row r="90" ht="12.75" customHeight="1">
      <c r="A90" s="108"/>
      <c r="B90" s="64"/>
      <c r="C90" s="64"/>
      <c r="D90" s="64"/>
      <c r="E90" s="64"/>
      <c r="F90" s="63"/>
      <c r="G90" s="63"/>
      <c r="H90" s="64"/>
      <c r="I90" s="64"/>
      <c r="J90" s="64"/>
      <c r="K90" s="64"/>
      <c r="L90" s="64"/>
      <c r="M90" s="64"/>
      <c r="N90" s="64"/>
      <c r="O90" s="64"/>
      <c r="P90" s="64"/>
      <c r="Q90" s="64"/>
      <c r="R90" s="64"/>
      <c r="S90" s="64"/>
      <c r="T90" s="64"/>
      <c r="U90" s="64"/>
      <c r="V90" s="64"/>
      <c r="W90" s="64"/>
      <c r="X90" s="64"/>
      <c r="Y90" s="64"/>
      <c r="Z90" s="64"/>
    </row>
    <row r="91" ht="12.75" customHeight="1">
      <c r="A91" s="108"/>
      <c r="B91" s="64"/>
      <c r="C91" s="64"/>
      <c r="D91" s="64"/>
      <c r="E91" s="64"/>
      <c r="F91" s="63"/>
      <c r="G91" s="63"/>
      <c r="H91" s="64"/>
      <c r="I91" s="64"/>
      <c r="J91" s="64"/>
      <c r="K91" s="64"/>
      <c r="L91" s="64"/>
      <c r="M91" s="64"/>
      <c r="N91" s="64"/>
      <c r="O91" s="64"/>
      <c r="P91" s="64"/>
      <c r="Q91" s="64"/>
      <c r="R91" s="64"/>
      <c r="S91" s="64"/>
      <c r="T91" s="64"/>
      <c r="U91" s="64"/>
      <c r="V91" s="64"/>
      <c r="W91" s="64"/>
      <c r="X91" s="64"/>
      <c r="Y91" s="64"/>
      <c r="Z91" s="64"/>
    </row>
    <row r="92" ht="12.75" customHeight="1">
      <c r="A92" s="108"/>
      <c r="B92" s="64"/>
      <c r="C92" s="64"/>
      <c r="D92" s="64"/>
      <c r="E92" s="64"/>
      <c r="F92" s="63"/>
      <c r="G92" s="63"/>
      <c r="H92" s="64"/>
      <c r="I92" s="64"/>
      <c r="J92" s="64"/>
      <c r="K92" s="64"/>
      <c r="L92" s="64"/>
      <c r="M92" s="64"/>
      <c r="N92" s="64"/>
      <c r="O92" s="64"/>
      <c r="P92" s="64"/>
      <c r="Q92" s="64"/>
      <c r="R92" s="64"/>
      <c r="S92" s="64"/>
      <c r="T92" s="64"/>
      <c r="U92" s="64"/>
      <c r="V92" s="64"/>
      <c r="W92" s="64"/>
      <c r="X92" s="64"/>
      <c r="Y92" s="64"/>
      <c r="Z92" s="64"/>
    </row>
    <row r="93" ht="12.75" customHeight="1">
      <c r="A93" s="108"/>
      <c r="B93" s="64"/>
      <c r="C93" s="64"/>
      <c r="D93" s="64"/>
      <c r="E93" s="64"/>
      <c r="F93" s="63"/>
      <c r="G93" s="63"/>
      <c r="H93" s="64"/>
      <c r="I93" s="64"/>
      <c r="J93" s="64"/>
      <c r="K93" s="64"/>
      <c r="L93" s="64"/>
      <c r="M93" s="64"/>
      <c r="N93" s="64"/>
      <c r="O93" s="64"/>
      <c r="P93" s="64"/>
      <c r="Q93" s="64"/>
      <c r="R93" s="64"/>
      <c r="S93" s="64"/>
      <c r="T93" s="64"/>
      <c r="U93" s="64"/>
      <c r="V93" s="64"/>
      <c r="W93" s="64"/>
      <c r="X93" s="64"/>
      <c r="Y93" s="64"/>
      <c r="Z93" s="64"/>
    </row>
    <row r="94" ht="12.75" customHeight="1">
      <c r="A94" s="108"/>
      <c r="B94" s="64"/>
      <c r="C94" s="64"/>
      <c r="D94" s="64"/>
      <c r="E94" s="64"/>
      <c r="F94" s="63"/>
      <c r="G94" s="63"/>
      <c r="H94" s="64"/>
      <c r="I94" s="64"/>
      <c r="J94" s="64"/>
      <c r="K94" s="64"/>
      <c r="L94" s="64"/>
      <c r="M94" s="64"/>
      <c r="N94" s="64"/>
      <c r="O94" s="64"/>
      <c r="P94" s="64"/>
      <c r="Q94" s="64"/>
      <c r="R94" s="64"/>
      <c r="S94" s="64"/>
      <c r="T94" s="64"/>
      <c r="U94" s="64"/>
      <c r="V94" s="64"/>
      <c r="W94" s="64"/>
      <c r="X94" s="64"/>
      <c r="Y94" s="64"/>
      <c r="Z94" s="64"/>
    </row>
    <row r="95" ht="12.75" customHeight="1">
      <c r="A95" s="108"/>
      <c r="B95" s="64"/>
      <c r="C95" s="64"/>
      <c r="D95" s="64"/>
      <c r="E95" s="64"/>
      <c r="F95" s="63"/>
      <c r="G95" s="63"/>
      <c r="H95" s="64"/>
      <c r="I95" s="64"/>
      <c r="J95" s="64"/>
      <c r="K95" s="64"/>
      <c r="L95" s="64"/>
      <c r="M95" s="64"/>
      <c r="N95" s="64"/>
      <c r="O95" s="64"/>
      <c r="P95" s="64"/>
      <c r="Q95" s="64"/>
      <c r="R95" s="64"/>
      <c r="S95" s="64"/>
      <c r="T95" s="64"/>
      <c r="U95" s="64"/>
      <c r="V95" s="64"/>
      <c r="W95" s="64"/>
      <c r="X95" s="64"/>
      <c r="Y95" s="64"/>
      <c r="Z95" s="64"/>
    </row>
    <row r="96" ht="12.75" customHeight="1">
      <c r="A96" s="108"/>
      <c r="B96" s="64"/>
      <c r="C96" s="64"/>
      <c r="D96" s="64"/>
      <c r="E96" s="64"/>
      <c r="F96" s="63"/>
      <c r="G96" s="63"/>
      <c r="H96" s="64"/>
      <c r="I96" s="64"/>
      <c r="J96" s="64"/>
      <c r="K96" s="64"/>
      <c r="L96" s="64"/>
      <c r="M96" s="64"/>
      <c r="N96" s="64"/>
      <c r="O96" s="64"/>
      <c r="P96" s="64"/>
      <c r="Q96" s="64"/>
      <c r="R96" s="64"/>
      <c r="S96" s="64"/>
      <c r="T96" s="64"/>
      <c r="U96" s="64"/>
      <c r="V96" s="64"/>
      <c r="W96" s="64"/>
      <c r="X96" s="64"/>
      <c r="Y96" s="64"/>
      <c r="Z96" s="64"/>
    </row>
    <row r="97" ht="12.75" customHeight="1">
      <c r="A97" s="108"/>
      <c r="B97" s="64"/>
      <c r="C97" s="64"/>
      <c r="D97" s="64"/>
      <c r="E97" s="64"/>
      <c r="F97" s="63"/>
      <c r="G97" s="63"/>
      <c r="H97" s="64"/>
      <c r="I97" s="64"/>
      <c r="J97" s="64"/>
      <c r="K97" s="64"/>
      <c r="L97" s="64"/>
      <c r="M97" s="64"/>
      <c r="N97" s="64"/>
      <c r="O97" s="64"/>
      <c r="P97" s="64"/>
      <c r="Q97" s="64"/>
      <c r="R97" s="64"/>
      <c r="S97" s="64"/>
      <c r="T97" s="64"/>
      <c r="U97" s="64"/>
      <c r="V97" s="64"/>
      <c r="W97" s="64"/>
      <c r="X97" s="64"/>
      <c r="Y97" s="64"/>
      <c r="Z97" s="64"/>
    </row>
    <row r="98" ht="12.75" customHeight="1">
      <c r="A98" s="108"/>
      <c r="B98" s="64"/>
      <c r="C98" s="64"/>
      <c r="D98" s="64"/>
      <c r="E98" s="64"/>
      <c r="F98" s="63"/>
      <c r="G98" s="63"/>
      <c r="H98" s="64"/>
      <c r="I98" s="64"/>
      <c r="J98" s="64"/>
      <c r="K98" s="64"/>
      <c r="L98" s="64"/>
      <c r="M98" s="64"/>
      <c r="N98" s="64"/>
      <c r="O98" s="64"/>
      <c r="P98" s="64"/>
      <c r="Q98" s="64"/>
      <c r="R98" s="64"/>
      <c r="S98" s="64"/>
      <c r="T98" s="64"/>
      <c r="U98" s="64"/>
      <c r="V98" s="64"/>
      <c r="W98" s="64"/>
      <c r="X98" s="64"/>
      <c r="Y98" s="64"/>
      <c r="Z98" s="64"/>
    </row>
    <row r="99" ht="12.75" customHeight="1">
      <c r="A99" s="108"/>
      <c r="B99" s="64"/>
      <c r="C99" s="64"/>
      <c r="D99" s="64"/>
      <c r="E99" s="64"/>
      <c r="F99" s="63"/>
      <c r="G99" s="63"/>
      <c r="H99" s="64"/>
      <c r="I99" s="64"/>
      <c r="J99" s="64"/>
      <c r="K99" s="64"/>
      <c r="L99" s="64"/>
      <c r="M99" s="64"/>
      <c r="N99" s="64"/>
      <c r="O99" s="64"/>
      <c r="P99" s="64"/>
      <c r="Q99" s="64"/>
      <c r="R99" s="64"/>
      <c r="S99" s="64"/>
      <c r="T99" s="64"/>
      <c r="U99" s="64"/>
      <c r="V99" s="64"/>
      <c r="W99" s="64"/>
      <c r="X99" s="64"/>
      <c r="Y99" s="64"/>
      <c r="Z99" s="64"/>
    </row>
    <row r="100" ht="12.75" customHeight="1">
      <c r="A100" s="108"/>
      <c r="B100" s="64"/>
      <c r="C100" s="64"/>
      <c r="D100" s="64"/>
      <c r="E100" s="64"/>
      <c r="F100" s="63"/>
      <c r="G100" s="63"/>
      <c r="H100" s="64"/>
      <c r="I100" s="64"/>
      <c r="J100" s="64"/>
      <c r="K100" s="64"/>
      <c r="L100" s="64"/>
      <c r="M100" s="64"/>
      <c r="N100" s="64"/>
      <c r="O100" s="64"/>
      <c r="P100" s="64"/>
      <c r="Q100" s="64"/>
      <c r="R100" s="64"/>
      <c r="S100" s="64"/>
      <c r="T100" s="64"/>
      <c r="U100" s="64"/>
      <c r="V100" s="64"/>
      <c r="W100" s="64"/>
      <c r="X100" s="64"/>
      <c r="Y100" s="64"/>
      <c r="Z100" s="64"/>
    </row>
    <row r="101" ht="12.75" customHeight="1">
      <c r="A101" s="108"/>
      <c r="B101" s="64"/>
      <c r="C101" s="64"/>
      <c r="D101" s="64"/>
      <c r="E101" s="64"/>
      <c r="F101" s="63"/>
      <c r="G101" s="63"/>
      <c r="H101" s="64"/>
      <c r="I101" s="64"/>
      <c r="J101" s="64"/>
      <c r="K101" s="64"/>
      <c r="L101" s="64"/>
      <c r="M101" s="64"/>
      <c r="N101" s="64"/>
      <c r="O101" s="64"/>
      <c r="P101" s="64"/>
      <c r="Q101" s="64"/>
      <c r="R101" s="64"/>
      <c r="S101" s="64"/>
      <c r="T101" s="64"/>
      <c r="U101" s="64"/>
      <c r="V101" s="64"/>
      <c r="W101" s="64"/>
      <c r="X101" s="64"/>
      <c r="Y101" s="64"/>
      <c r="Z101" s="64"/>
    </row>
    <row r="102" ht="12.75" customHeight="1">
      <c r="A102" s="108"/>
      <c r="B102" s="64"/>
      <c r="C102" s="64"/>
      <c r="D102" s="64"/>
      <c r="E102" s="64"/>
      <c r="F102" s="63"/>
      <c r="G102" s="63"/>
      <c r="H102" s="64"/>
      <c r="I102" s="64"/>
      <c r="J102" s="64"/>
      <c r="K102" s="64"/>
      <c r="L102" s="64"/>
      <c r="M102" s="64"/>
      <c r="N102" s="64"/>
      <c r="O102" s="64"/>
      <c r="P102" s="64"/>
      <c r="Q102" s="64"/>
      <c r="R102" s="64"/>
      <c r="S102" s="64"/>
      <c r="T102" s="64"/>
      <c r="U102" s="64"/>
      <c r="V102" s="64"/>
      <c r="W102" s="64"/>
      <c r="X102" s="64"/>
      <c r="Y102" s="64"/>
      <c r="Z102" s="64"/>
    </row>
    <row r="103" ht="12.75" customHeight="1">
      <c r="A103" s="108"/>
      <c r="B103" s="64"/>
      <c r="C103" s="64"/>
      <c r="D103" s="64"/>
      <c r="E103" s="64"/>
      <c r="F103" s="63"/>
      <c r="G103" s="63"/>
      <c r="H103" s="64"/>
      <c r="I103" s="64"/>
      <c r="J103" s="64"/>
      <c r="K103" s="64"/>
      <c r="L103" s="64"/>
      <c r="M103" s="64"/>
      <c r="N103" s="64"/>
      <c r="O103" s="64"/>
      <c r="P103" s="64"/>
      <c r="Q103" s="64"/>
      <c r="R103" s="64"/>
      <c r="S103" s="64"/>
      <c r="T103" s="64"/>
      <c r="U103" s="64"/>
      <c r="V103" s="64"/>
      <c r="W103" s="64"/>
      <c r="X103" s="64"/>
      <c r="Y103" s="64"/>
      <c r="Z103" s="64"/>
    </row>
    <row r="104" ht="12.75" customHeight="1">
      <c r="A104" s="108"/>
      <c r="B104" s="64"/>
      <c r="C104" s="64"/>
      <c r="D104" s="64"/>
      <c r="E104" s="64"/>
      <c r="F104" s="63"/>
      <c r="G104" s="63"/>
      <c r="H104" s="64"/>
      <c r="I104" s="64"/>
      <c r="J104" s="64"/>
      <c r="K104" s="64"/>
      <c r="L104" s="64"/>
      <c r="M104" s="64"/>
      <c r="N104" s="64"/>
      <c r="O104" s="64"/>
      <c r="P104" s="64"/>
      <c r="Q104" s="64"/>
      <c r="R104" s="64"/>
      <c r="S104" s="64"/>
      <c r="T104" s="64"/>
      <c r="U104" s="64"/>
      <c r="V104" s="64"/>
      <c r="W104" s="64"/>
      <c r="X104" s="64"/>
      <c r="Y104" s="64"/>
      <c r="Z104" s="64"/>
    </row>
    <row r="105" ht="12.75" customHeight="1">
      <c r="A105" s="108"/>
      <c r="B105" s="64"/>
      <c r="C105" s="64"/>
      <c r="D105" s="64"/>
      <c r="E105" s="64"/>
      <c r="F105" s="63"/>
      <c r="G105" s="63"/>
      <c r="H105" s="64"/>
      <c r="I105" s="64"/>
      <c r="J105" s="64"/>
      <c r="K105" s="64"/>
      <c r="L105" s="64"/>
      <c r="M105" s="64"/>
      <c r="N105" s="64"/>
      <c r="O105" s="64"/>
      <c r="P105" s="64"/>
      <c r="Q105" s="64"/>
      <c r="R105" s="64"/>
      <c r="S105" s="64"/>
      <c r="T105" s="64"/>
      <c r="U105" s="64"/>
      <c r="V105" s="64"/>
      <c r="W105" s="64"/>
      <c r="X105" s="64"/>
      <c r="Y105" s="64"/>
      <c r="Z105" s="64"/>
    </row>
    <row r="106" ht="12.75" customHeight="1">
      <c r="A106" s="108"/>
      <c r="B106" s="64"/>
      <c r="C106" s="64"/>
      <c r="D106" s="64"/>
      <c r="E106" s="64"/>
      <c r="F106" s="63"/>
      <c r="G106" s="63"/>
      <c r="H106" s="64"/>
      <c r="I106" s="64"/>
      <c r="J106" s="64"/>
      <c r="K106" s="64"/>
      <c r="L106" s="64"/>
      <c r="M106" s="64"/>
      <c r="N106" s="64"/>
      <c r="O106" s="64"/>
      <c r="P106" s="64"/>
      <c r="Q106" s="64"/>
      <c r="R106" s="64"/>
      <c r="S106" s="64"/>
      <c r="T106" s="64"/>
      <c r="U106" s="64"/>
      <c r="V106" s="64"/>
      <c r="W106" s="64"/>
      <c r="X106" s="64"/>
      <c r="Y106" s="64"/>
      <c r="Z106" s="64"/>
    </row>
    <row r="107" ht="12.75" customHeight="1">
      <c r="A107" s="108"/>
      <c r="B107" s="64"/>
      <c r="C107" s="64"/>
      <c r="D107" s="64"/>
      <c r="E107" s="64"/>
      <c r="F107" s="63"/>
      <c r="G107" s="63"/>
      <c r="H107" s="64"/>
      <c r="I107" s="64"/>
      <c r="J107" s="64"/>
      <c r="K107" s="64"/>
      <c r="L107" s="64"/>
      <c r="M107" s="64"/>
      <c r="N107" s="64"/>
      <c r="O107" s="64"/>
      <c r="P107" s="64"/>
      <c r="Q107" s="64"/>
      <c r="R107" s="64"/>
      <c r="S107" s="64"/>
      <c r="T107" s="64"/>
      <c r="U107" s="64"/>
      <c r="V107" s="64"/>
      <c r="W107" s="64"/>
      <c r="X107" s="64"/>
      <c r="Y107" s="64"/>
      <c r="Z107" s="64"/>
    </row>
    <row r="108" ht="12.75" customHeight="1">
      <c r="A108" s="108"/>
      <c r="B108" s="64"/>
      <c r="C108" s="64"/>
      <c r="D108" s="64"/>
      <c r="E108" s="64"/>
      <c r="F108" s="63"/>
      <c r="G108" s="63"/>
      <c r="H108" s="64"/>
      <c r="I108" s="64"/>
      <c r="J108" s="64"/>
      <c r="K108" s="64"/>
      <c r="L108" s="64"/>
      <c r="M108" s="64"/>
      <c r="N108" s="64"/>
      <c r="O108" s="64"/>
      <c r="P108" s="64"/>
      <c r="Q108" s="64"/>
      <c r="R108" s="64"/>
      <c r="S108" s="64"/>
      <c r="T108" s="64"/>
      <c r="U108" s="64"/>
      <c r="V108" s="64"/>
      <c r="W108" s="64"/>
      <c r="X108" s="64"/>
      <c r="Y108" s="64"/>
      <c r="Z108" s="64"/>
    </row>
    <row r="109" ht="12.75" customHeight="1">
      <c r="A109" s="108"/>
      <c r="B109" s="64"/>
      <c r="C109" s="64"/>
      <c r="D109" s="64"/>
      <c r="E109" s="64"/>
      <c r="F109" s="63"/>
      <c r="G109" s="63"/>
      <c r="H109" s="64"/>
      <c r="I109" s="64"/>
      <c r="J109" s="64"/>
      <c r="K109" s="64"/>
      <c r="L109" s="64"/>
      <c r="M109" s="64"/>
      <c r="N109" s="64"/>
      <c r="O109" s="64"/>
      <c r="P109" s="64"/>
      <c r="Q109" s="64"/>
      <c r="R109" s="64"/>
      <c r="S109" s="64"/>
      <c r="T109" s="64"/>
      <c r="U109" s="64"/>
      <c r="V109" s="64"/>
      <c r="W109" s="64"/>
      <c r="X109" s="64"/>
      <c r="Y109" s="64"/>
      <c r="Z109" s="64"/>
    </row>
    <row r="110" ht="12.75" customHeight="1">
      <c r="A110" s="108"/>
      <c r="B110" s="64"/>
      <c r="C110" s="64"/>
      <c r="D110" s="64"/>
      <c r="E110" s="64"/>
      <c r="F110" s="63"/>
      <c r="G110" s="63"/>
      <c r="H110" s="64"/>
      <c r="I110" s="64"/>
      <c r="J110" s="64"/>
      <c r="K110" s="64"/>
      <c r="L110" s="64"/>
      <c r="M110" s="64"/>
      <c r="N110" s="64"/>
      <c r="O110" s="64"/>
      <c r="P110" s="64"/>
      <c r="Q110" s="64"/>
      <c r="R110" s="64"/>
      <c r="S110" s="64"/>
      <c r="T110" s="64"/>
      <c r="U110" s="64"/>
      <c r="V110" s="64"/>
      <c r="W110" s="64"/>
      <c r="X110" s="64"/>
      <c r="Y110" s="64"/>
      <c r="Z110" s="64"/>
    </row>
    <row r="111" ht="12.75" customHeight="1">
      <c r="A111" s="108"/>
      <c r="B111" s="64"/>
      <c r="C111" s="64"/>
      <c r="D111" s="64"/>
      <c r="E111" s="64"/>
      <c r="F111" s="63"/>
      <c r="G111" s="63"/>
      <c r="H111" s="64"/>
      <c r="I111" s="64"/>
      <c r="J111" s="64"/>
      <c r="K111" s="64"/>
      <c r="L111" s="64"/>
      <c r="M111" s="64"/>
      <c r="N111" s="64"/>
      <c r="O111" s="64"/>
      <c r="P111" s="64"/>
      <c r="Q111" s="64"/>
      <c r="R111" s="64"/>
      <c r="S111" s="64"/>
      <c r="T111" s="64"/>
      <c r="U111" s="64"/>
      <c r="V111" s="64"/>
      <c r="W111" s="64"/>
      <c r="X111" s="64"/>
      <c r="Y111" s="64"/>
      <c r="Z111" s="64"/>
    </row>
    <row r="112" ht="12.75" customHeight="1">
      <c r="A112" s="108"/>
      <c r="B112" s="64"/>
      <c r="C112" s="64"/>
      <c r="D112" s="64"/>
      <c r="E112" s="64"/>
      <c r="F112" s="63"/>
      <c r="G112" s="63"/>
      <c r="H112" s="64"/>
      <c r="I112" s="64"/>
      <c r="J112" s="64"/>
      <c r="K112" s="64"/>
      <c r="L112" s="64"/>
      <c r="M112" s="64"/>
      <c r="N112" s="64"/>
      <c r="O112" s="64"/>
      <c r="P112" s="64"/>
      <c r="Q112" s="64"/>
      <c r="R112" s="64"/>
      <c r="S112" s="64"/>
      <c r="T112" s="64"/>
      <c r="U112" s="64"/>
      <c r="V112" s="64"/>
      <c r="W112" s="64"/>
      <c r="X112" s="64"/>
      <c r="Y112" s="64"/>
      <c r="Z112" s="64"/>
    </row>
    <row r="113" ht="12.75" customHeight="1">
      <c r="A113" s="108"/>
      <c r="B113" s="64"/>
      <c r="C113" s="64"/>
      <c r="D113" s="64"/>
      <c r="E113" s="64"/>
      <c r="F113" s="63"/>
      <c r="G113" s="63"/>
      <c r="H113" s="64"/>
      <c r="I113" s="64"/>
      <c r="J113" s="64"/>
      <c r="K113" s="64"/>
      <c r="L113" s="64"/>
      <c r="M113" s="64"/>
      <c r="N113" s="64"/>
      <c r="O113" s="64"/>
      <c r="P113" s="64"/>
      <c r="Q113" s="64"/>
      <c r="R113" s="64"/>
      <c r="S113" s="64"/>
      <c r="T113" s="64"/>
      <c r="U113" s="64"/>
      <c r="V113" s="64"/>
      <c r="W113" s="64"/>
      <c r="X113" s="64"/>
      <c r="Y113" s="64"/>
      <c r="Z113" s="64"/>
    </row>
    <row r="114" ht="12.75" customHeight="1">
      <c r="A114" s="108"/>
      <c r="B114" s="64"/>
      <c r="C114" s="64"/>
      <c r="D114" s="64"/>
      <c r="E114" s="64"/>
      <c r="F114" s="63"/>
      <c r="G114" s="63"/>
      <c r="H114" s="64"/>
      <c r="I114" s="64"/>
      <c r="J114" s="64"/>
      <c r="K114" s="64"/>
      <c r="L114" s="64"/>
      <c r="M114" s="64"/>
      <c r="N114" s="64"/>
      <c r="O114" s="64"/>
      <c r="P114" s="64"/>
      <c r="Q114" s="64"/>
      <c r="R114" s="64"/>
      <c r="S114" s="64"/>
      <c r="T114" s="64"/>
      <c r="U114" s="64"/>
      <c r="V114" s="64"/>
      <c r="W114" s="64"/>
      <c r="X114" s="64"/>
      <c r="Y114" s="64"/>
      <c r="Z114" s="64"/>
    </row>
    <row r="115" ht="12.75" customHeight="1">
      <c r="A115" s="108"/>
      <c r="B115" s="64"/>
      <c r="C115" s="64"/>
      <c r="D115" s="64"/>
      <c r="E115" s="64"/>
      <c r="F115" s="63"/>
      <c r="G115" s="63"/>
      <c r="H115" s="64"/>
      <c r="I115" s="64"/>
      <c r="J115" s="64"/>
      <c r="K115" s="64"/>
      <c r="L115" s="64"/>
      <c r="M115" s="64"/>
      <c r="N115" s="64"/>
      <c r="O115" s="64"/>
      <c r="P115" s="64"/>
      <c r="Q115" s="64"/>
      <c r="R115" s="64"/>
      <c r="S115" s="64"/>
      <c r="T115" s="64"/>
      <c r="U115" s="64"/>
      <c r="V115" s="64"/>
      <c r="W115" s="64"/>
      <c r="X115" s="64"/>
      <c r="Y115" s="64"/>
      <c r="Z115" s="64"/>
    </row>
    <row r="116" ht="12.75" customHeight="1">
      <c r="A116" s="108"/>
      <c r="B116" s="64"/>
      <c r="C116" s="64"/>
      <c r="D116" s="64"/>
      <c r="E116" s="64"/>
      <c r="F116" s="63"/>
      <c r="G116" s="63"/>
      <c r="H116" s="64"/>
      <c r="I116" s="64"/>
      <c r="J116" s="64"/>
      <c r="K116" s="64"/>
      <c r="L116" s="64"/>
      <c r="M116" s="64"/>
      <c r="N116" s="64"/>
      <c r="O116" s="64"/>
      <c r="P116" s="64"/>
      <c r="Q116" s="64"/>
      <c r="R116" s="64"/>
      <c r="S116" s="64"/>
      <c r="T116" s="64"/>
      <c r="U116" s="64"/>
      <c r="V116" s="64"/>
      <c r="W116" s="64"/>
      <c r="X116" s="64"/>
      <c r="Y116" s="64"/>
      <c r="Z116" s="64"/>
    </row>
    <row r="117" ht="12.75" customHeight="1">
      <c r="A117" s="108"/>
      <c r="B117" s="64"/>
      <c r="C117" s="64"/>
      <c r="D117" s="64"/>
      <c r="E117" s="64"/>
      <c r="F117" s="63"/>
      <c r="G117" s="63"/>
      <c r="H117" s="64"/>
      <c r="I117" s="64"/>
      <c r="J117" s="64"/>
      <c r="K117" s="64"/>
      <c r="L117" s="64"/>
      <c r="M117" s="64"/>
      <c r="N117" s="64"/>
      <c r="O117" s="64"/>
      <c r="P117" s="64"/>
      <c r="Q117" s="64"/>
      <c r="R117" s="64"/>
      <c r="S117" s="64"/>
      <c r="T117" s="64"/>
      <c r="U117" s="64"/>
      <c r="V117" s="64"/>
      <c r="W117" s="64"/>
      <c r="X117" s="64"/>
      <c r="Y117" s="64"/>
      <c r="Z117" s="64"/>
    </row>
    <row r="118" ht="12.75" customHeight="1">
      <c r="A118" s="108"/>
      <c r="B118" s="64"/>
      <c r="C118" s="64"/>
      <c r="D118" s="64"/>
      <c r="E118" s="64"/>
      <c r="F118" s="63"/>
      <c r="G118" s="63"/>
      <c r="H118" s="64"/>
      <c r="I118" s="64"/>
      <c r="J118" s="64"/>
      <c r="K118" s="64"/>
      <c r="L118" s="64"/>
      <c r="M118" s="64"/>
      <c r="N118" s="64"/>
      <c r="O118" s="64"/>
      <c r="P118" s="64"/>
      <c r="Q118" s="64"/>
      <c r="R118" s="64"/>
      <c r="S118" s="64"/>
      <c r="T118" s="64"/>
      <c r="U118" s="64"/>
      <c r="V118" s="64"/>
      <c r="W118" s="64"/>
      <c r="X118" s="64"/>
      <c r="Y118" s="64"/>
      <c r="Z118" s="64"/>
    </row>
    <row r="119" ht="12.75" customHeight="1">
      <c r="A119" s="108"/>
      <c r="B119" s="64"/>
      <c r="C119" s="64"/>
      <c r="D119" s="64"/>
      <c r="E119" s="64"/>
      <c r="F119" s="63"/>
      <c r="G119" s="63"/>
      <c r="H119" s="64"/>
      <c r="I119" s="64"/>
      <c r="J119" s="64"/>
      <c r="K119" s="64"/>
      <c r="L119" s="64"/>
      <c r="M119" s="64"/>
      <c r="N119" s="64"/>
      <c r="O119" s="64"/>
      <c r="P119" s="64"/>
      <c r="Q119" s="64"/>
      <c r="R119" s="64"/>
      <c r="S119" s="64"/>
      <c r="T119" s="64"/>
      <c r="U119" s="64"/>
      <c r="V119" s="64"/>
      <c r="W119" s="64"/>
      <c r="X119" s="64"/>
      <c r="Y119" s="64"/>
      <c r="Z119" s="64"/>
    </row>
    <row r="120" ht="12.75" customHeight="1">
      <c r="A120" s="108"/>
      <c r="B120" s="64"/>
      <c r="C120" s="64"/>
      <c r="D120" s="64"/>
      <c r="E120" s="64"/>
      <c r="F120" s="63"/>
      <c r="G120" s="63"/>
      <c r="H120" s="64"/>
      <c r="I120" s="64"/>
      <c r="J120" s="64"/>
      <c r="K120" s="64"/>
      <c r="L120" s="64"/>
      <c r="M120" s="64"/>
      <c r="N120" s="64"/>
      <c r="O120" s="64"/>
      <c r="P120" s="64"/>
      <c r="Q120" s="64"/>
      <c r="R120" s="64"/>
      <c r="S120" s="64"/>
      <c r="T120" s="64"/>
      <c r="U120" s="64"/>
      <c r="V120" s="64"/>
      <c r="W120" s="64"/>
      <c r="X120" s="64"/>
      <c r="Y120" s="64"/>
      <c r="Z120" s="64"/>
    </row>
    <row r="121" ht="12.75" customHeight="1">
      <c r="A121" s="108"/>
      <c r="B121" s="64"/>
      <c r="C121" s="64"/>
      <c r="D121" s="64"/>
      <c r="E121" s="64"/>
      <c r="F121" s="63"/>
      <c r="G121" s="63"/>
      <c r="H121" s="64"/>
      <c r="I121" s="64"/>
      <c r="J121" s="64"/>
      <c r="K121" s="64"/>
      <c r="L121" s="64"/>
      <c r="M121" s="64"/>
      <c r="N121" s="64"/>
      <c r="O121" s="64"/>
      <c r="P121" s="64"/>
      <c r="Q121" s="64"/>
      <c r="R121" s="64"/>
      <c r="S121" s="64"/>
      <c r="T121" s="64"/>
      <c r="U121" s="64"/>
      <c r="V121" s="64"/>
      <c r="W121" s="64"/>
      <c r="X121" s="64"/>
      <c r="Y121" s="64"/>
      <c r="Z121" s="64"/>
    </row>
    <row r="122" ht="12.75" customHeight="1">
      <c r="A122" s="108"/>
      <c r="B122" s="64"/>
      <c r="C122" s="64"/>
      <c r="D122" s="64"/>
      <c r="E122" s="64"/>
      <c r="F122" s="63"/>
      <c r="G122" s="63"/>
      <c r="H122" s="64"/>
      <c r="I122" s="64"/>
      <c r="J122" s="64"/>
      <c r="K122" s="64"/>
      <c r="L122" s="64"/>
      <c r="M122" s="64"/>
      <c r="N122" s="64"/>
      <c r="O122" s="64"/>
      <c r="P122" s="64"/>
      <c r="Q122" s="64"/>
      <c r="R122" s="64"/>
      <c r="S122" s="64"/>
      <c r="T122" s="64"/>
      <c r="U122" s="64"/>
      <c r="V122" s="64"/>
      <c r="W122" s="64"/>
      <c r="X122" s="64"/>
      <c r="Y122" s="64"/>
      <c r="Z122" s="64"/>
    </row>
    <row r="123" ht="12.75" customHeight="1">
      <c r="A123" s="108"/>
      <c r="B123" s="64"/>
      <c r="C123" s="64"/>
      <c r="D123" s="64"/>
      <c r="E123" s="64"/>
      <c r="F123" s="63"/>
      <c r="G123" s="63"/>
      <c r="H123" s="64"/>
      <c r="I123" s="64"/>
      <c r="J123" s="64"/>
      <c r="K123" s="64"/>
      <c r="L123" s="64"/>
      <c r="M123" s="64"/>
      <c r="N123" s="64"/>
      <c r="O123" s="64"/>
      <c r="P123" s="64"/>
      <c r="Q123" s="64"/>
      <c r="R123" s="64"/>
      <c r="S123" s="64"/>
      <c r="T123" s="64"/>
      <c r="U123" s="64"/>
      <c r="V123" s="64"/>
      <c r="W123" s="64"/>
      <c r="X123" s="64"/>
      <c r="Y123" s="64"/>
      <c r="Z123" s="64"/>
    </row>
    <row r="124" ht="12.75" customHeight="1">
      <c r="A124" s="108"/>
      <c r="B124" s="64"/>
      <c r="C124" s="64"/>
      <c r="D124" s="64"/>
      <c r="E124" s="64"/>
      <c r="F124" s="63"/>
      <c r="G124" s="63"/>
      <c r="H124" s="64"/>
      <c r="I124" s="64"/>
      <c r="J124" s="64"/>
      <c r="K124" s="64"/>
      <c r="L124" s="64"/>
      <c r="M124" s="64"/>
      <c r="N124" s="64"/>
      <c r="O124" s="64"/>
      <c r="P124" s="64"/>
      <c r="Q124" s="64"/>
      <c r="R124" s="64"/>
      <c r="S124" s="64"/>
      <c r="T124" s="64"/>
      <c r="U124" s="64"/>
      <c r="V124" s="64"/>
      <c r="W124" s="64"/>
      <c r="X124" s="64"/>
      <c r="Y124" s="64"/>
      <c r="Z124" s="64"/>
    </row>
    <row r="125" ht="12.75" customHeight="1">
      <c r="A125" s="108"/>
      <c r="B125" s="64"/>
      <c r="C125" s="64"/>
      <c r="D125" s="64"/>
      <c r="E125" s="64"/>
      <c r="F125" s="63"/>
      <c r="G125" s="63"/>
      <c r="H125" s="64"/>
      <c r="I125" s="64"/>
      <c r="J125" s="64"/>
      <c r="K125" s="64"/>
      <c r="L125" s="64"/>
      <c r="M125" s="64"/>
      <c r="N125" s="64"/>
      <c r="O125" s="64"/>
      <c r="P125" s="64"/>
      <c r="Q125" s="64"/>
      <c r="R125" s="64"/>
      <c r="S125" s="64"/>
      <c r="T125" s="64"/>
      <c r="U125" s="64"/>
      <c r="V125" s="64"/>
      <c r="W125" s="64"/>
      <c r="X125" s="64"/>
      <c r="Y125" s="64"/>
      <c r="Z125" s="64"/>
    </row>
    <row r="126" ht="12.75" customHeight="1">
      <c r="A126" s="108"/>
      <c r="B126" s="64"/>
      <c r="C126" s="64"/>
      <c r="D126" s="64"/>
      <c r="E126" s="64"/>
      <c r="F126" s="63"/>
      <c r="G126" s="63"/>
      <c r="H126" s="64"/>
      <c r="I126" s="64"/>
      <c r="J126" s="64"/>
      <c r="K126" s="64"/>
      <c r="L126" s="64"/>
      <c r="M126" s="64"/>
      <c r="N126" s="64"/>
      <c r="O126" s="64"/>
      <c r="P126" s="64"/>
      <c r="Q126" s="64"/>
      <c r="R126" s="64"/>
      <c r="S126" s="64"/>
      <c r="T126" s="64"/>
      <c r="U126" s="64"/>
      <c r="V126" s="64"/>
      <c r="W126" s="64"/>
      <c r="X126" s="64"/>
      <c r="Y126" s="64"/>
      <c r="Z126" s="64"/>
    </row>
    <row r="127" ht="12.75" customHeight="1">
      <c r="A127" s="108"/>
      <c r="B127" s="64"/>
      <c r="C127" s="64"/>
      <c r="D127" s="64"/>
      <c r="E127" s="64"/>
      <c r="F127" s="63"/>
      <c r="G127" s="63"/>
      <c r="H127" s="64"/>
      <c r="I127" s="64"/>
      <c r="J127" s="64"/>
      <c r="K127" s="64"/>
      <c r="L127" s="64"/>
      <c r="M127" s="64"/>
      <c r="N127" s="64"/>
      <c r="O127" s="64"/>
      <c r="P127" s="64"/>
      <c r="Q127" s="64"/>
      <c r="R127" s="64"/>
      <c r="S127" s="64"/>
      <c r="T127" s="64"/>
      <c r="U127" s="64"/>
      <c r="V127" s="64"/>
      <c r="W127" s="64"/>
      <c r="X127" s="64"/>
      <c r="Y127" s="64"/>
      <c r="Z127" s="64"/>
    </row>
    <row r="128" ht="12.75" customHeight="1">
      <c r="A128" s="108"/>
      <c r="B128" s="64"/>
      <c r="C128" s="64"/>
      <c r="D128" s="64"/>
      <c r="E128" s="64"/>
      <c r="F128" s="63"/>
      <c r="G128" s="63"/>
      <c r="H128" s="64"/>
      <c r="I128" s="64"/>
      <c r="J128" s="64"/>
      <c r="K128" s="64"/>
      <c r="L128" s="64"/>
      <c r="M128" s="64"/>
      <c r="N128" s="64"/>
      <c r="O128" s="64"/>
      <c r="P128" s="64"/>
      <c r="Q128" s="64"/>
      <c r="R128" s="64"/>
      <c r="S128" s="64"/>
      <c r="T128" s="64"/>
      <c r="U128" s="64"/>
      <c r="V128" s="64"/>
      <c r="W128" s="64"/>
      <c r="X128" s="64"/>
      <c r="Y128" s="64"/>
      <c r="Z128" s="64"/>
    </row>
    <row r="129" ht="12.75" customHeight="1">
      <c r="A129" s="108"/>
      <c r="B129" s="64"/>
      <c r="C129" s="64"/>
      <c r="D129" s="64"/>
      <c r="E129" s="64"/>
      <c r="F129" s="63"/>
      <c r="G129" s="63"/>
      <c r="H129" s="64"/>
      <c r="I129" s="64"/>
      <c r="J129" s="64"/>
      <c r="K129" s="64"/>
      <c r="L129" s="64"/>
      <c r="M129" s="64"/>
      <c r="N129" s="64"/>
      <c r="O129" s="64"/>
      <c r="P129" s="64"/>
      <c r="Q129" s="64"/>
      <c r="R129" s="64"/>
      <c r="S129" s="64"/>
      <c r="T129" s="64"/>
      <c r="U129" s="64"/>
      <c r="V129" s="64"/>
      <c r="W129" s="64"/>
      <c r="X129" s="64"/>
      <c r="Y129" s="64"/>
      <c r="Z129" s="64"/>
    </row>
    <row r="130" ht="12.75" customHeight="1">
      <c r="A130" s="108"/>
      <c r="B130" s="64"/>
      <c r="C130" s="64"/>
      <c r="D130" s="64"/>
      <c r="E130" s="64"/>
      <c r="F130" s="63"/>
      <c r="G130" s="63"/>
      <c r="H130" s="64"/>
      <c r="I130" s="64"/>
      <c r="J130" s="64"/>
      <c r="K130" s="64"/>
      <c r="L130" s="64"/>
      <c r="M130" s="64"/>
      <c r="N130" s="64"/>
      <c r="O130" s="64"/>
      <c r="P130" s="64"/>
      <c r="Q130" s="64"/>
      <c r="R130" s="64"/>
      <c r="S130" s="64"/>
      <c r="T130" s="64"/>
      <c r="U130" s="64"/>
      <c r="V130" s="64"/>
      <c r="W130" s="64"/>
      <c r="X130" s="64"/>
      <c r="Y130" s="64"/>
      <c r="Z130" s="64"/>
    </row>
    <row r="131" ht="12.75" customHeight="1">
      <c r="A131" s="108"/>
      <c r="B131" s="64"/>
      <c r="C131" s="64"/>
      <c r="D131" s="64"/>
      <c r="E131" s="64"/>
      <c r="F131" s="63"/>
      <c r="G131" s="63"/>
      <c r="H131" s="64"/>
      <c r="I131" s="64"/>
      <c r="J131" s="64"/>
      <c r="K131" s="64"/>
      <c r="L131" s="64"/>
      <c r="M131" s="64"/>
      <c r="N131" s="64"/>
      <c r="O131" s="64"/>
      <c r="P131" s="64"/>
      <c r="Q131" s="64"/>
      <c r="R131" s="64"/>
      <c r="S131" s="64"/>
      <c r="T131" s="64"/>
      <c r="U131" s="64"/>
      <c r="V131" s="64"/>
      <c r="W131" s="64"/>
      <c r="X131" s="64"/>
      <c r="Y131" s="64"/>
      <c r="Z131" s="64"/>
    </row>
    <row r="132" ht="12.75" customHeight="1">
      <c r="A132" s="108"/>
      <c r="B132" s="64"/>
      <c r="C132" s="64"/>
      <c r="D132" s="64"/>
      <c r="E132" s="64"/>
      <c r="F132" s="63"/>
      <c r="G132" s="63"/>
      <c r="H132" s="64"/>
      <c r="I132" s="64"/>
      <c r="J132" s="64"/>
      <c r="K132" s="64"/>
      <c r="L132" s="64"/>
      <c r="M132" s="64"/>
      <c r="N132" s="64"/>
      <c r="O132" s="64"/>
      <c r="P132" s="64"/>
      <c r="Q132" s="64"/>
      <c r="R132" s="64"/>
      <c r="S132" s="64"/>
      <c r="T132" s="64"/>
      <c r="U132" s="64"/>
      <c r="V132" s="64"/>
      <c r="W132" s="64"/>
      <c r="X132" s="64"/>
      <c r="Y132" s="64"/>
      <c r="Z132" s="64"/>
    </row>
    <row r="133" ht="12.75" customHeight="1">
      <c r="A133" s="108"/>
      <c r="B133" s="64"/>
      <c r="C133" s="64"/>
      <c r="D133" s="64"/>
      <c r="E133" s="64"/>
      <c r="F133" s="63"/>
      <c r="G133" s="63"/>
      <c r="H133" s="64"/>
      <c r="I133" s="64"/>
      <c r="J133" s="64"/>
      <c r="K133" s="64"/>
      <c r="L133" s="64"/>
      <c r="M133" s="64"/>
      <c r="N133" s="64"/>
      <c r="O133" s="64"/>
      <c r="P133" s="64"/>
      <c r="Q133" s="64"/>
      <c r="R133" s="64"/>
      <c r="S133" s="64"/>
      <c r="T133" s="64"/>
      <c r="U133" s="64"/>
      <c r="V133" s="64"/>
      <c r="W133" s="64"/>
      <c r="X133" s="64"/>
      <c r="Y133" s="64"/>
      <c r="Z133" s="64"/>
    </row>
    <row r="134" ht="12.75" customHeight="1">
      <c r="A134" s="108"/>
      <c r="B134" s="64"/>
      <c r="C134" s="64"/>
      <c r="D134" s="64"/>
      <c r="E134" s="64"/>
      <c r="F134" s="63"/>
      <c r="G134" s="63"/>
      <c r="H134" s="64"/>
      <c r="I134" s="64"/>
      <c r="J134" s="64"/>
      <c r="K134" s="64"/>
      <c r="L134" s="64"/>
      <c r="M134" s="64"/>
      <c r="N134" s="64"/>
      <c r="O134" s="64"/>
      <c r="P134" s="64"/>
      <c r="Q134" s="64"/>
      <c r="R134" s="64"/>
      <c r="S134" s="64"/>
      <c r="T134" s="64"/>
      <c r="U134" s="64"/>
      <c r="V134" s="64"/>
      <c r="W134" s="64"/>
      <c r="X134" s="64"/>
      <c r="Y134" s="64"/>
      <c r="Z134" s="64"/>
    </row>
    <row r="135" ht="12.75" customHeight="1">
      <c r="A135" s="108"/>
      <c r="B135" s="64"/>
      <c r="C135" s="64"/>
      <c r="D135" s="64"/>
      <c r="E135" s="64"/>
      <c r="F135" s="63"/>
      <c r="G135" s="63"/>
      <c r="H135" s="64"/>
      <c r="I135" s="64"/>
      <c r="J135" s="64"/>
      <c r="K135" s="64"/>
      <c r="L135" s="64"/>
      <c r="M135" s="64"/>
      <c r="N135" s="64"/>
      <c r="O135" s="64"/>
      <c r="P135" s="64"/>
      <c r="Q135" s="64"/>
      <c r="R135" s="64"/>
      <c r="S135" s="64"/>
      <c r="T135" s="64"/>
      <c r="U135" s="64"/>
      <c r="V135" s="64"/>
      <c r="W135" s="64"/>
      <c r="X135" s="64"/>
      <c r="Y135" s="64"/>
      <c r="Z135" s="64"/>
    </row>
    <row r="136" ht="12.75" customHeight="1">
      <c r="A136" s="108"/>
      <c r="B136" s="64"/>
      <c r="C136" s="64"/>
      <c r="D136" s="64"/>
      <c r="E136" s="64"/>
      <c r="F136" s="63"/>
      <c r="G136" s="63"/>
      <c r="H136" s="64"/>
      <c r="I136" s="64"/>
      <c r="J136" s="64"/>
      <c r="K136" s="64"/>
      <c r="L136" s="64"/>
      <c r="M136" s="64"/>
      <c r="N136" s="64"/>
      <c r="O136" s="64"/>
      <c r="P136" s="64"/>
      <c r="Q136" s="64"/>
      <c r="R136" s="64"/>
      <c r="S136" s="64"/>
      <c r="T136" s="64"/>
      <c r="U136" s="64"/>
      <c r="V136" s="64"/>
      <c r="W136" s="64"/>
      <c r="X136" s="64"/>
      <c r="Y136" s="64"/>
      <c r="Z136" s="64"/>
    </row>
    <row r="137" ht="12.75" customHeight="1">
      <c r="A137" s="108"/>
      <c r="B137" s="64"/>
      <c r="C137" s="64"/>
      <c r="D137" s="64"/>
      <c r="E137" s="64"/>
      <c r="F137" s="63"/>
      <c r="G137" s="63"/>
      <c r="H137" s="64"/>
      <c r="I137" s="64"/>
      <c r="J137" s="64"/>
      <c r="K137" s="64"/>
      <c r="L137" s="64"/>
      <c r="M137" s="64"/>
      <c r="N137" s="64"/>
      <c r="O137" s="64"/>
      <c r="P137" s="64"/>
      <c r="Q137" s="64"/>
      <c r="R137" s="64"/>
      <c r="S137" s="64"/>
      <c r="T137" s="64"/>
      <c r="U137" s="64"/>
      <c r="V137" s="64"/>
      <c r="W137" s="64"/>
      <c r="X137" s="64"/>
      <c r="Y137" s="64"/>
      <c r="Z137" s="64"/>
    </row>
    <row r="138" ht="12.75" customHeight="1">
      <c r="A138" s="108"/>
      <c r="B138" s="64"/>
      <c r="C138" s="64"/>
      <c r="D138" s="64"/>
      <c r="E138" s="64"/>
      <c r="F138" s="63"/>
      <c r="G138" s="63"/>
      <c r="H138" s="64"/>
      <c r="I138" s="64"/>
      <c r="J138" s="64"/>
      <c r="K138" s="64"/>
      <c r="L138" s="64"/>
      <c r="M138" s="64"/>
      <c r="N138" s="64"/>
      <c r="O138" s="64"/>
      <c r="P138" s="64"/>
      <c r="Q138" s="64"/>
      <c r="R138" s="64"/>
      <c r="S138" s="64"/>
      <c r="T138" s="64"/>
      <c r="U138" s="64"/>
      <c r="V138" s="64"/>
      <c r="W138" s="64"/>
      <c r="X138" s="64"/>
      <c r="Y138" s="64"/>
      <c r="Z138" s="64"/>
    </row>
    <row r="139" ht="12.75" customHeight="1">
      <c r="A139" s="108"/>
      <c r="B139" s="64"/>
      <c r="C139" s="64"/>
      <c r="D139" s="64"/>
      <c r="E139" s="64"/>
      <c r="F139" s="63"/>
      <c r="G139" s="63"/>
      <c r="H139" s="64"/>
      <c r="I139" s="64"/>
      <c r="J139" s="64"/>
      <c r="K139" s="64"/>
      <c r="L139" s="64"/>
      <c r="M139" s="64"/>
      <c r="N139" s="64"/>
      <c r="O139" s="64"/>
      <c r="P139" s="64"/>
      <c r="Q139" s="64"/>
      <c r="R139" s="64"/>
      <c r="S139" s="64"/>
      <c r="T139" s="64"/>
      <c r="U139" s="64"/>
      <c r="V139" s="64"/>
      <c r="W139" s="64"/>
      <c r="X139" s="64"/>
      <c r="Y139" s="64"/>
      <c r="Z139" s="64"/>
    </row>
    <row r="140" ht="12.75" customHeight="1">
      <c r="A140" s="108"/>
      <c r="B140" s="64"/>
      <c r="C140" s="64"/>
      <c r="D140" s="64"/>
      <c r="E140" s="64"/>
      <c r="F140" s="63"/>
      <c r="G140" s="63"/>
      <c r="H140" s="64"/>
      <c r="I140" s="64"/>
      <c r="J140" s="64"/>
      <c r="K140" s="64"/>
      <c r="L140" s="64"/>
      <c r="M140" s="64"/>
      <c r="N140" s="64"/>
      <c r="O140" s="64"/>
      <c r="P140" s="64"/>
      <c r="Q140" s="64"/>
      <c r="R140" s="64"/>
      <c r="S140" s="64"/>
      <c r="T140" s="64"/>
      <c r="U140" s="64"/>
      <c r="V140" s="64"/>
      <c r="W140" s="64"/>
      <c r="X140" s="64"/>
      <c r="Y140" s="64"/>
      <c r="Z140" s="64"/>
    </row>
    <row r="141" ht="12.75" customHeight="1">
      <c r="A141" s="108"/>
      <c r="B141" s="64"/>
      <c r="C141" s="64"/>
      <c r="D141" s="64"/>
      <c r="E141" s="64"/>
      <c r="F141" s="63"/>
      <c r="G141" s="63"/>
      <c r="H141" s="64"/>
      <c r="I141" s="64"/>
      <c r="J141" s="64"/>
      <c r="K141" s="64"/>
      <c r="L141" s="64"/>
      <c r="M141" s="64"/>
      <c r="N141" s="64"/>
      <c r="O141" s="64"/>
      <c r="P141" s="64"/>
      <c r="Q141" s="64"/>
      <c r="R141" s="64"/>
      <c r="S141" s="64"/>
      <c r="T141" s="64"/>
      <c r="U141" s="64"/>
      <c r="V141" s="64"/>
      <c r="W141" s="64"/>
      <c r="X141" s="64"/>
      <c r="Y141" s="64"/>
      <c r="Z141" s="64"/>
    </row>
    <row r="142" ht="12.75" customHeight="1">
      <c r="A142" s="108"/>
      <c r="B142" s="64"/>
      <c r="C142" s="64"/>
      <c r="D142" s="64"/>
      <c r="E142" s="64"/>
      <c r="F142" s="63"/>
      <c r="G142" s="63"/>
      <c r="H142" s="64"/>
      <c r="I142" s="64"/>
      <c r="J142" s="64"/>
      <c r="K142" s="64"/>
      <c r="L142" s="64"/>
      <c r="M142" s="64"/>
      <c r="N142" s="64"/>
      <c r="O142" s="64"/>
      <c r="P142" s="64"/>
      <c r="Q142" s="64"/>
      <c r="R142" s="64"/>
      <c r="S142" s="64"/>
      <c r="T142" s="64"/>
      <c r="U142" s="64"/>
      <c r="V142" s="64"/>
      <c r="W142" s="64"/>
      <c r="X142" s="64"/>
      <c r="Y142" s="64"/>
      <c r="Z142" s="64"/>
    </row>
    <row r="143" ht="12.75" customHeight="1">
      <c r="A143" s="108"/>
      <c r="B143" s="64"/>
      <c r="C143" s="64"/>
      <c r="D143" s="64"/>
      <c r="E143" s="64"/>
      <c r="F143" s="63"/>
      <c r="G143" s="63"/>
      <c r="H143" s="64"/>
      <c r="I143" s="64"/>
      <c r="J143" s="64"/>
      <c r="K143" s="64"/>
      <c r="L143" s="64"/>
      <c r="M143" s="64"/>
      <c r="N143" s="64"/>
      <c r="O143" s="64"/>
      <c r="P143" s="64"/>
      <c r="Q143" s="64"/>
      <c r="R143" s="64"/>
      <c r="S143" s="64"/>
      <c r="T143" s="64"/>
      <c r="U143" s="64"/>
      <c r="V143" s="64"/>
      <c r="W143" s="64"/>
      <c r="X143" s="64"/>
      <c r="Y143" s="64"/>
      <c r="Z143" s="64"/>
    </row>
    <row r="144" ht="12.75" customHeight="1">
      <c r="A144" s="108"/>
      <c r="B144" s="64"/>
      <c r="C144" s="64"/>
      <c r="D144" s="64"/>
      <c r="E144" s="64"/>
      <c r="F144" s="63"/>
      <c r="G144" s="63"/>
      <c r="H144" s="64"/>
      <c r="I144" s="64"/>
      <c r="J144" s="64"/>
      <c r="K144" s="64"/>
      <c r="L144" s="64"/>
      <c r="M144" s="64"/>
      <c r="N144" s="64"/>
      <c r="O144" s="64"/>
      <c r="P144" s="64"/>
      <c r="Q144" s="64"/>
      <c r="R144" s="64"/>
      <c r="S144" s="64"/>
      <c r="T144" s="64"/>
      <c r="U144" s="64"/>
      <c r="V144" s="64"/>
      <c r="W144" s="64"/>
      <c r="X144" s="64"/>
      <c r="Y144" s="64"/>
      <c r="Z144" s="64"/>
    </row>
    <row r="145" ht="12.75" customHeight="1">
      <c r="A145" s="108"/>
      <c r="B145" s="64"/>
      <c r="C145" s="64"/>
      <c r="D145" s="64"/>
      <c r="E145" s="64"/>
      <c r="F145" s="63"/>
      <c r="G145" s="63"/>
      <c r="H145" s="64"/>
      <c r="I145" s="64"/>
      <c r="J145" s="64"/>
      <c r="K145" s="64"/>
      <c r="L145" s="64"/>
      <c r="M145" s="64"/>
      <c r="N145" s="64"/>
      <c r="O145" s="64"/>
      <c r="P145" s="64"/>
      <c r="Q145" s="64"/>
      <c r="R145" s="64"/>
      <c r="S145" s="64"/>
      <c r="T145" s="64"/>
      <c r="U145" s="64"/>
      <c r="V145" s="64"/>
      <c r="W145" s="64"/>
      <c r="X145" s="64"/>
      <c r="Y145" s="64"/>
      <c r="Z145" s="64"/>
    </row>
    <row r="146" ht="12.75" customHeight="1">
      <c r="A146" s="108"/>
      <c r="B146" s="64"/>
      <c r="C146" s="64"/>
      <c r="D146" s="64"/>
      <c r="E146" s="64"/>
      <c r="F146" s="63"/>
      <c r="G146" s="63"/>
      <c r="H146" s="64"/>
      <c r="I146" s="64"/>
      <c r="J146" s="64"/>
      <c r="K146" s="64"/>
      <c r="L146" s="64"/>
      <c r="M146" s="64"/>
      <c r="N146" s="64"/>
      <c r="O146" s="64"/>
      <c r="P146" s="64"/>
      <c r="Q146" s="64"/>
      <c r="R146" s="64"/>
      <c r="S146" s="64"/>
      <c r="T146" s="64"/>
      <c r="U146" s="64"/>
      <c r="V146" s="64"/>
      <c r="W146" s="64"/>
      <c r="X146" s="64"/>
      <c r="Y146" s="64"/>
      <c r="Z146" s="64"/>
    </row>
    <row r="147" ht="12.75" customHeight="1">
      <c r="A147" s="108"/>
      <c r="B147" s="64"/>
      <c r="C147" s="64"/>
      <c r="D147" s="64"/>
      <c r="E147" s="64"/>
      <c r="F147" s="63"/>
      <c r="G147" s="63"/>
      <c r="H147" s="64"/>
      <c r="I147" s="64"/>
      <c r="J147" s="64"/>
      <c r="K147" s="64"/>
      <c r="L147" s="64"/>
      <c r="M147" s="64"/>
      <c r="N147" s="64"/>
      <c r="O147" s="64"/>
      <c r="P147" s="64"/>
      <c r="Q147" s="64"/>
      <c r="R147" s="64"/>
      <c r="S147" s="64"/>
      <c r="T147" s="64"/>
      <c r="U147" s="64"/>
      <c r="V147" s="64"/>
      <c r="W147" s="64"/>
      <c r="X147" s="64"/>
      <c r="Y147" s="64"/>
      <c r="Z147" s="64"/>
    </row>
    <row r="148" ht="12.75" customHeight="1">
      <c r="A148" s="108"/>
      <c r="B148" s="64"/>
      <c r="C148" s="64"/>
      <c r="D148" s="64"/>
      <c r="E148" s="64"/>
      <c r="F148" s="63"/>
      <c r="G148" s="63"/>
      <c r="H148" s="64"/>
      <c r="I148" s="64"/>
      <c r="J148" s="64"/>
      <c r="K148" s="64"/>
      <c r="L148" s="64"/>
      <c r="M148" s="64"/>
      <c r="N148" s="64"/>
      <c r="O148" s="64"/>
      <c r="P148" s="64"/>
      <c r="Q148" s="64"/>
      <c r="R148" s="64"/>
      <c r="S148" s="64"/>
      <c r="T148" s="64"/>
      <c r="U148" s="64"/>
      <c r="V148" s="64"/>
      <c r="W148" s="64"/>
      <c r="X148" s="64"/>
      <c r="Y148" s="64"/>
      <c r="Z148" s="64"/>
    </row>
    <row r="149" ht="12.75" customHeight="1">
      <c r="A149" s="108"/>
      <c r="B149" s="64"/>
      <c r="C149" s="64"/>
      <c r="D149" s="64"/>
      <c r="E149" s="64"/>
      <c r="F149" s="63"/>
      <c r="G149" s="63"/>
      <c r="H149" s="64"/>
      <c r="I149" s="64"/>
      <c r="J149" s="64"/>
      <c r="K149" s="64"/>
      <c r="L149" s="64"/>
      <c r="M149" s="64"/>
      <c r="N149" s="64"/>
      <c r="O149" s="64"/>
      <c r="P149" s="64"/>
      <c r="Q149" s="64"/>
      <c r="R149" s="64"/>
      <c r="S149" s="64"/>
      <c r="T149" s="64"/>
      <c r="U149" s="64"/>
      <c r="V149" s="64"/>
      <c r="W149" s="64"/>
      <c r="X149" s="64"/>
      <c r="Y149" s="64"/>
      <c r="Z149" s="64"/>
    </row>
    <row r="150" ht="12.75" customHeight="1">
      <c r="A150" s="108"/>
      <c r="B150" s="64"/>
      <c r="C150" s="64"/>
      <c r="D150" s="64"/>
      <c r="E150" s="64"/>
      <c r="F150" s="63"/>
      <c r="G150" s="63"/>
      <c r="H150" s="64"/>
      <c r="I150" s="64"/>
      <c r="J150" s="64"/>
      <c r="K150" s="64"/>
      <c r="L150" s="64"/>
      <c r="M150" s="64"/>
      <c r="N150" s="64"/>
      <c r="O150" s="64"/>
      <c r="P150" s="64"/>
      <c r="Q150" s="64"/>
      <c r="R150" s="64"/>
      <c r="S150" s="64"/>
      <c r="T150" s="64"/>
      <c r="U150" s="64"/>
      <c r="V150" s="64"/>
      <c r="W150" s="64"/>
      <c r="X150" s="64"/>
      <c r="Y150" s="64"/>
      <c r="Z150" s="64"/>
    </row>
    <row r="151" ht="12.75" customHeight="1">
      <c r="A151" s="108"/>
      <c r="B151" s="64"/>
      <c r="C151" s="64"/>
      <c r="D151" s="64"/>
      <c r="E151" s="64"/>
      <c r="F151" s="63"/>
      <c r="G151" s="63"/>
      <c r="H151" s="64"/>
      <c r="I151" s="64"/>
      <c r="J151" s="64"/>
      <c r="K151" s="64"/>
      <c r="L151" s="64"/>
      <c r="M151" s="64"/>
      <c r="N151" s="64"/>
      <c r="O151" s="64"/>
      <c r="P151" s="64"/>
      <c r="Q151" s="64"/>
      <c r="R151" s="64"/>
      <c r="S151" s="64"/>
      <c r="T151" s="64"/>
      <c r="U151" s="64"/>
      <c r="V151" s="64"/>
      <c r="W151" s="64"/>
      <c r="X151" s="64"/>
      <c r="Y151" s="64"/>
      <c r="Z151" s="64"/>
    </row>
    <row r="152" ht="12.75" customHeight="1">
      <c r="A152" s="108"/>
      <c r="B152" s="64"/>
      <c r="C152" s="64"/>
      <c r="D152" s="64"/>
      <c r="E152" s="64"/>
      <c r="F152" s="63"/>
      <c r="G152" s="63"/>
      <c r="H152" s="64"/>
      <c r="I152" s="64"/>
      <c r="J152" s="64"/>
      <c r="K152" s="64"/>
      <c r="L152" s="64"/>
      <c r="M152" s="64"/>
      <c r="N152" s="64"/>
      <c r="O152" s="64"/>
      <c r="P152" s="64"/>
      <c r="Q152" s="64"/>
      <c r="R152" s="64"/>
      <c r="S152" s="64"/>
      <c r="T152" s="64"/>
      <c r="U152" s="64"/>
      <c r="V152" s="64"/>
      <c r="W152" s="64"/>
      <c r="X152" s="64"/>
      <c r="Y152" s="64"/>
      <c r="Z152" s="64"/>
    </row>
    <row r="153" ht="12.75" customHeight="1">
      <c r="A153" s="108"/>
      <c r="B153" s="64"/>
      <c r="C153" s="64"/>
      <c r="D153" s="64"/>
      <c r="E153" s="64"/>
      <c r="F153" s="63"/>
      <c r="G153" s="63"/>
      <c r="H153" s="64"/>
      <c r="I153" s="64"/>
      <c r="J153" s="64"/>
      <c r="K153" s="64"/>
      <c r="L153" s="64"/>
      <c r="M153" s="64"/>
      <c r="N153" s="64"/>
      <c r="O153" s="64"/>
      <c r="P153" s="64"/>
      <c r="Q153" s="64"/>
      <c r="R153" s="64"/>
      <c r="S153" s="64"/>
      <c r="T153" s="64"/>
      <c r="U153" s="64"/>
      <c r="V153" s="64"/>
      <c r="W153" s="64"/>
      <c r="X153" s="64"/>
      <c r="Y153" s="64"/>
      <c r="Z153" s="64"/>
    </row>
    <row r="154" ht="12.75" customHeight="1">
      <c r="A154" s="108"/>
      <c r="B154" s="64"/>
      <c r="C154" s="64"/>
      <c r="D154" s="64"/>
      <c r="E154" s="64"/>
      <c r="F154" s="63"/>
      <c r="G154" s="63"/>
      <c r="H154" s="64"/>
      <c r="I154" s="64"/>
      <c r="J154" s="64"/>
      <c r="K154" s="64"/>
      <c r="L154" s="64"/>
      <c r="M154" s="64"/>
      <c r="N154" s="64"/>
      <c r="O154" s="64"/>
      <c r="P154" s="64"/>
      <c r="Q154" s="64"/>
      <c r="R154" s="64"/>
      <c r="S154" s="64"/>
      <c r="T154" s="64"/>
      <c r="U154" s="64"/>
      <c r="V154" s="64"/>
      <c r="W154" s="64"/>
      <c r="X154" s="64"/>
      <c r="Y154" s="64"/>
      <c r="Z154" s="64"/>
    </row>
    <row r="155" ht="12.75" customHeight="1">
      <c r="A155" s="108"/>
      <c r="B155" s="64"/>
      <c r="C155" s="64"/>
      <c r="D155" s="64"/>
      <c r="E155" s="64"/>
      <c r="F155" s="63"/>
      <c r="G155" s="63"/>
      <c r="H155" s="64"/>
      <c r="I155" s="64"/>
      <c r="J155" s="64"/>
      <c r="K155" s="64"/>
      <c r="L155" s="64"/>
      <c r="M155" s="64"/>
      <c r="N155" s="64"/>
      <c r="O155" s="64"/>
      <c r="P155" s="64"/>
      <c r="Q155" s="64"/>
      <c r="R155" s="64"/>
      <c r="S155" s="64"/>
      <c r="T155" s="64"/>
      <c r="U155" s="64"/>
      <c r="V155" s="64"/>
      <c r="W155" s="64"/>
      <c r="X155" s="64"/>
      <c r="Y155" s="64"/>
      <c r="Z155" s="64"/>
    </row>
    <row r="156" ht="12.75" customHeight="1">
      <c r="A156" s="108"/>
      <c r="B156" s="64"/>
      <c r="C156" s="64"/>
      <c r="D156" s="64"/>
      <c r="E156" s="64"/>
      <c r="F156" s="63"/>
      <c r="G156" s="63"/>
      <c r="H156" s="64"/>
      <c r="I156" s="64"/>
      <c r="J156" s="64"/>
      <c r="K156" s="64"/>
      <c r="L156" s="64"/>
      <c r="M156" s="64"/>
      <c r="N156" s="64"/>
      <c r="O156" s="64"/>
      <c r="P156" s="64"/>
      <c r="Q156" s="64"/>
      <c r="R156" s="64"/>
      <c r="S156" s="64"/>
      <c r="T156" s="64"/>
      <c r="U156" s="64"/>
      <c r="V156" s="64"/>
      <c r="W156" s="64"/>
      <c r="X156" s="64"/>
      <c r="Y156" s="64"/>
      <c r="Z156" s="64"/>
    </row>
    <row r="157" ht="12.75" customHeight="1">
      <c r="A157" s="108"/>
      <c r="B157" s="64"/>
      <c r="C157" s="64"/>
      <c r="D157" s="64"/>
      <c r="E157" s="64"/>
      <c r="F157" s="63"/>
      <c r="G157" s="63"/>
      <c r="H157" s="64"/>
      <c r="I157" s="64"/>
      <c r="J157" s="64"/>
      <c r="K157" s="64"/>
      <c r="L157" s="64"/>
      <c r="M157" s="64"/>
      <c r="N157" s="64"/>
      <c r="O157" s="64"/>
      <c r="P157" s="64"/>
      <c r="Q157" s="64"/>
      <c r="R157" s="64"/>
      <c r="S157" s="64"/>
      <c r="T157" s="64"/>
      <c r="U157" s="64"/>
      <c r="V157" s="64"/>
      <c r="W157" s="64"/>
      <c r="X157" s="64"/>
      <c r="Y157" s="64"/>
      <c r="Z157" s="64"/>
    </row>
    <row r="158" ht="12.75" customHeight="1">
      <c r="A158" s="108"/>
      <c r="B158" s="64"/>
      <c r="C158" s="64"/>
      <c r="D158" s="64"/>
      <c r="E158" s="64"/>
      <c r="F158" s="63"/>
      <c r="G158" s="63"/>
      <c r="H158" s="64"/>
      <c r="I158" s="64"/>
      <c r="J158" s="64"/>
      <c r="K158" s="64"/>
      <c r="L158" s="64"/>
      <c r="M158" s="64"/>
      <c r="N158" s="64"/>
      <c r="O158" s="64"/>
      <c r="P158" s="64"/>
      <c r="Q158" s="64"/>
      <c r="R158" s="64"/>
      <c r="S158" s="64"/>
      <c r="T158" s="64"/>
      <c r="U158" s="64"/>
      <c r="V158" s="64"/>
      <c r="W158" s="64"/>
      <c r="X158" s="64"/>
      <c r="Y158" s="64"/>
      <c r="Z158" s="64"/>
    </row>
    <row r="159" ht="12.75" customHeight="1">
      <c r="A159" s="108"/>
      <c r="B159" s="64"/>
      <c r="C159" s="64"/>
      <c r="D159" s="64"/>
      <c r="E159" s="64"/>
      <c r="F159" s="63"/>
      <c r="G159" s="63"/>
      <c r="H159" s="64"/>
      <c r="I159" s="64"/>
      <c r="J159" s="64"/>
      <c r="K159" s="64"/>
      <c r="L159" s="64"/>
      <c r="M159" s="64"/>
      <c r="N159" s="64"/>
      <c r="O159" s="64"/>
      <c r="P159" s="64"/>
      <c r="Q159" s="64"/>
      <c r="R159" s="64"/>
      <c r="S159" s="64"/>
      <c r="T159" s="64"/>
      <c r="U159" s="64"/>
      <c r="V159" s="64"/>
      <c r="W159" s="64"/>
      <c r="X159" s="64"/>
      <c r="Y159" s="64"/>
      <c r="Z159" s="64"/>
    </row>
    <row r="160" ht="12.75" customHeight="1">
      <c r="A160" s="108"/>
      <c r="B160" s="64"/>
      <c r="C160" s="64"/>
      <c r="D160" s="64"/>
      <c r="E160" s="64"/>
      <c r="F160" s="63"/>
      <c r="G160" s="63"/>
      <c r="H160" s="64"/>
      <c r="I160" s="64"/>
      <c r="J160" s="64"/>
      <c r="K160" s="64"/>
      <c r="L160" s="64"/>
      <c r="M160" s="64"/>
      <c r="N160" s="64"/>
      <c r="O160" s="64"/>
      <c r="P160" s="64"/>
      <c r="Q160" s="64"/>
      <c r="R160" s="64"/>
      <c r="S160" s="64"/>
      <c r="T160" s="64"/>
      <c r="U160" s="64"/>
      <c r="V160" s="64"/>
      <c r="W160" s="64"/>
      <c r="X160" s="64"/>
      <c r="Y160" s="64"/>
      <c r="Z160" s="64"/>
    </row>
    <row r="161" ht="12.75" customHeight="1">
      <c r="A161" s="108"/>
      <c r="B161" s="64"/>
      <c r="C161" s="64"/>
      <c r="D161" s="64"/>
      <c r="E161" s="64"/>
      <c r="F161" s="63"/>
      <c r="G161" s="63"/>
      <c r="H161" s="64"/>
      <c r="I161" s="64"/>
      <c r="J161" s="64"/>
      <c r="K161" s="64"/>
      <c r="L161" s="64"/>
      <c r="M161" s="64"/>
      <c r="N161" s="64"/>
      <c r="O161" s="64"/>
      <c r="P161" s="64"/>
      <c r="Q161" s="64"/>
      <c r="R161" s="64"/>
      <c r="S161" s="64"/>
      <c r="T161" s="64"/>
      <c r="U161" s="64"/>
      <c r="V161" s="64"/>
      <c r="W161" s="64"/>
      <c r="X161" s="64"/>
      <c r="Y161" s="64"/>
      <c r="Z161" s="64"/>
    </row>
    <row r="162" ht="12.75" customHeight="1">
      <c r="A162" s="108"/>
      <c r="B162" s="64"/>
      <c r="C162" s="64"/>
      <c r="D162" s="64"/>
      <c r="E162" s="64"/>
      <c r="F162" s="63"/>
      <c r="G162" s="63"/>
      <c r="H162" s="64"/>
      <c r="I162" s="64"/>
      <c r="J162" s="64"/>
      <c r="K162" s="64"/>
      <c r="L162" s="64"/>
      <c r="M162" s="64"/>
      <c r="N162" s="64"/>
      <c r="O162" s="64"/>
      <c r="P162" s="64"/>
      <c r="Q162" s="64"/>
      <c r="R162" s="64"/>
      <c r="S162" s="64"/>
      <c r="T162" s="64"/>
      <c r="U162" s="64"/>
      <c r="V162" s="64"/>
      <c r="W162" s="64"/>
      <c r="X162" s="64"/>
      <c r="Y162" s="64"/>
      <c r="Z162" s="64"/>
    </row>
    <row r="163" ht="12.75" customHeight="1">
      <c r="A163" s="108"/>
      <c r="B163" s="64"/>
      <c r="C163" s="64"/>
      <c r="D163" s="64"/>
      <c r="E163" s="64"/>
      <c r="F163" s="63"/>
      <c r="G163" s="63"/>
      <c r="H163" s="64"/>
      <c r="I163" s="64"/>
      <c r="J163" s="64"/>
      <c r="K163" s="64"/>
      <c r="L163" s="64"/>
      <c r="M163" s="64"/>
      <c r="N163" s="64"/>
      <c r="O163" s="64"/>
      <c r="P163" s="64"/>
      <c r="Q163" s="64"/>
      <c r="R163" s="64"/>
      <c r="S163" s="64"/>
      <c r="T163" s="64"/>
      <c r="U163" s="64"/>
      <c r="V163" s="64"/>
      <c r="W163" s="64"/>
      <c r="X163" s="64"/>
      <c r="Y163" s="64"/>
      <c r="Z163" s="64"/>
    </row>
    <row r="164" ht="12.75" customHeight="1">
      <c r="A164" s="108"/>
      <c r="B164" s="64"/>
      <c r="C164" s="64"/>
      <c r="D164" s="64"/>
      <c r="E164" s="64"/>
      <c r="F164" s="63"/>
      <c r="G164" s="63"/>
      <c r="H164" s="64"/>
      <c r="I164" s="64"/>
      <c r="J164" s="64"/>
      <c r="K164" s="64"/>
      <c r="L164" s="64"/>
      <c r="M164" s="64"/>
      <c r="N164" s="64"/>
      <c r="O164" s="64"/>
      <c r="P164" s="64"/>
      <c r="Q164" s="64"/>
      <c r="R164" s="64"/>
      <c r="S164" s="64"/>
      <c r="T164" s="64"/>
      <c r="U164" s="64"/>
      <c r="V164" s="64"/>
      <c r="W164" s="64"/>
      <c r="X164" s="64"/>
      <c r="Y164" s="64"/>
      <c r="Z164" s="64"/>
    </row>
    <row r="165" ht="12.75" customHeight="1">
      <c r="A165" s="108"/>
      <c r="B165" s="64"/>
      <c r="C165" s="64"/>
      <c r="D165" s="64"/>
      <c r="E165" s="64"/>
      <c r="F165" s="63"/>
      <c r="G165" s="63"/>
      <c r="H165" s="64"/>
      <c r="I165" s="64"/>
      <c r="J165" s="64"/>
      <c r="K165" s="64"/>
      <c r="L165" s="64"/>
      <c r="M165" s="64"/>
      <c r="N165" s="64"/>
      <c r="O165" s="64"/>
      <c r="P165" s="64"/>
      <c r="Q165" s="64"/>
      <c r="R165" s="64"/>
      <c r="S165" s="64"/>
      <c r="T165" s="64"/>
      <c r="U165" s="64"/>
      <c r="V165" s="64"/>
      <c r="W165" s="64"/>
      <c r="X165" s="64"/>
      <c r="Y165" s="64"/>
      <c r="Z165" s="64"/>
    </row>
    <row r="166" ht="12.75" customHeight="1">
      <c r="A166" s="108"/>
      <c r="B166" s="64"/>
      <c r="C166" s="64"/>
      <c r="D166" s="64"/>
      <c r="E166" s="64"/>
      <c r="F166" s="63"/>
      <c r="G166" s="63"/>
      <c r="H166" s="64"/>
      <c r="I166" s="64"/>
      <c r="J166" s="64"/>
      <c r="K166" s="64"/>
      <c r="L166" s="64"/>
      <c r="M166" s="64"/>
      <c r="N166" s="64"/>
      <c r="O166" s="64"/>
      <c r="P166" s="64"/>
      <c r="Q166" s="64"/>
      <c r="R166" s="64"/>
      <c r="S166" s="64"/>
      <c r="T166" s="64"/>
      <c r="U166" s="64"/>
      <c r="V166" s="64"/>
      <c r="W166" s="64"/>
      <c r="X166" s="64"/>
      <c r="Y166" s="64"/>
      <c r="Z166" s="64"/>
    </row>
    <row r="167" ht="12.75" customHeight="1">
      <c r="A167" s="108"/>
      <c r="B167" s="64"/>
      <c r="C167" s="64"/>
      <c r="D167" s="64"/>
      <c r="E167" s="64"/>
      <c r="F167" s="63"/>
      <c r="G167" s="63"/>
      <c r="H167" s="64"/>
      <c r="I167" s="64"/>
      <c r="J167" s="64"/>
      <c r="K167" s="64"/>
      <c r="L167" s="64"/>
      <c r="M167" s="64"/>
      <c r="N167" s="64"/>
      <c r="O167" s="64"/>
      <c r="P167" s="64"/>
      <c r="Q167" s="64"/>
      <c r="R167" s="64"/>
      <c r="S167" s="64"/>
      <c r="T167" s="64"/>
      <c r="U167" s="64"/>
      <c r="V167" s="64"/>
      <c r="W167" s="64"/>
      <c r="X167" s="64"/>
      <c r="Y167" s="64"/>
      <c r="Z167" s="64"/>
    </row>
    <row r="168" ht="12.75" customHeight="1">
      <c r="A168" s="108"/>
      <c r="B168" s="64"/>
      <c r="C168" s="64"/>
      <c r="D168" s="64"/>
      <c r="E168" s="64"/>
      <c r="F168" s="63"/>
      <c r="G168" s="63"/>
      <c r="H168" s="64"/>
      <c r="I168" s="64"/>
      <c r="J168" s="64"/>
      <c r="K168" s="64"/>
      <c r="L168" s="64"/>
      <c r="M168" s="64"/>
      <c r="N168" s="64"/>
      <c r="O168" s="64"/>
      <c r="P168" s="64"/>
      <c r="Q168" s="64"/>
      <c r="R168" s="64"/>
      <c r="S168" s="64"/>
      <c r="T168" s="64"/>
      <c r="U168" s="64"/>
      <c r="V168" s="64"/>
      <c r="W168" s="64"/>
      <c r="X168" s="64"/>
      <c r="Y168" s="64"/>
      <c r="Z168" s="64"/>
    </row>
    <row r="169" ht="12.75" customHeight="1">
      <c r="A169" s="108"/>
      <c r="B169" s="64"/>
      <c r="C169" s="64"/>
      <c r="D169" s="64"/>
      <c r="E169" s="64"/>
      <c r="F169" s="63"/>
      <c r="G169" s="63"/>
      <c r="H169" s="64"/>
      <c r="I169" s="64"/>
      <c r="J169" s="64"/>
      <c r="K169" s="64"/>
      <c r="L169" s="64"/>
      <c r="M169" s="64"/>
      <c r="N169" s="64"/>
      <c r="O169" s="64"/>
      <c r="P169" s="64"/>
      <c r="Q169" s="64"/>
      <c r="R169" s="64"/>
      <c r="S169" s="64"/>
      <c r="T169" s="64"/>
      <c r="U169" s="64"/>
      <c r="V169" s="64"/>
      <c r="W169" s="64"/>
      <c r="X169" s="64"/>
      <c r="Y169" s="64"/>
      <c r="Z169" s="64"/>
    </row>
    <row r="170" ht="12.75" customHeight="1">
      <c r="A170" s="108"/>
      <c r="B170" s="64"/>
      <c r="C170" s="64"/>
      <c r="D170" s="64"/>
      <c r="E170" s="64"/>
      <c r="F170" s="63"/>
      <c r="G170" s="63"/>
      <c r="H170" s="64"/>
      <c r="I170" s="64"/>
      <c r="J170" s="64"/>
      <c r="K170" s="64"/>
      <c r="L170" s="64"/>
      <c r="M170" s="64"/>
      <c r="N170" s="64"/>
      <c r="O170" s="64"/>
      <c r="P170" s="64"/>
      <c r="Q170" s="64"/>
      <c r="R170" s="64"/>
      <c r="S170" s="64"/>
      <c r="T170" s="64"/>
      <c r="U170" s="64"/>
      <c r="V170" s="64"/>
      <c r="W170" s="64"/>
      <c r="X170" s="64"/>
      <c r="Y170" s="64"/>
      <c r="Z170" s="64"/>
    </row>
    <row r="171" ht="12.75" customHeight="1">
      <c r="A171" s="108"/>
      <c r="B171" s="64"/>
      <c r="C171" s="64"/>
      <c r="D171" s="64"/>
      <c r="E171" s="64"/>
      <c r="F171" s="63"/>
      <c r="G171" s="63"/>
      <c r="H171" s="64"/>
      <c r="I171" s="64"/>
      <c r="J171" s="64"/>
      <c r="K171" s="64"/>
      <c r="L171" s="64"/>
      <c r="M171" s="64"/>
      <c r="N171" s="64"/>
      <c r="O171" s="64"/>
      <c r="P171" s="64"/>
      <c r="Q171" s="64"/>
      <c r="R171" s="64"/>
      <c r="S171" s="64"/>
      <c r="T171" s="64"/>
      <c r="U171" s="64"/>
      <c r="V171" s="64"/>
      <c r="W171" s="64"/>
      <c r="X171" s="64"/>
      <c r="Y171" s="64"/>
      <c r="Z171" s="64"/>
    </row>
    <row r="172" ht="12.75" customHeight="1">
      <c r="A172" s="108"/>
      <c r="B172" s="64"/>
      <c r="C172" s="64"/>
      <c r="D172" s="64"/>
      <c r="E172" s="64"/>
      <c r="F172" s="63"/>
      <c r="G172" s="63"/>
      <c r="H172" s="64"/>
      <c r="I172" s="64"/>
      <c r="J172" s="64"/>
      <c r="K172" s="64"/>
      <c r="L172" s="64"/>
      <c r="M172" s="64"/>
      <c r="N172" s="64"/>
      <c r="O172" s="64"/>
      <c r="P172" s="64"/>
      <c r="Q172" s="64"/>
      <c r="R172" s="64"/>
      <c r="S172" s="64"/>
      <c r="T172" s="64"/>
      <c r="U172" s="64"/>
      <c r="V172" s="64"/>
      <c r="W172" s="64"/>
      <c r="X172" s="64"/>
      <c r="Y172" s="64"/>
      <c r="Z172" s="64"/>
    </row>
    <row r="173" ht="12.75" customHeight="1">
      <c r="A173" s="108"/>
      <c r="B173" s="64"/>
      <c r="C173" s="64"/>
      <c r="D173" s="64"/>
      <c r="E173" s="64"/>
      <c r="F173" s="63"/>
      <c r="G173" s="63"/>
      <c r="H173" s="64"/>
      <c r="I173" s="64"/>
      <c r="J173" s="64"/>
      <c r="K173" s="64"/>
      <c r="L173" s="64"/>
      <c r="M173" s="64"/>
      <c r="N173" s="64"/>
      <c r="O173" s="64"/>
      <c r="P173" s="64"/>
      <c r="Q173" s="64"/>
      <c r="R173" s="64"/>
      <c r="S173" s="64"/>
      <c r="T173" s="64"/>
      <c r="U173" s="64"/>
      <c r="V173" s="64"/>
      <c r="W173" s="64"/>
      <c r="X173" s="64"/>
      <c r="Y173" s="64"/>
      <c r="Z173" s="64"/>
    </row>
    <row r="174" ht="12.75" customHeight="1">
      <c r="A174" s="108"/>
      <c r="B174" s="64"/>
      <c r="C174" s="64"/>
      <c r="D174" s="64"/>
      <c r="E174" s="64"/>
      <c r="F174" s="63"/>
      <c r="G174" s="63"/>
      <c r="H174" s="64"/>
      <c r="I174" s="64"/>
      <c r="J174" s="64"/>
      <c r="K174" s="64"/>
      <c r="L174" s="64"/>
      <c r="M174" s="64"/>
      <c r="N174" s="64"/>
      <c r="O174" s="64"/>
      <c r="P174" s="64"/>
      <c r="Q174" s="64"/>
      <c r="R174" s="64"/>
      <c r="S174" s="64"/>
      <c r="T174" s="64"/>
      <c r="U174" s="64"/>
      <c r="V174" s="64"/>
      <c r="W174" s="64"/>
      <c r="X174" s="64"/>
      <c r="Y174" s="64"/>
      <c r="Z174" s="64"/>
    </row>
    <row r="175" ht="12.75" customHeight="1">
      <c r="A175" s="108"/>
      <c r="B175" s="64"/>
      <c r="C175" s="64"/>
      <c r="D175" s="64"/>
      <c r="E175" s="64"/>
      <c r="F175" s="63"/>
      <c r="G175" s="63"/>
      <c r="H175" s="64"/>
      <c r="I175" s="64"/>
      <c r="J175" s="64"/>
      <c r="K175" s="64"/>
      <c r="L175" s="64"/>
      <c r="M175" s="64"/>
      <c r="N175" s="64"/>
      <c r="O175" s="64"/>
      <c r="P175" s="64"/>
      <c r="Q175" s="64"/>
      <c r="R175" s="64"/>
      <c r="S175" s="64"/>
      <c r="T175" s="64"/>
      <c r="U175" s="64"/>
      <c r="V175" s="64"/>
      <c r="W175" s="64"/>
      <c r="X175" s="64"/>
      <c r="Y175" s="64"/>
      <c r="Z175" s="64"/>
    </row>
    <row r="176" ht="12.75" customHeight="1">
      <c r="A176" s="108"/>
      <c r="B176" s="64"/>
      <c r="C176" s="64"/>
      <c r="D176" s="64"/>
      <c r="E176" s="64"/>
      <c r="F176" s="63"/>
      <c r="G176" s="63"/>
      <c r="H176" s="64"/>
      <c r="I176" s="64"/>
      <c r="J176" s="64"/>
      <c r="K176" s="64"/>
      <c r="L176" s="64"/>
      <c r="M176" s="64"/>
      <c r="N176" s="64"/>
      <c r="O176" s="64"/>
      <c r="P176" s="64"/>
      <c r="Q176" s="64"/>
      <c r="R176" s="64"/>
      <c r="S176" s="64"/>
      <c r="T176" s="64"/>
      <c r="U176" s="64"/>
      <c r="V176" s="64"/>
      <c r="W176" s="64"/>
      <c r="X176" s="64"/>
      <c r="Y176" s="64"/>
      <c r="Z176" s="64"/>
    </row>
    <row r="177" ht="12.75" customHeight="1">
      <c r="A177" s="108"/>
      <c r="B177" s="64"/>
      <c r="C177" s="64"/>
      <c r="D177" s="64"/>
      <c r="E177" s="64"/>
      <c r="F177" s="63"/>
      <c r="G177" s="63"/>
      <c r="H177" s="64"/>
      <c r="I177" s="64"/>
      <c r="J177" s="64"/>
      <c r="K177" s="64"/>
      <c r="L177" s="64"/>
      <c r="M177" s="64"/>
      <c r="N177" s="64"/>
      <c r="O177" s="64"/>
      <c r="P177" s="64"/>
      <c r="Q177" s="64"/>
      <c r="R177" s="64"/>
      <c r="S177" s="64"/>
      <c r="T177" s="64"/>
      <c r="U177" s="64"/>
      <c r="V177" s="64"/>
      <c r="W177" s="64"/>
      <c r="X177" s="64"/>
      <c r="Y177" s="64"/>
      <c r="Z177" s="64"/>
    </row>
    <row r="178" ht="12.75" customHeight="1">
      <c r="A178" s="108"/>
      <c r="B178" s="64"/>
      <c r="C178" s="64"/>
      <c r="D178" s="64"/>
      <c r="E178" s="64"/>
      <c r="F178" s="63"/>
      <c r="G178" s="63"/>
      <c r="H178" s="64"/>
      <c r="I178" s="64"/>
      <c r="J178" s="64"/>
      <c r="K178" s="64"/>
      <c r="L178" s="64"/>
      <c r="M178" s="64"/>
      <c r="N178" s="64"/>
      <c r="O178" s="64"/>
      <c r="P178" s="64"/>
      <c r="Q178" s="64"/>
      <c r="R178" s="64"/>
      <c r="S178" s="64"/>
      <c r="T178" s="64"/>
      <c r="U178" s="64"/>
      <c r="V178" s="64"/>
      <c r="W178" s="64"/>
      <c r="X178" s="64"/>
      <c r="Y178" s="64"/>
      <c r="Z178" s="64"/>
    </row>
    <row r="179" ht="12.75" customHeight="1">
      <c r="A179" s="108"/>
      <c r="B179" s="64"/>
      <c r="C179" s="64"/>
      <c r="D179" s="64"/>
      <c r="E179" s="64"/>
      <c r="F179" s="63"/>
      <c r="G179" s="63"/>
      <c r="H179" s="64"/>
      <c r="I179" s="64"/>
      <c r="J179" s="64"/>
      <c r="K179" s="64"/>
      <c r="L179" s="64"/>
      <c r="M179" s="64"/>
      <c r="N179" s="64"/>
      <c r="O179" s="64"/>
      <c r="P179" s="64"/>
      <c r="Q179" s="64"/>
      <c r="R179" s="64"/>
      <c r="S179" s="64"/>
      <c r="T179" s="64"/>
      <c r="U179" s="64"/>
      <c r="V179" s="64"/>
      <c r="W179" s="64"/>
      <c r="X179" s="64"/>
      <c r="Y179" s="64"/>
      <c r="Z179" s="64"/>
    </row>
    <row r="180" ht="12.75" customHeight="1">
      <c r="A180" s="108"/>
      <c r="B180" s="64"/>
      <c r="C180" s="64"/>
      <c r="D180" s="64"/>
      <c r="E180" s="64"/>
      <c r="F180" s="63"/>
      <c r="G180" s="63"/>
      <c r="H180" s="64"/>
      <c r="I180" s="64"/>
      <c r="J180" s="64"/>
      <c r="K180" s="64"/>
      <c r="L180" s="64"/>
      <c r="M180" s="64"/>
      <c r="N180" s="64"/>
      <c r="O180" s="64"/>
      <c r="P180" s="64"/>
      <c r="Q180" s="64"/>
      <c r="R180" s="64"/>
      <c r="S180" s="64"/>
      <c r="T180" s="64"/>
      <c r="U180" s="64"/>
      <c r="V180" s="64"/>
      <c r="W180" s="64"/>
      <c r="X180" s="64"/>
      <c r="Y180" s="64"/>
      <c r="Z180" s="64"/>
    </row>
    <row r="181" ht="12.75" customHeight="1">
      <c r="A181" s="108"/>
      <c r="B181" s="64"/>
      <c r="C181" s="64"/>
      <c r="D181" s="64"/>
      <c r="E181" s="64"/>
      <c r="F181" s="63"/>
      <c r="G181" s="63"/>
      <c r="H181" s="64"/>
      <c r="I181" s="64"/>
      <c r="J181" s="64"/>
      <c r="K181" s="64"/>
      <c r="L181" s="64"/>
      <c r="M181" s="64"/>
      <c r="N181" s="64"/>
      <c r="O181" s="64"/>
      <c r="P181" s="64"/>
      <c r="Q181" s="64"/>
      <c r="R181" s="64"/>
      <c r="S181" s="64"/>
      <c r="T181" s="64"/>
      <c r="U181" s="64"/>
      <c r="V181" s="64"/>
      <c r="W181" s="64"/>
      <c r="X181" s="64"/>
      <c r="Y181" s="64"/>
      <c r="Z181" s="64"/>
    </row>
    <row r="182" ht="12.75" customHeight="1">
      <c r="A182" s="108"/>
      <c r="B182" s="64"/>
      <c r="C182" s="64"/>
      <c r="D182" s="64"/>
      <c r="E182" s="64"/>
      <c r="F182" s="63"/>
      <c r="G182" s="63"/>
      <c r="H182" s="64"/>
      <c r="I182" s="64"/>
      <c r="J182" s="64"/>
      <c r="K182" s="64"/>
      <c r="L182" s="64"/>
      <c r="M182" s="64"/>
      <c r="N182" s="64"/>
      <c r="O182" s="64"/>
      <c r="P182" s="64"/>
      <c r="Q182" s="64"/>
      <c r="R182" s="64"/>
      <c r="S182" s="64"/>
      <c r="T182" s="64"/>
      <c r="U182" s="64"/>
      <c r="V182" s="64"/>
      <c r="W182" s="64"/>
      <c r="X182" s="64"/>
      <c r="Y182" s="64"/>
      <c r="Z182" s="64"/>
    </row>
    <row r="183" ht="12.75" customHeight="1">
      <c r="A183" s="108"/>
      <c r="B183" s="64"/>
      <c r="C183" s="64"/>
      <c r="D183" s="64"/>
      <c r="E183" s="64"/>
      <c r="F183" s="63"/>
      <c r="G183" s="63"/>
      <c r="H183" s="64"/>
      <c r="I183" s="64"/>
      <c r="J183" s="64"/>
      <c r="K183" s="64"/>
      <c r="L183" s="64"/>
      <c r="M183" s="64"/>
      <c r="N183" s="64"/>
      <c r="O183" s="64"/>
      <c r="P183" s="64"/>
      <c r="Q183" s="64"/>
      <c r="R183" s="64"/>
      <c r="S183" s="64"/>
      <c r="T183" s="64"/>
      <c r="U183" s="64"/>
      <c r="V183" s="64"/>
      <c r="W183" s="64"/>
      <c r="X183" s="64"/>
      <c r="Y183" s="64"/>
      <c r="Z183" s="64"/>
    </row>
    <row r="184" ht="12.75" customHeight="1">
      <c r="A184" s="108"/>
      <c r="B184" s="64"/>
      <c r="C184" s="64"/>
      <c r="D184" s="64"/>
      <c r="E184" s="64"/>
      <c r="F184" s="63"/>
      <c r="G184" s="63"/>
      <c r="H184" s="64"/>
      <c r="I184" s="64"/>
      <c r="J184" s="64"/>
      <c r="K184" s="64"/>
      <c r="L184" s="64"/>
      <c r="M184" s="64"/>
      <c r="N184" s="64"/>
      <c r="O184" s="64"/>
      <c r="P184" s="64"/>
      <c r="Q184" s="64"/>
      <c r="R184" s="64"/>
      <c r="S184" s="64"/>
      <c r="T184" s="64"/>
      <c r="U184" s="64"/>
      <c r="V184" s="64"/>
      <c r="W184" s="64"/>
      <c r="X184" s="64"/>
      <c r="Y184" s="64"/>
      <c r="Z184" s="64"/>
    </row>
    <row r="185" ht="12.75" customHeight="1">
      <c r="A185" s="108"/>
      <c r="B185" s="64"/>
      <c r="C185" s="64"/>
      <c r="D185" s="64"/>
      <c r="E185" s="64"/>
      <c r="F185" s="63"/>
      <c r="G185" s="63"/>
      <c r="H185" s="64"/>
      <c r="I185" s="64"/>
      <c r="J185" s="64"/>
      <c r="K185" s="64"/>
      <c r="L185" s="64"/>
      <c r="M185" s="64"/>
      <c r="N185" s="64"/>
      <c r="O185" s="64"/>
      <c r="P185" s="64"/>
      <c r="Q185" s="64"/>
      <c r="R185" s="64"/>
      <c r="S185" s="64"/>
      <c r="T185" s="64"/>
      <c r="U185" s="64"/>
      <c r="V185" s="64"/>
      <c r="W185" s="64"/>
      <c r="X185" s="64"/>
      <c r="Y185" s="64"/>
      <c r="Z185" s="64"/>
    </row>
    <row r="186" ht="12.75" customHeight="1">
      <c r="A186" s="108"/>
      <c r="B186" s="64"/>
      <c r="C186" s="64"/>
      <c r="D186" s="64"/>
      <c r="E186" s="64"/>
      <c r="F186" s="63"/>
      <c r="G186" s="63"/>
      <c r="H186" s="64"/>
      <c r="I186" s="64"/>
      <c r="J186" s="64"/>
      <c r="K186" s="64"/>
      <c r="L186" s="64"/>
      <c r="M186" s="64"/>
      <c r="N186" s="64"/>
      <c r="O186" s="64"/>
      <c r="P186" s="64"/>
      <c r="Q186" s="64"/>
      <c r="R186" s="64"/>
      <c r="S186" s="64"/>
      <c r="T186" s="64"/>
      <c r="U186" s="64"/>
      <c r="V186" s="64"/>
      <c r="W186" s="64"/>
      <c r="X186" s="64"/>
      <c r="Y186" s="64"/>
      <c r="Z186" s="64"/>
    </row>
    <row r="187" ht="12.75" customHeight="1">
      <c r="A187" s="108"/>
      <c r="B187" s="64"/>
      <c r="C187" s="64"/>
      <c r="D187" s="64"/>
      <c r="E187" s="64"/>
      <c r="F187" s="63"/>
      <c r="G187" s="63"/>
      <c r="H187" s="64"/>
      <c r="I187" s="64"/>
      <c r="J187" s="64"/>
      <c r="K187" s="64"/>
      <c r="L187" s="64"/>
      <c r="M187" s="64"/>
      <c r="N187" s="64"/>
      <c r="O187" s="64"/>
      <c r="P187" s="64"/>
      <c r="Q187" s="64"/>
      <c r="R187" s="64"/>
      <c r="S187" s="64"/>
      <c r="T187" s="64"/>
      <c r="U187" s="64"/>
      <c r="V187" s="64"/>
      <c r="W187" s="64"/>
      <c r="X187" s="64"/>
      <c r="Y187" s="64"/>
      <c r="Z187" s="64"/>
    </row>
    <row r="188" ht="12.75" customHeight="1">
      <c r="A188" s="108"/>
      <c r="B188" s="64"/>
      <c r="C188" s="64"/>
      <c r="D188" s="64"/>
      <c r="E188" s="64"/>
      <c r="F188" s="63"/>
      <c r="G188" s="63"/>
      <c r="H188" s="64"/>
      <c r="I188" s="64"/>
      <c r="J188" s="64"/>
      <c r="K188" s="64"/>
      <c r="L188" s="64"/>
      <c r="M188" s="64"/>
      <c r="N188" s="64"/>
      <c r="O188" s="64"/>
      <c r="P188" s="64"/>
      <c r="Q188" s="64"/>
      <c r="R188" s="64"/>
      <c r="S188" s="64"/>
      <c r="T188" s="64"/>
      <c r="U188" s="64"/>
      <c r="V188" s="64"/>
      <c r="W188" s="64"/>
      <c r="X188" s="64"/>
      <c r="Y188" s="64"/>
      <c r="Z188" s="64"/>
    </row>
    <row r="189" ht="12.75" customHeight="1">
      <c r="A189" s="108"/>
      <c r="B189" s="64"/>
      <c r="C189" s="64"/>
      <c r="D189" s="64"/>
      <c r="E189" s="64"/>
      <c r="F189" s="63"/>
      <c r="G189" s="63"/>
      <c r="H189" s="64"/>
      <c r="I189" s="64"/>
      <c r="J189" s="64"/>
      <c r="K189" s="64"/>
      <c r="L189" s="64"/>
      <c r="M189" s="64"/>
      <c r="N189" s="64"/>
      <c r="O189" s="64"/>
      <c r="P189" s="64"/>
      <c r="Q189" s="64"/>
      <c r="R189" s="64"/>
      <c r="S189" s="64"/>
      <c r="T189" s="64"/>
      <c r="U189" s="64"/>
      <c r="V189" s="64"/>
      <c r="W189" s="64"/>
      <c r="X189" s="64"/>
      <c r="Y189" s="64"/>
      <c r="Z189" s="64"/>
    </row>
    <row r="190" ht="12.75" customHeight="1">
      <c r="A190" s="108"/>
      <c r="B190" s="64"/>
      <c r="C190" s="64"/>
      <c r="D190" s="64"/>
      <c r="E190" s="64"/>
      <c r="F190" s="63"/>
      <c r="G190" s="63"/>
      <c r="H190" s="64"/>
      <c r="I190" s="64"/>
      <c r="J190" s="64"/>
      <c r="K190" s="64"/>
      <c r="L190" s="64"/>
      <c r="M190" s="64"/>
      <c r="N190" s="64"/>
      <c r="O190" s="64"/>
      <c r="P190" s="64"/>
      <c r="Q190" s="64"/>
      <c r="R190" s="64"/>
      <c r="S190" s="64"/>
      <c r="T190" s="64"/>
      <c r="U190" s="64"/>
      <c r="V190" s="64"/>
      <c r="W190" s="64"/>
      <c r="X190" s="64"/>
      <c r="Y190" s="64"/>
      <c r="Z190" s="64"/>
    </row>
    <row r="191" ht="12.75" customHeight="1">
      <c r="A191" s="108"/>
      <c r="B191" s="64"/>
      <c r="C191" s="64"/>
      <c r="D191" s="64"/>
      <c r="E191" s="64"/>
      <c r="F191" s="63"/>
      <c r="G191" s="63"/>
      <c r="H191" s="64"/>
      <c r="I191" s="64"/>
      <c r="J191" s="64"/>
      <c r="K191" s="64"/>
      <c r="L191" s="64"/>
      <c r="M191" s="64"/>
      <c r="N191" s="64"/>
      <c r="O191" s="64"/>
      <c r="P191" s="64"/>
      <c r="Q191" s="64"/>
      <c r="R191" s="64"/>
      <c r="S191" s="64"/>
      <c r="T191" s="64"/>
      <c r="U191" s="64"/>
      <c r="V191" s="64"/>
      <c r="W191" s="64"/>
      <c r="X191" s="64"/>
      <c r="Y191" s="64"/>
      <c r="Z191" s="64"/>
    </row>
    <row r="192" ht="12.75" customHeight="1">
      <c r="A192" s="108"/>
      <c r="B192" s="64"/>
      <c r="C192" s="64"/>
      <c r="D192" s="64"/>
      <c r="E192" s="64"/>
      <c r="F192" s="63"/>
      <c r="G192" s="63"/>
      <c r="H192" s="64"/>
      <c r="I192" s="64"/>
      <c r="J192" s="64"/>
      <c r="K192" s="64"/>
      <c r="L192" s="64"/>
      <c r="M192" s="64"/>
      <c r="N192" s="64"/>
      <c r="O192" s="64"/>
      <c r="P192" s="64"/>
      <c r="Q192" s="64"/>
      <c r="R192" s="64"/>
      <c r="S192" s="64"/>
      <c r="T192" s="64"/>
      <c r="U192" s="64"/>
      <c r="V192" s="64"/>
      <c r="W192" s="64"/>
      <c r="X192" s="64"/>
      <c r="Y192" s="64"/>
      <c r="Z192" s="64"/>
    </row>
    <row r="193" ht="12.75" customHeight="1">
      <c r="A193" s="108"/>
      <c r="B193" s="64"/>
      <c r="C193" s="64"/>
      <c r="D193" s="64"/>
      <c r="E193" s="64"/>
      <c r="F193" s="63"/>
      <c r="G193" s="63"/>
      <c r="H193" s="64"/>
      <c r="I193" s="64"/>
      <c r="J193" s="64"/>
      <c r="K193" s="64"/>
      <c r="L193" s="64"/>
      <c r="M193" s="64"/>
      <c r="N193" s="64"/>
      <c r="O193" s="64"/>
      <c r="P193" s="64"/>
      <c r="Q193" s="64"/>
      <c r="R193" s="64"/>
      <c r="S193" s="64"/>
      <c r="T193" s="64"/>
      <c r="U193" s="64"/>
      <c r="V193" s="64"/>
      <c r="W193" s="64"/>
      <c r="X193" s="64"/>
      <c r="Y193" s="64"/>
      <c r="Z193" s="64"/>
    </row>
    <row r="194" ht="12.75" customHeight="1">
      <c r="A194" s="108"/>
      <c r="B194" s="64"/>
      <c r="C194" s="64"/>
      <c r="D194" s="64"/>
      <c r="E194" s="64"/>
      <c r="F194" s="63"/>
      <c r="G194" s="63"/>
      <c r="H194" s="64"/>
      <c r="I194" s="64"/>
      <c r="J194" s="64"/>
      <c r="K194" s="64"/>
      <c r="L194" s="64"/>
      <c r="M194" s="64"/>
      <c r="N194" s="64"/>
      <c r="O194" s="64"/>
      <c r="P194" s="64"/>
      <c r="Q194" s="64"/>
      <c r="R194" s="64"/>
      <c r="S194" s="64"/>
      <c r="T194" s="64"/>
      <c r="U194" s="64"/>
      <c r="V194" s="64"/>
      <c r="W194" s="64"/>
      <c r="X194" s="64"/>
      <c r="Y194" s="64"/>
      <c r="Z194" s="64"/>
    </row>
    <row r="195" ht="12.75" customHeight="1">
      <c r="A195" s="108"/>
      <c r="B195" s="64"/>
      <c r="C195" s="64"/>
      <c r="D195" s="64"/>
      <c r="E195" s="64"/>
      <c r="F195" s="63"/>
      <c r="G195" s="63"/>
      <c r="H195" s="64"/>
      <c r="I195" s="64"/>
      <c r="J195" s="64"/>
      <c r="K195" s="64"/>
      <c r="L195" s="64"/>
      <c r="M195" s="64"/>
      <c r="N195" s="64"/>
      <c r="O195" s="64"/>
      <c r="P195" s="64"/>
      <c r="Q195" s="64"/>
      <c r="R195" s="64"/>
      <c r="S195" s="64"/>
      <c r="T195" s="64"/>
      <c r="U195" s="64"/>
      <c r="V195" s="64"/>
      <c r="W195" s="64"/>
      <c r="X195" s="64"/>
      <c r="Y195" s="64"/>
      <c r="Z195" s="64"/>
    </row>
    <row r="196" ht="12.75" customHeight="1">
      <c r="A196" s="108"/>
      <c r="B196" s="64"/>
      <c r="C196" s="64"/>
      <c r="D196" s="64"/>
      <c r="E196" s="64"/>
      <c r="F196" s="63"/>
      <c r="G196" s="63"/>
      <c r="H196" s="64"/>
      <c r="I196" s="64"/>
      <c r="J196" s="64"/>
      <c r="K196" s="64"/>
      <c r="L196" s="64"/>
      <c r="M196" s="64"/>
      <c r="N196" s="64"/>
      <c r="O196" s="64"/>
      <c r="P196" s="64"/>
      <c r="Q196" s="64"/>
      <c r="R196" s="64"/>
      <c r="S196" s="64"/>
      <c r="T196" s="64"/>
      <c r="U196" s="64"/>
      <c r="V196" s="64"/>
      <c r="W196" s="64"/>
      <c r="X196" s="64"/>
      <c r="Y196" s="64"/>
      <c r="Z196" s="64"/>
    </row>
    <row r="197" ht="12.75" customHeight="1">
      <c r="A197" s="108"/>
      <c r="B197" s="64"/>
      <c r="C197" s="64"/>
      <c r="D197" s="64"/>
      <c r="E197" s="64"/>
      <c r="F197" s="63"/>
      <c r="G197" s="63"/>
      <c r="H197" s="64"/>
      <c r="I197" s="64"/>
      <c r="J197" s="64"/>
      <c r="K197" s="64"/>
      <c r="L197" s="64"/>
      <c r="M197" s="64"/>
      <c r="N197" s="64"/>
      <c r="O197" s="64"/>
      <c r="P197" s="64"/>
      <c r="Q197" s="64"/>
      <c r="R197" s="64"/>
      <c r="S197" s="64"/>
      <c r="T197" s="64"/>
      <c r="U197" s="64"/>
      <c r="V197" s="64"/>
      <c r="W197" s="64"/>
      <c r="X197" s="64"/>
      <c r="Y197" s="64"/>
      <c r="Z197" s="64"/>
    </row>
    <row r="198" ht="12.75" customHeight="1">
      <c r="A198" s="108"/>
      <c r="B198" s="64"/>
      <c r="C198" s="64"/>
      <c r="D198" s="64"/>
      <c r="E198" s="64"/>
      <c r="F198" s="63"/>
      <c r="G198" s="63"/>
      <c r="H198" s="64"/>
      <c r="I198" s="64"/>
      <c r="J198" s="64"/>
      <c r="K198" s="64"/>
      <c r="L198" s="64"/>
      <c r="M198" s="64"/>
      <c r="N198" s="64"/>
      <c r="O198" s="64"/>
      <c r="P198" s="64"/>
      <c r="Q198" s="64"/>
      <c r="R198" s="64"/>
      <c r="S198" s="64"/>
      <c r="T198" s="64"/>
      <c r="U198" s="64"/>
      <c r="V198" s="64"/>
      <c r="W198" s="64"/>
      <c r="X198" s="64"/>
      <c r="Y198" s="64"/>
      <c r="Z198" s="64"/>
    </row>
    <row r="199" ht="12.75" customHeight="1">
      <c r="A199" s="108"/>
      <c r="B199" s="64"/>
      <c r="C199" s="64"/>
      <c r="D199" s="64"/>
      <c r="E199" s="64"/>
      <c r="F199" s="63"/>
      <c r="G199" s="63"/>
      <c r="H199" s="64"/>
      <c r="I199" s="64"/>
      <c r="J199" s="64"/>
      <c r="K199" s="64"/>
      <c r="L199" s="64"/>
      <c r="M199" s="64"/>
      <c r="N199" s="64"/>
      <c r="O199" s="64"/>
      <c r="P199" s="64"/>
      <c r="Q199" s="64"/>
      <c r="R199" s="64"/>
      <c r="S199" s="64"/>
      <c r="T199" s="64"/>
      <c r="U199" s="64"/>
      <c r="V199" s="64"/>
      <c r="W199" s="64"/>
      <c r="X199" s="64"/>
      <c r="Y199" s="64"/>
      <c r="Z199" s="64"/>
    </row>
    <row r="200" ht="12.75" customHeight="1">
      <c r="A200" s="108"/>
      <c r="B200" s="64"/>
      <c r="C200" s="64"/>
      <c r="D200" s="64"/>
      <c r="E200" s="64"/>
      <c r="F200" s="63"/>
      <c r="G200" s="63"/>
      <c r="H200" s="64"/>
      <c r="I200" s="64"/>
      <c r="J200" s="64"/>
      <c r="K200" s="64"/>
      <c r="L200" s="64"/>
      <c r="M200" s="64"/>
      <c r="N200" s="64"/>
      <c r="O200" s="64"/>
      <c r="P200" s="64"/>
      <c r="Q200" s="64"/>
      <c r="R200" s="64"/>
      <c r="S200" s="64"/>
      <c r="T200" s="64"/>
      <c r="U200" s="64"/>
      <c r="V200" s="64"/>
      <c r="W200" s="64"/>
      <c r="X200" s="64"/>
      <c r="Y200" s="64"/>
      <c r="Z200" s="64"/>
    </row>
    <row r="201" ht="12.75" customHeight="1">
      <c r="A201" s="108"/>
      <c r="B201" s="64"/>
      <c r="C201" s="64"/>
      <c r="D201" s="64"/>
      <c r="E201" s="64"/>
      <c r="F201" s="63"/>
      <c r="G201" s="63"/>
      <c r="H201" s="64"/>
      <c r="I201" s="64"/>
      <c r="J201" s="64"/>
      <c r="K201" s="64"/>
      <c r="L201" s="64"/>
      <c r="M201" s="64"/>
      <c r="N201" s="64"/>
      <c r="O201" s="64"/>
      <c r="P201" s="64"/>
      <c r="Q201" s="64"/>
      <c r="R201" s="64"/>
      <c r="S201" s="64"/>
      <c r="T201" s="64"/>
      <c r="U201" s="64"/>
      <c r="V201" s="64"/>
      <c r="W201" s="64"/>
      <c r="X201" s="64"/>
      <c r="Y201" s="64"/>
      <c r="Z201" s="64"/>
    </row>
    <row r="202" ht="12.75" customHeight="1">
      <c r="A202" s="108"/>
      <c r="B202" s="64"/>
      <c r="C202" s="64"/>
      <c r="D202" s="64"/>
      <c r="E202" s="64"/>
      <c r="F202" s="63"/>
      <c r="G202" s="63"/>
      <c r="H202" s="64"/>
      <c r="I202" s="64"/>
      <c r="J202" s="64"/>
      <c r="K202" s="64"/>
      <c r="L202" s="64"/>
      <c r="M202" s="64"/>
      <c r="N202" s="64"/>
      <c r="O202" s="64"/>
      <c r="P202" s="64"/>
      <c r="Q202" s="64"/>
      <c r="R202" s="64"/>
      <c r="S202" s="64"/>
      <c r="T202" s="64"/>
      <c r="U202" s="64"/>
      <c r="V202" s="64"/>
      <c r="W202" s="64"/>
      <c r="X202" s="64"/>
      <c r="Y202" s="64"/>
      <c r="Z202" s="64"/>
    </row>
    <row r="203" ht="12.75" customHeight="1">
      <c r="A203" s="108"/>
      <c r="B203" s="64"/>
      <c r="C203" s="64"/>
      <c r="D203" s="64"/>
      <c r="E203" s="64"/>
      <c r="F203" s="63"/>
      <c r="G203" s="63"/>
      <c r="H203" s="64"/>
      <c r="I203" s="64"/>
      <c r="J203" s="64"/>
      <c r="K203" s="64"/>
      <c r="L203" s="64"/>
      <c r="M203" s="64"/>
      <c r="N203" s="64"/>
      <c r="O203" s="64"/>
      <c r="P203" s="64"/>
      <c r="Q203" s="64"/>
      <c r="R203" s="64"/>
      <c r="S203" s="64"/>
      <c r="T203" s="64"/>
      <c r="U203" s="64"/>
      <c r="V203" s="64"/>
      <c r="W203" s="64"/>
      <c r="X203" s="64"/>
      <c r="Y203" s="64"/>
      <c r="Z203" s="64"/>
    </row>
    <row r="204" ht="12.75" customHeight="1">
      <c r="A204" s="108"/>
      <c r="B204" s="64"/>
      <c r="C204" s="64"/>
      <c r="D204" s="64"/>
      <c r="E204" s="64"/>
      <c r="F204" s="63"/>
      <c r="G204" s="63"/>
      <c r="H204" s="64"/>
      <c r="I204" s="64"/>
      <c r="J204" s="64"/>
      <c r="K204" s="64"/>
      <c r="L204" s="64"/>
      <c r="M204" s="64"/>
      <c r="N204" s="64"/>
      <c r="O204" s="64"/>
      <c r="P204" s="64"/>
      <c r="Q204" s="64"/>
      <c r="R204" s="64"/>
      <c r="S204" s="64"/>
      <c r="T204" s="64"/>
      <c r="U204" s="64"/>
      <c r="V204" s="64"/>
      <c r="W204" s="64"/>
      <c r="X204" s="64"/>
      <c r="Y204" s="64"/>
      <c r="Z204" s="64"/>
    </row>
    <row r="205" ht="12.75" customHeight="1">
      <c r="A205" s="108"/>
      <c r="B205" s="64"/>
      <c r="C205" s="64"/>
      <c r="D205" s="64"/>
      <c r="E205" s="64"/>
      <c r="F205" s="63"/>
      <c r="G205" s="63"/>
      <c r="H205" s="64"/>
      <c r="I205" s="64"/>
      <c r="J205" s="64"/>
      <c r="K205" s="64"/>
      <c r="L205" s="64"/>
      <c r="M205" s="64"/>
      <c r="N205" s="64"/>
      <c r="O205" s="64"/>
      <c r="P205" s="64"/>
      <c r="Q205" s="64"/>
      <c r="R205" s="64"/>
      <c r="S205" s="64"/>
      <c r="T205" s="64"/>
      <c r="U205" s="64"/>
      <c r="V205" s="64"/>
      <c r="W205" s="64"/>
      <c r="X205" s="64"/>
      <c r="Y205" s="64"/>
      <c r="Z205" s="64"/>
    </row>
    <row r="206" ht="12.75" customHeight="1">
      <c r="A206" s="108"/>
      <c r="B206" s="64"/>
      <c r="C206" s="64"/>
      <c r="D206" s="64"/>
      <c r="E206" s="64"/>
      <c r="F206" s="63"/>
      <c r="G206" s="63"/>
      <c r="H206" s="64"/>
      <c r="I206" s="64"/>
      <c r="J206" s="64"/>
      <c r="K206" s="64"/>
      <c r="L206" s="64"/>
      <c r="M206" s="64"/>
      <c r="N206" s="64"/>
      <c r="O206" s="64"/>
      <c r="P206" s="64"/>
      <c r="Q206" s="64"/>
      <c r="R206" s="64"/>
      <c r="S206" s="64"/>
      <c r="T206" s="64"/>
      <c r="U206" s="64"/>
      <c r="V206" s="64"/>
      <c r="W206" s="64"/>
      <c r="X206" s="64"/>
      <c r="Y206" s="64"/>
      <c r="Z206" s="64"/>
    </row>
    <row r="207" ht="12.75" customHeight="1">
      <c r="A207" s="108"/>
      <c r="B207" s="64"/>
      <c r="C207" s="64"/>
      <c r="D207" s="64"/>
      <c r="E207" s="64"/>
      <c r="F207" s="63"/>
      <c r="G207" s="63"/>
      <c r="H207" s="64"/>
      <c r="I207" s="64"/>
      <c r="J207" s="64"/>
      <c r="K207" s="64"/>
      <c r="L207" s="64"/>
      <c r="M207" s="64"/>
      <c r="N207" s="64"/>
      <c r="O207" s="64"/>
      <c r="P207" s="64"/>
      <c r="Q207" s="64"/>
      <c r="R207" s="64"/>
      <c r="S207" s="64"/>
      <c r="T207" s="64"/>
      <c r="U207" s="64"/>
      <c r="V207" s="64"/>
      <c r="W207" s="64"/>
      <c r="X207" s="64"/>
      <c r="Y207" s="64"/>
      <c r="Z207" s="64"/>
    </row>
    <row r="208" ht="12.75" customHeight="1">
      <c r="A208" s="108"/>
      <c r="B208" s="64"/>
      <c r="C208" s="64"/>
      <c r="D208" s="64"/>
      <c r="E208" s="64"/>
      <c r="F208" s="63"/>
      <c r="G208" s="63"/>
      <c r="H208" s="64"/>
      <c r="I208" s="64"/>
      <c r="J208" s="64"/>
      <c r="K208" s="64"/>
      <c r="L208" s="64"/>
      <c r="M208" s="64"/>
      <c r="N208" s="64"/>
      <c r="O208" s="64"/>
      <c r="P208" s="64"/>
      <c r="Q208" s="64"/>
      <c r="R208" s="64"/>
      <c r="S208" s="64"/>
      <c r="T208" s="64"/>
      <c r="U208" s="64"/>
      <c r="V208" s="64"/>
      <c r="W208" s="64"/>
      <c r="X208" s="64"/>
      <c r="Y208" s="64"/>
      <c r="Z208" s="64"/>
    </row>
    <row r="209" ht="12.75" customHeight="1">
      <c r="A209" s="108"/>
      <c r="B209" s="64"/>
      <c r="C209" s="64"/>
      <c r="D209" s="64"/>
      <c r="E209" s="64"/>
      <c r="F209" s="63"/>
      <c r="G209" s="63"/>
      <c r="H209" s="64"/>
      <c r="I209" s="64"/>
      <c r="J209" s="64"/>
      <c r="K209" s="64"/>
      <c r="L209" s="64"/>
      <c r="M209" s="64"/>
      <c r="N209" s="64"/>
      <c r="O209" s="64"/>
      <c r="P209" s="64"/>
      <c r="Q209" s="64"/>
      <c r="R209" s="64"/>
      <c r="S209" s="64"/>
      <c r="T209" s="64"/>
      <c r="U209" s="64"/>
      <c r="V209" s="64"/>
      <c r="W209" s="64"/>
      <c r="X209" s="64"/>
      <c r="Y209" s="64"/>
      <c r="Z209" s="64"/>
    </row>
    <row r="210" ht="12.75" customHeight="1">
      <c r="A210" s="108"/>
      <c r="B210" s="64"/>
      <c r="C210" s="64"/>
      <c r="D210" s="64"/>
      <c r="E210" s="64"/>
      <c r="F210" s="63"/>
      <c r="G210" s="63"/>
      <c r="H210" s="64"/>
      <c r="I210" s="64"/>
      <c r="J210" s="64"/>
      <c r="K210" s="64"/>
      <c r="L210" s="64"/>
      <c r="M210" s="64"/>
      <c r="N210" s="64"/>
      <c r="O210" s="64"/>
      <c r="P210" s="64"/>
      <c r="Q210" s="64"/>
      <c r="R210" s="64"/>
      <c r="S210" s="64"/>
      <c r="T210" s="64"/>
      <c r="U210" s="64"/>
      <c r="V210" s="64"/>
      <c r="W210" s="64"/>
      <c r="X210" s="64"/>
      <c r="Y210" s="64"/>
      <c r="Z210" s="64"/>
    </row>
    <row r="211" ht="12.75" customHeight="1">
      <c r="A211" s="108"/>
      <c r="B211" s="64"/>
      <c r="C211" s="64"/>
      <c r="D211" s="64"/>
      <c r="E211" s="64"/>
      <c r="F211" s="63"/>
      <c r="G211" s="63"/>
      <c r="H211" s="64"/>
      <c r="I211" s="64"/>
      <c r="J211" s="64"/>
      <c r="K211" s="64"/>
      <c r="L211" s="64"/>
      <c r="M211" s="64"/>
      <c r="N211" s="64"/>
      <c r="O211" s="64"/>
      <c r="P211" s="64"/>
      <c r="Q211" s="64"/>
      <c r="R211" s="64"/>
      <c r="S211" s="64"/>
      <c r="T211" s="64"/>
      <c r="U211" s="64"/>
      <c r="V211" s="64"/>
      <c r="W211" s="64"/>
      <c r="X211" s="64"/>
      <c r="Y211" s="64"/>
      <c r="Z211" s="64"/>
    </row>
    <row r="212" ht="12.75" customHeight="1">
      <c r="A212" s="108"/>
      <c r="B212" s="64"/>
      <c r="C212" s="64"/>
      <c r="D212" s="64"/>
      <c r="E212" s="64"/>
      <c r="F212" s="63"/>
      <c r="G212" s="63"/>
      <c r="H212" s="64"/>
      <c r="I212" s="64"/>
      <c r="J212" s="64"/>
      <c r="K212" s="64"/>
      <c r="L212" s="64"/>
      <c r="M212" s="64"/>
      <c r="N212" s="64"/>
      <c r="O212" s="64"/>
      <c r="P212" s="64"/>
      <c r="Q212" s="64"/>
      <c r="R212" s="64"/>
      <c r="S212" s="64"/>
      <c r="T212" s="64"/>
      <c r="U212" s="64"/>
      <c r="V212" s="64"/>
      <c r="W212" s="64"/>
      <c r="X212" s="64"/>
      <c r="Y212" s="64"/>
      <c r="Z212" s="64"/>
    </row>
    <row r="213" ht="12.75" customHeight="1">
      <c r="A213" s="108"/>
      <c r="B213" s="64"/>
      <c r="C213" s="64"/>
      <c r="D213" s="64"/>
      <c r="E213" s="64"/>
      <c r="F213" s="63"/>
      <c r="G213" s="63"/>
      <c r="H213" s="64"/>
      <c r="I213" s="64"/>
      <c r="J213" s="64"/>
      <c r="K213" s="64"/>
      <c r="L213" s="64"/>
      <c r="M213" s="64"/>
      <c r="N213" s="64"/>
      <c r="O213" s="64"/>
      <c r="P213" s="64"/>
      <c r="Q213" s="64"/>
      <c r="R213" s="64"/>
      <c r="S213" s="64"/>
      <c r="T213" s="64"/>
      <c r="U213" s="64"/>
      <c r="V213" s="64"/>
      <c r="W213" s="64"/>
      <c r="X213" s="64"/>
      <c r="Y213" s="64"/>
      <c r="Z213" s="64"/>
    </row>
    <row r="214" ht="12.75" customHeight="1">
      <c r="A214" s="108"/>
      <c r="B214" s="64"/>
      <c r="C214" s="64"/>
      <c r="D214" s="64"/>
      <c r="E214" s="64"/>
      <c r="F214" s="63"/>
      <c r="G214" s="63"/>
      <c r="H214" s="64"/>
      <c r="I214" s="64"/>
      <c r="J214" s="64"/>
      <c r="K214" s="64"/>
      <c r="L214" s="64"/>
      <c r="M214" s="64"/>
      <c r="N214" s="64"/>
      <c r="O214" s="64"/>
      <c r="P214" s="64"/>
      <c r="Q214" s="64"/>
      <c r="R214" s="64"/>
      <c r="S214" s="64"/>
      <c r="T214" s="64"/>
      <c r="U214" s="64"/>
      <c r="V214" s="64"/>
      <c r="W214" s="64"/>
      <c r="X214" s="64"/>
      <c r="Y214" s="64"/>
      <c r="Z214" s="64"/>
    </row>
    <row r="215" ht="12.75" customHeight="1">
      <c r="A215" s="108"/>
      <c r="B215" s="64"/>
      <c r="C215" s="64"/>
      <c r="D215" s="64"/>
      <c r="E215" s="64"/>
      <c r="F215" s="63"/>
      <c r="G215" s="63"/>
      <c r="H215" s="64"/>
      <c r="I215" s="64"/>
      <c r="J215" s="64"/>
      <c r="K215" s="64"/>
      <c r="L215" s="64"/>
      <c r="M215" s="64"/>
      <c r="N215" s="64"/>
      <c r="O215" s="64"/>
      <c r="P215" s="64"/>
      <c r="Q215" s="64"/>
      <c r="R215" s="64"/>
      <c r="S215" s="64"/>
      <c r="T215" s="64"/>
      <c r="U215" s="64"/>
      <c r="V215" s="64"/>
      <c r="W215" s="64"/>
      <c r="X215" s="64"/>
      <c r="Y215" s="64"/>
      <c r="Z215" s="64"/>
    </row>
    <row r="216" ht="12.75" customHeight="1">
      <c r="A216" s="108"/>
      <c r="B216" s="64"/>
      <c r="C216" s="64"/>
      <c r="D216" s="64"/>
      <c r="E216" s="64"/>
      <c r="F216" s="63"/>
      <c r="G216" s="63"/>
      <c r="H216" s="64"/>
      <c r="I216" s="64"/>
      <c r="J216" s="64"/>
      <c r="K216" s="64"/>
      <c r="L216" s="64"/>
      <c r="M216" s="64"/>
      <c r="N216" s="64"/>
      <c r="O216" s="64"/>
      <c r="P216" s="64"/>
      <c r="Q216" s="64"/>
      <c r="R216" s="64"/>
      <c r="S216" s="64"/>
      <c r="T216" s="64"/>
      <c r="U216" s="64"/>
      <c r="V216" s="64"/>
      <c r="W216" s="64"/>
      <c r="X216" s="64"/>
      <c r="Y216" s="64"/>
      <c r="Z216" s="64"/>
    </row>
    <row r="217" ht="12.75" customHeight="1">
      <c r="A217" s="108"/>
      <c r="B217" s="64"/>
      <c r="C217" s="64"/>
      <c r="D217" s="64"/>
      <c r="E217" s="64"/>
      <c r="F217" s="63"/>
      <c r="G217" s="63"/>
      <c r="H217" s="64"/>
      <c r="I217" s="64"/>
      <c r="J217" s="64"/>
      <c r="K217" s="64"/>
      <c r="L217" s="64"/>
      <c r="M217" s="64"/>
      <c r="N217" s="64"/>
      <c r="O217" s="64"/>
      <c r="P217" s="64"/>
      <c r="Q217" s="64"/>
      <c r="R217" s="64"/>
      <c r="S217" s="64"/>
      <c r="T217" s="64"/>
      <c r="U217" s="64"/>
      <c r="V217" s="64"/>
      <c r="W217" s="64"/>
      <c r="X217" s="64"/>
      <c r="Y217" s="64"/>
      <c r="Z217" s="64"/>
    </row>
    <row r="218" ht="12.75" customHeight="1">
      <c r="A218" s="108"/>
      <c r="B218" s="64"/>
      <c r="C218" s="64"/>
      <c r="D218" s="64"/>
      <c r="E218" s="64"/>
      <c r="F218" s="63"/>
      <c r="G218" s="63"/>
      <c r="H218" s="64"/>
      <c r="I218" s="64"/>
      <c r="J218" s="64"/>
      <c r="K218" s="64"/>
      <c r="L218" s="64"/>
      <c r="M218" s="64"/>
      <c r="N218" s="64"/>
      <c r="O218" s="64"/>
      <c r="P218" s="64"/>
      <c r="Q218" s="64"/>
      <c r="R218" s="64"/>
      <c r="S218" s="64"/>
      <c r="T218" s="64"/>
      <c r="U218" s="64"/>
      <c r="V218" s="64"/>
      <c r="W218" s="64"/>
      <c r="X218" s="64"/>
      <c r="Y218" s="64"/>
      <c r="Z218" s="64"/>
    </row>
    <row r="219" ht="12.75" customHeight="1">
      <c r="A219" s="108"/>
      <c r="B219" s="64"/>
      <c r="C219" s="64"/>
      <c r="D219" s="64"/>
      <c r="E219" s="64"/>
      <c r="F219" s="63"/>
      <c r="G219" s="63"/>
      <c r="H219" s="64"/>
      <c r="I219" s="64"/>
      <c r="J219" s="64"/>
      <c r="K219" s="64"/>
      <c r="L219" s="64"/>
      <c r="M219" s="64"/>
      <c r="N219" s="64"/>
      <c r="O219" s="64"/>
      <c r="P219" s="64"/>
      <c r="Q219" s="64"/>
      <c r="R219" s="64"/>
      <c r="S219" s="64"/>
      <c r="T219" s="64"/>
      <c r="U219" s="64"/>
      <c r="V219" s="64"/>
      <c r="W219" s="64"/>
      <c r="X219" s="64"/>
      <c r="Y219" s="64"/>
      <c r="Z219" s="64"/>
    </row>
    <row r="220" ht="12.75" customHeight="1">
      <c r="A220" s="108"/>
      <c r="B220" s="64"/>
      <c r="C220" s="64"/>
      <c r="D220" s="64"/>
      <c r="E220" s="64"/>
      <c r="F220" s="63"/>
      <c r="G220" s="63"/>
      <c r="H220" s="64"/>
      <c r="I220" s="64"/>
      <c r="J220" s="64"/>
      <c r="K220" s="64"/>
      <c r="L220" s="64"/>
      <c r="M220" s="64"/>
      <c r="N220" s="64"/>
      <c r="O220" s="64"/>
      <c r="P220" s="64"/>
      <c r="Q220" s="64"/>
      <c r="R220" s="64"/>
      <c r="S220" s="64"/>
      <c r="T220" s="64"/>
      <c r="U220" s="64"/>
      <c r="V220" s="64"/>
      <c r="W220" s="64"/>
      <c r="X220" s="64"/>
      <c r="Y220" s="64"/>
      <c r="Z220" s="64"/>
    </row>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C18:D18"/>
    <mergeCell ref="C19:D19"/>
    <mergeCell ref="C20:D20"/>
    <mergeCell ref="C11:D11"/>
    <mergeCell ref="C12:D12"/>
    <mergeCell ref="C13:D13"/>
    <mergeCell ref="C14:D14"/>
    <mergeCell ref="C15:D15"/>
    <mergeCell ref="C16:D16"/>
    <mergeCell ref="C17:D17"/>
  </mergeCells>
  <dataValidations>
    <dataValidation type="decimal" allowBlank="1" showErrorMessage="1" sqref="F12:F19">
      <formula1>0.0</formula1>
      <formula2>50.0</formula2>
    </dataValidation>
  </dataValidations>
  <printOptions/>
  <pageMargins bottom="0.75" footer="0.0" header="0.0" left="0.7" right="0.7" top="0.75"/>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4A3B8"/>
    <pageSetUpPr/>
  </sheetPr>
  <sheetViews>
    <sheetView showGridLines="0" workbookViewId="0"/>
  </sheetViews>
  <sheetFormatPr customHeight="1" defaultColWidth="12.63" defaultRowHeight="15.0"/>
  <cols>
    <col customWidth="1" min="1" max="1" width="16.13"/>
    <col customWidth="1" min="2" max="2" width="47.13"/>
    <col customWidth="1" min="3" max="3" width="27.38"/>
    <col customWidth="1" min="4" max="4" width="14.88"/>
    <col customWidth="1" min="5" max="5" width="24.13"/>
    <col customWidth="1" min="6" max="6" width="17.38"/>
    <col customWidth="1" min="7" max="7" width="15.0"/>
    <col customWidth="1" min="8" max="26" width="9.13"/>
  </cols>
  <sheetData>
    <row r="1" ht="12.75" customHeight="1">
      <c r="A1" s="105" t="s">
        <v>260</v>
      </c>
      <c r="B1" s="77" t="s">
        <v>141</v>
      </c>
      <c r="C1" s="78"/>
      <c r="D1" s="78"/>
      <c r="E1" s="64"/>
      <c r="F1" s="63"/>
      <c r="G1" s="63"/>
      <c r="H1" s="64"/>
      <c r="I1" s="64"/>
      <c r="J1" s="64"/>
      <c r="K1" s="64"/>
      <c r="L1" s="64"/>
      <c r="M1" s="64"/>
      <c r="N1" s="64"/>
      <c r="O1" s="64"/>
      <c r="P1" s="64"/>
      <c r="Q1" s="64"/>
      <c r="R1" s="64"/>
      <c r="S1" s="64"/>
      <c r="T1" s="64"/>
      <c r="U1" s="64"/>
      <c r="V1" s="64"/>
      <c r="W1" s="64"/>
      <c r="X1" s="64"/>
      <c r="Y1" s="64"/>
      <c r="Z1" s="64"/>
    </row>
    <row r="2" ht="12.75" customHeight="1">
      <c r="A2" s="110" t="s">
        <v>5</v>
      </c>
      <c r="B2" s="62" t="str">
        <f t="array" ref="B2">IFERROR(INDEX(Sessions!$C$2:$C$173,MATCH($B$1,Sessions!$B$2:$B$173,0))&amp;"","")</f>
        <v/>
      </c>
      <c r="C2" s="64"/>
      <c r="D2" s="64"/>
      <c r="E2" s="64"/>
      <c r="F2" s="63"/>
      <c r="G2" s="63"/>
      <c r="H2" s="64"/>
      <c r="I2" s="64"/>
      <c r="J2" s="64"/>
      <c r="K2" s="64"/>
      <c r="L2" s="64"/>
      <c r="M2" s="64"/>
      <c r="N2" s="64"/>
      <c r="O2" s="64"/>
      <c r="P2" s="64"/>
      <c r="Q2" s="64"/>
      <c r="R2" s="64"/>
      <c r="S2" s="64"/>
      <c r="T2" s="64"/>
      <c r="U2" s="64"/>
      <c r="V2" s="64"/>
      <c r="W2" s="64"/>
      <c r="X2" s="64"/>
      <c r="Y2" s="64"/>
      <c r="Z2" s="64"/>
    </row>
    <row r="3" ht="12.75" customHeight="1">
      <c r="A3" s="112" t="s">
        <v>704</v>
      </c>
      <c r="B3" s="86" t="str">
        <f>IF(LEFT($B$1,2)="T1",Schedule!$A$4&amp;", "&amp;Schedule!$A$10,IF(LEFT($B$1,2)="T2",Schedule!$A$4&amp;", "&amp;Schedule!$A$12,IF(LEFT($B$1,2)="T3",Schedule!$A$4&amp;", "&amp;#REF!,IF(LEFT($B$1,2)="T4",Schedule!$A$16&amp;", "&amp;Schedule!$A$18,IF($B$1="Keynote 1",Schedule!$A$4&amp;", "&amp;Schedule!$A$8,IF($B$1="Keynote 2",Schedule!$A$4&amp;", "&amp;Schedule!$A$13,IF($B$1="Keynote 3",Schedule!$A$16&amp;", "&amp;Schedule!$A$19,IF($B$1="IEEE Workshop",Schedule!$A$16&amp;", "&amp;#REF!,""))))))))</f>
        <v>#REF!</v>
      </c>
      <c r="C3" s="80"/>
      <c r="D3" s="80"/>
      <c r="E3" s="64"/>
      <c r="F3" s="63"/>
      <c r="G3" s="63"/>
      <c r="H3" s="64"/>
      <c r="I3" s="64"/>
      <c r="J3" s="64"/>
      <c r="K3" s="64"/>
      <c r="L3" s="64"/>
      <c r="M3" s="64"/>
      <c r="N3" s="64"/>
      <c r="O3" s="64"/>
      <c r="P3" s="64"/>
      <c r="Q3" s="64"/>
      <c r="R3" s="64"/>
      <c r="S3" s="64"/>
      <c r="T3" s="64"/>
      <c r="U3" s="64"/>
      <c r="V3" s="64"/>
      <c r="W3" s="64"/>
      <c r="X3" s="64"/>
      <c r="Y3" s="64"/>
      <c r="Z3" s="64"/>
    </row>
    <row r="4" ht="12.75" customHeight="1">
      <c r="A4" s="112" t="s">
        <v>11</v>
      </c>
      <c r="B4" s="115" t="s">
        <v>38</v>
      </c>
      <c r="C4" s="80"/>
      <c r="D4" s="80"/>
      <c r="E4" s="64"/>
      <c r="F4" s="63"/>
      <c r="G4" s="63"/>
      <c r="H4" s="64"/>
      <c r="I4" s="64"/>
      <c r="J4" s="64"/>
      <c r="K4" s="64"/>
      <c r="L4" s="64"/>
      <c r="M4" s="64"/>
      <c r="N4" s="64"/>
      <c r="O4" s="64"/>
      <c r="P4" s="64"/>
      <c r="Q4" s="64"/>
      <c r="R4" s="64"/>
      <c r="S4" s="64"/>
      <c r="T4" s="64"/>
      <c r="U4" s="64"/>
      <c r="V4" s="64"/>
      <c r="W4" s="64"/>
      <c r="X4" s="64"/>
      <c r="Y4" s="64"/>
      <c r="Z4" s="64"/>
    </row>
    <row r="5" ht="12.75" customHeight="1">
      <c r="A5" s="112" t="s">
        <v>707</v>
      </c>
      <c r="B5" s="86" t="str">
        <f t="array" ref="B5">IFERROR(INDEX(Chairs!$J$2:$J$359,MATCH(1,INDEX((Chairs!$K$2:$K$359=$B$1)*(Chairs!$N$2:$N$359=1),0),0)),"")</f>
        <v>Dr. Sifat Momen</v>
      </c>
      <c r="C5" s="86" t="str">
        <f t="array" ref="C5">IFERROR(INDEX(Chairs!$L$2:$L$359,MATCH(1,INDEX((Chairs!$K$2:$K$359=$B$1)*(Chairs!$N$2:$N$359=1),0),0))&amp;"","")</f>
        <v>sifat.momen@northsouth.edu</v>
      </c>
      <c r="D5" s="86" t="str">
        <f t="array" ref="D5">IFERROR(INDEX(Chairs!$M$2:$M$359,MATCH(1,INDEX((Chairs!$K$2:$K$359=$B$1)*(Chairs!$N$2:$N$359=1),0),0))&amp;"","")</f>
        <v>01754119999</v>
      </c>
      <c r="E5" s="64"/>
      <c r="F5" s="63"/>
      <c r="G5" s="63"/>
      <c r="H5" s="64"/>
      <c r="I5" s="64"/>
      <c r="J5" s="64"/>
      <c r="K5" s="64"/>
      <c r="L5" s="64"/>
      <c r="M5" s="64"/>
      <c r="N5" s="64"/>
      <c r="O5" s="64"/>
      <c r="P5" s="64"/>
      <c r="Q5" s="64"/>
      <c r="R5" s="64"/>
      <c r="S5" s="64"/>
      <c r="T5" s="64"/>
      <c r="U5" s="64"/>
      <c r="V5" s="64"/>
      <c r="W5" s="64"/>
      <c r="X5" s="64"/>
      <c r="Y5" s="64"/>
      <c r="Z5" s="64"/>
    </row>
    <row r="6" ht="12.75" customHeight="1">
      <c r="A6" s="112" t="s">
        <v>709</v>
      </c>
      <c r="B6" s="86" t="str">
        <f t="array" ref="B6">IFERROR(INDEX('Senior Faculty'!$J$2:$J$401,MATCH(1,INDEX(('Senior Faculty'!$K$2:$K$401=$B$1)*('Senior Faculty'!$N$2:$N$401=1),0),0)),"")</f>
        <v>Dr. Nafiz Jaidye</v>
      </c>
      <c r="C6" s="86" t="str">
        <f t="array" ref="C6">IFERROR(INDEX('Senior Faculty'!$L$2:$L$401,MATCH(1,INDEX(('Senior Faculty'!$K$2:$K$401=$B$1)*('Senior Faculty'!$N$2:$N$401=1),0),0))&amp;"","")</f>
        <v>nafiz.jaidye@ulab.edu.bd</v>
      </c>
      <c r="D6" s="86" t="str">
        <f t="array" ref="D6">IFERROR(INDEX('Senior Faculty'!$M$2:$M$401,MATCH(1,INDEX(('Senior Faculty'!$K$2:$K$401=$B$1)*('Senior Faculty'!$N$2:$N$401=1),0),0))&amp;"","")</f>
        <v>01889121516</v>
      </c>
      <c r="E6" s="64"/>
      <c r="F6" s="63"/>
      <c r="G6" s="63"/>
      <c r="H6" s="64"/>
      <c r="I6" s="64"/>
      <c r="J6" s="64"/>
      <c r="K6" s="64"/>
      <c r="L6" s="64"/>
      <c r="M6" s="64"/>
      <c r="N6" s="64"/>
      <c r="O6" s="64"/>
      <c r="P6" s="64"/>
      <c r="Q6" s="64"/>
      <c r="R6" s="64"/>
      <c r="S6" s="64"/>
      <c r="T6" s="64"/>
      <c r="U6" s="64"/>
      <c r="V6" s="64"/>
      <c r="W6" s="64"/>
      <c r="X6" s="64"/>
      <c r="Y6" s="64"/>
      <c r="Z6" s="64"/>
    </row>
    <row r="7" ht="12.75" customHeight="1">
      <c r="A7" s="112" t="s">
        <v>713</v>
      </c>
      <c r="B7" s="86" t="str">
        <f t="array" ref="B7">IFERROR(INDEX('Junior Faculty'!$J$2:$J$401,MATCH(1,INDEX(('Junior Faculty'!$K$2:$K$401=$B$1)*('Junior Faculty'!$N$2:$N$401=1),0),0)),"")</f>
        <v>Abdullah Md. Zobayer</v>
      </c>
      <c r="C7" s="86" t="str">
        <f t="array" ref="C7">IFERROR(INDEX('Junior Faculty'!$L$2:$L$401,MATCH(1,INDEX(('Junior Faculty'!$K$2:$K$401=$B$1)*('Junior Faculty'!$N$2:$N$401=1),0),0))&amp;"","")</f>
        <v>abdullah.zobayer@ulab.edu.bd</v>
      </c>
      <c r="D7" s="86" t="str">
        <f t="array" ref="D7">IFERROR(INDEX('Junior Faculty'!$M$2:$M$401,MATCH(1,INDEX(('Junior Faculty'!$K$2:$K$401=$B$1)*('Junior Faculty'!$N$2:$N$401=1),0),0))&amp;"","")</f>
        <v>01921999286</v>
      </c>
      <c r="E7" s="64"/>
      <c r="F7" s="63"/>
      <c r="G7" s="63"/>
      <c r="H7" s="64"/>
      <c r="I7" s="64"/>
      <c r="J7" s="64"/>
      <c r="K7" s="64"/>
      <c r="L7" s="64"/>
      <c r="M7" s="64"/>
      <c r="N7" s="64"/>
      <c r="O7" s="64"/>
      <c r="P7" s="64"/>
      <c r="Q7" s="64"/>
      <c r="R7" s="64"/>
      <c r="S7" s="64"/>
      <c r="T7" s="64"/>
      <c r="U7" s="64"/>
      <c r="V7" s="64"/>
      <c r="W7" s="64"/>
      <c r="X7" s="64"/>
      <c r="Y7" s="64"/>
      <c r="Z7" s="64"/>
    </row>
    <row r="8" ht="12.75" customHeight="1">
      <c r="A8" s="119" t="s">
        <v>714</v>
      </c>
      <c r="B8" s="95" t="str">
        <f t="array" ref="B8">IFERROR(INDEX('Junior Faculty'!$J$2:$J$401,MATCH(1,INDEX(('Junior Faculty'!$K$2:$K$401=$B$1)*('Junior Faculty'!$N$2:$N$401=2),0),0)),"")</f>
        <v/>
      </c>
      <c r="C8" s="95" t="str">
        <f t="array" ref="C8">IFERROR(INDEX('Junior Faculty'!$L$2:$L$401,MATCH(1,INDEX(('Junior Faculty'!$K$2:$K$401=$B$1)*('Junior Faculty'!$N$2:$N$401=2),0),0))&amp;"","")</f>
        <v/>
      </c>
      <c r="D8" s="95" t="str">
        <f t="array" ref="D8">IFERROR(INDEX('Junior Faculty'!$M$2:$M$401,MATCH(1,INDEX(('Junior Faculty'!$K$2:$K$401=$B$1)*('Junior Faculty'!$N$2:$N$401=2),0),0))&amp;"","")</f>
        <v/>
      </c>
      <c r="E8" s="64"/>
      <c r="F8" s="63"/>
      <c r="G8" s="63"/>
      <c r="H8" s="64"/>
      <c r="I8" s="64"/>
      <c r="J8" s="64"/>
      <c r="K8" s="64"/>
      <c r="L8" s="64"/>
      <c r="M8" s="64"/>
      <c r="N8" s="64"/>
      <c r="O8" s="64"/>
      <c r="P8" s="64"/>
      <c r="Q8" s="64"/>
      <c r="R8" s="64"/>
      <c r="S8" s="64"/>
      <c r="T8" s="64"/>
      <c r="U8" s="64"/>
      <c r="V8" s="64"/>
      <c r="W8" s="64"/>
      <c r="X8" s="64"/>
      <c r="Y8" s="64"/>
      <c r="Z8" s="64"/>
    </row>
    <row r="9" ht="12.75" customHeight="1">
      <c r="A9" s="108"/>
      <c r="B9" s="64"/>
      <c r="C9" s="64"/>
      <c r="D9" s="64"/>
      <c r="E9" s="64"/>
      <c r="F9" s="63"/>
      <c r="G9" s="63"/>
      <c r="H9" s="64"/>
      <c r="I9" s="64"/>
      <c r="J9" s="64"/>
      <c r="K9" s="64"/>
      <c r="L9" s="64"/>
      <c r="M9" s="64"/>
      <c r="N9" s="64"/>
      <c r="O9" s="64"/>
      <c r="P9" s="64"/>
      <c r="Q9" s="64"/>
      <c r="R9" s="64"/>
      <c r="S9" s="64"/>
      <c r="T9" s="64"/>
      <c r="U9" s="64"/>
      <c r="V9" s="64"/>
      <c r="W9" s="64"/>
      <c r="X9" s="64"/>
      <c r="Y9" s="64"/>
      <c r="Z9" s="64"/>
    </row>
    <row r="10" ht="12.75" customHeight="1">
      <c r="A10" s="121" t="s">
        <v>727</v>
      </c>
      <c r="B10" s="86"/>
      <c r="C10" s="86"/>
      <c r="D10" s="86"/>
      <c r="E10" s="64"/>
      <c r="F10" s="63"/>
      <c r="G10" s="63"/>
      <c r="H10" s="64"/>
      <c r="I10" s="64"/>
      <c r="J10" s="64"/>
      <c r="K10" s="64"/>
      <c r="L10" s="64"/>
      <c r="M10" s="64"/>
      <c r="N10" s="64"/>
      <c r="O10" s="64"/>
      <c r="P10" s="64"/>
      <c r="Q10" s="64"/>
      <c r="R10" s="64"/>
      <c r="S10" s="64"/>
      <c r="T10" s="64"/>
      <c r="U10" s="64"/>
      <c r="V10" s="64"/>
      <c r="W10" s="64"/>
      <c r="X10" s="64"/>
      <c r="Y10" s="64"/>
      <c r="Z10" s="64"/>
    </row>
    <row r="11" ht="15.0" customHeight="1">
      <c r="A11" s="122" t="s">
        <v>174</v>
      </c>
      <c r="B11" s="122" t="s">
        <v>256</v>
      </c>
      <c r="C11" s="123" t="s">
        <v>257</v>
      </c>
      <c r="D11" s="124"/>
      <c r="E11" s="61" t="s">
        <v>258</v>
      </c>
      <c r="F11" s="60" t="s">
        <v>265</v>
      </c>
      <c r="G11" s="64"/>
      <c r="H11" s="64"/>
      <c r="I11" s="64"/>
      <c r="J11" s="64"/>
      <c r="K11" s="64"/>
      <c r="L11" s="64"/>
      <c r="M11" s="64"/>
      <c r="N11" s="64"/>
      <c r="O11" s="64"/>
      <c r="P11" s="64"/>
      <c r="Q11" s="64"/>
      <c r="R11" s="64"/>
      <c r="S11" s="64"/>
      <c r="T11" s="64"/>
      <c r="U11" s="64"/>
      <c r="V11" s="64"/>
      <c r="W11" s="64"/>
      <c r="X11" s="64"/>
      <c r="Y11" s="64"/>
      <c r="Z11" s="64"/>
    </row>
    <row r="12" ht="12.75" customHeight="1">
      <c r="A12" s="113" t="str">
        <f t="array" ref="A12">IFERROR(INDEX(Papers!$A$2:$A$201,MATCH(1,INDEX((Papers!$G$2:$G$201=$B$1)*(Papers!$I$2:$I$201=1),0),0)),"")</f>
        <v/>
      </c>
      <c r="B12" s="113" t="str">
        <f t="array" ref="B12">IFERROR(INDEX(Papers!$C$2:$C$201,MATCH(1,INDEX((Papers!$G$2:$G$201=$B$1)*(Papers!$I$2:$I$201=1),0),0)),"")</f>
        <v/>
      </c>
      <c r="C12" s="113" t="str">
        <f t="array" ref="C12">IFERROR(INDEX(Papers!$D$2:$D$201,MATCH(1,INDEX((Papers!$G$2:$G$201=$B$1)*(Papers!$I$2:$I$201=1),0),0)),"")</f>
        <v/>
      </c>
      <c r="D12" s="125"/>
      <c r="E12" s="86" t="str">
        <f t="array" ref="E12">IFERROR(INDEX(Papers!$E$2:$E$201,MATCH(1,INDEX((Papers!$G$2:$G$201=$B$1)*(Papers!$I$2:$I$201=1),0),0)),"")</f>
        <v/>
      </c>
      <c r="F12" s="67"/>
      <c r="G12" s="64"/>
      <c r="H12" s="64"/>
      <c r="I12" s="64"/>
      <c r="J12" s="64"/>
      <c r="K12" s="64"/>
      <c r="L12" s="64"/>
      <c r="M12" s="64"/>
      <c r="N12" s="64"/>
      <c r="O12" s="64"/>
      <c r="P12" s="64"/>
      <c r="Q12" s="64"/>
      <c r="R12" s="64"/>
      <c r="S12" s="64"/>
      <c r="T12" s="64"/>
      <c r="U12" s="64"/>
      <c r="V12" s="64"/>
      <c r="W12" s="64"/>
      <c r="X12" s="64"/>
      <c r="Y12" s="64"/>
      <c r="Z12" s="64"/>
    </row>
    <row r="13" ht="12.75" customHeight="1">
      <c r="A13" s="113" t="str">
        <f t="array" ref="A13">IFERROR(INDEX(Papers!$A$2:$A$201,MATCH(1,INDEX((Papers!$G$2:$G$201=$B$1)*(Papers!$I$2:$I$201=2),0),0)),"")</f>
        <v/>
      </c>
      <c r="B13" s="113" t="str">
        <f t="array" ref="B13">IFERROR(INDEX(Papers!$C$2:$C$201,MATCH(1,INDEX((Papers!$G$2:$G$201=$B$1)*(Papers!$I$2:$I$201=2),0),0)),"")</f>
        <v/>
      </c>
      <c r="C13" s="113" t="str">
        <f t="array" ref="C13">IFERROR(INDEX(Papers!$D$2:$D$201,MATCH(1,INDEX((Papers!$G$2:$G$201=$B$1)*(Papers!$I$2:$I$201=2),0),0)),"")</f>
        <v/>
      </c>
      <c r="D13" s="125"/>
      <c r="E13" s="86" t="str">
        <f t="array" ref="E13">IFERROR(INDEX(Papers!$E$2:$E$201,MATCH(1,INDEX((Papers!$G$2:$G$201=$B$1)*(Papers!$I$2:$I$201=2),0),0)),"")</f>
        <v/>
      </c>
      <c r="F13" s="67"/>
      <c r="G13" s="64"/>
      <c r="H13" s="64"/>
      <c r="I13" s="64"/>
      <c r="J13" s="64"/>
      <c r="K13" s="64"/>
      <c r="L13" s="64"/>
      <c r="M13" s="64"/>
      <c r="N13" s="64"/>
      <c r="O13" s="64"/>
      <c r="P13" s="64"/>
      <c r="Q13" s="64"/>
      <c r="R13" s="64"/>
      <c r="S13" s="64"/>
      <c r="T13" s="64"/>
      <c r="U13" s="64"/>
      <c r="V13" s="64"/>
      <c r="W13" s="64"/>
      <c r="X13" s="64"/>
      <c r="Y13" s="64"/>
      <c r="Z13" s="64"/>
    </row>
    <row r="14" ht="12.75" customHeight="1">
      <c r="A14" s="113" t="str">
        <f t="array" ref="A14">IFERROR(INDEX(Papers!$A$2:$A$201,MATCH(1,INDEX((Papers!$G$2:$G$201=$B$1)*(Papers!$I$2:$I$201=3),0),0)),"")</f>
        <v/>
      </c>
      <c r="B14" s="113" t="str">
        <f t="array" ref="B14">IFERROR(INDEX(Papers!$C$2:$C$201,MATCH(1,INDEX((Papers!$G$2:$G$201=$B$1)*(Papers!$I$2:$I$201=3),0),0)),"")</f>
        <v/>
      </c>
      <c r="C14" s="113" t="str">
        <f t="array" ref="C14">IFERROR(INDEX(Papers!$D$2:$D$201,MATCH(1,INDEX((Papers!$G$2:$G$201=$B$1)*(Papers!$I$2:$I$201=3),0),0)),"")</f>
        <v/>
      </c>
      <c r="D14" s="125"/>
      <c r="E14" s="86" t="str">
        <f t="array" ref="E14">IFERROR(INDEX(Papers!$E$2:$E$201,MATCH(1,INDEX((Papers!$G$2:$G$201=$B$1)*(Papers!$I$2:$I$201=3),0),0)),"")</f>
        <v/>
      </c>
      <c r="F14" s="67"/>
      <c r="G14" s="64"/>
      <c r="H14" s="64"/>
      <c r="I14" s="64"/>
      <c r="J14" s="64"/>
      <c r="K14" s="64"/>
      <c r="L14" s="64"/>
      <c r="M14" s="64"/>
      <c r="N14" s="64"/>
      <c r="O14" s="64"/>
      <c r="P14" s="64"/>
      <c r="Q14" s="64"/>
      <c r="R14" s="64"/>
      <c r="S14" s="64"/>
      <c r="T14" s="64"/>
      <c r="U14" s="64"/>
      <c r="V14" s="64"/>
      <c r="W14" s="64"/>
      <c r="X14" s="64"/>
      <c r="Y14" s="64"/>
      <c r="Z14" s="64"/>
    </row>
    <row r="15" ht="12.75" customHeight="1">
      <c r="A15" s="113" t="str">
        <f t="array" ref="A15">IFERROR(INDEX(Papers!$A$2:$A$201,MATCH(1,INDEX((Papers!$G$2:$G$201=$B$1)*(Papers!$I$2:$I$201=4),0),0)),"")</f>
        <v/>
      </c>
      <c r="B15" s="113" t="str">
        <f t="array" ref="B15">IFERROR(INDEX(Papers!$C$2:$C$201,MATCH(1,INDEX((Papers!$G$2:$G$201=$B$1)*(Papers!$I$2:$I$201=4),0),0)),"")</f>
        <v/>
      </c>
      <c r="C15" s="113" t="str">
        <f t="array" ref="C15">IFERROR(INDEX(Papers!$D$2:$D$201,MATCH(1,INDEX((Papers!$G$2:$G$201=$B$1)*(Papers!$I$2:$I$201=4),0),0)),"")</f>
        <v/>
      </c>
      <c r="D15" s="125"/>
      <c r="E15" s="86" t="str">
        <f t="array" ref="E15">IFERROR(INDEX(Papers!$E$2:$E$201,MATCH(1,INDEX((Papers!$G$2:$G$201=$B$1)*(Papers!$I$2:$I$201=4),0),0)),"")</f>
        <v/>
      </c>
      <c r="F15" s="67"/>
      <c r="G15" s="64"/>
      <c r="H15" s="64"/>
      <c r="I15" s="64"/>
      <c r="J15" s="64"/>
      <c r="K15" s="64"/>
      <c r="L15" s="64"/>
      <c r="M15" s="64"/>
      <c r="N15" s="64"/>
      <c r="O15" s="64"/>
      <c r="P15" s="64"/>
      <c r="Q15" s="64"/>
      <c r="R15" s="64"/>
      <c r="S15" s="64"/>
      <c r="T15" s="64"/>
      <c r="U15" s="64"/>
      <c r="V15" s="64"/>
      <c r="W15" s="64"/>
      <c r="X15" s="64"/>
      <c r="Y15" s="64"/>
      <c r="Z15" s="64"/>
    </row>
    <row r="16" ht="12.75" customHeight="1">
      <c r="A16" s="113" t="str">
        <f t="array" ref="A16">IFERROR(INDEX(Papers!$A$2:$A$201,MATCH(1,INDEX((Papers!$G$2:$G$201=$B$1)*(Papers!$I$2:$I$201=5),0),0)),"")</f>
        <v/>
      </c>
      <c r="B16" s="113" t="str">
        <f t="array" ref="B16">IFERROR(INDEX(Papers!$C$2:$C$201,MATCH(1,INDEX((Papers!$G$2:$G$201=$B$1)*(Papers!$I$2:$I$201=5),0),0)),"")</f>
        <v/>
      </c>
      <c r="C16" s="113" t="str">
        <f t="array" ref="C16">IFERROR(INDEX(Papers!$D$2:$D$201,MATCH(1,INDEX((Papers!$G$2:$G$201=$B$1)*(Papers!$I$2:$I$201=5),0),0)),"")</f>
        <v/>
      </c>
      <c r="D16" s="125"/>
      <c r="E16" s="86" t="str">
        <f t="array" ref="E16">IFERROR(INDEX(Papers!$E$2:$E$201,MATCH(1,INDEX((Papers!$G$2:$G$201=$B$1)*(Papers!$I$2:$I$201=5),0),0)),"")</f>
        <v/>
      </c>
      <c r="F16" s="67"/>
      <c r="G16" s="64"/>
      <c r="H16" s="64"/>
      <c r="I16" s="64"/>
      <c r="J16" s="64"/>
      <c r="K16" s="64"/>
      <c r="L16" s="64"/>
      <c r="M16" s="64"/>
      <c r="N16" s="64"/>
      <c r="O16" s="64"/>
      <c r="P16" s="64"/>
      <c r="Q16" s="64"/>
      <c r="R16" s="64"/>
      <c r="S16" s="64"/>
      <c r="T16" s="64"/>
      <c r="U16" s="64"/>
      <c r="V16" s="64"/>
      <c r="W16" s="64"/>
      <c r="X16" s="64"/>
      <c r="Y16" s="64"/>
      <c r="Z16" s="64"/>
    </row>
    <row r="17" ht="12.75" customHeight="1">
      <c r="A17" s="113" t="str">
        <f t="array" ref="A17">IFERROR(INDEX(Papers!$A$2:$A$201,MATCH(1,INDEX((Papers!$G$2:$G$201=$B$1)*(Papers!$I$2:$I$201=6),0),0)),"")</f>
        <v/>
      </c>
      <c r="B17" s="113" t="str">
        <f t="array" ref="B17">IFERROR(INDEX(Papers!$C$2:$C$201,MATCH(1,INDEX((Papers!$G$2:$G$201=$B$1)*(Papers!$I$2:$I$201=6),0),0)),"")</f>
        <v/>
      </c>
      <c r="C17" s="113" t="str">
        <f t="array" ref="C17">IFERROR(INDEX(Papers!$D$2:$D$201,MATCH(1,INDEX((Papers!$G$2:$G$201=$B$1)*(Papers!$I$2:$I$201=6),0),0)),"")</f>
        <v/>
      </c>
      <c r="D17" s="125"/>
      <c r="E17" s="86" t="str">
        <f t="array" ref="E17">IFERROR(INDEX(Papers!$E$2:$E$201,MATCH(1,INDEX((Papers!$G$2:$G$201=$B$1)*(Papers!$I$2:$I$201=6),0),0)),"")</f>
        <v/>
      </c>
      <c r="F17" s="67"/>
      <c r="G17" s="64"/>
      <c r="H17" s="64"/>
      <c r="I17" s="64"/>
      <c r="J17" s="64"/>
      <c r="K17" s="64"/>
      <c r="L17" s="64"/>
      <c r="M17" s="64"/>
      <c r="N17" s="64"/>
      <c r="O17" s="64"/>
      <c r="P17" s="64"/>
      <c r="Q17" s="64"/>
      <c r="R17" s="64"/>
      <c r="S17" s="64"/>
      <c r="T17" s="64"/>
      <c r="U17" s="64"/>
      <c r="V17" s="64"/>
      <c r="W17" s="64"/>
      <c r="X17" s="64"/>
      <c r="Y17" s="64"/>
      <c r="Z17" s="64"/>
    </row>
    <row r="18" ht="12.75" customHeight="1">
      <c r="A18" s="113" t="str">
        <f t="array" ref="A18">IFERROR(INDEX(Papers!$A$2:$A$201,MATCH(1,INDEX((Papers!$G$2:$G$201=$B$1)*(Papers!$I$2:$I$201=7),0),0)),"")</f>
        <v/>
      </c>
      <c r="B18" s="113" t="str">
        <f t="array" ref="B18">IFERROR(INDEX(Papers!$C$2:$C$201,MATCH(1,INDEX((Papers!$G$2:$G$201=$B$1)*(Papers!$I$2:$I$201=7),0),0)),"")</f>
        <v/>
      </c>
      <c r="C18" s="113" t="str">
        <f t="array" ref="C18">IFERROR(INDEX(Papers!$D$2:$D$201,MATCH(1,INDEX((Papers!$G$2:$G$201=$B$1)*(Papers!$I$2:$I$201=7),0),0)),"")</f>
        <v/>
      </c>
      <c r="D18" s="125"/>
      <c r="E18" s="86" t="str">
        <f t="array" ref="E18">IFERROR(INDEX(Papers!$E$2:$E$201,MATCH(1,INDEX((Papers!$G$2:$G$201=$B$1)*(Papers!$I$2:$I$201=7),0),0)),"")</f>
        <v/>
      </c>
      <c r="F18" s="67"/>
      <c r="G18" s="64"/>
      <c r="H18" s="64"/>
      <c r="I18" s="64"/>
      <c r="J18" s="64"/>
      <c r="K18" s="64"/>
      <c r="L18" s="64"/>
      <c r="M18" s="64"/>
      <c r="N18" s="64"/>
      <c r="O18" s="64"/>
      <c r="P18" s="64"/>
      <c r="Q18" s="64"/>
      <c r="R18" s="64"/>
      <c r="S18" s="64"/>
      <c r="T18" s="64"/>
      <c r="U18" s="64"/>
      <c r="V18" s="64"/>
      <c r="W18" s="64"/>
      <c r="X18" s="64"/>
      <c r="Y18" s="64"/>
      <c r="Z18" s="64"/>
    </row>
    <row r="19" ht="12.75" customHeight="1">
      <c r="A19" s="113" t="str">
        <f t="array" ref="A19">IFERROR(INDEX(Papers!$A$2:$A$201,MATCH(1,INDEX((Papers!$G$2:$G$201=$B$1)*(Papers!$I$2:$I$201=8),0),0)),"")</f>
        <v/>
      </c>
      <c r="B19" s="113" t="str">
        <f t="array" ref="B19">IFERROR(INDEX(Papers!$C$2:$C$201,MATCH(1,INDEX((Papers!$G$2:$G$201=$B$1)*(Papers!$I$2:$I$201=8),0),0)),"")</f>
        <v/>
      </c>
      <c r="C19" s="113" t="str">
        <f t="array" ref="C19">IFERROR(INDEX(Papers!$D$2:$D$201,MATCH(1,INDEX((Papers!$G$2:$G$201=$B$1)*(Papers!$I$2:$I$201=8),0),0)),"")</f>
        <v/>
      </c>
      <c r="D19" s="125"/>
      <c r="E19" s="86" t="str">
        <f t="array" ref="E19">IFERROR(INDEX(Papers!$E$2:$E$201,MATCH(1,INDEX((Papers!$G$2:$G$201=$B$1)*(Papers!$I$2:$I$201=8),0),0)),"")</f>
        <v/>
      </c>
      <c r="F19" s="67"/>
      <c r="G19" s="64"/>
      <c r="H19" s="64"/>
      <c r="I19" s="64"/>
      <c r="J19" s="64"/>
      <c r="K19" s="64"/>
      <c r="L19" s="64"/>
      <c r="M19" s="64"/>
      <c r="N19" s="64"/>
      <c r="O19" s="64"/>
      <c r="P19" s="64"/>
      <c r="Q19" s="64"/>
      <c r="R19" s="64"/>
      <c r="S19" s="64"/>
      <c r="T19" s="64"/>
      <c r="U19" s="64"/>
      <c r="V19" s="64"/>
      <c r="W19" s="64"/>
      <c r="X19" s="64"/>
      <c r="Y19" s="64"/>
      <c r="Z19" s="64"/>
    </row>
    <row r="20" ht="12.75" customHeight="1">
      <c r="A20" s="108"/>
      <c r="B20" s="64"/>
      <c r="C20" s="64"/>
      <c r="E20" s="64"/>
      <c r="F20" s="63"/>
      <c r="G20" s="64"/>
      <c r="H20" s="64"/>
      <c r="I20" s="64"/>
      <c r="J20" s="64"/>
      <c r="K20" s="64"/>
      <c r="L20" s="64"/>
      <c r="M20" s="64"/>
      <c r="N20" s="64"/>
      <c r="O20" s="64"/>
      <c r="P20" s="64"/>
      <c r="Q20" s="64"/>
      <c r="R20" s="64"/>
      <c r="S20" s="64"/>
      <c r="T20" s="64"/>
      <c r="U20" s="64"/>
      <c r="V20" s="64"/>
      <c r="W20" s="64"/>
      <c r="X20" s="64"/>
      <c r="Y20" s="64"/>
      <c r="Z20" s="64"/>
    </row>
    <row r="21" ht="12.75" customHeight="1">
      <c r="A21" s="108"/>
      <c r="B21" s="64"/>
      <c r="C21" s="64"/>
      <c r="D21" s="64"/>
      <c r="E21" s="64"/>
      <c r="F21" s="63"/>
      <c r="G21" s="63"/>
      <c r="H21" s="64"/>
      <c r="I21" s="64"/>
      <c r="J21" s="64"/>
      <c r="K21" s="64"/>
      <c r="L21" s="64"/>
      <c r="M21" s="64"/>
      <c r="N21" s="64"/>
      <c r="O21" s="64"/>
      <c r="P21" s="64"/>
      <c r="Q21" s="64"/>
      <c r="R21" s="64"/>
      <c r="S21" s="64"/>
      <c r="T21" s="64"/>
      <c r="U21" s="64"/>
      <c r="V21" s="64"/>
      <c r="W21" s="64"/>
      <c r="X21" s="64"/>
      <c r="Y21" s="64"/>
      <c r="Z21" s="64"/>
    </row>
    <row r="22" ht="12.75" customHeight="1">
      <c r="A22" s="108"/>
      <c r="B22" s="64"/>
      <c r="C22" s="64"/>
      <c r="D22" s="64"/>
      <c r="E22" s="64"/>
      <c r="F22" s="63"/>
      <c r="G22" s="63"/>
      <c r="H22" s="64"/>
      <c r="I22" s="64"/>
      <c r="J22" s="64"/>
      <c r="K22" s="64"/>
      <c r="L22" s="64"/>
      <c r="M22" s="64"/>
      <c r="N22" s="64"/>
      <c r="O22" s="64"/>
      <c r="P22" s="64"/>
      <c r="Q22" s="64"/>
      <c r="R22" s="64"/>
      <c r="S22" s="64"/>
      <c r="T22" s="64"/>
      <c r="U22" s="64"/>
      <c r="V22" s="64"/>
      <c r="W22" s="64"/>
      <c r="X22" s="64"/>
      <c r="Y22" s="64"/>
      <c r="Z22" s="64"/>
    </row>
    <row r="23" ht="12.75" customHeight="1">
      <c r="A23" s="108"/>
      <c r="B23" s="64"/>
      <c r="C23" s="64"/>
      <c r="D23" s="64"/>
      <c r="E23" s="64"/>
      <c r="F23" s="63"/>
      <c r="G23" s="63"/>
      <c r="H23" s="64"/>
      <c r="I23" s="64"/>
      <c r="J23" s="64"/>
      <c r="K23" s="64"/>
      <c r="L23" s="64"/>
      <c r="M23" s="64"/>
      <c r="N23" s="64"/>
      <c r="O23" s="64"/>
      <c r="P23" s="64"/>
      <c r="Q23" s="64"/>
      <c r="R23" s="64"/>
      <c r="S23" s="64"/>
      <c r="T23" s="64"/>
      <c r="U23" s="64"/>
      <c r="V23" s="64"/>
      <c r="W23" s="64"/>
      <c r="X23" s="64"/>
      <c r="Y23" s="64"/>
      <c r="Z23" s="64"/>
    </row>
    <row r="24" ht="12.75" customHeight="1">
      <c r="A24" s="108"/>
      <c r="B24" s="64"/>
      <c r="C24" s="64"/>
      <c r="D24" s="64"/>
      <c r="E24" s="64"/>
      <c r="F24" s="63"/>
      <c r="G24" s="63"/>
      <c r="H24" s="64"/>
      <c r="I24" s="64"/>
      <c r="J24" s="64"/>
      <c r="K24" s="64"/>
      <c r="L24" s="64"/>
      <c r="M24" s="64"/>
      <c r="N24" s="64"/>
      <c r="O24" s="64"/>
      <c r="P24" s="64"/>
      <c r="Q24" s="64"/>
      <c r="R24" s="64"/>
      <c r="S24" s="64"/>
      <c r="T24" s="64"/>
      <c r="U24" s="64"/>
      <c r="V24" s="64"/>
      <c r="W24" s="64"/>
      <c r="X24" s="64"/>
      <c r="Y24" s="64"/>
      <c r="Z24" s="64"/>
    </row>
    <row r="25" ht="12.75" customHeight="1">
      <c r="A25" s="108"/>
      <c r="B25" s="64"/>
      <c r="C25" s="64"/>
      <c r="D25" s="64"/>
      <c r="E25" s="64"/>
      <c r="F25" s="63"/>
      <c r="G25" s="63"/>
      <c r="H25" s="64"/>
      <c r="I25" s="64"/>
      <c r="J25" s="64"/>
      <c r="K25" s="64"/>
      <c r="L25" s="64"/>
      <c r="M25" s="64"/>
      <c r="N25" s="64"/>
      <c r="O25" s="64"/>
      <c r="P25" s="64"/>
      <c r="Q25" s="64"/>
      <c r="R25" s="64"/>
      <c r="S25" s="64"/>
      <c r="T25" s="64"/>
      <c r="U25" s="64"/>
      <c r="V25" s="64"/>
      <c r="W25" s="64"/>
      <c r="X25" s="64"/>
      <c r="Y25" s="64"/>
      <c r="Z25" s="64"/>
    </row>
    <row r="26" ht="12.75" customHeight="1">
      <c r="A26" s="108"/>
      <c r="B26" s="64"/>
      <c r="C26" s="64"/>
      <c r="D26" s="64"/>
      <c r="E26" s="64"/>
      <c r="F26" s="63"/>
      <c r="G26" s="63"/>
      <c r="H26" s="64"/>
      <c r="I26" s="64"/>
      <c r="J26" s="64"/>
      <c r="K26" s="64"/>
      <c r="L26" s="64"/>
      <c r="M26" s="64"/>
      <c r="N26" s="64"/>
      <c r="O26" s="64"/>
      <c r="P26" s="64"/>
      <c r="Q26" s="64"/>
      <c r="R26" s="64"/>
      <c r="S26" s="64"/>
      <c r="T26" s="64"/>
      <c r="U26" s="64"/>
      <c r="V26" s="64"/>
      <c r="W26" s="64"/>
      <c r="X26" s="64"/>
      <c r="Y26" s="64"/>
      <c r="Z26" s="64"/>
    </row>
    <row r="27" ht="12.75" customHeight="1">
      <c r="A27" s="108"/>
      <c r="B27" s="64"/>
      <c r="C27" s="64"/>
      <c r="D27" s="64"/>
      <c r="E27" s="64"/>
      <c r="F27" s="63"/>
      <c r="G27" s="63"/>
      <c r="H27" s="64"/>
      <c r="I27" s="64"/>
      <c r="J27" s="64"/>
      <c r="K27" s="64"/>
      <c r="L27" s="64"/>
      <c r="M27" s="64"/>
      <c r="N27" s="64"/>
      <c r="O27" s="64"/>
      <c r="P27" s="64"/>
      <c r="Q27" s="64"/>
      <c r="R27" s="64"/>
      <c r="S27" s="64"/>
      <c r="T27" s="64"/>
      <c r="U27" s="64"/>
      <c r="V27" s="64"/>
      <c r="W27" s="64"/>
      <c r="X27" s="64"/>
      <c r="Y27" s="64"/>
      <c r="Z27" s="64"/>
    </row>
    <row r="28" ht="12.75" customHeight="1">
      <c r="A28" s="108"/>
      <c r="B28" s="64"/>
      <c r="C28" s="64"/>
      <c r="D28" s="64"/>
      <c r="E28" s="64"/>
      <c r="F28" s="63"/>
      <c r="G28" s="63"/>
      <c r="H28" s="64"/>
      <c r="I28" s="64"/>
      <c r="J28" s="64"/>
      <c r="K28" s="64"/>
      <c r="L28" s="64"/>
      <c r="M28" s="64"/>
      <c r="N28" s="64"/>
      <c r="O28" s="64"/>
      <c r="P28" s="64"/>
      <c r="Q28" s="64"/>
      <c r="R28" s="64"/>
      <c r="S28" s="64"/>
      <c r="T28" s="64"/>
      <c r="U28" s="64"/>
      <c r="V28" s="64"/>
      <c r="W28" s="64"/>
      <c r="X28" s="64"/>
      <c r="Y28" s="64"/>
      <c r="Z28" s="64"/>
    </row>
    <row r="29" ht="12.75" customHeight="1">
      <c r="A29" s="108"/>
      <c r="B29" s="64"/>
      <c r="C29" s="64"/>
      <c r="D29" s="64"/>
      <c r="E29" s="64"/>
      <c r="F29" s="63"/>
      <c r="G29" s="63"/>
      <c r="H29" s="64"/>
      <c r="I29" s="64"/>
      <c r="J29" s="64"/>
      <c r="K29" s="64"/>
      <c r="L29" s="64"/>
      <c r="M29" s="64"/>
      <c r="N29" s="64"/>
      <c r="O29" s="64"/>
      <c r="P29" s="64"/>
      <c r="Q29" s="64"/>
      <c r="R29" s="64"/>
      <c r="S29" s="64"/>
      <c r="T29" s="64"/>
      <c r="U29" s="64"/>
      <c r="V29" s="64"/>
      <c r="W29" s="64"/>
      <c r="X29" s="64"/>
      <c r="Y29" s="64"/>
      <c r="Z29" s="64"/>
    </row>
    <row r="30" ht="12.75" customHeight="1">
      <c r="A30" s="108"/>
      <c r="B30" s="64"/>
      <c r="C30" s="64"/>
      <c r="D30" s="64"/>
      <c r="E30" s="64"/>
      <c r="F30" s="63"/>
      <c r="G30" s="63"/>
      <c r="H30" s="64"/>
      <c r="I30" s="64"/>
      <c r="J30" s="64"/>
      <c r="K30" s="64"/>
      <c r="L30" s="64"/>
      <c r="M30" s="64"/>
      <c r="N30" s="64"/>
      <c r="O30" s="64"/>
      <c r="P30" s="64"/>
      <c r="Q30" s="64"/>
      <c r="R30" s="64"/>
      <c r="S30" s="64"/>
      <c r="T30" s="64"/>
      <c r="U30" s="64"/>
      <c r="V30" s="64"/>
      <c r="W30" s="64"/>
      <c r="X30" s="64"/>
      <c r="Y30" s="64"/>
      <c r="Z30" s="64"/>
    </row>
    <row r="31" ht="12.75" customHeight="1">
      <c r="A31" s="108"/>
      <c r="B31" s="64"/>
      <c r="C31" s="64"/>
      <c r="D31" s="64"/>
      <c r="E31" s="64"/>
      <c r="F31" s="63"/>
      <c r="G31" s="63"/>
      <c r="H31" s="64"/>
      <c r="I31" s="64"/>
      <c r="J31" s="64"/>
      <c r="K31" s="64"/>
      <c r="L31" s="64"/>
      <c r="M31" s="64"/>
      <c r="N31" s="64"/>
      <c r="O31" s="64"/>
      <c r="P31" s="64"/>
      <c r="Q31" s="64"/>
      <c r="R31" s="64"/>
      <c r="S31" s="64"/>
      <c r="T31" s="64"/>
      <c r="U31" s="64"/>
      <c r="V31" s="64"/>
      <c r="W31" s="64"/>
      <c r="X31" s="64"/>
      <c r="Y31" s="64"/>
      <c r="Z31" s="64"/>
    </row>
    <row r="32" ht="12.75" customHeight="1">
      <c r="A32" s="108"/>
      <c r="B32" s="64"/>
      <c r="C32" s="64"/>
      <c r="D32" s="64"/>
      <c r="E32" s="64"/>
      <c r="F32" s="63"/>
      <c r="G32" s="63"/>
      <c r="H32" s="64"/>
      <c r="I32" s="64"/>
      <c r="J32" s="64"/>
      <c r="K32" s="64"/>
      <c r="L32" s="64"/>
      <c r="M32" s="64"/>
      <c r="N32" s="64"/>
      <c r="O32" s="64"/>
      <c r="P32" s="64"/>
      <c r="Q32" s="64"/>
      <c r="R32" s="64"/>
      <c r="S32" s="64"/>
      <c r="T32" s="64"/>
      <c r="U32" s="64"/>
      <c r="V32" s="64"/>
      <c r="W32" s="64"/>
      <c r="X32" s="64"/>
      <c r="Y32" s="64"/>
      <c r="Z32" s="64"/>
    </row>
    <row r="33" ht="12.75" customHeight="1">
      <c r="A33" s="108"/>
      <c r="B33" s="64"/>
      <c r="C33" s="64"/>
      <c r="D33" s="64"/>
      <c r="E33" s="64"/>
      <c r="F33" s="63"/>
      <c r="G33" s="63"/>
      <c r="H33" s="64"/>
      <c r="I33" s="64"/>
      <c r="J33" s="64"/>
      <c r="K33" s="64"/>
      <c r="L33" s="64"/>
      <c r="M33" s="64"/>
      <c r="N33" s="64"/>
      <c r="O33" s="64"/>
      <c r="P33" s="64"/>
      <c r="Q33" s="64"/>
      <c r="R33" s="64"/>
      <c r="S33" s="64"/>
      <c r="T33" s="64"/>
      <c r="U33" s="64"/>
      <c r="V33" s="64"/>
      <c r="W33" s="64"/>
      <c r="X33" s="64"/>
      <c r="Y33" s="64"/>
      <c r="Z33" s="64"/>
    </row>
    <row r="34" ht="12.75" customHeight="1">
      <c r="A34" s="108"/>
      <c r="B34" s="64"/>
      <c r="C34" s="64"/>
      <c r="D34" s="64"/>
      <c r="E34" s="64"/>
      <c r="F34" s="63"/>
      <c r="G34" s="63"/>
      <c r="H34" s="64"/>
      <c r="I34" s="64"/>
      <c r="J34" s="64"/>
      <c r="K34" s="64"/>
      <c r="L34" s="64"/>
      <c r="M34" s="64"/>
      <c r="N34" s="64"/>
      <c r="O34" s="64"/>
      <c r="P34" s="64"/>
      <c r="Q34" s="64"/>
      <c r="R34" s="64"/>
      <c r="S34" s="64"/>
      <c r="T34" s="64"/>
      <c r="U34" s="64"/>
      <c r="V34" s="64"/>
      <c r="W34" s="64"/>
      <c r="X34" s="64"/>
      <c r="Y34" s="64"/>
      <c r="Z34" s="64"/>
    </row>
    <row r="35" ht="12.75" customHeight="1">
      <c r="A35" s="108"/>
      <c r="B35" s="64"/>
      <c r="C35" s="64"/>
      <c r="D35" s="64"/>
      <c r="E35" s="64"/>
      <c r="F35" s="63"/>
      <c r="G35" s="63"/>
      <c r="H35" s="64"/>
      <c r="I35" s="64"/>
      <c r="J35" s="64"/>
      <c r="K35" s="64"/>
      <c r="L35" s="64"/>
      <c r="M35" s="64"/>
      <c r="N35" s="64"/>
      <c r="O35" s="64"/>
      <c r="P35" s="64"/>
      <c r="Q35" s="64"/>
      <c r="R35" s="64"/>
      <c r="S35" s="64"/>
      <c r="T35" s="64"/>
      <c r="U35" s="64"/>
      <c r="V35" s="64"/>
      <c r="W35" s="64"/>
      <c r="X35" s="64"/>
      <c r="Y35" s="64"/>
      <c r="Z35" s="64"/>
    </row>
    <row r="36" ht="12.75" customHeight="1">
      <c r="A36" s="108"/>
      <c r="B36" s="64"/>
      <c r="C36" s="64"/>
      <c r="D36" s="64"/>
      <c r="E36" s="64"/>
      <c r="F36" s="63"/>
      <c r="G36" s="63"/>
      <c r="H36" s="64"/>
      <c r="I36" s="64"/>
      <c r="J36" s="64"/>
      <c r="K36" s="64"/>
      <c r="L36" s="64"/>
      <c r="M36" s="64"/>
      <c r="N36" s="64"/>
      <c r="O36" s="64"/>
      <c r="P36" s="64"/>
      <c r="Q36" s="64"/>
      <c r="R36" s="64"/>
      <c r="S36" s="64"/>
      <c r="T36" s="64"/>
      <c r="U36" s="64"/>
      <c r="V36" s="64"/>
      <c r="W36" s="64"/>
      <c r="X36" s="64"/>
      <c r="Y36" s="64"/>
      <c r="Z36" s="64"/>
    </row>
    <row r="37" ht="12.75" customHeight="1">
      <c r="A37" s="108"/>
      <c r="B37" s="64"/>
      <c r="C37" s="64"/>
      <c r="D37" s="64"/>
      <c r="E37" s="64"/>
      <c r="F37" s="63"/>
      <c r="G37" s="63"/>
      <c r="H37" s="64"/>
      <c r="I37" s="64"/>
      <c r="J37" s="64"/>
      <c r="K37" s="64"/>
      <c r="L37" s="64"/>
      <c r="M37" s="64"/>
      <c r="N37" s="64"/>
      <c r="O37" s="64"/>
      <c r="P37" s="64"/>
      <c r="Q37" s="64"/>
      <c r="R37" s="64"/>
      <c r="S37" s="64"/>
      <c r="T37" s="64"/>
      <c r="U37" s="64"/>
      <c r="V37" s="64"/>
      <c r="W37" s="64"/>
      <c r="X37" s="64"/>
      <c r="Y37" s="64"/>
      <c r="Z37" s="64"/>
    </row>
    <row r="38" ht="12.75" customHeight="1">
      <c r="A38" s="108"/>
      <c r="B38" s="64"/>
      <c r="C38" s="64"/>
      <c r="D38" s="64"/>
      <c r="E38" s="64"/>
      <c r="F38" s="63"/>
      <c r="G38" s="63"/>
      <c r="H38" s="64"/>
      <c r="I38" s="64"/>
      <c r="J38" s="64"/>
      <c r="K38" s="64"/>
      <c r="L38" s="64"/>
      <c r="M38" s="64"/>
      <c r="N38" s="64"/>
      <c r="O38" s="64"/>
      <c r="P38" s="64"/>
      <c r="Q38" s="64"/>
      <c r="R38" s="64"/>
      <c r="S38" s="64"/>
      <c r="T38" s="64"/>
      <c r="U38" s="64"/>
      <c r="V38" s="64"/>
      <c r="W38" s="64"/>
      <c r="X38" s="64"/>
      <c r="Y38" s="64"/>
      <c r="Z38" s="64"/>
    </row>
    <row r="39" ht="12.75" customHeight="1">
      <c r="A39" s="108"/>
      <c r="B39" s="64"/>
      <c r="C39" s="64"/>
      <c r="D39" s="64"/>
      <c r="E39" s="64"/>
      <c r="F39" s="63"/>
      <c r="G39" s="63"/>
      <c r="H39" s="64"/>
      <c r="I39" s="64"/>
      <c r="J39" s="64"/>
      <c r="K39" s="64"/>
      <c r="L39" s="64"/>
      <c r="M39" s="64"/>
      <c r="N39" s="64"/>
      <c r="O39" s="64"/>
      <c r="P39" s="64"/>
      <c r="Q39" s="64"/>
      <c r="R39" s="64"/>
      <c r="S39" s="64"/>
      <c r="T39" s="64"/>
      <c r="U39" s="64"/>
      <c r="V39" s="64"/>
      <c r="W39" s="64"/>
      <c r="X39" s="64"/>
      <c r="Y39" s="64"/>
      <c r="Z39" s="64"/>
    </row>
    <row r="40" ht="12.75" customHeight="1">
      <c r="A40" s="108"/>
      <c r="B40" s="64"/>
      <c r="C40" s="64"/>
      <c r="D40" s="64"/>
      <c r="E40" s="64"/>
      <c r="F40" s="63"/>
      <c r="G40" s="63"/>
      <c r="H40" s="64"/>
      <c r="I40" s="64"/>
      <c r="J40" s="64"/>
      <c r="K40" s="64"/>
      <c r="L40" s="64"/>
      <c r="M40" s="64"/>
      <c r="N40" s="64"/>
      <c r="O40" s="64"/>
      <c r="P40" s="64"/>
      <c r="Q40" s="64"/>
      <c r="R40" s="64"/>
      <c r="S40" s="64"/>
      <c r="T40" s="64"/>
      <c r="U40" s="64"/>
      <c r="V40" s="64"/>
      <c r="W40" s="64"/>
      <c r="X40" s="64"/>
      <c r="Y40" s="64"/>
      <c r="Z40" s="64"/>
    </row>
    <row r="41" ht="12.75" customHeight="1">
      <c r="A41" s="108"/>
      <c r="B41" s="64"/>
      <c r="C41" s="64"/>
      <c r="D41" s="64"/>
      <c r="E41" s="64"/>
      <c r="F41" s="63"/>
      <c r="G41" s="63"/>
      <c r="H41" s="64"/>
      <c r="I41" s="64"/>
      <c r="J41" s="64"/>
      <c r="K41" s="64"/>
      <c r="L41" s="64"/>
      <c r="M41" s="64"/>
      <c r="N41" s="64"/>
      <c r="O41" s="64"/>
      <c r="P41" s="64"/>
      <c r="Q41" s="64"/>
      <c r="R41" s="64"/>
      <c r="S41" s="64"/>
      <c r="T41" s="64"/>
      <c r="U41" s="64"/>
      <c r="V41" s="64"/>
      <c r="W41" s="64"/>
      <c r="X41" s="64"/>
      <c r="Y41" s="64"/>
      <c r="Z41" s="64"/>
    </row>
    <row r="42" ht="12.75" customHeight="1">
      <c r="A42" s="108"/>
      <c r="B42" s="64"/>
      <c r="C42" s="64"/>
      <c r="D42" s="64"/>
      <c r="E42" s="64"/>
      <c r="F42" s="63"/>
      <c r="G42" s="63"/>
      <c r="H42" s="64"/>
      <c r="I42" s="64"/>
      <c r="J42" s="64"/>
      <c r="K42" s="64"/>
      <c r="L42" s="64"/>
      <c r="M42" s="64"/>
      <c r="N42" s="64"/>
      <c r="O42" s="64"/>
      <c r="P42" s="64"/>
      <c r="Q42" s="64"/>
      <c r="R42" s="64"/>
      <c r="S42" s="64"/>
      <c r="T42" s="64"/>
      <c r="U42" s="64"/>
      <c r="V42" s="64"/>
      <c r="W42" s="64"/>
      <c r="X42" s="64"/>
      <c r="Y42" s="64"/>
      <c r="Z42" s="64"/>
    </row>
    <row r="43" ht="12.75" customHeight="1">
      <c r="A43" s="108"/>
      <c r="B43" s="64"/>
      <c r="C43" s="64"/>
      <c r="D43" s="64"/>
      <c r="E43" s="64"/>
      <c r="F43" s="63"/>
      <c r="G43" s="63"/>
      <c r="H43" s="64"/>
      <c r="I43" s="64"/>
      <c r="J43" s="64"/>
      <c r="K43" s="64"/>
      <c r="L43" s="64"/>
      <c r="M43" s="64"/>
      <c r="N43" s="64"/>
      <c r="O43" s="64"/>
      <c r="P43" s="64"/>
      <c r="Q43" s="64"/>
      <c r="R43" s="64"/>
      <c r="S43" s="64"/>
      <c r="T43" s="64"/>
      <c r="U43" s="64"/>
      <c r="V43" s="64"/>
      <c r="W43" s="64"/>
      <c r="X43" s="64"/>
      <c r="Y43" s="64"/>
      <c r="Z43" s="64"/>
    </row>
    <row r="44" ht="12.75" customHeight="1">
      <c r="A44" s="108"/>
      <c r="B44" s="64"/>
      <c r="C44" s="64"/>
      <c r="D44" s="64"/>
      <c r="E44" s="64"/>
      <c r="F44" s="63"/>
      <c r="G44" s="63"/>
      <c r="H44" s="64"/>
      <c r="I44" s="64"/>
      <c r="J44" s="64"/>
      <c r="K44" s="64"/>
      <c r="L44" s="64"/>
      <c r="M44" s="64"/>
      <c r="N44" s="64"/>
      <c r="O44" s="64"/>
      <c r="P44" s="64"/>
      <c r="Q44" s="64"/>
      <c r="R44" s="64"/>
      <c r="S44" s="64"/>
      <c r="T44" s="64"/>
      <c r="U44" s="64"/>
      <c r="V44" s="64"/>
      <c r="W44" s="64"/>
      <c r="X44" s="64"/>
      <c r="Y44" s="64"/>
      <c r="Z44" s="64"/>
    </row>
    <row r="45" ht="12.75" customHeight="1">
      <c r="A45" s="108"/>
      <c r="B45" s="64"/>
      <c r="C45" s="64"/>
      <c r="D45" s="64"/>
      <c r="E45" s="64"/>
      <c r="F45" s="63"/>
      <c r="G45" s="63"/>
      <c r="H45" s="64"/>
      <c r="I45" s="64"/>
      <c r="J45" s="64"/>
      <c r="K45" s="64"/>
      <c r="L45" s="64"/>
      <c r="M45" s="64"/>
      <c r="N45" s="64"/>
      <c r="O45" s="64"/>
      <c r="P45" s="64"/>
      <c r="Q45" s="64"/>
      <c r="R45" s="64"/>
      <c r="S45" s="64"/>
      <c r="T45" s="64"/>
      <c r="U45" s="64"/>
      <c r="V45" s="64"/>
      <c r="W45" s="64"/>
      <c r="X45" s="64"/>
      <c r="Y45" s="64"/>
      <c r="Z45" s="64"/>
    </row>
    <row r="46" ht="12.75" customHeight="1">
      <c r="A46" s="108"/>
      <c r="B46" s="64"/>
      <c r="C46" s="64"/>
      <c r="D46" s="64"/>
      <c r="E46" s="64"/>
      <c r="F46" s="63"/>
      <c r="G46" s="63"/>
      <c r="H46" s="64"/>
      <c r="I46" s="64"/>
      <c r="J46" s="64"/>
      <c r="K46" s="64"/>
      <c r="L46" s="64"/>
      <c r="M46" s="64"/>
      <c r="N46" s="64"/>
      <c r="O46" s="64"/>
      <c r="P46" s="64"/>
      <c r="Q46" s="64"/>
      <c r="R46" s="64"/>
      <c r="S46" s="64"/>
      <c r="T46" s="64"/>
      <c r="U46" s="64"/>
      <c r="V46" s="64"/>
      <c r="W46" s="64"/>
      <c r="X46" s="64"/>
      <c r="Y46" s="64"/>
      <c r="Z46" s="64"/>
    </row>
    <row r="47" ht="12.75" customHeight="1">
      <c r="A47" s="108"/>
      <c r="B47" s="64"/>
      <c r="C47" s="64"/>
      <c r="D47" s="64"/>
      <c r="E47" s="64"/>
      <c r="F47" s="63"/>
      <c r="G47" s="63"/>
      <c r="H47" s="64"/>
      <c r="I47" s="64"/>
      <c r="J47" s="64"/>
      <c r="K47" s="64"/>
      <c r="L47" s="64"/>
      <c r="M47" s="64"/>
      <c r="N47" s="64"/>
      <c r="O47" s="64"/>
      <c r="P47" s="64"/>
      <c r="Q47" s="64"/>
      <c r="R47" s="64"/>
      <c r="S47" s="64"/>
      <c r="T47" s="64"/>
      <c r="U47" s="64"/>
      <c r="V47" s="64"/>
      <c r="W47" s="64"/>
      <c r="X47" s="64"/>
      <c r="Y47" s="64"/>
      <c r="Z47" s="64"/>
    </row>
    <row r="48" ht="12.75" customHeight="1">
      <c r="A48" s="108"/>
      <c r="B48" s="64"/>
      <c r="C48" s="64"/>
      <c r="D48" s="64"/>
      <c r="E48" s="64"/>
      <c r="F48" s="63"/>
      <c r="G48" s="63"/>
      <c r="H48" s="64"/>
      <c r="I48" s="64"/>
      <c r="J48" s="64"/>
      <c r="K48" s="64"/>
      <c r="L48" s="64"/>
      <c r="M48" s="64"/>
      <c r="N48" s="64"/>
      <c r="O48" s="64"/>
      <c r="P48" s="64"/>
      <c r="Q48" s="64"/>
      <c r="R48" s="64"/>
      <c r="S48" s="64"/>
      <c r="T48" s="64"/>
      <c r="U48" s="64"/>
      <c r="V48" s="64"/>
      <c r="W48" s="64"/>
      <c r="X48" s="64"/>
      <c r="Y48" s="64"/>
      <c r="Z48" s="64"/>
    </row>
    <row r="49" ht="12.75" customHeight="1">
      <c r="A49" s="108"/>
      <c r="B49" s="64"/>
      <c r="C49" s="64"/>
      <c r="D49" s="64"/>
      <c r="E49" s="64"/>
      <c r="F49" s="63"/>
      <c r="G49" s="63"/>
      <c r="H49" s="64"/>
      <c r="I49" s="64"/>
      <c r="J49" s="64"/>
      <c r="K49" s="64"/>
      <c r="L49" s="64"/>
      <c r="M49" s="64"/>
      <c r="N49" s="64"/>
      <c r="O49" s="64"/>
      <c r="P49" s="64"/>
      <c r="Q49" s="64"/>
      <c r="R49" s="64"/>
      <c r="S49" s="64"/>
      <c r="T49" s="64"/>
      <c r="U49" s="64"/>
      <c r="V49" s="64"/>
      <c r="W49" s="64"/>
      <c r="X49" s="64"/>
      <c r="Y49" s="64"/>
      <c r="Z49" s="64"/>
    </row>
    <row r="50" ht="12.75" customHeight="1">
      <c r="A50" s="108"/>
      <c r="B50" s="64"/>
      <c r="C50" s="64"/>
      <c r="D50" s="64"/>
      <c r="E50" s="64"/>
      <c r="F50" s="63"/>
      <c r="G50" s="63"/>
      <c r="H50" s="64"/>
      <c r="I50" s="64"/>
      <c r="J50" s="64"/>
      <c r="K50" s="64"/>
      <c r="L50" s="64"/>
      <c r="M50" s="64"/>
      <c r="N50" s="64"/>
      <c r="O50" s="64"/>
      <c r="P50" s="64"/>
      <c r="Q50" s="64"/>
      <c r="R50" s="64"/>
      <c r="S50" s="64"/>
      <c r="T50" s="64"/>
      <c r="U50" s="64"/>
      <c r="V50" s="64"/>
      <c r="W50" s="64"/>
      <c r="X50" s="64"/>
      <c r="Y50" s="64"/>
      <c r="Z50" s="64"/>
    </row>
    <row r="51" ht="12.75" customHeight="1">
      <c r="A51" s="108"/>
      <c r="B51" s="64"/>
      <c r="C51" s="64"/>
      <c r="D51" s="64"/>
      <c r="E51" s="64"/>
      <c r="F51" s="63"/>
      <c r="G51" s="63"/>
      <c r="H51" s="64"/>
      <c r="I51" s="64"/>
      <c r="J51" s="64"/>
      <c r="K51" s="64"/>
      <c r="L51" s="64"/>
      <c r="M51" s="64"/>
      <c r="N51" s="64"/>
      <c r="O51" s="64"/>
      <c r="P51" s="64"/>
      <c r="Q51" s="64"/>
      <c r="R51" s="64"/>
      <c r="S51" s="64"/>
      <c r="T51" s="64"/>
      <c r="U51" s="64"/>
      <c r="V51" s="64"/>
      <c r="W51" s="64"/>
      <c r="X51" s="64"/>
      <c r="Y51" s="64"/>
      <c r="Z51" s="64"/>
    </row>
    <row r="52" ht="12.75" customHeight="1">
      <c r="A52" s="108"/>
      <c r="B52" s="64"/>
      <c r="C52" s="64"/>
      <c r="D52" s="64"/>
      <c r="E52" s="64"/>
      <c r="F52" s="63"/>
      <c r="G52" s="63"/>
      <c r="H52" s="64"/>
      <c r="I52" s="64"/>
      <c r="J52" s="64"/>
      <c r="K52" s="64"/>
      <c r="L52" s="64"/>
      <c r="M52" s="64"/>
      <c r="N52" s="64"/>
      <c r="O52" s="64"/>
      <c r="P52" s="64"/>
      <c r="Q52" s="64"/>
      <c r="R52" s="64"/>
      <c r="S52" s="64"/>
      <c r="T52" s="64"/>
      <c r="U52" s="64"/>
      <c r="V52" s="64"/>
      <c r="W52" s="64"/>
      <c r="X52" s="64"/>
      <c r="Y52" s="64"/>
      <c r="Z52" s="64"/>
    </row>
    <row r="53" ht="12.75" customHeight="1">
      <c r="A53" s="108"/>
      <c r="B53" s="64"/>
      <c r="C53" s="64"/>
      <c r="D53" s="64"/>
      <c r="E53" s="64"/>
      <c r="F53" s="63"/>
      <c r="G53" s="63"/>
      <c r="H53" s="64"/>
      <c r="I53" s="64"/>
      <c r="J53" s="64"/>
      <c r="K53" s="64"/>
      <c r="L53" s="64"/>
      <c r="M53" s="64"/>
      <c r="N53" s="64"/>
      <c r="O53" s="64"/>
      <c r="P53" s="64"/>
      <c r="Q53" s="64"/>
      <c r="R53" s="64"/>
      <c r="S53" s="64"/>
      <c r="T53" s="64"/>
      <c r="U53" s="64"/>
      <c r="V53" s="64"/>
      <c r="W53" s="64"/>
      <c r="X53" s="64"/>
      <c r="Y53" s="64"/>
      <c r="Z53" s="64"/>
    </row>
    <row r="54" ht="12.75" customHeight="1">
      <c r="A54" s="108"/>
      <c r="B54" s="64"/>
      <c r="C54" s="64"/>
      <c r="D54" s="64"/>
      <c r="E54" s="64"/>
      <c r="F54" s="63"/>
      <c r="G54" s="63"/>
      <c r="H54" s="64"/>
      <c r="I54" s="64"/>
      <c r="J54" s="64"/>
      <c r="K54" s="64"/>
      <c r="L54" s="64"/>
      <c r="M54" s="64"/>
      <c r="N54" s="64"/>
      <c r="O54" s="64"/>
      <c r="P54" s="64"/>
      <c r="Q54" s="64"/>
      <c r="R54" s="64"/>
      <c r="S54" s="64"/>
      <c r="T54" s="64"/>
      <c r="U54" s="64"/>
      <c r="V54" s="64"/>
      <c r="W54" s="64"/>
      <c r="X54" s="64"/>
      <c r="Y54" s="64"/>
      <c r="Z54" s="64"/>
    </row>
    <row r="55" ht="12.75" customHeight="1">
      <c r="A55" s="108"/>
      <c r="B55" s="64"/>
      <c r="C55" s="64"/>
      <c r="D55" s="64"/>
      <c r="E55" s="64"/>
      <c r="F55" s="63"/>
      <c r="G55" s="63"/>
      <c r="H55" s="64"/>
      <c r="I55" s="64"/>
      <c r="J55" s="64"/>
      <c r="K55" s="64"/>
      <c r="L55" s="64"/>
      <c r="M55" s="64"/>
      <c r="N55" s="64"/>
      <c r="O55" s="64"/>
      <c r="P55" s="64"/>
      <c r="Q55" s="64"/>
      <c r="R55" s="64"/>
      <c r="S55" s="64"/>
      <c r="T55" s="64"/>
      <c r="U55" s="64"/>
      <c r="V55" s="64"/>
      <c r="W55" s="64"/>
      <c r="X55" s="64"/>
      <c r="Y55" s="64"/>
      <c r="Z55" s="64"/>
    </row>
    <row r="56" ht="12.75" customHeight="1">
      <c r="A56" s="108"/>
      <c r="B56" s="64"/>
      <c r="C56" s="64"/>
      <c r="D56" s="64"/>
      <c r="E56" s="64"/>
      <c r="F56" s="63"/>
      <c r="G56" s="63"/>
      <c r="H56" s="64"/>
      <c r="I56" s="64"/>
      <c r="J56" s="64"/>
      <c r="K56" s="64"/>
      <c r="L56" s="64"/>
      <c r="M56" s="64"/>
      <c r="N56" s="64"/>
      <c r="O56" s="64"/>
      <c r="P56" s="64"/>
      <c r="Q56" s="64"/>
      <c r="R56" s="64"/>
      <c r="S56" s="64"/>
      <c r="T56" s="64"/>
      <c r="U56" s="64"/>
      <c r="V56" s="64"/>
      <c r="W56" s="64"/>
      <c r="X56" s="64"/>
      <c r="Y56" s="64"/>
      <c r="Z56" s="64"/>
    </row>
    <row r="57" ht="12.75" customHeight="1">
      <c r="A57" s="108"/>
      <c r="B57" s="64"/>
      <c r="C57" s="64"/>
      <c r="D57" s="64"/>
      <c r="E57" s="64"/>
      <c r="F57" s="63"/>
      <c r="G57" s="63"/>
      <c r="H57" s="64"/>
      <c r="I57" s="64"/>
      <c r="J57" s="64"/>
      <c r="K57" s="64"/>
      <c r="L57" s="64"/>
      <c r="M57" s="64"/>
      <c r="N57" s="64"/>
      <c r="O57" s="64"/>
      <c r="P57" s="64"/>
      <c r="Q57" s="64"/>
      <c r="R57" s="64"/>
      <c r="S57" s="64"/>
      <c r="T57" s="64"/>
      <c r="U57" s="64"/>
      <c r="V57" s="64"/>
      <c r="W57" s="64"/>
      <c r="X57" s="64"/>
      <c r="Y57" s="64"/>
      <c r="Z57" s="64"/>
    </row>
    <row r="58" ht="12.75" customHeight="1">
      <c r="A58" s="108"/>
      <c r="B58" s="64"/>
      <c r="C58" s="64"/>
      <c r="D58" s="64"/>
      <c r="E58" s="64"/>
      <c r="F58" s="63"/>
      <c r="G58" s="63"/>
      <c r="H58" s="64"/>
      <c r="I58" s="64"/>
      <c r="J58" s="64"/>
      <c r="K58" s="64"/>
      <c r="L58" s="64"/>
      <c r="M58" s="64"/>
      <c r="N58" s="64"/>
      <c r="O58" s="64"/>
      <c r="P58" s="64"/>
      <c r="Q58" s="64"/>
      <c r="R58" s="64"/>
      <c r="S58" s="64"/>
      <c r="T58" s="64"/>
      <c r="U58" s="64"/>
      <c r="V58" s="64"/>
      <c r="W58" s="64"/>
      <c r="X58" s="64"/>
      <c r="Y58" s="64"/>
      <c r="Z58" s="64"/>
    </row>
    <row r="59" ht="12.75" customHeight="1">
      <c r="A59" s="108"/>
      <c r="B59" s="64"/>
      <c r="C59" s="64"/>
      <c r="D59" s="64"/>
      <c r="E59" s="64"/>
      <c r="F59" s="63"/>
      <c r="G59" s="63"/>
      <c r="H59" s="64"/>
      <c r="I59" s="64"/>
      <c r="J59" s="64"/>
      <c r="K59" s="64"/>
      <c r="L59" s="64"/>
      <c r="M59" s="64"/>
      <c r="N59" s="64"/>
      <c r="O59" s="64"/>
      <c r="P59" s="64"/>
      <c r="Q59" s="64"/>
      <c r="R59" s="64"/>
      <c r="S59" s="64"/>
      <c r="T59" s="64"/>
      <c r="U59" s="64"/>
      <c r="V59" s="64"/>
      <c r="W59" s="64"/>
      <c r="X59" s="64"/>
      <c r="Y59" s="64"/>
      <c r="Z59" s="64"/>
    </row>
    <row r="60" ht="12.75" customHeight="1">
      <c r="A60" s="108"/>
      <c r="B60" s="64"/>
      <c r="C60" s="64"/>
      <c r="D60" s="64"/>
      <c r="E60" s="64"/>
      <c r="F60" s="63"/>
      <c r="G60" s="63"/>
      <c r="H60" s="64"/>
      <c r="I60" s="64"/>
      <c r="J60" s="64"/>
      <c r="K60" s="64"/>
      <c r="L60" s="64"/>
      <c r="M60" s="64"/>
      <c r="N60" s="64"/>
      <c r="O60" s="64"/>
      <c r="P60" s="64"/>
      <c r="Q60" s="64"/>
      <c r="R60" s="64"/>
      <c r="S60" s="64"/>
      <c r="T60" s="64"/>
      <c r="U60" s="64"/>
      <c r="V60" s="64"/>
      <c r="W60" s="64"/>
      <c r="X60" s="64"/>
      <c r="Y60" s="64"/>
      <c r="Z60" s="64"/>
    </row>
    <row r="61" ht="12.75" customHeight="1">
      <c r="A61" s="108"/>
      <c r="B61" s="64"/>
      <c r="C61" s="64"/>
      <c r="D61" s="64"/>
      <c r="E61" s="64"/>
      <c r="F61" s="63"/>
      <c r="G61" s="63"/>
      <c r="H61" s="64"/>
      <c r="I61" s="64"/>
      <c r="J61" s="64"/>
      <c r="K61" s="64"/>
      <c r="L61" s="64"/>
      <c r="M61" s="64"/>
      <c r="N61" s="64"/>
      <c r="O61" s="64"/>
      <c r="P61" s="64"/>
      <c r="Q61" s="64"/>
      <c r="R61" s="64"/>
      <c r="S61" s="64"/>
      <c r="T61" s="64"/>
      <c r="U61" s="64"/>
      <c r="V61" s="64"/>
      <c r="W61" s="64"/>
      <c r="X61" s="64"/>
      <c r="Y61" s="64"/>
      <c r="Z61" s="64"/>
    </row>
    <row r="62" ht="12.75" customHeight="1">
      <c r="A62" s="108"/>
      <c r="B62" s="64"/>
      <c r="C62" s="64"/>
      <c r="D62" s="64"/>
      <c r="E62" s="64"/>
      <c r="F62" s="63"/>
      <c r="G62" s="63"/>
      <c r="H62" s="64"/>
      <c r="I62" s="64"/>
      <c r="J62" s="64"/>
      <c r="K62" s="64"/>
      <c r="L62" s="64"/>
      <c r="M62" s="64"/>
      <c r="N62" s="64"/>
      <c r="O62" s="64"/>
      <c r="P62" s="64"/>
      <c r="Q62" s="64"/>
      <c r="R62" s="64"/>
      <c r="S62" s="64"/>
      <c r="T62" s="64"/>
      <c r="U62" s="64"/>
      <c r="V62" s="64"/>
      <c r="W62" s="64"/>
      <c r="X62" s="64"/>
      <c r="Y62" s="64"/>
      <c r="Z62" s="64"/>
    </row>
    <row r="63" ht="12.75" customHeight="1">
      <c r="A63" s="108"/>
      <c r="B63" s="64"/>
      <c r="C63" s="64"/>
      <c r="D63" s="64"/>
      <c r="E63" s="64"/>
      <c r="F63" s="63"/>
      <c r="G63" s="63"/>
      <c r="H63" s="64"/>
      <c r="I63" s="64"/>
      <c r="J63" s="64"/>
      <c r="K63" s="64"/>
      <c r="L63" s="64"/>
      <c r="M63" s="64"/>
      <c r="N63" s="64"/>
      <c r="O63" s="64"/>
      <c r="P63" s="64"/>
      <c r="Q63" s="64"/>
      <c r="R63" s="64"/>
      <c r="S63" s="64"/>
      <c r="T63" s="64"/>
      <c r="U63" s="64"/>
      <c r="V63" s="64"/>
      <c r="W63" s="64"/>
      <c r="X63" s="64"/>
      <c r="Y63" s="64"/>
      <c r="Z63" s="64"/>
    </row>
    <row r="64" ht="12.75" customHeight="1">
      <c r="A64" s="108"/>
      <c r="B64" s="64"/>
      <c r="C64" s="64"/>
      <c r="D64" s="64"/>
      <c r="E64" s="64"/>
      <c r="F64" s="63"/>
      <c r="G64" s="63"/>
      <c r="H64" s="64"/>
      <c r="I64" s="64"/>
      <c r="J64" s="64"/>
      <c r="K64" s="64"/>
      <c r="L64" s="64"/>
      <c r="M64" s="64"/>
      <c r="N64" s="64"/>
      <c r="O64" s="64"/>
      <c r="P64" s="64"/>
      <c r="Q64" s="64"/>
      <c r="R64" s="64"/>
      <c r="S64" s="64"/>
      <c r="T64" s="64"/>
      <c r="U64" s="64"/>
      <c r="V64" s="64"/>
      <c r="W64" s="64"/>
      <c r="X64" s="64"/>
      <c r="Y64" s="64"/>
      <c r="Z64" s="64"/>
    </row>
    <row r="65" ht="12.75" customHeight="1">
      <c r="A65" s="108"/>
      <c r="B65" s="64"/>
      <c r="C65" s="64"/>
      <c r="D65" s="64"/>
      <c r="E65" s="64"/>
      <c r="F65" s="63"/>
      <c r="G65" s="63"/>
      <c r="H65" s="64"/>
      <c r="I65" s="64"/>
      <c r="J65" s="64"/>
      <c r="K65" s="64"/>
      <c r="L65" s="64"/>
      <c r="M65" s="64"/>
      <c r="N65" s="64"/>
      <c r="O65" s="64"/>
      <c r="P65" s="64"/>
      <c r="Q65" s="64"/>
      <c r="R65" s="64"/>
      <c r="S65" s="64"/>
      <c r="T65" s="64"/>
      <c r="U65" s="64"/>
      <c r="V65" s="64"/>
      <c r="W65" s="64"/>
      <c r="X65" s="64"/>
      <c r="Y65" s="64"/>
      <c r="Z65" s="64"/>
    </row>
    <row r="66" ht="12.75" customHeight="1">
      <c r="A66" s="108"/>
      <c r="B66" s="64"/>
      <c r="C66" s="64"/>
      <c r="D66" s="64"/>
      <c r="E66" s="64"/>
      <c r="F66" s="63"/>
      <c r="G66" s="63"/>
      <c r="H66" s="64"/>
      <c r="I66" s="64"/>
      <c r="J66" s="64"/>
      <c r="K66" s="64"/>
      <c r="L66" s="64"/>
      <c r="M66" s="64"/>
      <c r="N66" s="64"/>
      <c r="O66" s="64"/>
      <c r="P66" s="64"/>
      <c r="Q66" s="64"/>
      <c r="R66" s="64"/>
      <c r="S66" s="64"/>
      <c r="T66" s="64"/>
      <c r="U66" s="64"/>
      <c r="V66" s="64"/>
      <c r="W66" s="64"/>
      <c r="X66" s="64"/>
      <c r="Y66" s="64"/>
      <c r="Z66" s="64"/>
    </row>
    <row r="67" ht="12.75" customHeight="1">
      <c r="A67" s="108"/>
      <c r="B67" s="64"/>
      <c r="C67" s="64"/>
      <c r="D67" s="64"/>
      <c r="E67" s="64"/>
      <c r="F67" s="63"/>
      <c r="G67" s="63"/>
      <c r="H67" s="64"/>
      <c r="I67" s="64"/>
      <c r="J67" s="64"/>
      <c r="K67" s="64"/>
      <c r="L67" s="64"/>
      <c r="M67" s="64"/>
      <c r="N67" s="64"/>
      <c r="O67" s="64"/>
      <c r="P67" s="64"/>
      <c r="Q67" s="64"/>
      <c r="R67" s="64"/>
      <c r="S67" s="64"/>
      <c r="T67" s="64"/>
      <c r="U67" s="64"/>
      <c r="V67" s="64"/>
      <c r="W67" s="64"/>
      <c r="X67" s="64"/>
      <c r="Y67" s="64"/>
      <c r="Z67" s="64"/>
    </row>
    <row r="68" ht="12.75" customHeight="1">
      <c r="A68" s="108"/>
      <c r="B68" s="64"/>
      <c r="C68" s="64"/>
      <c r="D68" s="64"/>
      <c r="E68" s="64"/>
      <c r="F68" s="63"/>
      <c r="G68" s="63"/>
      <c r="H68" s="64"/>
      <c r="I68" s="64"/>
      <c r="J68" s="64"/>
      <c r="K68" s="64"/>
      <c r="L68" s="64"/>
      <c r="M68" s="64"/>
      <c r="N68" s="64"/>
      <c r="O68" s="64"/>
      <c r="P68" s="64"/>
      <c r="Q68" s="64"/>
      <c r="R68" s="64"/>
      <c r="S68" s="64"/>
      <c r="T68" s="64"/>
      <c r="U68" s="64"/>
      <c r="V68" s="64"/>
      <c r="W68" s="64"/>
      <c r="X68" s="64"/>
      <c r="Y68" s="64"/>
      <c r="Z68" s="64"/>
    </row>
    <row r="69" ht="12.75" customHeight="1">
      <c r="A69" s="108"/>
      <c r="B69" s="64"/>
      <c r="C69" s="64"/>
      <c r="D69" s="64"/>
      <c r="E69" s="64"/>
      <c r="F69" s="63"/>
      <c r="G69" s="63"/>
      <c r="H69" s="64"/>
      <c r="I69" s="64"/>
      <c r="J69" s="64"/>
      <c r="K69" s="64"/>
      <c r="L69" s="64"/>
      <c r="M69" s="64"/>
      <c r="N69" s="64"/>
      <c r="O69" s="64"/>
      <c r="P69" s="64"/>
      <c r="Q69" s="64"/>
      <c r="R69" s="64"/>
      <c r="S69" s="64"/>
      <c r="T69" s="64"/>
      <c r="U69" s="64"/>
      <c r="V69" s="64"/>
      <c r="W69" s="64"/>
      <c r="X69" s="64"/>
      <c r="Y69" s="64"/>
      <c r="Z69" s="64"/>
    </row>
    <row r="70" ht="12.75" customHeight="1">
      <c r="A70" s="108"/>
      <c r="B70" s="64"/>
      <c r="C70" s="64"/>
      <c r="D70" s="64"/>
      <c r="E70" s="64"/>
      <c r="F70" s="63"/>
      <c r="G70" s="63"/>
      <c r="H70" s="64"/>
      <c r="I70" s="64"/>
      <c r="J70" s="64"/>
      <c r="K70" s="64"/>
      <c r="L70" s="64"/>
      <c r="M70" s="64"/>
      <c r="N70" s="64"/>
      <c r="O70" s="64"/>
      <c r="P70" s="64"/>
      <c r="Q70" s="64"/>
      <c r="R70" s="64"/>
      <c r="S70" s="64"/>
      <c r="T70" s="64"/>
      <c r="U70" s="64"/>
      <c r="V70" s="64"/>
      <c r="W70" s="64"/>
      <c r="X70" s="64"/>
      <c r="Y70" s="64"/>
      <c r="Z70" s="64"/>
    </row>
    <row r="71" ht="12.75" customHeight="1">
      <c r="A71" s="108"/>
      <c r="B71" s="64"/>
      <c r="C71" s="64"/>
      <c r="D71" s="64"/>
      <c r="E71" s="64"/>
      <c r="F71" s="63"/>
      <c r="G71" s="63"/>
      <c r="H71" s="64"/>
      <c r="I71" s="64"/>
      <c r="J71" s="64"/>
      <c r="K71" s="64"/>
      <c r="L71" s="64"/>
      <c r="M71" s="64"/>
      <c r="N71" s="64"/>
      <c r="O71" s="64"/>
      <c r="P71" s="64"/>
      <c r="Q71" s="64"/>
      <c r="R71" s="64"/>
      <c r="S71" s="64"/>
      <c r="T71" s="64"/>
      <c r="U71" s="64"/>
      <c r="V71" s="64"/>
      <c r="W71" s="64"/>
      <c r="X71" s="64"/>
      <c r="Y71" s="64"/>
      <c r="Z71" s="64"/>
    </row>
    <row r="72" ht="12.75" customHeight="1">
      <c r="A72" s="108"/>
      <c r="B72" s="64"/>
      <c r="C72" s="64"/>
      <c r="D72" s="64"/>
      <c r="E72" s="64"/>
      <c r="F72" s="63"/>
      <c r="G72" s="63"/>
      <c r="H72" s="64"/>
      <c r="I72" s="64"/>
      <c r="J72" s="64"/>
      <c r="K72" s="64"/>
      <c r="L72" s="64"/>
      <c r="M72" s="64"/>
      <c r="N72" s="64"/>
      <c r="O72" s="64"/>
      <c r="P72" s="64"/>
      <c r="Q72" s="64"/>
      <c r="R72" s="64"/>
      <c r="S72" s="64"/>
      <c r="T72" s="64"/>
      <c r="U72" s="64"/>
      <c r="V72" s="64"/>
      <c r="W72" s="64"/>
      <c r="X72" s="64"/>
      <c r="Y72" s="64"/>
      <c r="Z72" s="64"/>
    </row>
    <row r="73" ht="12.75" customHeight="1">
      <c r="A73" s="108"/>
      <c r="B73" s="64"/>
      <c r="C73" s="64"/>
      <c r="D73" s="64"/>
      <c r="E73" s="64"/>
      <c r="F73" s="63"/>
      <c r="G73" s="63"/>
      <c r="H73" s="64"/>
      <c r="I73" s="64"/>
      <c r="J73" s="64"/>
      <c r="K73" s="64"/>
      <c r="L73" s="64"/>
      <c r="M73" s="64"/>
      <c r="N73" s="64"/>
      <c r="O73" s="64"/>
      <c r="P73" s="64"/>
      <c r="Q73" s="64"/>
      <c r="R73" s="64"/>
      <c r="S73" s="64"/>
      <c r="T73" s="64"/>
      <c r="U73" s="64"/>
      <c r="V73" s="64"/>
      <c r="W73" s="64"/>
      <c r="X73" s="64"/>
      <c r="Y73" s="64"/>
      <c r="Z73" s="64"/>
    </row>
    <row r="74" ht="12.75" customHeight="1">
      <c r="A74" s="108"/>
      <c r="B74" s="64"/>
      <c r="C74" s="64"/>
      <c r="D74" s="64"/>
      <c r="E74" s="64"/>
      <c r="F74" s="63"/>
      <c r="G74" s="63"/>
      <c r="H74" s="64"/>
      <c r="I74" s="64"/>
      <c r="J74" s="64"/>
      <c r="K74" s="64"/>
      <c r="L74" s="64"/>
      <c r="M74" s="64"/>
      <c r="N74" s="64"/>
      <c r="O74" s="64"/>
      <c r="P74" s="64"/>
      <c r="Q74" s="64"/>
      <c r="R74" s="64"/>
      <c r="S74" s="64"/>
      <c r="T74" s="64"/>
      <c r="U74" s="64"/>
      <c r="V74" s="64"/>
      <c r="W74" s="64"/>
      <c r="X74" s="64"/>
      <c r="Y74" s="64"/>
      <c r="Z74" s="64"/>
    </row>
    <row r="75" ht="12.75" customHeight="1">
      <c r="A75" s="108"/>
      <c r="B75" s="64"/>
      <c r="C75" s="64"/>
      <c r="D75" s="64"/>
      <c r="E75" s="64"/>
      <c r="F75" s="63"/>
      <c r="G75" s="63"/>
      <c r="H75" s="64"/>
      <c r="I75" s="64"/>
      <c r="J75" s="64"/>
      <c r="K75" s="64"/>
      <c r="L75" s="64"/>
      <c r="M75" s="64"/>
      <c r="N75" s="64"/>
      <c r="O75" s="64"/>
      <c r="P75" s="64"/>
      <c r="Q75" s="64"/>
      <c r="R75" s="64"/>
      <c r="S75" s="64"/>
      <c r="T75" s="64"/>
      <c r="U75" s="64"/>
      <c r="V75" s="64"/>
      <c r="W75" s="64"/>
      <c r="X75" s="64"/>
      <c r="Y75" s="64"/>
      <c r="Z75" s="64"/>
    </row>
    <row r="76" ht="12.75" customHeight="1">
      <c r="A76" s="108"/>
      <c r="B76" s="64"/>
      <c r="C76" s="64"/>
      <c r="D76" s="64"/>
      <c r="E76" s="64"/>
      <c r="F76" s="63"/>
      <c r="G76" s="63"/>
      <c r="H76" s="64"/>
      <c r="I76" s="64"/>
      <c r="J76" s="64"/>
      <c r="K76" s="64"/>
      <c r="L76" s="64"/>
      <c r="M76" s="64"/>
      <c r="N76" s="64"/>
      <c r="O76" s="64"/>
      <c r="P76" s="64"/>
      <c r="Q76" s="64"/>
      <c r="R76" s="64"/>
      <c r="S76" s="64"/>
      <c r="T76" s="64"/>
      <c r="U76" s="64"/>
      <c r="V76" s="64"/>
      <c r="W76" s="64"/>
      <c r="X76" s="64"/>
      <c r="Y76" s="64"/>
      <c r="Z76" s="64"/>
    </row>
    <row r="77" ht="12.75" customHeight="1">
      <c r="A77" s="108"/>
      <c r="B77" s="64"/>
      <c r="C77" s="64"/>
      <c r="D77" s="64"/>
      <c r="E77" s="64"/>
      <c r="F77" s="63"/>
      <c r="G77" s="63"/>
      <c r="H77" s="64"/>
      <c r="I77" s="64"/>
      <c r="J77" s="64"/>
      <c r="K77" s="64"/>
      <c r="L77" s="64"/>
      <c r="M77" s="64"/>
      <c r="N77" s="64"/>
      <c r="O77" s="64"/>
      <c r="P77" s="64"/>
      <c r="Q77" s="64"/>
      <c r="R77" s="64"/>
      <c r="S77" s="64"/>
      <c r="T77" s="64"/>
      <c r="U77" s="64"/>
      <c r="V77" s="64"/>
      <c r="W77" s="64"/>
      <c r="X77" s="64"/>
      <c r="Y77" s="64"/>
      <c r="Z77" s="64"/>
    </row>
    <row r="78" ht="12.75" customHeight="1">
      <c r="A78" s="108"/>
      <c r="B78" s="64"/>
      <c r="C78" s="64"/>
      <c r="D78" s="64"/>
      <c r="E78" s="64"/>
      <c r="F78" s="63"/>
      <c r="G78" s="63"/>
      <c r="H78" s="64"/>
      <c r="I78" s="64"/>
      <c r="J78" s="64"/>
      <c r="K78" s="64"/>
      <c r="L78" s="64"/>
      <c r="M78" s="64"/>
      <c r="N78" s="64"/>
      <c r="O78" s="64"/>
      <c r="P78" s="64"/>
      <c r="Q78" s="64"/>
      <c r="R78" s="64"/>
      <c r="S78" s="64"/>
      <c r="T78" s="64"/>
      <c r="U78" s="64"/>
      <c r="V78" s="64"/>
      <c r="W78" s="64"/>
      <c r="X78" s="64"/>
      <c r="Y78" s="64"/>
      <c r="Z78" s="64"/>
    </row>
    <row r="79" ht="12.75" customHeight="1">
      <c r="A79" s="108"/>
      <c r="B79" s="64"/>
      <c r="C79" s="64"/>
      <c r="D79" s="64"/>
      <c r="E79" s="64"/>
      <c r="F79" s="63"/>
      <c r="G79" s="63"/>
      <c r="H79" s="64"/>
      <c r="I79" s="64"/>
      <c r="J79" s="64"/>
      <c r="K79" s="64"/>
      <c r="L79" s="64"/>
      <c r="M79" s="64"/>
      <c r="N79" s="64"/>
      <c r="O79" s="64"/>
      <c r="P79" s="64"/>
      <c r="Q79" s="64"/>
      <c r="R79" s="64"/>
      <c r="S79" s="64"/>
      <c r="T79" s="64"/>
      <c r="U79" s="64"/>
      <c r="V79" s="64"/>
      <c r="W79" s="64"/>
      <c r="X79" s="64"/>
      <c r="Y79" s="64"/>
      <c r="Z79" s="64"/>
    </row>
    <row r="80" ht="12.75" customHeight="1">
      <c r="A80" s="108"/>
      <c r="B80" s="64"/>
      <c r="C80" s="64"/>
      <c r="D80" s="64"/>
      <c r="E80" s="64"/>
      <c r="F80" s="63"/>
      <c r="G80" s="63"/>
      <c r="H80" s="64"/>
      <c r="I80" s="64"/>
      <c r="J80" s="64"/>
      <c r="K80" s="64"/>
      <c r="L80" s="64"/>
      <c r="M80" s="64"/>
      <c r="N80" s="64"/>
      <c r="O80" s="64"/>
      <c r="P80" s="64"/>
      <c r="Q80" s="64"/>
      <c r="R80" s="64"/>
      <c r="S80" s="64"/>
      <c r="T80" s="64"/>
      <c r="U80" s="64"/>
      <c r="V80" s="64"/>
      <c r="W80" s="64"/>
      <c r="X80" s="64"/>
      <c r="Y80" s="64"/>
      <c r="Z80" s="64"/>
    </row>
    <row r="81" ht="12.75" customHeight="1">
      <c r="A81" s="108"/>
      <c r="B81" s="64"/>
      <c r="C81" s="64"/>
      <c r="D81" s="64"/>
      <c r="E81" s="64"/>
      <c r="F81" s="63"/>
      <c r="G81" s="63"/>
      <c r="H81" s="64"/>
      <c r="I81" s="64"/>
      <c r="J81" s="64"/>
      <c r="K81" s="64"/>
      <c r="L81" s="64"/>
      <c r="M81" s="64"/>
      <c r="N81" s="64"/>
      <c r="O81" s="64"/>
      <c r="P81" s="64"/>
      <c r="Q81" s="64"/>
      <c r="R81" s="64"/>
      <c r="S81" s="64"/>
      <c r="T81" s="64"/>
      <c r="U81" s="64"/>
      <c r="V81" s="64"/>
      <c r="W81" s="64"/>
      <c r="X81" s="64"/>
      <c r="Y81" s="64"/>
      <c r="Z81" s="64"/>
    </row>
    <row r="82" ht="12.75" customHeight="1">
      <c r="A82" s="108"/>
      <c r="B82" s="64"/>
      <c r="C82" s="64"/>
      <c r="D82" s="64"/>
      <c r="E82" s="64"/>
      <c r="F82" s="63"/>
      <c r="G82" s="63"/>
      <c r="H82" s="64"/>
      <c r="I82" s="64"/>
      <c r="J82" s="64"/>
      <c r="K82" s="64"/>
      <c r="L82" s="64"/>
      <c r="M82" s="64"/>
      <c r="N82" s="64"/>
      <c r="O82" s="64"/>
      <c r="P82" s="64"/>
      <c r="Q82" s="64"/>
      <c r="R82" s="64"/>
      <c r="S82" s="64"/>
      <c r="T82" s="64"/>
      <c r="U82" s="64"/>
      <c r="V82" s="64"/>
      <c r="W82" s="64"/>
      <c r="X82" s="64"/>
      <c r="Y82" s="64"/>
      <c r="Z82" s="64"/>
    </row>
    <row r="83" ht="12.75" customHeight="1">
      <c r="A83" s="108"/>
      <c r="B83" s="64"/>
      <c r="C83" s="64"/>
      <c r="D83" s="64"/>
      <c r="E83" s="64"/>
      <c r="F83" s="63"/>
      <c r="G83" s="63"/>
      <c r="H83" s="64"/>
      <c r="I83" s="64"/>
      <c r="J83" s="64"/>
      <c r="K83" s="64"/>
      <c r="L83" s="64"/>
      <c r="M83" s="64"/>
      <c r="N83" s="64"/>
      <c r="O83" s="64"/>
      <c r="P83" s="64"/>
      <c r="Q83" s="64"/>
      <c r="R83" s="64"/>
      <c r="S83" s="64"/>
      <c r="T83" s="64"/>
      <c r="U83" s="64"/>
      <c r="V83" s="64"/>
      <c r="W83" s="64"/>
      <c r="X83" s="64"/>
      <c r="Y83" s="64"/>
      <c r="Z83" s="64"/>
    </row>
    <row r="84" ht="12.75" customHeight="1">
      <c r="A84" s="108"/>
      <c r="B84" s="64"/>
      <c r="C84" s="64"/>
      <c r="D84" s="64"/>
      <c r="E84" s="64"/>
      <c r="F84" s="63"/>
      <c r="G84" s="63"/>
      <c r="H84" s="64"/>
      <c r="I84" s="64"/>
      <c r="J84" s="64"/>
      <c r="K84" s="64"/>
      <c r="L84" s="64"/>
      <c r="M84" s="64"/>
      <c r="N84" s="64"/>
      <c r="O84" s="64"/>
      <c r="P84" s="64"/>
      <c r="Q84" s="64"/>
      <c r="R84" s="64"/>
      <c r="S84" s="64"/>
      <c r="T84" s="64"/>
      <c r="U84" s="64"/>
      <c r="V84" s="64"/>
      <c r="W84" s="64"/>
      <c r="X84" s="64"/>
      <c r="Y84" s="64"/>
      <c r="Z84" s="64"/>
    </row>
    <row r="85" ht="12.75" customHeight="1">
      <c r="A85" s="108"/>
      <c r="B85" s="64"/>
      <c r="C85" s="64"/>
      <c r="D85" s="64"/>
      <c r="E85" s="64"/>
      <c r="F85" s="63"/>
      <c r="G85" s="63"/>
      <c r="H85" s="64"/>
      <c r="I85" s="64"/>
      <c r="J85" s="64"/>
      <c r="K85" s="64"/>
      <c r="L85" s="64"/>
      <c r="M85" s="64"/>
      <c r="N85" s="64"/>
      <c r="O85" s="64"/>
      <c r="P85" s="64"/>
      <c r="Q85" s="64"/>
      <c r="R85" s="64"/>
      <c r="S85" s="64"/>
      <c r="T85" s="64"/>
      <c r="U85" s="64"/>
      <c r="V85" s="64"/>
      <c r="W85" s="64"/>
      <c r="X85" s="64"/>
      <c r="Y85" s="64"/>
      <c r="Z85" s="64"/>
    </row>
    <row r="86" ht="12.75" customHeight="1">
      <c r="A86" s="108"/>
      <c r="B86" s="64"/>
      <c r="C86" s="64"/>
      <c r="D86" s="64"/>
      <c r="E86" s="64"/>
      <c r="F86" s="63"/>
      <c r="G86" s="63"/>
      <c r="H86" s="64"/>
      <c r="I86" s="64"/>
      <c r="J86" s="64"/>
      <c r="K86" s="64"/>
      <c r="L86" s="64"/>
      <c r="M86" s="64"/>
      <c r="N86" s="64"/>
      <c r="O86" s="64"/>
      <c r="P86" s="64"/>
      <c r="Q86" s="64"/>
      <c r="R86" s="64"/>
      <c r="S86" s="64"/>
      <c r="T86" s="64"/>
      <c r="U86" s="64"/>
      <c r="V86" s="64"/>
      <c r="W86" s="64"/>
      <c r="X86" s="64"/>
      <c r="Y86" s="64"/>
      <c r="Z86" s="64"/>
    </row>
    <row r="87" ht="12.75" customHeight="1">
      <c r="A87" s="108"/>
      <c r="B87" s="64"/>
      <c r="C87" s="64"/>
      <c r="D87" s="64"/>
      <c r="E87" s="64"/>
      <c r="F87" s="63"/>
      <c r="G87" s="63"/>
      <c r="H87" s="64"/>
      <c r="I87" s="64"/>
      <c r="J87" s="64"/>
      <c r="K87" s="64"/>
      <c r="L87" s="64"/>
      <c r="M87" s="64"/>
      <c r="N87" s="64"/>
      <c r="O87" s="64"/>
      <c r="P87" s="64"/>
      <c r="Q87" s="64"/>
      <c r="R87" s="64"/>
      <c r="S87" s="64"/>
      <c r="T87" s="64"/>
      <c r="U87" s="64"/>
      <c r="V87" s="64"/>
      <c r="W87" s="64"/>
      <c r="X87" s="64"/>
      <c r="Y87" s="64"/>
      <c r="Z87" s="64"/>
    </row>
    <row r="88" ht="12.75" customHeight="1">
      <c r="A88" s="108"/>
      <c r="B88" s="64"/>
      <c r="C88" s="64"/>
      <c r="D88" s="64"/>
      <c r="E88" s="64"/>
      <c r="F88" s="63"/>
      <c r="G88" s="63"/>
      <c r="H88" s="64"/>
      <c r="I88" s="64"/>
      <c r="J88" s="64"/>
      <c r="K88" s="64"/>
      <c r="L88" s="64"/>
      <c r="M88" s="64"/>
      <c r="N88" s="64"/>
      <c r="O88" s="64"/>
      <c r="P88" s="64"/>
      <c r="Q88" s="64"/>
      <c r="R88" s="64"/>
      <c r="S88" s="64"/>
      <c r="T88" s="64"/>
      <c r="U88" s="64"/>
      <c r="V88" s="64"/>
      <c r="W88" s="64"/>
      <c r="X88" s="64"/>
      <c r="Y88" s="64"/>
      <c r="Z88" s="64"/>
    </row>
    <row r="89" ht="12.75" customHeight="1">
      <c r="A89" s="108"/>
      <c r="B89" s="64"/>
      <c r="C89" s="64"/>
      <c r="D89" s="64"/>
      <c r="E89" s="64"/>
      <c r="F89" s="63"/>
      <c r="G89" s="63"/>
      <c r="H89" s="64"/>
      <c r="I89" s="64"/>
      <c r="J89" s="64"/>
      <c r="K89" s="64"/>
      <c r="L89" s="64"/>
      <c r="M89" s="64"/>
      <c r="N89" s="64"/>
      <c r="O89" s="64"/>
      <c r="P89" s="64"/>
      <c r="Q89" s="64"/>
      <c r="R89" s="64"/>
      <c r="S89" s="64"/>
      <c r="T89" s="64"/>
      <c r="U89" s="64"/>
      <c r="V89" s="64"/>
      <c r="W89" s="64"/>
      <c r="X89" s="64"/>
      <c r="Y89" s="64"/>
      <c r="Z89" s="64"/>
    </row>
    <row r="90" ht="12.75" customHeight="1">
      <c r="A90" s="108"/>
      <c r="B90" s="64"/>
      <c r="C90" s="64"/>
      <c r="D90" s="64"/>
      <c r="E90" s="64"/>
      <c r="F90" s="63"/>
      <c r="G90" s="63"/>
      <c r="H90" s="64"/>
      <c r="I90" s="64"/>
      <c r="J90" s="64"/>
      <c r="K90" s="64"/>
      <c r="L90" s="64"/>
      <c r="M90" s="64"/>
      <c r="N90" s="64"/>
      <c r="O90" s="64"/>
      <c r="P90" s="64"/>
      <c r="Q90" s="64"/>
      <c r="R90" s="64"/>
      <c r="S90" s="64"/>
      <c r="T90" s="64"/>
      <c r="U90" s="64"/>
      <c r="V90" s="64"/>
      <c r="W90" s="64"/>
      <c r="X90" s="64"/>
      <c r="Y90" s="64"/>
      <c r="Z90" s="64"/>
    </row>
    <row r="91" ht="12.75" customHeight="1">
      <c r="A91" s="108"/>
      <c r="B91" s="64"/>
      <c r="C91" s="64"/>
      <c r="D91" s="64"/>
      <c r="E91" s="64"/>
      <c r="F91" s="63"/>
      <c r="G91" s="63"/>
      <c r="H91" s="64"/>
      <c r="I91" s="64"/>
      <c r="J91" s="64"/>
      <c r="K91" s="64"/>
      <c r="L91" s="64"/>
      <c r="M91" s="64"/>
      <c r="N91" s="64"/>
      <c r="O91" s="64"/>
      <c r="P91" s="64"/>
      <c r="Q91" s="64"/>
      <c r="R91" s="64"/>
      <c r="S91" s="64"/>
      <c r="T91" s="64"/>
      <c r="U91" s="64"/>
      <c r="V91" s="64"/>
      <c r="W91" s="64"/>
      <c r="X91" s="64"/>
      <c r="Y91" s="64"/>
      <c r="Z91" s="64"/>
    </row>
    <row r="92" ht="12.75" customHeight="1">
      <c r="A92" s="108"/>
      <c r="B92" s="64"/>
      <c r="C92" s="64"/>
      <c r="D92" s="64"/>
      <c r="E92" s="64"/>
      <c r="F92" s="63"/>
      <c r="G92" s="63"/>
      <c r="H92" s="64"/>
      <c r="I92" s="64"/>
      <c r="J92" s="64"/>
      <c r="K92" s="64"/>
      <c r="L92" s="64"/>
      <c r="M92" s="64"/>
      <c r="N92" s="64"/>
      <c r="O92" s="64"/>
      <c r="P92" s="64"/>
      <c r="Q92" s="64"/>
      <c r="R92" s="64"/>
      <c r="S92" s="64"/>
      <c r="T92" s="64"/>
      <c r="U92" s="64"/>
      <c r="V92" s="64"/>
      <c r="W92" s="64"/>
      <c r="X92" s="64"/>
      <c r="Y92" s="64"/>
      <c r="Z92" s="64"/>
    </row>
    <row r="93" ht="12.75" customHeight="1">
      <c r="A93" s="108"/>
      <c r="B93" s="64"/>
      <c r="C93" s="64"/>
      <c r="D93" s="64"/>
      <c r="E93" s="64"/>
      <c r="F93" s="63"/>
      <c r="G93" s="63"/>
      <c r="H93" s="64"/>
      <c r="I93" s="64"/>
      <c r="J93" s="64"/>
      <c r="K93" s="64"/>
      <c r="L93" s="64"/>
      <c r="M93" s="64"/>
      <c r="N93" s="64"/>
      <c r="O93" s="64"/>
      <c r="P93" s="64"/>
      <c r="Q93" s="64"/>
      <c r="R93" s="64"/>
      <c r="S93" s="64"/>
      <c r="T93" s="64"/>
      <c r="U93" s="64"/>
      <c r="V93" s="64"/>
      <c r="W93" s="64"/>
      <c r="X93" s="64"/>
      <c r="Y93" s="64"/>
      <c r="Z93" s="64"/>
    </row>
    <row r="94" ht="12.75" customHeight="1">
      <c r="A94" s="108"/>
      <c r="B94" s="64"/>
      <c r="C94" s="64"/>
      <c r="D94" s="64"/>
      <c r="E94" s="64"/>
      <c r="F94" s="63"/>
      <c r="G94" s="63"/>
      <c r="H94" s="64"/>
      <c r="I94" s="64"/>
      <c r="J94" s="64"/>
      <c r="K94" s="64"/>
      <c r="L94" s="64"/>
      <c r="M94" s="64"/>
      <c r="N94" s="64"/>
      <c r="O94" s="64"/>
      <c r="P94" s="64"/>
      <c r="Q94" s="64"/>
      <c r="R94" s="64"/>
      <c r="S94" s="64"/>
      <c r="T94" s="64"/>
      <c r="U94" s="64"/>
      <c r="V94" s="64"/>
      <c r="W94" s="64"/>
      <c r="X94" s="64"/>
      <c r="Y94" s="64"/>
      <c r="Z94" s="64"/>
    </row>
    <row r="95" ht="12.75" customHeight="1">
      <c r="A95" s="108"/>
      <c r="B95" s="64"/>
      <c r="C95" s="64"/>
      <c r="D95" s="64"/>
      <c r="E95" s="64"/>
      <c r="F95" s="63"/>
      <c r="G95" s="63"/>
      <c r="H95" s="64"/>
      <c r="I95" s="64"/>
      <c r="J95" s="64"/>
      <c r="K95" s="64"/>
      <c r="L95" s="64"/>
      <c r="M95" s="64"/>
      <c r="N95" s="64"/>
      <c r="O95" s="64"/>
      <c r="P95" s="64"/>
      <c r="Q95" s="64"/>
      <c r="R95" s="64"/>
      <c r="S95" s="64"/>
      <c r="T95" s="64"/>
      <c r="U95" s="64"/>
      <c r="V95" s="64"/>
      <c r="W95" s="64"/>
      <c r="X95" s="64"/>
      <c r="Y95" s="64"/>
      <c r="Z95" s="64"/>
    </row>
    <row r="96" ht="12.75" customHeight="1">
      <c r="A96" s="108"/>
      <c r="B96" s="64"/>
      <c r="C96" s="64"/>
      <c r="D96" s="64"/>
      <c r="E96" s="64"/>
      <c r="F96" s="63"/>
      <c r="G96" s="63"/>
      <c r="H96" s="64"/>
      <c r="I96" s="64"/>
      <c r="J96" s="64"/>
      <c r="K96" s="64"/>
      <c r="L96" s="64"/>
      <c r="M96" s="64"/>
      <c r="N96" s="64"/>
      <c r="O96" s="64"/>
      <c r="P96" s="64"/>
      <c r="Q96" s="64"/>
      <c r="R96" s="64"/>
      <c r="S96" s="64"/>
      <c r="T96" s="64"/>
      <c r="U96" s="64"/>
      <c r="V96" s="64"/>
      <c r="W96" s="64"/>
      <c r="X96" s="64"/>
      <c r="Y96" s="64"/>
      <c r="Z96" s="64"/>
    </row>
    <row r="97" ht="12.75" customHeight="1">
      <c r="A97" s="108"/>
      <c r="B97" s="64"/>
      <c r="C97" s="64"/>
      <c r="D97" s="64"/>
      <c r="E97" s="64"/>
      <c r="F97" s="63"/>
      <c r="G97" s="63"/>
      <c r="H97" s="64"/>
      <c r="I97" s="64"/>
      <c r="J97" s="64"/>
      <c r="K97" s="64"/>
      <c r="L97" s="64"/>
      <c r="M97" s="64"/>
      <c r="N97" s="64"/>
      <c r="O97" s="64"/>
      <c r="P97" s="64"/>
      <c r="Q97" s="64"/>
      <c r="R97" s="64"/>
      <c r="S97" s="64"/>
      <c r="T97" s="64"/>
      <c r="U97" s="64"/>
      <c r="V97" s="64"/>
      <c r="W97" s="64"/>
      <c r="X97" s="64"/>
      <c r="Y97" s="64"/>
      <c r="Z97" s="64"/>
    </row>
    <row r="98" ht="12.75" customHeight="1">
      <c r="A98" s="108"/>
      <c r="B98" s="64"/>
      <c r="C98" s="64"/>
      <c r="D98" s="64"/>
      <c r="E98" s="64"/>
      <c r="F98" s="63"/>
      <c r="G98" s="63"/>
      <c r="H98" s="64"/>
      <c r="I98" s="64"/>
      <c r="J98" s="64"/>
      <c r="K98" s="64"/>
      <c r="L98" s="64"/>
      <c r="M98" s="64"/>
      <c r="N98" s="64"/>
      <c r="O98" s="64"/>
      <c r="P98" s="64"/>
      <c r="Q98" s="64"/>
      <c r="R98" s="64"/>
      <c r="S98" s="64"/>
      <c r="T98" s="64"/>
      <c r="U98" s="64"/>
      <c r="V98" s="64"/>
      <c r="W98" s="64"/>
      <c r="X98" s="64"/>
      <c r="Y98" s="64"/>
      <c r="Z98" s="64"/>
    </row>
    <row r="99" ht="12.75" customHeight="1">
      <c r="A99" s="108"/>
      <c r="B99" s="64"/>
      <c r="C99" s="64"/>
      <c r="D99" s="64"/>
      <c r="E99" s="64"/>
      <c r="F99" s="63"/>
      <c r="G99" s="63"/>
      <c r="H99" s="64"/>
      <c r="I99" s="64"/>
      <c r="J99" s="64"/>
      <c r="K99" s="64"/>
      <c r="L99" s="64"/>
      <c r="M99" s="64"/>
      <c r="N99" s="64"/>
      <c r="O99" s="64"/>
      <c r="P99" s="64"/>
      <c r="Q99" s="64"/>
      <c r="R99" s="64"/>
      <c r="S99" s="64"/>
      <c r="T99" s="64"/>
      <c r="U99" s="64"/>
      <c r="V99" s="64"/>
      <c r="W99" s="64"/>
      <c r="X99" s="64"/>
      <c r="Y99" s="64"/>
      <c r="Z99" s="64"/>
    </row>
    <row r="100" ht="12.75" customHeight="1">
      <c r="A100" s="108"/>
      <c r="B100" s="64"/>
      <c r="C100" s="64"/>
      <c r="D100" s="64"/>
      <c r="E100" s="64"/>
      <c r="F100" s="63"/>
      <c r="G100" s="63"/>
      <c r="H100" s="64"/>
      <c r="I100" s="64"/>
      <c r="J100" s="64"/>
      <c r="K100" s="64"/>
      <c r="L100" s="64"/>
      <c r="M100" s="64"/>
      <c r="N100" s="64"/>
      <c r="O100" s="64"/>
      <c r="P100" s="64"/>
      <c r="Q100" s="64"/>
      <c r="R100" s="64"/>
      <c r="S100" s="64"/>
      <c r="T100" s="64"/>
      <c r="U100" s="64"/>
      <c r="V100" s="64"/>
      <c r="W100" s="64"/>
      <c r="X100" s="64"/>
      <c r="Y100" s="64"/>
      <c r="Z100" s="64"/>
    </row>
    <row r="101" ht="12.75" customHeight="1">
      <c r="A101" s="108"/>
      <c r="B101" s="64"/>
      <c r="C101" s="64"/>
      <c r="D101" s="64"/>
      <c r="E101" s="64"/>
      <c r="F101" s="63"/>
      <c r="G101" s="63"/>
      <c r="H101" s="64"/>
      <c r="I101" s="64"/>
      <c r="J101" s="64"/>
      <c r="K101" s="64"/>
      <c r="L101" s="64"/>
      <c r="M101" s="64"/>
      <c r="N101" s="64"/>
      <c r="O101" s="64"/>
      <c r="P101" s="64"/>
      <c r="Q101" s="64"/>
      <c r="R101" s="64"/>
      <c r="S101" s="64"/>
      <c r="T101" s="64"/>
      <c r="U101" s="64"/>
      <c r="V101" s="64"/>
      <c r="W101" s="64"/>
      <c r="X101" s="64"/>
      <c r="Y101" s="64"/>
      <c r="Z101" s="64"/>
    </row>
    <row r="102" ht="12.75" customHeight="1">
      <c r="A102" s="108"/>
      <c r="B102" s="64"/>
      <c r="C102" s="64"/>
      <c r="D102" s="64"/>
      <c r="E102" s="64"/>
      <c r="F102" s="63"/>
      <c r="G102" s="63"/>
      <c r="H102" s="64"/>
      <c r="I102" s="64"/>
      <c r="J102" s="64"/>
      <c r="K102" s="64"/>
      <c r="L102" s="64"/>
      <c r="M102" s="64"/>
      <c r="N102" s="64"/>
      <c r="O102" s="64"/>
      <c r="P102" s="64"/>
      <c r="Q102" s="64"/>
      <c r="R102" s="64"/>
      <c r="S102" s="64"/>
      <c r="T102" s="64"/>
      <c r="U102" s="64"/>
      <c r="V102" s="64"/>
      <c r="W102" s="64"/>
      <c r="X102" s="64"/>
      <c r="Y102" s="64"/>
      <c r="Z102" s="64"/>
    </row>
    <row r="103" ht="12.75" customHeight="1">
      <c r="A103" s="108"/>
      <c r="B103" s="64"/>
      <c r="C103" s="64"/>
      <c r="D103" s="64"/>
      <c r="E103" s="64"/>
      <c r="F103" s="63"/>
      <c r="G103" s="63"/>
      <c r="H103" s="64"/>
      <c r="I103" s="64"/>
      <c r="J103" s="64"/>
      <c r="K103" s="64"/>
      <c r="L103" s="64"/>
      <c r="M103" s="64"/>
      <c r="N103" s="64"/>
      <c r="O103" s="64"/>
      <c r="P103" s="64"/>
      <c r="Q103" s="64"/>
      <c r="R103" s="64"/>
      <c r="S103" s="64"/>
      <c r="T103" s="64"/>
      <c r="U103" s="64"/>
      <c r="V103" s="64"/>
      <c r="W103" s="64"/>
      <c r="X103" s="64"/>
      <c r="Y103" s="64"/>
      <c r="Z103" s="64"/>
    </row>
    <row r="104" ht="12.75" customHeight="1">
      <c r="A104" s="108"/>
      <c r="B104" s="64"/>
      <c r="C104" s="64"/>
      <c r="D104" s="64"/>
      <c r="E104" s="64"/>
      <c r="F104" s="63"/>
      <c r="G104" s="63"/>
      <c r="H104" s="64"/>
      <c r="I104" s="64"/>
      <c r="J104" s="64"/>
      <c r="K104" s="64"/>
      <c r="L104" s="64"/>
      <c r="M104" s="64"/>
      <c r="N104" s="64"/>
      <c r="O104" s="64"/>
      <c r="P104" s="64"/>
      <c r="Q104" s="64"/>
      <c r="R104" s="64"/>
      <c r="S104" s="64"/>
      <c r="T104" s="64"/>
      <c r="U104" s="64"/>
      <c r="V104" s="64"/>
      <c r="W104" s="64"/>
      <c r="X104" s="64"/>
      <c r="Y104" s="64"/>
      <c r="Z104" s="64"/>
    </row>
    <row r="105" ht="12.75" customHeight="1">
      <c r="A105" s="108"/>
      <c r="B105" s="64"/>
      <c r="C105" s="64"/>
      <c r="D105" s="64"/>
      <c r="E105" s="64"/>
      <c r="F105" s="63"/>
      <c r="G105" s="63"/>
      <c r="H105" s="64"/>
      <c r="I105" s="64"/>
      <c r="J105" s="64"/>
      <c r="K105" s="64"/>
      <c r="L105" s="64"/>
      <c r="M105" s="64"/>
      <c r="N105" s="64"/>
      <c r="O105" s="64"/>
      <c r="P105" s="64"/>
      <c r="Q105" s="64"/>
      <c r="R105" s="64"/>
      <c r="S105" s="64"/>
      <c r="T105" s="64"/>
      <c r="U105" s="64"/>
      <c r="V105" s="64"/>
      <c r="W105" s="64"/>
      <c r="X105" s="64"/>
      <c r="Y105" s="64"/>
      <c r="Z105" s="64"/>
    </row>
    <row r="106" ht="12.75" customHeight="1">
      <c r="A106" s="108"/>
      <c r="B106" s="64"/>
      <c r="C106" s="64"/>
      <c r="D106" s="64"/>
      <c r="E106" s="64"/>
      <c r="F106" s="63"/>
      <c r="G106" s="63"/>
      <c r="H106" s="64"/>
      <c r="I106" s="64"/>
      <c r="J106" s="64"/>
      <c r="K106" s="64"/>
      <c r="L106" s="64"/>
      <c r="M106" s="64"/>
      <c r="N106" s="64"/>
      <c r="O106" s="64"/>
      <c r="P106" s="64"/>
      <c r="Q106" s="64"/>
      <c r="R106" s="64"/>
      <c r="S106" s="64"/>
      <c r="T106" s="64"/>
      <c r="U106" s="64"/>
      <c r="V106" s="64"/>
      <c r="W106" s="64"/>
      <c r="X106" s="64"/>
      <c r="Y106" s="64"/>
      <c r="Z106" s="64"/>
    </row>
    <row r="107" ht="12.75" customHeight="1">
      <c r="A107" s="108"/>
      <c r="B107" s="64"/>
      <c r="C107" s="64"/>
      <c r="D107" s="64"/>
      <c r="E107" s="64"/>
      <c r="F107" s="63"/>
      <c r="G107" s="63"/>
      <c r="H107" s="64"/>
      <c r="I107" s="64"/>
      <c r="J107" s="64"/>
      <c r="K107" s="64"/>
      <c r="L107" s="64"/>
      <c r="M107" s="64"/>
      <c r="N107" s="64"/>
      <c r="O107" s="64"/>
      <c r="P107" s="64"/>
      <c r="Q107" s="64"/>
      <c r="R107" s="64"/>
      <c r="S107" s="64"/>
      <c r="T107" s="64"/>
      <c r="U107" s="64"/>
      <c r="V107" s="64"/>
      <c r="W107" s="64"/>
      <c r="X107" s="64"/>
      <c r="Y107" s="64"/>
      <c r="Z107" s="64"/>
    </row>
    <row r="108" ht="12.75" customHeight="1">
      <c r="A108" s="108"/>
      <c r="B108" s="64"/>
      <c r="C108" s="64"/>
      <c r="D108" s="64"/>
      <c r="E108" s="64"/>
      <c r="F108" s="63"/>
      <c r="G108" s="63"/>
      <c r="H108" s="64"/>
      <c r="I108" s="64"/>
      <c r="J108" s="64"/>
      <c r="K108" s="64"/>
      <c r="L108" s="64"/>
      <c r="M108" s="64"/>
      <c r="N108" s="64"/>
      <c r="O108" s="64"/>
      <c r="P108" s="64"/>
      <c r="Q108" s="64"/>
      <c r="R108" s="64"/>
      <c r="S108" s="64"/>
      <c r="T108" s="64"/>
      <c r="U108" s="64"/>
      <c r="V108" s="64"/>
      <c r="W108" s="64"/>
      <c r="X108" s="64"/>
      <c r="Y108" s="64"/>
      <c r="Z108" s="64"/>
    </row>
    <row r="109" ht="12.75" customHeight="1">
      <c r="A109" s="108"/>
      <c r="B109" s="64"/>
      <c r="C109" s="64"/>
      <c r="D109" s="64"/>
      <c r="E109" s="64"/>
      <c r="F109" s="63"/>
      <c r="G109" s="63"/>
      <c r="H109" s="64"/>
      <c r="I109" s="64"/>
      <c r="J109" s="64"/>
      <c r="K109" s="64"/>
      <c r="L109" s="64"/>
      <c r="M109" s="64"/>
      <c r="N109" s="64"/>
      <c r="O109" s="64"/>
      <c r="P109" s="64"/>
      <c r="Q109" s="64"/>
      <c r="R109" s="64"/>
      <c r="S109" s="64"/>
      <c r="T109" s="64"/>
      <c r="U109" s="64"/>
      <c r="V109" s="64"/>
      <c r="W109" s="64"/>
      <c r="X109" s="64"/>
      <c r="Y109" s="64"/>
      <c r="Z109" s="64"/>
    </row>
    <row r="110" ht="12.75" customHeight="1">
      <c r="A110" s="108"/>
      <c r="B110" s="64"/>
      <c r="C110" s="64"/>
      <c r="D110" s="64"/>
      <c r="E110" s="64"/>
      <c r="F110" s="63"/>
      <c r="G110" s="63"/>
      <c r="H110" s="64"/>
      <c r="I110" s="64"/>
      <c r="J110" s="64"/>
      <c r="K110" s="64"/>
      <c r="L110" s="64"/>
      <c r="M110" s="64"/>
      <c r="N110" s="64"/>
      <c r="O110" s="64"/>
      <c r="P110" s="64"/>
      <c r="Q110" s="64"/>
      <c r="R110" s="64"/>
      <c r="S110" s="64"/>
      <c r="T110" s="64"/>
      <c r="U110" s="64"/>
      <c r="V110" s="64"/>
      <c r="W110" s="64"/>
      <c r="X110" s="64"/>
      <c r="Y110" s="64"/>
      <c r="Z110" s="64"/>
    </row>
    <row r="111" ht="12.75" customHeight="1">
      <c r="A111" s="108"/>
      <c r="B111" s="64"/>
      <c r="C111" s="64"/>
      <c r="D111" s="64"/>
      <c r="E111" s="64"/>
      <c r="F111" s="63"/>
      <c r="G111" s="63"/>
      <c r="H111" s="64"/>
      <c r="I111" s="64"/>
      <c r="J111" s="64"/>
      <c r="K111" s="64"/>
      <c r="L111" s="64"/>
      <c r="M111" s="64"/>
      <c r="N111" s="64"/>
      <c r="O111" s="64"/>
      <c r="P111" s="64"/>
      <c r="Q111" s="64"/>
      <c r="R111" s="64"/>
      <c r="S111" s="64"/>
      <c r="T111" s="64"/>
      <c r="U111" s="64"/>
      <c r="V111" s="64"/>
      <c r="W111" s="64"/>
      <c r="X111" s="64"/>
      <c r="Y111" s="64"/>
      <c r="Z111" s="64"/>
    </row>
    <row r="112" ht="12.75" customHeight="1">
      <c r="A112" s="108"/>
      <c r="B112" s="64"/>
      <c r="C112" s="64"/>
      <c r="D112" s="64"/>
      <c r="E112" s="64"/>
      <c r="F112" s="63"/>
      <c r="G112" s="63"/>
      <c r="H112" s="64"/>
      <c r="I112" s="64"/>
      <c r="J112" s="64"/>
      <c r="K112" s="64"/>
      <c r="L112" s="64"/>
      <c r="M112" s="64"/>
      <c r="N112" s="64"/>
      <c r="O112" s="64"/>
      <c r="P112" s="64"/>
      <c r="Q112" s="64"/>
      <c r="R112" s="64"/>
      <c r="S112" s="64"/>
      <c r="T112" s="64"/>
      <c r="U112" s="64"/>
      <c r="V112" s="64"/>
      <c r="W112" s="64"/>
      <c r="X112" s="64"/>
      <c r="Y112" s="64"/>
      <c r="Z112" s="64"/>
    </row>
    <row r="113" ht="12.75" customHeight="1">
      <c r="A113" s="108"/>
      <c r="B113" s="64"/>
      <c r="C113" s="64"/>
      <c r="D113" s="64"/>
      <c r="E113" s="64"/>
      <c r="F113" s="63"/>
      <c r="G113" s="63"/>
      <c r="H113" s="64"/>
      <c r="I113" s="64"/>
      <c r="J113" s="64"/>
      <c r="K113" s="64"/>
      <c r="L113" s="64"/>
      <c r="M113" s="64"/>
      <c r="N113" s="64"/>
      <c r="O113" s="64"/>
      <c r="P113" s="64"/>
      <c r="Q113" s="64"/>
      <c r="R113" s="64"/>
      <c r="S113" s="64"/>
      <c r="T113" s="64"/>
      <c r="U113" s="64"/>
      <c r="V113" s="64"/>
      <c r="W113" s="64"/>
      <c r="X113" s="64"/>
      <c r="Y113" s="64"/>
      <c r="Z113" s="64"/>
    </row>
    <row r="114" ht="12.75" customHeight="1">
      <c r="A114" s="108"/>
      <c r="B114" s="64"/>
      <c r="C114" s="64"/>
      <c r="D114" s="64"/>
      <c r="E114" s="64"/>
      <c r="F114" s="63"/>
      <c r="G114" s="63"/>
      <c r="H114" s="64"/>
      <c r="I114" s="64"/>
      <c r="J114" s="64"/>
      <c r="K114" s="64"/>
      <c r="L114" s="64"/>
      <c r="M114" s="64"/>
      <c r="N114" s="64"/>
      <c r="O114" s="64"/>
      <c r="P114" s="64"/>
      <c r="Q114" s="64"/>
      <c r="R114" s="64"/>
      <c r="S114" s="64"/>
      <c r="T114" s="64"/>
      <c r="U114" s="64"/>
      <c r="V114" s="64"/>
      <c r="W114" s="64"/>
      <c r="X114" s="64"/>
      <c r="Y114" s="64"/>
      <c r="Z114" s="64"/>
    </row>
    <row r="115" ht="12.75" customHeight="1">
      <c r="A115" s="108"/>
      <c r="B115" s="64"/>
      <c r="C115" s="64"/>
      <c r="D115" s="64"/>
      <c r="E115" s="64"/>
      <c r="F115" s="63"/>
      <c r="G115" s="63"/>
      <c r="H115" s="64"/>
      <c r="I115" s="64"/>
      <c r="J115" s="64"/>
      <c r="K115" s="64"/>
      <c r="L115" s="64"/>
      <c r="M115" s="64"/>
      <c r="N115" s="64"/>
      <c r="O115" s="64"/>
      <c r="P115" s="64"/>
      <c r="Q115" s="64"/>
      <c r="R115" s="64"/>
      <c r="S115" s="64"/>
      <c r="T115" s="64"/>
      <c r="U115" s="64"/>
      <c r="V115" s="64"/>
      <c r="W115" s="64"/>
      <c r="X115" s="64"/>
      <c r="Y115" s="64"/>
      <c r="Z115" s="64"/>
    </row>
    <row r="116" ht="12.75" customHeight="1">
      <c r="A116" s="108"/>
      <c r="B116" s="64"/>
      <c r="C116" s="64"/>
      <c r="D116" s="64"/>
      <c r="E116" s="64"/>
      <c r="F116" s="63"/>
      <c r="G116" s="63"/>
      <c r="H116" s="64"/>
      <c r="I116" s="64"/>
      <c r="J116" s="64"/>
      <c r="K116" s="64"/>
      <c r="L116" s="64"/>
      <c r="M116" s="64"/>
      <c r="N116" s="64"/>
      <c r="O116" s="64"/>
      <c r="P116" s="64"/>
      <c r="Q116" s="64"/>
      <c r="R116" s="64"/>
      <c r="S116" s="64"/>
      <c r="T116" s="64"/>
      <c r="U116" s="64"/>
      <c r="V116" s="64"/>
      <c r="W116" s="64"/>
      <c r="X116" s="64"/>
      <c r="Y116" s="64"/>
      <c r="Z116" s="64"/>
    </row>
    <row r="117" ht="12.75" customHeight="1">
      <c r="A117" s="108"/>
      <c r="B117" s="64"/>
      <c r="C117" s="64"/>
      <c r="D117" s="64"/>
      <c r="E117" s="64"/>
      <c r="F117" s="63"/>
      <c r="G117" s="63"/>
      <c r="H117" s="64"/>
      <c r="I117" s="64"/>
      <c r="J117" s="64"/>
      <c r="K117" s="64"/>
      <c r="L117" s="64"/>
      <c r="M117" s="64"/>
      <c r="N117" s="64"/>
      <c r="O117" s="64"/>
      <c r="P117" s="64"/>
      <c r="Q117" s="64"/>
      <c r="R117" s="64"/>
      <c r="S117" s="64"/>
      <c r="T117" s="64"/>
      <c r="U117" s="64"/>
      <c r="V117" s="64"/>
      <c r="W117" s="64"/>
      <c r="X117" s="64"/>
      <c r="Y117" s="64"/>
      <c r="Z117" s="64"/>
    </row>
    <row r="118" ht="12.75" customHeight="1">
      <c r="A118" s="108"/>
      <c r="B118" s="64"/>
      <c r="C118" s="64"/>
      <c r="D118" s="64"/>
      <c r="E118" s="64"/>
      <c r="F118" s="63"/>
      <c r="G118" s="63"/>
      <c r="H118" s="64"/>
      <c r="I118" s="64"/>
      <c r="J118" s="64"/>
      <c r="K118" s="64"/>
      <c r="L118" s="64"/>
      <c r="M118" s="64"/>
      <c r="N118" s="64"/>
      <c r="O118" s="64"/>
      <c r="P118" s="64"/>
      <c r="Q118" s="64"/>
      <c r="R118" s="64"/>
      <c r="S118" s="64"/>
      <c r="T118" s="64"/>
      <c r="U118" s="64"/>
      <c r="V118" s="64"/>
      <c r="W118" s="64"/>
      <c r="X118" s="64"/>
      <c r="Y118" s="64"/>
      <c r="Z118" s="64"/>
    </row>
    <row r="119" ht="12.75" customHeight="1">
      <c r="A119" s="108"/>
      <c r="B119" s="64"/>
      <c r="C119" s="64"/>
      <c r="D119" s="64"/>
      <c r="E119" s="64"/>
      <c r="F119" s="63"/>
      <c r="G119" s="63"/>
      <c r="H119" s="64"/>
      <c r="I119" s="64"/>
      <c r="J119" s="64"/>
      <c r="K119" s="64"/>
      <c r="L119" s="64"/>
      <c r="M119" s="64"/>
      <c r="N119" s="64"/>
      <c r="O119" s="64"/>
      <c r="P119" s="64"/>
      <c r="Q119" s="64"/>
      <c r="R119" s="64"/>
      <c r="S119" s="64"/>
      <c r="T119" s="64"/>
      <c r="U119" s="64"/>
      <c r="V119" s="64"/>
      <c r="W119" s="64"/>
      <c r="X119" s="64"/>
      <c r="Y119" s="64"/>
      <c r="Z119" s="64"/>
    </row>
    <row r="120" ht="12.75" customHeight="1">
      <c r="A120" s="108"/>
      <c r="B120" s="64"/>
      <c r="C120" s="64"/>
      <c r="D120" s="64"/>
      <c r="E120" s="64"/>
      <c r="F120" s="63"/>
      <c r="G120" s="63"/>
      <c r="H120" s="64"/>
      <c r="I120" s="64"/>
      <c r="J120" s="64"/>
      <c r="K120" s="64"/>
      <c r="L120" s="64"/>
      <c r="M120" s="64"/>
      <c r="N120" s="64"/>
      <c r="O120" s="64"/>
      <c r="P120" s="64"/>
      <c r="Q120" s="64"/>
      <c r="R120" s="64"/>
      <c r="S120" s="64"/>
      <c r="T120" s="64"/>
      <c r="U120" s="64"/>
      <c r="V120" s="64"/>
      <c r="W120" s="64"/>
      <c r="X120" s="64"/>
      <c r="Y120" s="64"/>
      <c r="Z120" s="64"/>
    </row>
    <row r="121" ht="12.75" customHeight="1">
      <c r="A121" s="108"/>
      <c r="B121" s="64"/>
      <c r="C121" s="64"/>
      <c r="D121" s="64"/>
      <c r="E121" s="64"/>
      <c r="F121" s="63"/>
      <c r="G121" s="63"/>
      <c r="H121" s="64"/>
      <c r="I121" s="64"/>
      <c r="J121" s="64"/>
      <c r="K121" s="64"/>
      <c r="L121" s="64"/>
      <c r="M121" s="64"/>
      <c r="N121" s="64"/>
      <c r="O121" s="64"/>
      <c r="P121" s="64"/>
      <c r="Q121" s="64"/>
      <c r="R121" s="64"/>
      <c r="S121" s="64"/>
      <c r="T121" s="64"/>
      <c r="U121" s="64"/>
      <c r="V121" s="64"/>
      <c r="W121" s="64"/>
      <c r="X121" s="64"/>
      <c r="Y121" s="64"/>
      <c r="Z121" s="64"/>
    </row>
    <row r="122" ht="12.75" customHeight="1">
      <c r="A122" s="108"/>
      <c r="B122" s="64"/>
      <c r="C122" s="64"/>
      <c r="D122" s="64"/>
      <c r="E122" s="64"/>
      <c r="F122" s="63"/>
      <c r="G122" s="63"/>
      <c r="H122" s="64"/>
      <c r="I122" s="64"/>
      <c r="J122" s="64"/>
      <c r="K122" s="64"/>
      <c r="L122" s="64"/>
      <c r="M122" s="64"/>
      <c r="N122" s="64"/>
      <c r="O122" s="64"/>
      <c r="P122" s="64"/>
      <c r="Q122" s="64"/>
      <c r="R122" s="64"/>
      <c r="S122" s="64"/>
      <c r="T122" s="64"/>
      <c r="U122" s="64"/>
      <c r="V122" s="64"/>
      <c r="W122" s="64"/>
      <c r="X122" s="64"/>
      <c r="Y122" s="64"/>
      <c r="Z122" s="64"/>
    </row>
    <row r="123" ht="12.75" customHeight="1">
      <c r="A123" s="108"/>
      <c r="B123" s="64"/>
      <c r="C123" s="64"/>
      <c r="D123" s="64"/>
      <c r="E123" s="64"/>
      <c r="F123" s="63"/>
      <c r="G123" s="63"/>
      <c r="H123" s="64"/>
      <c r="I123" s="64"/>
      <c r="J123" s="64"/>
      <c r="K123" s="64"/>
      <c r="L123" s="64"/>
      <c r="M123" s="64"/>
      <c r="N123" s="64"/>
      <c r="O123" s="64"/>
      <c r="P123" s="64"/>
      <c r="Q123" s="64"/>
      <c r="R123" s="64"/>
      <c r="S123" s="64"/>
      <c r="T123" s="64"/>
      <c r="U123" s="64"/>
      <c r="V123" s="64"/>
      <c r="W123" s="64"/>
      <c r="X123" s="64"/>
      <c r="Y123" s="64"/>
      <c r="Z123" s="64"/>
    </row>
    <row r="124" ht="12.75" customHeight="1">
      <c r="A124" s="108"/>
      <c r="B124" s="64"/>
      <c r="C124" s="64"/>
      <c r="D124" s="64"/>
      <c r="E124" s="64"/>
      <c r="F124" s="63"/>
      <c r="G124" s="63"/>
      <c r="H124" s="64"/>
      <c r="I124" s="64"/>
      <c r="J124" s="64"/>
      <c r="K124" s="64"/>
      <c r="L124" s="64"/>
      <c r="M124" s="64"/>
      <c r="N124" s="64"/>
      <c r="O124" s="64"/>
      <c r="P124" s="64"/>
      <c r="Q124" s="64"/>
      <c r="R124" s="64"/>
      <c r="S124" s="64"/>
      <c r="T124" s="64"/>
      <c r="U124" s="64"/>
      <c r="V124" s="64"/>
      <c r="W124" s="64"/>
      <c r="X124" s="64"/>
      <c r="Y124" s="64"/>
      <c r="Z124" s="64"/>
    </row>
    <row r="125" ht="12.75" customHeight="1">
      <c r="A125" s="108"/>
      <c r="B125" s="64"/>
      <c r="C125" s="64"/>
      <c r="D125" s="64"/>
      <c r="E125" s="64"/>
      <c r="F125" s="63"/>
      <c r="G125" s="63"/>
      <c r="H125" s="64"/>
      <c r="I125" s="64"/>
      <c r="J125" s="64"/>
      <c r="K125" s="64"/>
      <c r="L125" s="64"/>
      <c r="M125" s="64"/>
      <c r="N125" s="64"/>
      <c r="O125" s="64"/>
      <c r="P125" s="64"/>
      <c r="Q125" s="64"/>
      <c r="R125" s="64"/>
      <c r="S125" s="64"/>
      <c r="T125" s="64"/>
      <c r="U125" s="64"/>
      <c r="V125" s="64"/>
      <c r="W125" s="64"/>
      <c r="X125" s="64"/>
      <c r="Y125" s="64"/>
      <c r="Z125" s="64"/>
    </row>
    <row r="126" ht="12.75" customHeight="1">
      <c r="A126" s="108"/>
      <c r="B126" s="64"/>
      <c r="C126" s="64"/>
      <c r="D126" s="64"/>
      <c r="E126" s="64"/>
      <c r="F126" s="63"/>
      <c r="G126" s="63"/>
      <c r="H126" s="64"/>
      <c r="I126" s="64"/>
      <c r="J126" s="64"/>
      <c r="K126" s="64"/>
      <c r="L126" s="64"/>
      <c r="M126" s="64"/>
      <c r="N126" s="64"/>
      <c r="O126" s="64"/>
      <c r="P126" s="64"/>
      <c r="Q126" s="64"/>
      <c r="R126" s="64"/>
      <c r="S126" s="64"/>
      <c r="T126" s="64"/>
      <c r="U126" s="64"/>
      <c r="V126" s="64"/>
      <c r="W126" s="64"/>
      <c r="X126" s="64"/>
      <c r="Y126" s="64"/>
      <c r="Z126" s="64"/>
    </row>
    <row r="127" ht="12.75" customHeight="1">
      <c r="A127" s="108"/>
      <c r="B127" s="64"/>
      <c r="C127" s="64"/>
      <c r="D127" s="64"/>
      <c r="E127" s="64"/>
      <c r="F127" s="63"/>
      <c r="G127" s="63"/>
      <c r="H127" s="64"/>
      <c r="I127" s="64"/>
      <c r="J127" s="64"/>
      <c r="K127" s="64"/>
      <c r="L127" s="64"/>
      <c r="M127" s="64"/>
      <c r="N127" s="64"/>
      <c r="O127" s="64"/>
      <c r="P127" s="64"/>
      <c r="Q127" s="64"/>
      <c r="R127" s="64"/>
      <c r="S127" s="64"/>
      <c r="T127" s="64"/>
      <c r="U127" s="64"/>
      <c r="V127" s="64"/>
      <c r="W127" s="64"/>
      <c r="X127" s="64"/>
      <c r="Y127" s="64"/>
      <c r="Z127" s="64"/>
    </row>
    <row r="128" ht="12.75" customHeight="1">
      <c r="A128" s="108"/>
      <c r="B128" s="64"/>
      <c r="C128" s="64"/>
      <c r="D128" s="64"/>
      <c r="E128" s="64"/>
      <c r="F128" s="63"/>
      <c r="G128" s="63"/>
      <c r="H128" s="64"/>
      <c r="I128" s="64"/>
      <c r="J128" s="64"/>
      <c r="K128" s="64"/>
      <c r="L128" s="64"/>
      <c r="M128" s="64"/>
      <c r="N128" s="64"/>
      <c r="O128" s="64"/>
      <c r="P128" s="64"/>
      <c r="Q128" s="64"/>
      <c r="R128" s="64"/>
      <c r="S128" s="64"/>
      <c r="T128" s="64"/>
      <c r="U128" s="64"/>
      <c r="V128" s="64"/>
      <c r="W128" s="64"/>
      <c r="X128" s="64"/>
      <c r="Y128" s="64"/>
      <c r="Z128" s="64"/>
    </row>
    <row r="129" ht="12.75" customHeight="1">
      <c r="A129" s="108"/>
      <c r="B129" s="64"/>
      <c r="C129" s="64"/>
      <c r="D129" s="64"/>
      <c r="E129" s="64"/>
      <c r="F129" s="63"/>
      <c r="G129" s="63"/>
      <c r="H129" s="64"/>
      <c r="I129" s="64"/>
      <c r="J129" s="64"/>
      <c r="K129" s="64"/>
      <c r="L129" s="64"/>
      <c r="M129" s="64"/>
      <c r="N129" s="64"/>
      <c r="O129" s="64"/>
      <c r="P129" s="64"/>
      <c r="Q129" s="64"/>
      <c r="R129" s="64"/>
      <c r="S129" s="64"/>
      <c r="T129" s="64"/>
      <c r="U129" s="64"/>
      <c r="V129" s="64"/>
      <c r="W129" s="64"/>
      <c r="X129" s="64"/>
      <c r="Y129" s="64"/>
      <c r="Z129" s="64"/>
    </row>
    <row r="130" ht="12.75" customHeight="1">
      <c r="A130" s="108"/>
      <c r="B130" s="64"/>
      <c r="C130" s="64"/>
      <c r="D130" s="64"/>
      <c r="E130" s="64"/>
      <c r="F130" s="63"/>
      <c r="G130" s="63"/>
      <c r="H130" s="64"/>
      <c r="I130" s="64"/>
      <c r="J130" s="64"/>
      <c r="K130" s="64"/>
      <c r="L130" s="64"/>
      <c r="M130" s="64"/>
      <c r="N130" s="64"/>
      <c r="O130" s="64"/>
      <c r="P130" s="64"/>
      <c r="Q130" s="64"/>
      <c r="R130" s="64"/>
      <c r="S130" s="64"/>
      <c r="T130" s="64"/>
      <c r="U130" s="64"/>
      <c r="V130" s="64"/>
      <c r="W130" s="64"/>
      <c r="X130" s="64"/>
      <c r="Y130" s="64"/>
      <c r="Z130" s="64"/>
    </row>
    <row r="131" ht="12.75" customHeight="1">
      <c r="A131" s="108"/>
      <c r="B131" s="64"/>
      <c r="C131" s="64"/>
      <c r="D131" s="64"/>
      <c r="E131" s="64"/>
      <c r="F131" s="63"/>
      <c r="G131" s="63"/>
      <c r="H131" s="64"/>
      <c r="I131" s="64"/>
      <c r="J131" s="64"/>
      <c r="K131" s="64"/>
      <c r="L131" s="64"/>
      <c r="M131" s="64"/>
      <c r="N131" s="64"/>
      <c r="O131" s="64"/>
      <c r="P131" s="64"/>
      <c r="Q131" s="64"/>
      <c r="R131" s="64"/>
      <c r="S131" s="64"/>
      <c r="T131" s="64"/>
      <c r="U131" s="64"/>
      <c r="V131" s="64"/>
      <c r="W131" s="64"/>
      <c r="X131" s="64"/>
      <c r="Y131" s="64"/>
      <c r="Z131" s="64"/>
    </row>
    <row r="132" ht="12.75" customHeight="1">
      <c r="A132" s="108"/>
      <c r="B132" s="64"/>
      <c r="C132" s="64"/>
      <c r="D132" s="64"/>
      <c r="E132" s="64"/>
      <c r="F132" s="63"/>
      <c r="G132" s="63"/>
      <c r="H132" s="64"/>
      <c r="I132" s="64"/>
      <c r="J132" s="64"/>
      <c r="K132" s="64"/>
      <c r="L132" s="64"/>
      <c r="M132" s="64"/>
      <c r="N132" s="64"/>
      <c r="O132" s="64"/>
      <c r="P132" s="64"/>
      <c r="Q132" s="64"/>
      <c r="R132" s="64"/>
      <c r="S132" s="64"/>
      <c r="T132" s="64"/>
      <c r="U132" s="64"/>
      <c r="V132" s="64"/>
      <c r="W132" s="64"/>
      <c r="X132" s="64"/>
      <c r="Y132" s="64"/>
      <c r="Z132" s="64"/>
    </row>
    <row r="133" ht="12.75" customHeight="1">
      <c r="A133" s="108"/>
      <c r="B133" s="64"/>
      <c r="C133" s="64"/>
      <c r="D133" s="64"/>
      <c r="E133" s="64"/>
      <c r="F133" s="63"/>
      <c r="G133" s="63"/>
      <c r="H133" s="64"/>
      <c r="I133" s="64"/>
      <c r="J133" s="64"/>
      <c r="K133" s="64"/>
      <c r="L133" s="64"/>
      <c r="M133" s="64"/>
      <c r="N133" s="64"/>
      <c r="O133" s="64"/>
      <c r="P133" s="64"/>
      <c r="Q133" s="64"/>
      <c r="R133" s="64"/>
      <c r="S133" s="64"/>
      <c r="T133" s="64"/>
      <c r="U133" s="64"/>
      <c r="V133" s="64"/>
      <c r="W133" s="64"/>
      <c r="X133" s="64"/>
      <c r="Y133" s="64"/>
      <c r="Z133" s="64"/>
    </row>
    <row r="134" ht="12.75" customHeight="1">
      <c r="A134" s="108"/>
      <c r="B134" s="64"/>
      <c r="C134" s="64"/>
      <c r="D134" s="64"/>
      <c r="E134" s="64"/>
      <c r="F134" s="63"/>
      <c r="G134" s="63"/>
      <c r="H134" s="64"/>
      <c r="I134" s="64"/>
      <c r="J134" s="64"/>
      <c r="K134" s="64"/>
      <c r="L134" s="64"/>
      <c r="M134" s="64"/>
      <c r="N134" s="64"/>
      <c r="O134" s="64"/>
      <c r="P134" s="64"/>
      <c r="Q134" s="64"/>
      <c r="R134" s="64"/>
      <c r="S134" s="64"/>
      <c r="T134" s="64"/>
      <c r="U134" s="64"/>
      <c r="V134" s="64"/>
      <c r="W134" s="64"/>
      <c r="X134" s="64"/>
      <c r="Y134" s="64"/>
      <c r="Z134" s="64"/>
    </row>
    <row r="135" ht="12.75" customHeight="1">
      <c r="A135" s="108"/>
      <c r="B135" s="64"/>
      <c r="C135" s="64"/>
      <c r="D135" s="64"/>
      <c r="E135" s="64"/>
      <c r="F135" s="63"/>
      <c r="G135" s="63"/>
      <c r="H135" s="64"/>
      <c r="I135" s="64"/>
      <c r="J135" s="64"/>
      <c r="K135" s="64"/>
      <c r="L135" s="64"/>
      <c r="M135" s="64"/>
      <c r="N135" s="64"/>
      <c r="O135" s="64"/>
      <c r="P135" s="64"/>
      <c r="Q135" s="64"/>
      <c r="R135" s="64"/>
      <c r="S135" s="64"/>
      <c r="T135" s="64"/>
      <c r="U135" s="64"/>
      <c r="V135" s="64"/>
      <c r="W135" s="64"/>
      <c r="X135" s="64"/>
      <c r="Y135" s="64"/>
      <c r="Z135" s="64"/>
    </row>
    <row r="136" ht="12.75" customHeight="1">
      <c r="A136" s="108"/>
      <c r="B136" s="64"/>
      <c r="C136" s="64"/>
      <c r="D136" s="64"/>
      <c r="E136" s="64"/>
      <c r="F136" s="63"/>
      <c r="G136" s="63"/>
      <c r="H136" s="64"/>
      <c r="I136" s="64"/>
      <c r="J136" s="64"/>
      <c r="K136" s="64"/>
      <c r="L136" s="64"/>
      <c r="M136" s="64"/>
      <c r="N136" s="64"/>
      <c r="O136" s="64"/>
      <c r="P136" s="64"/>
      <c r="Q136" s="64"/>
      <c r="R136" s="64"/>
      <c r="S136" s="64"/>
      <c r="T136" s="64"/>
      <c r="U136" s="64"/>
      <c r="V136" s="64"/>
      <c r="W136" s="64"/>
      <c r="X136" s="64"/>
      <c r="Y136" s="64"/>
      <c r="Z136" s="64"/>
    </row>
    <row r="137" ht="12.75" customHeight="1">
      <c r="A137" s="108"/>
      <c r="B137" s="64"/>
      <c r="C137" s="64"/>
      <c r="D137" s="64"/>
      <c r="E137" s="64"/>
      <c r="F137" s="63"/>
      <c r="G137" s="63"/>
      <c r="H137" s="64"/>
      <c r="I137" s="64"/>
      <c r="J137" s="64"/>
      <c r="K137" s="64"/>
      <c r="L137" s="64"/>
      <c r="M137" s="64"/>
      <c r="N137" s="64"/>
      <c r="O137" s="64"/>
      <c r="P137" s="64"/>
      <c r="Q137" s="64"/>
      <c r="R137" s="64"/>
      <c r="S137" s="64"/>
      <c r="T137" s="64"/>
      <c r="U137" s="64"/>
      <c r="V137" s="64"/>
      <c r="W137" s="64"/>
      <c r="X137" s="64"/>
      <c r="Y137" s="64"/>
      <c r="Z137" s="64"/>
    </row>
    <row r="138" ht="12.75" customHeight="1">
      <c r="A138" s="108"/>
      <c r="B138" s="64"/>
      <c r="C138" s="64"/>
      <c r="D138" s="64"/>
      <c r="E138" s="64"/>
      <c r="F138" s="63"/>
      <c r="G138" s="63"/>
      <c r="H138" s="64"/>
      <c r="I138" s="64"/>
      <c r="J138" s="64"/>
      <c r="K138" s="64"/>
      <c r="L138" s="64"/>
      <c r="M138" s="64"/>
      <c r="N138" s="64"/>
      <c r="O138" s="64"/>
      <c r="P138" s="64"/>
      <c r="Q138" s="64"/>
      <c r="R138" s="64"/>
      <c r="S138" s="64"/>
      <c r="T138" s="64"/>
      <c r="U138" s="64"/>
      <c r="V138" s="64"/>
      <c r="W138" s="64"/>
      <c r="X138" s="64"/>
      <c r="Y138" s="64"/>
      <c r="Z138" s="64"/>
    </row>
    <row r="139" ht="12.75" customHeight="1">
      <c r="A139" s="108"/>
      <c r="B139" s="64"/>
      <c r="C139" s="64"/>
      <c r="D139" s="64"/>
      <c r="E139" s="64"/>
      <c r="F139" s="63"/>
      <c r="G139" s="63"/>
      <c r="H139" s="64"/>
      <c r="I139" s="64"/>
      <c r="J139" s="64"/>
      <c r="K139" s="64"/>
      <c r="L139" s="64"/>
      <c r="M139" s="64"/>
      <c r="N139" s="64"/>
      <c r="O139" s="64"/>
      <c r="P139" s="64"/>
      <c r="Q139" s="64"/>
      <c r="R139" s="64"/>
      <c r="S139" s="64"/>
      <c r="T139" s="64"/>
      <c r="U139" s="64"/>
      <c r="V139" s="64"/>
      <c r="W139" s="64"/>
      <c r="X139" s="64"/>
      <c r="Y139" s="64"/>
      <c r="Z139" s="64"/>
    </row>
    <row r="140" ht="12.75" customHeight="1">
      <c r="A140" s="108"/>
      <c r="B140" s="64"/>
      <c r="C140" s="64"/>
      <c r="D140" s="64"/>
      <c r="E140" s="64"/>
      <c r="F140" s="63"/>
      <c r="G140" s="63"/>
      <c r="H140" s="64"/>
      <c r="I140" s="64"/>
      <c r="J140" s="64"/>
      <c r="K140" s="64"/>
      <c r="L140" s="64"/>
      <c r="M140" s="64"/>
      <c r="N140" s="64"/>
      <c r="O140" s="64"/>
      <c r="P140" s="64"/>
      <c r="Q140" s="64"/>
      <c r="R140" s="64"/>
      <c r="S140" s="64"/>
      <c r="T140" s="64"/>
      <c r="U140" s="64"/>
      <c r="V140" s="64"/>
      <c r="W140" s="64"/>
      <c r="X140" s="64"/>
      <c r="Y140" s="64"/>
      <c r="Z140" s="64"/>
    </row>
    <row r="141" ht="12.75" customHeight="1">
      <c r="A141" s="108"/>
      <c r="B141" s="64"/>
      <c r="C141" s="64"/>
      <c r="D141" s="64"/>
      <c r="E141" s="64"/>
      <c r="F141" s="63"/>
      <c r="G141" s="63"/>
      <c r="H141" s="64"/>
      <c r="I141" s="64"/>
      <c r="J141" s="64"/>
      <c r="K141" s="64"/>
      <c r="L141" s="64"/>
      <c r="M141" s="64"/>
      <c r="N141" s="64"/>
      <c r="O141" s="64"/>
      <c r="P141" s="64"/>
      <c r="Q141" s="64"/>
      <c r="R141" s="64"/>
      <c r="S141" s="64"/>
      <c r="T141" s="64"/>
      <c r="U141" s="64"/>
      <c r="V141" s="64"/>
      <c r="W141" s="64"/>
      <c r="X141" s="64"/>
      <c r="Y141" s="64"/>
      <c r="Z141" s="64"/>
    </row>
    <row r="142" ht="12.75" customHeight="1">
      <c r="A142" s="108"/>
      <c r="B142" s="64"/>
      <c r="C142" s="64"/>
      <c r="D142" s="64"/>
      <c r="E142" s="64"/>
      <c r="F142" s="63"/>
      <c r="G142" s="63"/>
      <c r="H142" s="64"/>
      <c r="I142" s="64"/>
      <c r="J142" s="64"/>
      <c r="K142" s="64"/>
      <c r="L142" s="64"/>
      <c r="M142" s="64"/>
      <c r="N142" s="64"/>
      <c r="O142" s="64"/>
      <c r="P142" s="64"/>
      <c r="Q142" s="64"/>
      <c r="R142" s="64"/>
      <c r="S142" s="64"/>
      <c r="T142" s="64"/>
      <c r="U142" s="64"/>
      <c r="V142" s="64"/>
      <c r="W142" s="64"/>
      <c r="X142" s="64"/>
      <c r="Y142" s="64"/>
      <c r="Z142" s="64"/>
    </row>
    <row r="143" ht="12.75" customHeight="1">
      <c r="A143" s="108"/>
      <c r="B143" s="64"/>
      <c r="C143" s="64"/>
      <c r="D143" s="64"/>
      <c r="E143" s="64"/>
      <c r="F143" s="63"/>
      <c r="G143" s="63"/>
      <c r="H143" s="64"/>
      <c r="I143" s="64"/>
      <c r="J143" s="64"/>
      <c r="K143" s="64"/>
      <c r="L143" s="64"/>
      <c r="M143" s="64"/>
      <c r="N143" s="64"/>
      <c r="O143" s="64"/>
      <c r="P143" s="64"/>
      <c r="Q143" s="64"/>
      <c r="R143" s="64"/>
      <c r="S143" s="64"/>
      <c r="T143" s="64"/>
      <c r="U143" s="64"/>
      <c r="V143" s="64"/>
      <c r="W143" s="64"/>
      <c r="X143" s="64"/>
      <c r="Y143" s="64"/>
      <c r="Z143" s="64"/>
    </row>
    <row r="144" ht="12.75" customHeight="1">
      <c r="A144" s="108"/>
      <c r="B144" s="64"/>
      <c r="C144" s="64"/>
      <c r="D144" s="64"/>
      <c r="E144" s="64"/>
      <c r="F144" s="63"/>
      <c r="G144" s="63"/>
      <c r="H144" s="64"/>
      <c r="I144" s="64"/>
      <c r="J144" s="64"/>
      <c r="K144" s="64"/>
      <c r="L144" s="64"/>
      <c r="M144" s="64"/>
      <c r="N144" s="64"/>
      <c r="O144" s="64"/>
      <c r="P144" s="64"/>
      <c r="Q144" s="64"/>
      <c r="R144" s="64"/>
      <c r="S144" s="64"/>
      <c r="T144" s="64"/>
      <c r="U144" s="64"/>
      <c r="V144" s="64"/>
      <c r="W144" s="64"/>
      <c r="X144" s="64"/>
      <c r="Y144" s="64"/>
      <c r="Z144" s="64"/>
    </row>
    <row r="145" ht="12.75" customHeight="1">
      <c r="A145" s="108"/>
      <c r="B145" s="64"/>
      <c r="C145" s="64"/>
      <c r="D145" s="64"/>
      <c r="E145" s="64"/>
      <c r="F145" s="63"/>
      <c r="G145" s="63"/>
      <c r="H145" s="64"/>
      <c r="I145" s="64"/>
      <c r="J145" s="64"/>
      <c r="K145" s="64"/>
      <c r="L145" s="64"/>
      <c r="M145" s="64"/>
      <c r="N145" s="64"/>
      <c r="O145" s="64"/>
      <c r="P145" s="64"/>
      <c r="Q145" s="64"/>
      <c r="R145" s="64"/>
      <c r="S145" s="64"/>
      <c r="T145" s="64"/>
      <c r="U145" s="64"/>
      <c r="V145" s="64"/>
      <c r="W145" s="64"/>
      <c r="X145" s="64"/>
      <c r="Y145" s="64"/>
      <c r="Z145" s="64"/>
    </row>
    <row r="146" ht="12.75" customHeight="1">
      <c r="A146" s="108"/>
      <c r="B146" s="64"/>
      <c r="C146" s="64"/>
      <c r="D146" s="64"/>
      <c r="E146" s="64"/>
      <c r="F146" s="63"/>
      <c r="G146" s="63"/>
      <c r="H146" s="64"/>
      <c r="I146" s="64"/>
      <c r="J146" s="64"/>
      <c r="K146" s="64"/>
      <c r="L146" s="64"/>
      <c r="M146" s="64"/>
      <c r="N146" s="64"/>
      <c r="O146" s="64"/>
      <c r="P146" s="64"/>
      <c r="Q146" s="64"/>
      <c r="R146" s="64"/>
      <c r="S146" s="64"/>
      <c r="T146" s="64"/>
      <c r="U146" s="64"/>
      <c r="V146" s="64"/>
      <c r="W146" s="64"/>
      <c r="X146" s="64"/>
      <c r="Y146" s="64"/>
      <c r="Z146" s="64"/>
    </row>
    <row r="147" ht="12.75" customHeight="1">
      <c r="A147" s="108"/>
      <c r="B147" s="64"/>
      <c r="C147" s="64"/>
      <c r="D147" s="64"/>
      <c r="E147" s="64"/>
      <c r="F147" s="63"/>
      <c r="G147" s="63"/>
      <c r="H147" s="64"/>
      <c r="I147" s="64"/>
      <c r="J147" s="64"/>
      <c r="K147" s="64"/>
      <c r="L147" s="64"/>
      <c r="M147" s="64"/>
      <c r="N147" s="64"/>
      <c r="O147" s="64"/>
      <c r="P147" s="64"/>
      <c r="Q147" s="64"/>
      <c r="R147" s="64"/>
      <c r="S147" s="64"/>
      <c r="T147" s="64"/>
      <c r="U147" s="64"/>
      <c r="V147" s="64"/>
      <c r="W147" s="64"/>
      <c r="X147" s="64"/>
      <c r="Y147" s="64"/>
      <c r="Z147" s="64"/>
    </row>
    <row r="148" ht="12.75" customHeight="1">
      <c r="A148" s="108"/>
      <c r="B148" s="64"/>
      <c r="C148" s="64"/>
      <c r="D148" s="64"/>
      <c r="E148" s="64"/>
      <c r="F148" s="63"/>
      <c r="G148" s="63"/>
      <c r="H148" s="64"/>
      <c r="I148" s="64"/>
      <c r="J148" s="64"/>
      <c r="K148" s="64"/>
      <c r="L148" s="64"/>
      <c r="M148" s="64"/>
      <c r="N148" s="64"/>
      <c r="O148" s="64"/>
      <c r="P148" s="64"/>
      <c r="Q148" s="64"/>
      <c r="R148" s="64"/>
      <c r="S148" s="64"/>
      <c r="T148" s="64"/>
      <c r="U148" s="64"/>
      <c r="V148" s="64"/>
      <c r="W148" s="64"/>
      <c r="X148" s="64"/>
      <c r="Y148" s="64"/>
      <c r="Z148" s="64"/>
    </row>
    <row r="149" ht="12.75" customHeight="1">
      <c r="A149" s="108"/>
      <c r="B149" s="64"/>
      <c r="C149" s="64"/>
      <c r="D149" s="64"/>
      <c r="E149" s="64"/>
      <c r="F149" s="63"/>
      <c r="G149" s="63"/>
      <c r="H149" s="64"/>
      <c r="I149" s="64"/>
      <c r="J149" s="64"/>
      <c r="K149" s="64"/>
      <c r="L149" s="64"/>
      <c r="M149" s="64"/>
      <c r="N149" s="64"/>
      <c r="O149" s="64"/>
      <c r="P149" s="64"/>
      <c r="Q149" s="64"/>
      <c r="R149" s="64"/>
      <c r="S149" s="64"/>
      <c r="T149" s="64"/>
      <c r="U149" s="64"/>
      <c r="V149" s="64"/>
      <c r="W149" s="64"/>
      <c r="X149" s="64"/>
      <c r="Y149" s="64"/>
      <c r="Z149" s="64"/>
    </row>
    <row r="150" ht="12.75" customHeight="1">
      <c r="A150" s="108"/>
      <c r="B150" s="64"/>
      <c r="C150" s="64"/>
      <c r="D150" s="64"/>
      <c r="E150" s="64"/>
      <c r="F150" s="63"/>
      <c r="G150" s="63"/>
      <c r="H150" s="64"/>
      <c r="I150" s="64"/>
      <c r="J150" s="64"/>
      <c r="K150" s="64"/>
      <c r="L150" s="64"/>
      <c r="M150" s="64"/>
      <c r="N150" s="64"/>
      <c r="O150" s="64"/>
      <c r="P150" s="64"/>
      <c r="Q150" s="64"/>
      <c r="R150" s="64"/>
      <c r="S150" s="64"/>
      <c r="T150" s="64"/>
      <c r="U150" s="64"/>
      <c r="V150" s="64"/>
      <c r="W150" s="64"/>
      <c r="X150" s="64"/>
      <c r="Y150" s="64"/>
      <c r="Z150" s="64"/>
    </row>
    <row r="151" ht="12.75" customHeight="1">
      <c r="A151" s="108"/>
      <c r="B151" s="64"/>
      <c r="C151" s="64"/>
      <c r="D151" s="64"/>
      <c r="E151" s="64"/>
      <c r="F151" s="63"/>
      <c r="G151" s="63"/>
      <c r="H151" s="64"/>
      <c r="I151" s="64"/>
      <c r="J151" s="64"/>
      <c r="K151" s="64"/>
      <c r="L151" s="64"/>
      <c r="M151" s="64"/>
      <c r="N151" s="64"/>
      <c r="O151" s="64"/>
      <c r="P151" s="64"/>
      <c r="Q151" s="64"/>
      <c r="R151" s="64"/>
      <c r="S151" s="64"/>
      <c r="T151" s="64"/>
      <c r="U151" s="64"/>
      <c r="V151" s="64"/>
      <c r="W151" s="64"/>
      <c r="X151" s="64"/>
      <c r="Y151" s="64"/>
      <c r="Z151" s="64"/>
    </row>
    <row r="152" ht="12.75" customHeight="1">
      <c r="A152" s="108"/>
      <c r="B152" s="64"/>
      <c r="C152" s="64"/>
      <c r="D152" s="64"/>
      <c r="E152" s="64"/>
      <c r="F152" s="63"/>
      <c r="G152" s="63"/>
      <c r="H152" s="64"/>
      <c r="I152" s="64"/>
      <c r="J152" s="64"/>
      <c r="K152" s="64"/>
      <c r="L152" s="64"/>
      <c r="M152" s="64"/>
      <c r="N152" s="64"/>
      <c r="O152" s="64"/>
      <c r="P152" s="64"/>
      <c r="Q152" s="64"/>
      <c r="R152" s="64"/>
      <c r="S152" s="64"/>
      <c r="T152" s="64"/>
      <c r="U152" s="64"/>
      <c r="V152" s="64"/>
      <c r="W152" s="64"/>
      <c r="X152" s="64"/>
      <c r="Y152" s="64"/>
      <c r="Z152" s="64"/>
    </row>
    <row r="153" ht="12.75" customHeight="1">
      <c r="A153" s="108"/>
      <c r="B153" s="64"/>
      <c r="C153" s="64"/>
      <c r="D153" s="64"/>
      <c r="E153" s="64"/>
      <c r="F153" s="63"/>
      <c r="G153" s="63"/>
      <c r="H153" s="64"/>
      <c r="I153" s="64"/>
      <c r="J153" s="64"/>
      <c r="K153" s="64"/>
      <c r="L153" s="64"/>
      <c r="M153" s="64"/>
      <c r="N153" s="64"/>
      <c r="O153" s="64"/>
      <c r="P153" s="64"/>
      <c r="Q153" s="64"/>
      <c r="R153" s="64"/>
      <c r="S153" s="64"/>
      <c r="T153" s="64"/>
      <c r="U153" s="64"/>
      <c r="V153" s="64"/>
      <c r="W153" s="64"/>
      <c r="X153" s="64"/>
      <c r="Y153" s="64"/>
      <c r="Z153" s="64"/>
    </row>
    <row r="154" ht="12.75" customHeight="1">
      <c r="A154" s="108"/>
      <c r="B154" s="64"/>
      <c r="C154" s="64"/>
      <c r="D154" s="64"/>
      <c r="E154" s="64"/>
      <c r="F154" s="63"/>
      <c r="G154" s="63"/>
      <c r="H154" s="64"/>
      <c r="I154" s="64"/>
      <c r="J154" s="64"/>
      <c r="K154" s="64"/>
      <c r="L154" s="64"/>
      <c r="M154" s="64"/>
      <c r="N154" s="64"/>
      <c r="O154" s="64"/>
      <c r="P154" s="64"/>
      <c r="Q154" s="64"/>
      <c r="R154" s="64"/>
      <c r="S154" s="64"/>
      <c r="T154" s="64"/>
      <c r="U154" s="64"/>
      <c r="V154" s="64"/>
      <c r="W154" s="64"/>
      <c r="X154" s="64"/>
      <c r="Y154" s="64"/>
      <c r="Z154" s="64"/>
    </row>
    <row r="155" ht="12.75" customHeight="1">
      <c r="A155" s="108"/>
      <c r="B155" s="64"/>
      <c r="C155" s="64"/>
      <c r="D155" s="64"/>
      <c r="E155" s="64"/>
      <c r="F155" s="63"/>
      <c r="G155" s="63"/>
      <c r="H155" s="64"/>
      <c r="I155" s="64"/>
      <c r="J155" s="64"/>
      <c r="K155" s="64"/>
      <c r="L155" s="64"/>
      <c r="M155" s="64"/>
      <c r="N155" s="64"/>
      <c r="O155" s="64"/>
      <c r="P155" s="64"/>
      <c r="Q155" s="64"/>
      <c r="R155" s="64"/>
      <c r="S155" s="64"/>
      <c r="T155" s="64"/>
      <c r="U155" s="64"/>
      <c r="V155" s="64"/>
      <c r="W155" s="64"/>
      <c r="X155" s="64"/>
      <c r="Y155" s="64"/>
      <c r="Z155" s="64"/>
    </row>
    <row r="156" ht="12.75" customHeight="1">
      <c r="A156" s="108"/>
      <c r="B156" s="64"/>
      <c r="C156" s="64"/>
      <c r="D156" s="64"/>
      <c r="E156" s="64"/>
      <c r="F156" s="63"/>
      <c r="G156" s="63"/>
      <c r="H156" s="64"/>
      <c r="I156" s="64"/>
      <c r="J156" s="64"/>
      <c r="K156" s="64"/>
      <c r="L156" s="64"/>
      <c r="M156" s="64"/>
      <c r="N156" s="64"/>
      <c r="O156" s="64"/>
      <c r="P156" s="64"/>
      <c r="Q156" s="64"/>
      <c r="R156" s="64"/>
      <c r="S156" s="64"/>
      <c r="T156" s="64"/>
      <c r="U156" s="64"/>
      <c r="V156" s="64"/>
      <c r="W156" s="64"/>
      <c r="X156" s="64"/>
      <c r="Y156" s="64"/>
      <c r="Z156" s="64"/>
    </row>
    <row r="157" ht="12.75" customHeight="1">
      <c r="A157" s="108"/>
      <c r="B157" s="64"/>
      <c r="C157" s="64"/>
      <c r="D157" s="64"/>
      <c r="E157" s="64"/>
      <c r="F157" s="63"/>
      <c r="G157" s="63"/>
      <c r="H157" s="64"/>
      <c r="I157" s="64"/>
      <c r="J157" s="64"/>
      <c r="K157" s="64"/>
      <c r="L157" s="64"/>
      <c r="M157" s="64"/>
      <c r="N157" s="64"/>
      <c r="O157" s="64"/>
      <c r="P157" s="64"/>
      <c r="Q157" s="64"/>
      <c r="R157" s="64"/>
      <c r="S157" s="64"/>
      <c r="T157" s="64"/>
      <c r="U157" s="64"/>
      <c r="V157" s="64"/>
      <c r="W157" s="64"/>
      <c r="X157" s="64"/>
      <c r="Y157" s="64"/>
      <c r="Z157" s="64"/>
    </row>
    <row r="158" ht="12.75" customHeight="1">
      <c r="A158" s="108"/>
      <c r="B158" s="64"/>
      <c r="C158" s="64"/>
      <c r="D158" s="64"/>
      <c r="E158" s="64"/>
      <c r="F158" s="63"/>
      <c r="G158" s="63"/>
      <c r="H158" s="64"/>
      <c r="I158" s="64"/>
      <c r="J158" s="64"/>
      <c r="K158" s="64"/>
      <c r="L158" s="64"/>
      <c r="M158" s="64"/>
      <c r="N158" s="64"/>
      <c r="O158" s="64"/>
      <c r="P158" s="64"/>
      <c r="Q158" s="64"/>
      <c r="R158" s="64"/>
      <c r="S158" s="64"/>
      <c r="T158" s="64"/>
      <c r="U158" s="64"/>
      <c r="V158" s="64"/>
      <c r="W158" s="64"/>
      <c r="X158" s="64"/>
      <c r="Y158" s="64"/>
      <c r="Z158" s="64"/>
    </row>
    <row r="159" ht="12.75" customHeight="1">
      <c r="A159" s="108"/>
      <c r="B159" s="64"/>
      <c r="C159" s="64"/>
      <c r="D159" s="64"/>
      <c r="E159" s="64"/>
      <c r="F159" s="63"/>
      <c r="G159" s="63"/>
      <c r="H159" s="64"/>
      <c r="I159" s="64"/>
      <c r="J159" s="64"/>
      <c r="K159" s="64"/>
      <c r="L159" s="64"/>
      <c r="M159" s="64"/>
      <c r="N159" s="64"/>
      <c r="O159" s="64"/>
      <c r="P159" s="64"/>
      <c r="Q159" s="64"/>
      <c r="R159" s="64"/>
      <c r="S159" s="64"/>
      <c r="T159" s="64"/>
      <c r="U159" s="64"/>
      <c r="V159" s="64"/>
      <c r="W159" s="64"/>
      <c r="X159" s="64"/>
      <c r="Y159" s="64"/>
      <c r="Z159" s="64"/>
    </row>
    <row r="160" ht="12.75" customHeight="1">
      <c r="A160" s="108"/>
      <c r="B160" s="64"/>
      <c r="C160" s="64"/>
      <c r="D160" s="64"/>
      <c r="E160" s="64"/>
      <c r="F160" s="63"/>
      <c r="G160" s="63"/>
      <c r="H160" s="64"/>
      <c r="I160" s="64"/>
      <c r="J160" s="64"/>
      <c r="K160" s="64"/>
      <c r="L160" s="64"/>
      <c r="M160" s="64"/>
      <c r="N160" s="64"/>
      <c r="O160" s="64"/>
      <c r="P160" s="64"/>
      <c r="Q160" s="64"/>
      <c r="R160" s="64"/>
      <c r="S160" s="64"/>
      <c r="T160" s="64"/>
      <c r="U160" s="64"/>
      <c r="V160" s="64"/>
      <c r="W160" s="64"/>
      <c r="X160" s="64"/>
      <c r="Y160" s="64"/>
      <c r="Z160" s="64"/>
    </row>
    <row r="161" ht="12.75" customHeight="1">
      <c r="A161" s="108"/>
      <c r="B161" s="64"/>
      <c r="C161" s="64"/>
      <c r="D161" s="64"/>
      <c r="E161" s="64"/>
      <c r="F161" s="63"/>
      <c r="G161" s="63"/>
      <c r="H161" s="64"/>
      <c r="I161" s="64"/>
      <c r="J161" s="64"/>
      <c r="K161" s="64"/>
      <c r="L161" s="64"/>
      <c r="M161" s="64"/>
      <c r="N161" s="64"/>
      <c r="O161" s="64"/>
      <c r="P161" s="64"/>
      <c r="Q161" s="64"/>
      <c r="R161" s="64"/>
      <c r="S161" s="64"/>
      <c r="T161" s="64"/>
      <c r="U161" s="64"/>
      <c r="V161" s="64"/>
      <c r="W161" s="64"/>
      <c r="X161" s="64"/>
      <c r="Y161" s="64"/>
      <c r="Z161" s="64"/>
    </row>
    <row r="162" ht="12.75" customHeight="1">
      <c r="A162" s="108"/>
      <c r="B162" s="64"/>
      <c r="C162" s="64"/>
      <c r="D162" s="64"/>
      <c r="E162" s="64"/>
      <c r="F162" s="63"/>
      <c r="G162" s="63"/>
      <c r="H162" s="64"/>
      <c r="I162" s="64"/>
      <c r="J162" s="64"/>
      <c r="K162" s="64"/>
      <c r="L162" s="64"/>
      <c r="M162" s="64"/>
      <c r="N162" s="64"/>
      <c r="O162" s="64"/>
      <c r="P162" s="64"/>
      <c r="Q162" s="64"/>
      <c r="R162" s="64"/>
      <c r="S162" s="64"/>
      <c r="T162" s="64"/>
      <c r="U162" s="64"/>
      <c r="V162" s="64"/>
      <c r="W162" s="64"/>
      <c r="X162" s="64"/>
      <c r="Y162" s="64"/>
      <c r="Z162" s="64"/>
    </row>
    <row r="163" ht="12.75" customHeight="1">
      <c r="A163" s="108"/>
      <c r="B163" s="64"/>
      <c r="C163" s="64"/>
      <c r="D163" s="64"/>
      <c r="E163" s="64"/>
      <c r="F163" s="63"/>
      <c r="G163" s="63"/>
      <c r="H163" s="64"/>
      <c r="I163" s="64"/>
      <c r="J163" s="64"/>
      <c r="K163" s="64"/>
      <c r="L163" s="64"/>
      <c r="M163" s="64"/>
      <c r="N163" s="64"/>
      <c r="O163" s="64"/>
      <c r="P163" s="64"/>
      <c r="Q163" s="64"/>
      <c r="R163" s="64"/>
      <c r="S163" s="64"/>
      <c r="T163" s="64"/>
      <c r="U163" s="64"/>
      <c r="V163" s="64"/>
      <c r="W163" s="64"/>
      <c r="X163" s="64"/>
      <c r="Y163" s="64"/>
      <c r="Z163" s="64"/>
    </row>
    <row r="164" ht="12.75" customHeight="1">
      <c r="A164" s="108"/>
      <c r="B164" s="64"/>
      <c r="C164" s="64"/>
      <c r="D164" s="64"/>
      <c r="E164" s="64"/>
      <c r="F164" s="63"/>
      <c r="G164" s="63"/>
      <c r="H164" s="64"/>
      <c r="I164" s="64"/>
      <c r="J164" s="64"/>
      <c r="K164" s="64"/>
      <c r="L164" s="64"/>
      <c r="M164" s="64"/>
      <c r="N164" s="64"/>
      <c r="O164" s="64"/>
      <c r="P164" s="64"/>
      <c r="Q164" s="64"/>
      <c r="R164" s="64"/>
      <c r="S164" s="64"/>
      <c r="T164" s="64"/>
      <c r="U164" s="64"/>
      <c r="V164" s="64"/>
      <c r="W164" s="64"/>
      <c r="X164" s="64"/>
      <c r="Y164" s="64"/>
      <c r="Z164" s="64"/>
    </row>
    <row r="165" ht="12.75" customHeight="1">
      <c r="A165" s="108"/>
      <c r="B165" s="64"/>
      <c r="C165" s="64"/>
      <c r="D165" s="64"/>
      <c r="E165" s="64"/>
      <c r="F165" s="63"/>
      <c r="G165" s="63"/>
      <c r="H165" s="64"/>
      <c r="I165" s="64"/>
      <c r="J165" s="64"/>
      <c r="K165" s="64"/>
      <c r="L165" s="64"/>
      <c r="M165" s="64"/>
      <c r="N165" s="64"/>
      <c r="O165" s="64"/>
      <c r="P165" s="64"/>
      <c r="Q165" s="64"/>
      <c r="R165" s="64"/>
      <c r="S165" s="64"/>
      <c r="T165" s="64"/>
      <c r="U165" s="64"/>
      <c r="V165" s="64"/>
      <c r="W165" s="64"/>
      <c r="X165" s="64"/>
      <c r="Y165" s="64"/>
      <c r="Z165" s="64"/>
    </row>
    <row r="166" ht="12.75" customHeight="1">
      <c r="A166" s="108"/>
      <c r="B166" s="64"/>
      <c r="C166" s="64"/>
      <c r="D166" s="64"/>
      <c r="E166" s="64"/>
      <c r="F166" s="63"/>
      <c r="G166" s="63"/>
      <c r="H166" s="64"/>
      <c r="I166" s="64"/>
      <c r="J166" s="64"/>
      <c r="K166" s="64"/>
      <c r="L166" s="64"/>
      <c r="M166" s="64"/>
      <c r="N166" s="64"/>
      <c r="O166" s="64"/>
      <c r="P166" s="64"/>
      <c r="Q166" s="64"/>
      <c r="R166" s="64"/>
      <c r="S166" s="64"/>
      <c r="T166" s="64"/>
      <c r="U166" s="64"/>
      <c r="V166" s="64"/>
      <c r="W166" s="64"/>
      <c r="X166" s="64"/>
      <c r="Y166" s="64"/>
      <c r="Z166" s="64"/>
    </row>
    <row r="167" ht="12.75" customHeight="1">
      <c r="A167" s="108"/>
      <c r="B167" s="64"/>
      <c r="C167" s="64"/>
      <c r="D167" s="64"/>
      <c r="E167" s="64"/>
      <c r="F167" s="63"/>
      <c r="G167" s="63"/>
      <c r="H167" s="64"/>
      <c r="I167" s="64"/>
      <c r="J167" s="64"/>
      <c r="K167" s="64"/>
      <c r="L167" s="64"/>
      <c r="M167" s="64"/>
      <c r="N167" s="64"/>
      <c r="O167" s="64"/>
      <c r="P167" s="64"/>
      <c r="Q167" s="64"/>
      <c r="R167" s="64"/>
      <c r="S167" s="64"/>
      <c r="T167" s="64"/>
      <c r="U167" s="64"/>
      <c r="V167" s="64"/>
      <c r="W167" s="64"/>
      <c r="X167" s="64"/>
      <c r="Y167" s="64"/>
      <c r="Z167" s="64"/>
    </row>
    <row r="168" ht="12.75" customHeight="1">
      <c r="A168" s="108"/>
      <c r="B168" s="64"/>
      <c r="C168" s="64"/>
      <c r="D168" s="64"/>
      <c r="E168" s="64"/>
      <c r="F168" s="63"/>
      <c r="G168" s="63"/>
      <c r="H168" s="64"/>
      <c r="I168" s="64"/>
      <c r="J168" s="64"/>
      <c r="K168" s="64"/>
      <c r="L168" s="64"/>
      <c r="M168" s="64"/>
      <c r="N168" s="64"/>
      <c r="O168" s="64"/>
      <c r="P168" s="64"/>
      <c r="Q168" s="64"/>
      <c r="R168" s="64"/>
      <c r="S168" s="64"/>
      <c r="T168" s="64"/>
      <c r="U168" s="64"/>
      <c r="V168" s="64"/>
      <c r="W168" s="64"/>
      <c r="X168" s="64"/>
      <c r="Y168" s="64"/>
      <c r="Z168" s="64"/>
    </row>
    <row r="169" ht="12.75" customHeight="1">
      <c r="A169" s="108"/>
      <c r="B169" s="64"/>
      <c r="C169" s="64"/>
      <c r="D169" s="64"/>
      <c r="E169" s="64"/>
      <c r="F169" s="63"/>
      <c r="G169" s="63"/>
      <c r="H169" s="64"/>
      <c r="I169" s="64"/>
      <c r="J169" s="64"/>
      <c r="K169" s="64"/>
      <c r="L169" s="64"/>
      <c r="M169" s="64"/>
      <c r="N169" s="64"/>
      <c r="O169" s="64"/>
      <c r="P169" s="64"/>
      <c r="Q169" s="64"/>
      <c r="R169" s="64"/>
      <c r="S169" s="64"/>
      <c r="T169" s="64"/>
      <c r="U169" s="64"/>
      <c r="V169" s="64"/>
      <c r="W169" s="64"/>
      <c r="X169" s="64"/>
      <c r="Y169" s="64"/>
      <c r="Z169" s="64"/>
    </row>
    <row r="170" ht="12.75" customHeight="1">
      <c r="A170" s="108"/>
      <c r="B170" s="64"/>
      <c r="C170" s="64"/>
      <c r="D170" s="64"/>
      <c r="E170" s="64"/>
      <c r="F170" s="63"/>
      <c r="G170" s="63"/>
      <c r="H170" s="64"/>
      <c r="I170" s="64"/>
      <c r="J170" s="64"/>
      <c r="K170" s="64"/>
      <c r="L170" s="64"/>
      <c r="M170" s="64"/>
      <c r="N170" s="64"/>
      <c r="O170" s="64"/>
      <c r="P170" s="64"/>
      <c r="Q170" s="64"/>
      <c r="R170" s="64"/>
      <c r="S170" s="64"/>
      <c r="T170" s="64"/>
      <c r="U170" s="64"/>
      <c r="V170" s="64"/>
      <c r="W170" s="64"/>
      <c r="X170" s="64"/>
      <c r="Y170" s="64"/>
      <c r="Z170" s="64"/>
    </row>
    <row r="171" ht="12.75" customHeight="1">
      <c r="A171" s="108"/>
      <c r="B171" s="64"/>
      <c r="C171" s="64"/>
      <c r="D171" s="64"/>
      <c r="E171" s="64"/>
      <c r="F171" s="63"/>
      <c r="G171" s="63"/>
      <c r="H171" s="64"/>
      <c r="I171" s="64"/>
      <c r="J171" s="64"/>
      <c r="K171" s="64"/>
      <c r="L171" s="64"/>
      <c r="M171" s="64"/>
      <c r="N171" s="64"/>
      <c r="O171" s="64"/>
      <c r="P171" s="64"/>
      <c r="Q171" s="64"/>
      <c r="R171" s="64"/>
      <c r="S171" s="64"/>
      <c r="T171" s="64"/>
      <c r="U171" s="64"/>
      <c r="V171" s="64"/>
      <c r="W171" s="64"/>
      <c r="X171" s="64"/>
      <c r="Y171" s="64"/>
      <c r="Z171" s="64"/>
    </row>
    <row r="172" ht="12.75" customHeight="1">
      <c r="A172" s="108"/>
      <c r="B172" s="64"/>
      <c r="C172" s="64"/>
      <c r="D172" s="64"/>
      <c r="E172" s="64"/>
      <c r="F172" s="63"/>
      <c r="G172" s="63"/>
      <c r="H172" s="64"/>
      <c r="I172" s="64"/>
      <c r="J172" s="64"/>
      <c r="K172" s="64"/>
      <c r="L172" s="64"/>
      <c r="M172" s="64"/>
      <c r="N172" s="64"/>
      <c r="O172" s="64"/>
      <c r="P172" s="64"/>
      <c r="Q172" s="64"/>
      <c r="R172" s="64"/>
      <c r="S172" s="64"/>
      <c r="T172" s="64"/>
      <c r="U172" s="64"/>
      <c r="V172" s="64"/>
      <c r="W172" s="64"/>
      <c r="X172" s="64"/>
      <c r="Y172" s="64"/>
      <c r="Z172" s="64"/>
    </row>
    <row r="173" ht="12.75" customHeight="1">
      <c r="A173" s="108"/>
      <c r="B173" s="64"/>
      <c r="C173" s="64"/>
      <c r="D173" s="64"/>
      <c r="E173" s="64"/>
      <c r="F173" s="63"/>
      <c r="G173" s="63"/>
      <c r="H173" s="64"/>
      <c r="I173" s="64"/>
      <c r="J173" s="64"/>
      <c r="K173" s="64"/>
      <c r="L173" s="64"/>
      <c r="M173" s="64"/>
      <c r="N173" s="64"/>
      <c r="O173" s="64"/>
      <c r="P173" s="64"/>
      <c r="Q173" s="64"/>
      <c r="R173" s="64"/>
      <c r="S173" s="64"/>
      <c r="T173" s="64"/>
      <c r="U173" s="64"/>
      <c r="V173" s="64"/>
      <c r="W173" s="64"/>
      <c r="X173" s="64"/>
      <c r="Y173" s="64"/>
      <c r="Z173" s="64"/>
    </row>
    <row r="174" ht="12.75" customHeight="1">
      <c r="A174" s="108"/>
      <c r="B174" s="64"/>
      <c r="C174" s="64"/>
      <c r="D174" s="64"/>
      <c r="E174" s="64"/>
      <c r="F174" s="63"/>
      <c r="G174" s="63"/>
      <c r="H174" s="64"/>
      <c r="I174" s="64"/>
      <c r="J174" s="64"/>
      <c r="K174" s="64"/>
      <c r="L174" s="64"/>
      <c r="M174" s="64"/>
      <c r="N174" s="64"/>
      <c r="O174" s="64"/>
      <c r="P174" s="64"/>
      <c r="Q174" s="64"/>
      <c r="R174" s="64"/>
      <c r="S174" s="64"/>
      <c r="T174" s="64"/>
      <c r="U174" s="64"/>
      <c r="V174" s="64"/>
      <c r="W174" s="64"/>
      <c r="X174" s="64"/>
      <c r="Y174" s="64"/>
      <c r="Z174" s="64"/>
    </row>
    <row r="175" ht="12.75" customHeight="1">
      <c r="A175" s="108"/>
      <c r="B175" s="64"/>
      <c r="C175" s="64"/>
      <c r="D175" s="64"/>
      <c r="E175" s="64"/>
      <c r="F175" s="63"/>
      <c r="G175" s="63"/>
      <c r="H175" s="64"/>
      <c r="I175" s="64"/>
      <c r="J175" s="64"/>
      <c r="K175" s="64"/>
      <c r="L175" s="64"/>
      <c r="M175" s="64"/>
      <c r="N175" s="64"/>
      <c r="O175" s="64"/>
      <c r="P175" s="64"/>
      <c r="Q175" s="64"/>
      <c r="R175" s="64"/>
      <c r="S175" s="64"/>
      <c r="T175" s="64"/>
      <c r="U175" s="64"/>
      <c r="V175" s="64"/>
      <c r="W175" s="64"/>
      <c r="X175" s="64"/>
      <c r="Y175" s="64"/>
      <c r="Z175" s="64"/>
    </row>
    <row r="176" ht="12.75" customHeight="1">
      <c r="A176" s="108"/>
      <c r="B176" s="64"/>
      <c r="C176" s="64"/>
      <c r="D176" s="64"/>
      <c r="E176" s="64"/>
      <c r="F176" s="63"/>
      <c r="G176" s="63"/>
      <c r="H176" s="64"/>
      <c r="I176" s="64"/>
      <c r="J176" s="64"/>
      <c r="K176" s="64"/>
      <c r="L176" s="64"/>
      <c r="M176" s="64"/>
      <c r="N176" s="64"/>
      <c r="O176" s="64"/>
      <c r="P176" s="64"/>
      <c r="Q176" s="64"/>
      <c r="R176" s="64"/>
      <c r="S176" s="64"/>
      <c r="T176" s="64"/>
      <c r="U176" s="64"/>
      <c r="V176" s="64"/>
      <c r="W176" s="64"/>
      <c r="X176" s="64"/>
      <c r="Y176" s="64"/>
      <c r="Z176" s="64"/>
    </row>
    <row r="177" ht="12.75" customHeight="1">
      <c r="A177" s="108"/>
      <c r="B177" s="64"/>
      <c r="C177" s="64"/>
      <c r="D177" s="64"/>
      <c r="E177" s="64"/>
      <c r="F177" s="63"/>
      <c r="G177" s="63"/>
      <c r="H177" s="64"/>
      <c r="I177" s="64"/>
      <c r="J177" s="64"/>
      <c r="K177" s="64"/>
      <c r="L177" s="64"/>
      <c r="M177" s="64"/>
      <c r="N177" s="64"/>
      <c r="O177" s="64"/>
      <c r="P177" s="64"/>
      <c r="Q177" s="64"/>
      <c r="R177" s="64"/>
      <c r="S177" s="64"/>
      <c r="T177" s="64"/>
      <c r="U177" s="64"/>
      <c r="V177" s="64"/>
      <c r="W177" s="64"/>
      <c r="X177" s="64"/>
      <c r="Y177" s="64"/>
      <c r="Z177" s="64"/>
    </row>
    <row r="178" ht="12.75" customHeight="1">
      <c r="A178" s="108"/>
      <c r="B178" s="64"/>
      <c r="C178" s="64"/>
      <c r="D178" s="64"/>
      <c r="E178" s="64"/>
      <c r="F178" s="63"/>
      <c r="G178" s="63"/>
      <c r="H178" s="64"/>
      <c r="I178" s="64"/>
      <c r="J178" s="64"/>
      <c r="K178" s="64"/>
      <c r="L178" s="64"/>
      <c r="M178" s="64"/>
      <c r="N178" s="64"/>
      <c r="O178" s="64"/>
      <c r="P178" s="64"/>
      <c r="Q178" s="64"/>
      <c r="R178" s="64"/>
      <c r="S178" s="64"/>
      <c r="T178" s="64"/>
      <c r="U178" s="64"/>
      <c r="V178" s="64"/>
      <c r="W178" s="64"/>
      <c r="X178" s="64"/>
      <c r="Y178" s="64"/>
      <c r="Z178" s="64"/>
    </row>
    <row r="179" ht="12.75" customHeight="1">
      <c r="A179" s="108"/>
      <c r="B179" s="64"/>
      <c r="C179" s="64"/>
      <c r="D179" s="64"/>
      <c r="E179" s="64"/>
      <c r="F179" s="63"/>
      <c r="G179" s="63"/>
      <c r="H179" s="64"/>
      <c r="I179" s="64"/>
      <c r="J179" s="64"/>
      <c r="K179" s="64"/>
      <c r="L179" s="64"/>
      <c r="M179" s="64"/>
      <c r="N179" s="64"/>
      <c r="O179" s="64"/>
      <c r="P179" s="64"/>
      <c r="Q179" s="64"/>
      <c r="R179" s="64"/>
      <c r="S179" s="64"/>
      <c r="T179" s="64"/>
      <c r="U179" s="64"/>
      <c r="V179" s="64"/>
      <c r="W179" s="64"/>
      <c r="X179" s="64"/>
      <c r="Y179" s="64"/>
      <c r="Z179" s="64"/>
    </row>
    <row r="180" ht="12.75" customHeight="1">
      <c r="A180" s="108"/>
      <c r="B180" s="64"/>
      <c r="C180" s="64"/>
      <c r="D180" s="64"/>
      <c r="E180" s="64"/>
      <c r="F180" s="63"/>
      <c r="G180" s="63"/>
      <c r="H180" s="64"/>
      <c r="I180" s="64"/>
      <c r="J180" s="64"/>
      <c r="K180" s="64"/>
      <c r="L180" s="64"/>
      <c r="M180" s="64"/>
      <c r="N180" s="64"/>
      <c r="O180" s="64"/>
      <c r="P180" s="64"/>
      <c r="Q180" s="64"/>
      <c r="R180" s="64"/>
      <c r="S180" s="64"/>
      <c r="T180" s="64"/>
      <c r="U180" s="64"/>
      <c r="V180" s="64"/>
      <c r="W180" s="64"/>
      <c r="X180" s="64"/>
      <c r="Y180" s="64"/>
      <c r="Z180" s="64"/>
    </row>
    <row r="181" ht="12.75" customHeight="1">
      <c r="A181" s="108"/>
      <c r="B181" s="64"/>
      <c r="C181" s="64"/>
      <c r="D181" s="64"/>
      <c r="E181" s="64"/>
      <c r="F181" s="63"/>
      <c r="G181" s="63"/>
      <c r="H181" s="64"/>
      <c r="I181" s="64"/>
      <c r="J181" s="64"/>
      <c r="K181" s="64"/>
      <c r="L181" s="64"/>
      <c r="M181" s="64"/>
      <c r="N181" s="64"/>
      <c r="O181" s="64"/>
      <c r="P181" s="64"/>
      <c r="Q181" s="64"/>
      <c r="R181" s="64"/>
      <c r="S181" s="64"/>
      <c r="T181" s="64"/>
      <c r="U181" s="64"/>
      <c r="V181" s="64"/>
      <c r="W181" s="64"/>
      <c r="X181" s="64"/>
      <c r="Y181" s="64"/>
      <c r="Z181" s="64"/>
    </row>
    <row r="182" ht="12.75" customHeight="1">
      <c r="A182" s="108"/>
      <c r="B182" s="64"/>
      <c r="C182" s="64"/>
      <c r="D182" s="64"/>
      <c r="E182" s="64"/>
      <c r="F182" s="63"/>
      <c r="G182" s="63"/>
      <c r="H182" s="64"/>
      <c r="I182" s="64"/>
      <c r="J182" s="64"/>
      <c r="K182" s="64"/>
      <c r="L182" s="64"/>
      <c r="M182" s="64"/>
      <c r="N182" s="64"/>
      <c r="O182" s="64"/>
      <c r="P182" s="64"/>
      <c r="Q182" s="64"/>
      <c r="R182" s="64"/>
      <c r="S182" s="64"/>
      <c r="T182" s="64"/>
      <c r="U182" s="64"/>
      <c r="V182" s="64"/>
      <c r="W182" s="64"/>
      <c r="X182" s="64"/>
      <c r="Y182" s="64"/>
      <c r="Z182" s="64"/>
    </row>
    <row r="183" ht="12.75" customHeight="1">
      <c r="A183" s="108"/>
      <c r="B183" s="64"/>
      <c r="C183" s="64"/>
      <c r="D183" s="64"/>
      <c r="E183" s="64"/>
      <c r="F183" s="63"/>
      <c r="G183" s="63"/>
      <c r="H183" s="64"/>
      <c r="I183" s="64"/>
      <c r="J183" s="64"/>
      <c r="K183" s="64"/>
      <c r="L183" s="64"/>
      <c r="M183" s="64"/>
      <c r="N183" s="64"/>
      <c r="O183" s="64"/>
      <c r="P183" s="64"/>
      <c r="Q183" s="64"/>
      <c r="R183" s="64"/>
      <c r="S183" s="64"/>
      <c r="T183" s="64"/>
      <c r="U183" s="64"/>
      <c r="V183" s="64"/>
      <c r="W183" s="64"/>
      <c r="X183" s="64"/>
      <c r="Y183" s="64"/>
      <c r="Z183" s="64"/>
    </row>
    <row r="184" ht="12.75" customHeight="1">
      <c r="A184" s="108"/>
      <c r="B184" s="64"/>
      <c r="C184" s="64"/>
      <c r="D184" s="64"/>
      <c r="E184" s="64"/>
      <c r="F184" s="63"/>
      <c r="G184" s="63"/>
      <c r="H184" s="64"/>
      <c r="I184" s="64"/>
      <c r="J184" s="64"/>
      <c r="K184" s="64"/>
      <c r="L184" s="64"/>
      <c r="M184" s="64"/>
      <c r="N184" s="64"/>
      <c r="O184" s="64"/>
      <c r="P184" s="64"/>
      <c r="Q184" s="64"/>
      <c r="R184" s="64"/>
      <c r="S184" s="64"/>
      <c r="T184" s="64"/>
      <c r="U184" s="64"/>
      <c r="V184" s="64"/>
      <c r="W184" s="64"/>
      <c r="X184" s="64"/>
      <c r="Y184" s="64"/>
      <c r="Z184" s="64"/>
    </row>
    <row r="185" ht="12.75" customHeight="1">
      <c r="A185" s="108"/>
      <c r="B185" s="64"/>
      <c r="C185" s="64"/>
      <c r="D185" s="64"/>
      <c r="E185" s="64"/>
      <c r="F185" s="63"/>
      <c r="G185" s="63"/>
      <c r="H185" s="64"/>
      <c r="I185" s="64"/>
      <c r="J185" s="64"/>
      <c r="K185" s="64"/>
      <c r="L185" s="64"/>
      <c r="M185" s="64"/>
      <c r="N185" s="64"/>
      <c r="O185" s="64"/>
      <c r="P185" s="64"/>
      <c r="Q185" s="64"/>
      <c r="R185" s="64"/>
      <c r="S185" s="64"/>
      <c r="T185" s="64"/>
      <c r="U185" s="64"/>
      <c r="V185" s="64"/>
      <c r="W185" s="64"/>
      <c r="X185" s="64"/>
      <c r="Y185" s="64"/>
      <c r="Z185" s="64"/>
    </row>
    <row r="186" ht="12.75" customHeight="1">
      <c r="A186" s="108"/>
      <c r="B186" s="64"/>
      <c r="C186" s="64"/>
      <c r="D186" s="64"/>
      <c r="E186" s="64"/>
      <c r="F186" s="63"/>
      <c r="G186" s="63"/>
      <c r="H186" s="64"/>
      <c r="I186" s="64"/>
      <c r="J186" s="64"/>
      <c r="K186" s="64"/>
      <c r="L186" s="64"/>
      <c r="M186" s="64"/>
      <c r="N186" s="64"/>
      <c r="O186" s="64"/>
      <c r="P186" s="64"/>
      <c r="Q186" s="64"/>
      <c r="R186" s="64"/>
      <c r="S186" s="64"/>
      <c r="T186" s="64"/>
      <c r="U186" s="64"/>
      <c r="V186" s="64"/>
      <c r="W186" s="64"/>
      <c r="X186" s="64"/>
      <c r="Y186" s="64"/>
      <c r="Z186" s="64"/>
    </row>
    <row r="187" ht="12.75" customHeight="1">
      <c r="A187" s="108"/>
      <c r="B187" s="64"/>
      <c r="C187" s="64"/>
      <c r="D187" s="64"/>
      <c r="E187" s="64"/>
      <c r="F187" s="63"/>
      <c r="G187" s="63"/>
      <c r="H187" s="64"/>
      <c r="I187" s="64"/>
      <c r="J187" s="64"/>
      <c r="K187" s="64"/>
      <c r="L187" s="64"/>
      <c r="M187" s="64"/>
      <c r="N187" s="64"/>
      <c r="O187" s="64"/>
      <c r="P187" s="64"/>
      <c r="Q187" s="64"/>
      <c r="R187" s="64"/>
      <c r="S187" s="64"/>
      <c r="T187" s="64"/>
      <c r="U187" s="64"/>
      <c r="V187" s="64"/>
      <c r="W187" s="64"/>
      <c r="X187" s="64"/>
      <c r="Y187" s="64"/>
      <c r="Z187" s="64"/>
    </row>
    <row r="188" ht="12.75" customHeight="1">
      <c r="A188" s="108"/>
      <c r="B188" s="64"/>
      <c r="C188" s="64"/>
      <c r="D188" s="64"/>
      <c r="E188" s="64"/>
      <c r="F188" s="63"/>
      <c r="G188" s="63"/>
      <c r="H188" s="64"/>
      <c r="I188" s="64"/>
      <c r="J188" s="64"/>
      <c r="K188" s="64"/>
      <c r="L188" s="64"/>
      <c r="M188" s="64"/>
      <c r="N188" s="64"/>
      <c r="O188" s="64"/>
      <c r="P188" s="64"/>
      <c r="Q188" s="64"/>
      <c r="R188" s="64"/>
      <c r="S188" s="64"/>
      <c r="T188" s="64"/>
      <c r="U188" s="64"/>
      <c r="V188" s="64"/>
      <c r="W188" s="64"/>
      <c r="X188" s="64"/>
      <c r="Y188" s="64"/>
      <c r="Z188" s="64"/>
    </row>
    <row r="189" ht="12.75" customHeight="1">
      <c r="A189" s="108"/>
      <c r="B189" s="64"/>
      <c r="C189" s="64"/>
      <c r="D189" s="64"/>
      <c r="E189" s="64"/>
      <c r="F189" s="63"/>
      <c r="G189" s="63"/>
      <c r="H189" s="64"/>
      <c r="I189" s="64"/>
      <c r="J189" s="64"/>
      <c r="K189" s="64"/>
      <c r="L189" s="64"/>
      <c r="M189" s="64"/>
      <c r="N189" s="64"/>
      <c r="O189" s="64"/>
      <c r="P189" s="64"/>
      <c r="Q189" s="64"/>
      <c r="R189" s="64"/>
      <c r="S189" s="64"/>
      <c r="T189" s="64"/>
      <c r="U189" s="64"/>
      <c r="V189" s="64"/>
      <c r="W189" s="64"/>
      <c r="X189" s="64"/>
      <c r="Y189" s="64"/>
      <c r="Z189" s="64"/>
    </row>
    <row r="190" ht="12.75" customHeight="1">
      <c r="A190" s="108"/>
      <c r="B190" s="64"/>
      <c r="C190" s="64"/>
      <c r="D190" s="64"/>
      <c r="E190" s="64"/>
      <c r="F190" s="63"/>
      <c r="G190" s="63"/>
      <c r="H190" s="64"/>
      <c r="I190" s="64"/>
      <c r="J190" s="64"/>
      <c r="K190" s="64"/>
      <c r="L190" s="64"/>
      <c r="M190" s="64"/>
      <c r="N190" s="64"/>
      <c r="O190" s="64"/>
      <c r="P190" s="64"/>
      <c r="Q190" s="64"/>
      <c r="R190" s="64"/>
      <c r="S190" s="64"/>
      <c r="T190" s="64"/>
      <c r="U190" s="64"/>
      <c r="V190" s="64"/>
      <c r="W190" s="64"/>
      <c r="X190" s="64"/>
      <c r="Y190" s="64"/>
      <c r="Z190" s="64"/>
    </row>
    <row r="191" ht="12.75" customHeight="1">
      <c r="A191" s="108"/>
      <c r="B191" s="64"/>
      <c r="C191" s="64"/>
      <c r="D191" s="64"/>
      <c r="E191" s="64"/>
      <c r="F191" s="63"/>
      <c r="G191" s="63"/>
      <c r="H191" s="64"/>
      <c r="I191" s="64"/>
      <c r="J191" s="64"/>
      <c r="K191" s="64"/>
      <c r="L191" s="64"/>
      <c r="M191" s="64"/>
      <c r="N191" s="64"/>
      <c r="O191" s="64"/>
      <c r="P191" s="64"/>
      <c r="Q191" s="64"/>
      <c r="R191" s="64"/>
      <c r="S191" s="64"/>
      <c r="T191" s="64"/>
      <c r="U191" s="64"/>
      <c r="V191" s="64"/>
      <c r="W191" s="64"/>
      <c r="X191" s="64"/>
      <c r="Y191" s="64"/>
      <c r="Z191" s="64"/>
    </row>
    <row r="192" ht="12.75" customHeight="1">
      <c r="A192" s="108"/>
      <c r="B192" s="64"/>
      <c r="C192" s="64"/>
      <c r="D192" s="64"/>
      <c r="E192" s="64"/>
      <c r="F192" s="63"/>
      <c r="G192" s="63"/>
      <c r="H192" s="64"/>
      <c r="I192" s="64"/>
      <c r="J192" s="64"/>
      <c r="K192" s="64"/>
      <c r="L192" s="64"/>
      <c r="M192" s="64"/>
      <c r="N192" s="64"/>
      <c r="O192" s="64"/>
      <c r="P192" s="64"/>
      <c r="Q192" s="64"/>
      <c r="R192" s="64"/>
      <c r="S192" s="64"/>
      <c r="T192" s="64"/>
      <c r="U192" s="64"/>
      <c r="V192" s="64"/>
      <c r="W192" s="64"/>
      <c r="X192" s="64"/>
      <c r="Y192" s="64"/>
      <c r="Z192" s="64"/>
    </row>
    <row r="193" ht="12.75" customHeight="1">
      <c r="A193" s="108"/>
      <c r="B193" s="64"/>
      <c r="C193" s="64"/>
      <c r="D193" s="64"/>
      <c r="E193" s="64"/>
      <c r="F193" s="63"/>
      <c r="G193" s="63"/>
      <c r="H193" s="64"/>
      <c r="I193" s="64"/>
      <c r="J193" s="64"/>
      <c r="K193" s="64"/>
      <c r="L193" s="64"/>
      <c r="M193" s="64"/>
      <c r="N193" s="64"/>
      <c r="O193" s="64"/>
      <c r="P193" s="64"/>
      <c r="Q193" s="64"/>
      <c r="R193" s="64"/>
      <c r="S193" s="64"/>
      <c r="T193" s="64"/>
      <c r="U193" s="64"/>
      <c r="V193" s="64"/>
      <c r="W193" s="64"/>
      <c r="X193" s="64"/>
      <c r="Y193" s="64"/>
      <c r="Z193" s="64"/>
    </row>
    <row r="194" ht="12.75" customHeight="1">
      <c r="A194" s="108"/>
      <c r="B194" s="64"/>
      <c r="C194" s="64"/>
      <c r="D194" s="64"/>
      <c r="E194" s="64"/>
      <c r="F194" s="63"/>
      <c r="G194" s="63"/>
      <c r="H194" s="64"/>
      <c r="I194" s="64"/>
      <c r="J194" s="64"/>
      <c r="K194" s="64"/>
      <c r="L194" s="64"/>
      <c r="M194" s="64"/>
      <c r="N194" s="64"/>
      <c r="O194" s="64"/>
      <c r="P194" s="64"/>
      <c r="Q194" s="64"/>
      <c r="R194" s="64"/>
      <c r="S194" s="64"/>
      <c r="T194" s="64"/>
      <c r="U194" s="64"/>
      <c r="V194" s="64"/>
      <c r="W194" s="64"/>
      <c r="X194" s="64"/>
      <c r="Y194" s="64"/>
      <c r="Z194" s="64"/>
    </row>
    <row r="195" ht="12.75" customHeight="1">
      <c r="A195" s="108"/>
      <c r="B195" s="64"/>
      <c r="C195" s="64"/>
      <c r="D195" s="64"/>
      <c r="E195" s="64"/>
      <c r="F195" s="63"/>
      <c r="G195" s="63"/>
      <c r="H195" s="64"/>
      <c r="I195" s="64"/>
      <c r="J195" s="64"/>
      <c r="K195" s="64"/>
      <c r="L195" s="64"/>
      <c r="M195" s="64"/>
      <c r="N195" s="64"/>
      <c r="O195" s="64"/>
      <c r="P195" s="64"/>
      <c r="Q195" s="64"/>
      <c r="R195" s="64"/>
      <c r="S195" s="64"/>
      <c r="T195" s="64"/>
      <c r="U195" s="64"/>
      <c r="V195" s="64"/>
      <c r="W195" s="64"/>
      <c r="X195" s="64"/>
      <c r="Y195" s="64"/>
      <c r="Z195" s="64"/>
    </row>
    <row r="196" ht="12.75" customHeight="1">
      <c r="A196" s="108"/>
      <c r="B196" s="64"/>
      <c r="C196" s="64"/>
      <c r="D196" s="64"/>
      <c r="E196" s="64"/>
      <c r="F196" s="63"/>
      <c r="G196" s="63"/>
      <c r="H196" s="64"/>
      <c r="I196" s="64"/>
      <c r="J196" s="64"/>
      <c r="K196" s="64"/>
      <c r="L196" s="64"/>
      <c r="M196" s="64"/>
      <c r="N196" s="64"/>
      <c r="O196" s="64"/>
      <c r="P196" s="64"/>
      <c r="Q196" s="64"/>
      <c r="R196" s="64"/>
      <c r="S196" s="64"/>
      <c r="T196" s="64"/>
      <c r="U196" s="64"/>
      <c r="V196" s="64"/>
      <c r="W196" s="64"/>
      <c r="X196" s="64"/>
      <c r="Y196" s="64"/>
      <c r="Z196" s="64"/>
    </row>
    <row r="197" ht="12.75" customHeight="1">
      <c r="A197" s="108"/>
      <c r="B197" s="64"/>
      <c r="C197" s="64"/>
      <c r="D197" s="64"/>
      <c r="E197" s="64"/>
      <c r="F197" s="63"/>
      <c r="G197" s="63"/>
      <c r="H197" s="64"/>
      <c r="I197" s="64"/>
      <c r="J197" s="64"/>
      <c r="K197" s="64"/>
      <c r="L197" s="64"/>
      <c r="M197" s="64"/>
      <c r="N197" s="64"/>
      <c r="O197" s="64"/>
      <c r="P197" s="64"/>
      <c r="Q197" s="64"/>
      <c r="R197" s="64"/>
      <c r="S197" s="64"/>
      <c r="T197" s="64"/>
      <c r="U197" s="64"/>
      <c r="V197" s="64"/>
      <c r="W197" s="64"/>
      <c r="X197" s="64"/>
      <c r="Y197" s="64"/>
      <c r="Z197" s="64"/>
    </row>
    <row r="198" ht="12.75" customHeight="1">
      <c r="A198" s="108"/>
      <c r="B198" s="64"/>
      <c r="C198" s="64"/>
      <c r="D198" s="64"/>
      <c r="E198" s="64"/>
      <c r="F198" s="63"/>
      <c r="G198" s="63"/>
      <c r="H198" s="64"/>
      <c r="I198" s="64"/>
      <c r="J198" s="64"/>
      <c r="K198" s="64"/>
      <c r="L198" s="64"/>
      <c r="M198" s="64"/>
      <c r="N198" s="64"/>
      <c r="O198" s="64"/>
      <c r="P198" s="64"/>
      <c r="Q198" s="64"/>
      <c r="R198" s="64"/>
      <c r="S198" s="64"/>
      <c r="T198" s="64"/>
      <c r="U198" s="64"/>
      <c r="V198" s="64"/>
      <c r="W198" s="64"/>
      <c r="X198" s="64"/>
      <c r="Y198" s="64"/>
      <c r="Z198" s="64"/>
    </row>
    <row r="199" ht="12.75" customHeight="1">
      <c r="A199" s="108"/>
      <c r="B199" s="64"/>
      <c r="C199" s="64"/>
      <c r="D199" s="64"/>
      <c r="E199" s="64"/>
      <c r="F199" s="63"/>
      <c r="G199" s="63"/>
      <c r="H199" s="64"/>
      <c r="I199" s="64"/>
      <c r="J199" s="64"/>
      <c r="K199" s="64"/>
      <c r="L199" s="64"/>
      <c r="M199" s="64"/>
      <c r="N199" s="64"/>
      <c r="O199" s="64"/>
      <c r="P199" s="64"/>
      <c r="Q199" s="64"/>
      <c r="R199" s="64"/>
      <c r="S199" s="64"/>
      <c r="T199" s="64"/>
      <c r="U199" s="64"/>
      <c r="V199" s="64"/>
      <c r="W199" s="64"/>
      <c r="X199" s="64"/>
      <c r="Y199" s="64"/>
      <c r="Z199" s="64"/>
    </row>
    <row r="200" ht="12.75" customHeight="1">
      <c r="A200" s="108"/>
      <c r="B200" s="64"/>
      <c r="C200" s="64"/>
      <c r="D200" s="64"/>
      <c r="E200" s="64"/>
      <c r="F200" s="63"/>
      <c r="G200" s="63"/>
      <c r="H200" s="64"/>
      <c r="I200" s="64"/>
      <c r="J200" s="64"/>
      <c r="K200" s="64"/>
      <c r="L200" s="64"/>
      <c r="M200" s="64"/>
      <c r="N200" s="64"/>
      <c r="O200" s="64"/>
      <c r="P200" s="64"/>
      <c r="Q200" s="64"/>
      <c r="R200" s="64"/>
      <c r="S200" s="64"/>
      <c r="T200" s="64"/>
      <c r="U200" s="64"/>
      <c r="V200" s="64"/>
      <c r="W200" s="64"/>
      <c r="X200" s="64"/>
      <c r="Y200" s="64"/>
      <c r="Z200" s="64"/>
    </row>
    <row r="201" ht="12.75" customHeight="1">
      <c r="A201" s="108"/>
      <c r="B201" s="64"/>
      <c r="C201" s="64"/>
      <c r="D201" s="64"/>
      <c r="E201" s="64"/>
      <c r="F201" s="63"/>
      <c r="G201" s="63"/>
      <c r="H201" s="64"/>
      <c r="I201" s="64"/>
      <c r="J201" s="64"/>
      <c r="K201" s="64"/>
      <c r="L201" s="64"/>
      <c r="M201" s="64"/>
      <c r="N201" s="64"/>
      <c r="O201" s="64"/>
      <c r="P201" s="64"/>
      <c r="Q201" s="64"/>
      <c r="R201" s="64"/>
      <c r="S201" s="64"/>
      <c r="T201" s="64"/>
      <c r="U201" s="64"/>
      <c r="V201" s="64"/>
      <c r="W201" s="64"/>
      <c r="X201" s="64"/>
      <c r="Y201" s="64"/>
      <c r="Z201" s="64"/>
    </row>
    <row r="202" ht="12.75" customHeight="1">
      <c r="A202" s="108"/>
      <c r="B202" s="64"/>
      <c r="C202" s="64"/>
      <c r="D202" s="64"/>
      <c r="E202" s="64"/>
      <c r="F202" s="63"/>
      <c r="G202" s="63"/>
      <c r="H202" s="64"/>
      <c r="I202" s="64"/>
      <c r="J202" s="64"/>
      <c r="K202" s="64"/>
      <c r="L202" s="64"/>
      <c r="M202" s="64"/>
      <c r="N202" s="64"/>
      <c r="O202" s="64"/>
      <c r="P202" s="64"/>
      <c r="Q202" s="64"/>
      <c r="R202" s="64"/>
      <c r="S202" s="64"/>
      <c r="T202" s="64"/>
      <c r="U202" s="64"/>
      <c r="V202" s="64"/>
      <c r="W202" s="64"/>
      <c r="X202" s="64"/>
      <c r="Y202" s="64"/>
      <c r="Z202" s="64"/>
    </row>
    <row r="203" ht="12.75" customHeight="1">
      <c r="A203" s="108"/>
      <c r="B203" s="64"/>
      <c r="C203" s="64"/>
      <c r="D203" s="64"/>
      <c r="E203" s="64"/>
      <c r="F203" s="63"/>
      <c r="G203" s="63"/>
      <c r="H203" s="64"/>
      <c r="I203" s="64"/>
      <c r="J203" s="64"/>
      <c r="K203" s="64"/>
      <c r="L203" s="64"/>
      <c r="M203" s="64"/>
      <c r="N203" s="64"/>
      <c r="O203" s="64"/>
      <c r="P203" s="64"/>
      <c r="Q203" s="64"/>
      <c r="R203" s="64"/>
      <c r="S203" s="64"/>
      <c r="T203" s="64"/>
      <c r="U203" s="64"/>
      <c r="V203" s="64"/>
      <c r="W203" s="64"/>
      <c r="X203" s="64"/>
      <c r="Y203" s="64"/>
      <c r="Z203" s="64"/>
    </row>
    <row r="204" ht="12.75" customHeight="1">
      <c r="A204" s="108"/>
      <c r="B204" s="64"/>
      <c r="C204" s="64"/>
      <c r="D204" s="64"/>
      <c r="E204" s="64"/>
      <c r="F204" s="63"/>
      <c r="G204" s="63"/>
      <c r="H204" s="64"/>
      <c r="I204" s="64"/>
      <c r="J204" s="64"/>
      <c r="K204" s="64"/>
      <c r="L204" s="64"/>
      <c r="M204" s="64"/>
      <c r="N204" s="64"/>
      <c r="O204" s="64"/>
      <c r="P204" s="64"/>
      <c r="Q204" s="64"/>
      <c r="R204" s="64"/>
      <c r="S204" s="64"/>
      <c r="T204" s="64"/>
      <c r="U204" s="64"/>
      <c r="V204" s="64"/>
      <c r="W204" s="64"/>
      <c r="X204" s="64"/>
      <c r="Y204" s="64"/>
      <c r="Z204" s="64"/>
    </row>
    <row r="205" ht="12.75" customHeight="1">
      <c r="A205" s="108"/>
      <c r="B205" s="64"/>
      <c r="C205" s="64"/>
      <c r="D205" s="64"/>
      <c r="E205" s="64"/>
      <c r="F205" s="63"/>
      <c r="G205" s="63"/>
      <c r="H205" s="64"/>
      <c r="I205" s="64"/>
      <c r="J205" s="64"/>
      <c r="K205" s="64"/>
      <c r="L205" s="64"/>
      <c r="M205" s="64"/>
      <c r="N205" s="64"/>
      <c r="O205" s="64"/>
      <c r="P205" s="64"/>
      <c r="Q205" s="64"/>
      <c r="R205" s="64"/>
      <c r="S205" s="64"/>
      <c r="T205" s="64"/>
      <c r="U205" s="64"/>
      <c r="V205" s="64"/>
      <c r="W205" s="64"/>
      <c r="X205" s="64"/>
      <c r="Y205" s="64"/>
      <c r="Z205" s="64"/>
    </row>
    <row r="206" ht="12.75" customHeight="1">
      <c r="A206" s="108"/>
      <c r="B206" s="64"/>
      <c r="C206" s="64"/>
      <c r="D206" s="64"/>
      <c r="E206" s="64"/>
      <c r="F206" s="63"/>
      <c r="G206" s="63"/>
      <c r="H206" s="64"/>
      <c r="I206" s="64"/>
      <c r="J206" s="64"/>
      <c r="K206" s="64"/>
      <c r="L206" s="64"/>
      <c r="M206" s="64"/>
      <c r="N206" s="64"/>
      <c r="O206" s="64"/>
      <c r="P206" s="64"/>
      <c r="Q206" s="64"/>
      <c r="R206" s="64"/>
      <c r="S206" s="64"/>
      <c r="T206" s="64"/>
      <c r="U206" s="64"/>
      <c r="V206" s="64"/>
      <c r="W206" s="64"/>
      <c r="X206" s="64"/>
      <c r="Y206" s="64"/>
      <c r="Z206" s="64"/>
    </row>
    <row r="207" ht="12.75" customHeight="1">
      <c r="A207" s="108"/>
      <c r="B207" s="64"/>
      <c r="C207" s="64"/>
      <c r="D207" s="64"/>
      <c r="E207" s="64"/>
      <c r="F207" s="63"/>
      <c r="G207" s="63"/>
      <c r="H207" s="64"/>
      <c r="I207" s="64"/>
      <c r="J207" s="64"/>
      <c r="K207" s="64"/>
      <c r="L207" s="64"/>
      <c r="M207" s="64"/>
      <c r="N207" s="64"/>
      <c r="O207" s="64"/>
      <c r="P207" s="64"/>
      <c r="Q207" s="64"/>
      <c r="R207" s="64"/>
      <c r="S207" s="64"/>
      <c r="T207" s="64"/>
      <c r="U207" s="64"/>
      <c r="V207" s="64"/>
      <c r="W207" s="64"/>
      <c r="X207" s="64"/>
      <c r="Y207" s="64"/>
      <c r="Z207" s="64"/>
    </row>
    <row r="208" ht="12.75" customHeight="1">
      <c r="A208" s="108"/>
      <c r="B208" s="64"/>
      <c r="C208" s="64"/>
      <c r="D208" s="64"/>
      <c r="E208" s="64"/>
      <c r="F208" s="63"/>
      <c r="G208" s="63"/>
      <c r="H208" s="64"/>
      <c r="I208" s="64"/>
      <c r="J208" s="64"/>
      <c r="K208" s="64"/>
      <c r="L208" s="64"/>
      <c r="M208" s="64"/>
      <c r="N208" s="64"/>
      <c r="O208" s="64"/>
      <c r="P208" s="64"/>
      <c r="Q208" s="64"/>
      <c r="R208" s="64"/>
      <c r="S208" s="64"/>
      <c r="T208" s="64"/>
      <c r="U208" s="64"/>
      <c r="V208" s="64"/>
      <c r="W208" s="64"/>
      <c r="X208" s="64"/>
      <c r="Y208" s="64"/>
      <c r="Z208" s="64"/>
    </row>
    <row r="209" ht="12.75" customHeight="1">
      <c r="A209" s="108"/>
      <c r="B209" s="64"/>
      <c r="C209" s="64"/>
      <c r="D209" s="64"/>
      <c r="E209" s="64"/>
      <c r="F209" s="63"/>
      <c r="G209" s="63"/>
      <c r="H209" s="64"/>
      <c r="I209" s="64"/>
      <c r="J209" s="64"/>
      <c r="K209" s="64"/>
      <c r="L209" s="64"/>
      <c r="M209" s="64"/>
      <c r="N209" s="64"/>
      <c r="O209" s="64"/>
      <c r="P209" s="64"/>
      <c r="Q209" s="64"/>
      <c r="R209" s="64"/>
      <c r="S209" s="64"/>
      <c r="T209" s="64"/>
      <c r="U209" s="64"/>
      <c r="V209" s="64"/>
      <c r="W209" s="64"/>
      <c r="X209" s="64"/>
      <c r="Y209" s="64"/>
      <c r="Z209" s="64"/>
    </row>
    <row r="210" ht="12.75" customHeight="1">
      <c r="A210" s="108"/>
      <c r="B210" s="64"/>
      <c r="C210" s="64"/>
      <c r="D210" s="64"/>
      <c r="E210" s="64"/>
      <c r="F210" s="63"/>
      <c r="G210" s="63"/>
      <c r="H210" s="64"/>
      <c r="I210" s="64"/>
      <c r="J210" s="64"/>
      <c r="K210" s="64"/>
      <c r="L210" s="64"/>
      <c r="M210" s="64"/>
      <c r="N210" s="64"/>
      <c r="O210" s="64"/>
      <c r="P210" s="64"/>
      <c r="Q210" s="64"/>
      <c r="R210" s="64"/>
      <c r="S210" s="64"/>
      <c r="T210" s="64"/>
      <c r="U210" s="64"/>
      <c r="V210" s="64"/>
      <c r="W210" s="64"/>
      <c r="X210" s="64"/>
      <c r="Y210" s="64"/>
      <c r="Z210" s="64"/>
    </row>
    <row r="211" ht="12.75" customHeight="1">
      <c r="A211" s="108"/>
      <c r="B211" s="64"/>
      <c r="C211" s="64"/>
      <c r="D211" s="64"/>
      <c r="E211" s="64"/>
      <c r="F211" s="63"/>
      <c r="G211" s="63"/>
      <c r="H211" s="64"/>
      <c r="I211" s="64"/>
      <c r="J211" s="64"/>
      <c r="K211" s="64"/>
      <c r="L211" s="64"/>
      <c r="M211" s="64"/>
      <c r="N211" s="64"/>
      <c r="O211" s="64"/>
      <c r="P211" s="64"/>
      <c r="Q211" s="64"/>
      <c r="R211" s="64"/>
      <c r="S211" s="64"/>
      <c r="T211" s="64"/>
      <c r="U211" s="64"/>
      <c r="V211" s="64"/>
      <c r="W211" s="64"/>
      <c r="X211" s="64"/>
      <c r="Y211" s="64"/>
      <c r="Z211" s="64"/>
    </row>
    <row r="212" ht="12.75" customHeight="1">
      <c r="A212" s="108"/>
      <c r="B212" s="64"/>
      <c r="C212" s="64"/>
      <c r="D212" s="64"/>
      <c r="E212" s="64"/>
      <c r="F212" s="63"/>
      <c r="G212" s="63"/>
      <c r="H212" s="64"/>
      <c r="I212" s="64"/>
      <c r="J212" s="64"/>
      <c r="K212" s="64"/>
      <c r="L212" s="64"/>
      <c r="M212" s="64"/>
      <c r="N212" s="64"/>
      <c r="O212" s="64"/>
      <c r="P212" s="64"/>
      <c r="Q212" s="64"/>
      <c r="R212" s="64"/>
      <c r="S212" s="64"/>
      <c r="T212" s="64"/>
      <c r="U212" s="64"/>
      <c r="V212" s="64"/>
      <c r="W212" s="64"/>
      <c r="X212" s="64"/>
      <c r="Y212" s="64"/>
      <c r="Z212" s="64"/>
    </row>
    <row r="213" ht="12.75" customHeight="1">
      <c r="A213" s="108"/>
      <c r="B213" s="64"/>
      <c r="C213" s="64"/>
      <c r="D213" s="64"/>
      <c r="E213" s="64"/>
      <c r="F213" s="63"/>
      <c r="G213" s="63"/>
      <c r="H213" s="64"/>
      <c r="I213" s="64"/>
      <c r="J213" s="64"/>
      <c r="K213" s="64"/>
      <c r="L213" s="64"/>
      <c r="M213" s="64"/>
      <c r="N213" s="64"/>
      <c r="O213" s="64"/>
      <c r="P213" s="64"/>
      <c r="Q213" s="64"/>
      <c r="R213" s="64"/>
      <c r="S213" s="64"/>
      <c r="T213" s="64"/>
      <c r="U213" s="64"/>
      <c r="V213" s="64"/>
      <c r="W213" s="64"/>
      <c r="X213" s="64"/>
      <c r="Y213" s="64"/>
      <c r="Z213" s="64"/>
    </row>
    <row r="214" ht="12.75" customHeight="1">
      <c r="A214" s="108"/>
      <c r="B214" s="64"/>
      <c r="C214" s="64"/>
      <c r="D214" s="64"/>
      <c r="E214" s="64"/>
      <c r="F214" s="63"/>
      <c r="G214" s="63"/>
      <c r="H214" s="64"/>
      <c r="I214" s="64"/>
      <c r="J214" s="64"/>
      <c r="K214" s="64"/>
      <c r="L214" s="64"/>
      <c r="M214" s="64"/>
      <c r="N214" s="64"/>
      <c r="O214" s="64"/>
      <c r="P214" s="64"/>
      <c r="Q214" s="64"/>
      <c r="R214" s="64"/>
      <c r="S214" s="64"/>
      <c r="T214" s="64"/>
      <c r="U214" s="64"/>
      <c r="V214" s="64"/>
      <c r="W214" s="64"/>
      <c r="X214" s="64"/>
      <c r="Y214" s="64"/>
      <c r="Z214" s="64"/>
    </row>
    <row r="215" ht="12.75" customHeight="1">
      <c r="A215" s="108"/>
      <c r="B215" s="64"/>
      <c r="C215" s="64"/>
      <c r="D215" s="64"/>
      <c r="E215" s="64"/>
      <c r="F215" s="63"/>
      <c r="G215" s="63"/>
      <c r="H215" s="64"/>
      <c r="I215" s="64"/>
      <c r="J215" s="64"/>
      <c r="K215" s="64"/>
      <c r="L215" s="64"/>
      <c r="M215" s="64"/>
      <c r="N215" s="64"/>
      <c r="O215" s="64"/>
      <c r="P215" s="64"/>
      <c r="Q215" s="64"/>
      <c r="R215" s="64"/>
      <c r="S215" s="64"/>
      <c r="T215" s="64"/>
      <c r="U215" s="64"/>
      <c r="V215" s="64"/>
      <c r="W215" s="64"/>
      <c r="X215" s="64"/>
      <c r="Y215" s="64"/>
      <c r="Z215" s="64"/>
    </row>
    <row r="216" ht="12.75" customHeight="1">
      <c r="A216" s="108"/>
      <c r="B216" s="64"/>
      <c r="C216" s="64"/>
      <c r="D216" s="64"/>
      <c r="E216" s="64"/>
      <c r="F216" s="63"/>
      <c r="G216" s="63"/>
      <c r="H216" s="64"/>
      <c r="I216" s="64"/>
      <c r="J216" s="64"/>
      <c r="K216" s="64"/>
      <c r="L216" s="64"/>
      <c r="M216" s="64"/>
      <c r="N216" s="64"/>
      <c r="O216" s="64"/>
      <c r="P216" s="64"/>
      <c r="Q216" s="64"/>
      <c r="R216" s="64"/>
      <c r="S216" s="64"/>
      <c r="T216" s="64"/>
      <c r="U216" s="64"/>
      <c r="V216" s="64"/>
      <c r="W216" s="64"/>
      <c r="X216" s="64"/>
      <c r="Y216" s="64"/>
      <c r="Z216" s="64"/>
    </row>
    <row r="217" ht="12.75" customHeight="1">
      <c r="A217" s="108"/>
      <c r="B217" s="64"/>
      <c r="C217" s="64"/>
      <c r="D217" s="64"/>
      <c r="E217" s="64"/>
      <c r="F217" s="63"/>
      <c r="G217" s="63"/>
      <c r="H217" s="64"/>
      <c r="I217" s="64"/>
      <c r="J217" s="64"/>
      <c r="K217" s="64"/>
      <c r="L217" s="64"/>
      <c r="M217" s="64"/>
      <c r="N217" s="64"/>
      <c r="O217" s="64"/>
      <c r="P217" s="64"/>
      <c r="Q217" s="64"/>
      <c r="R217" s="64"/>
      <c r="S217" s="64"/>
      <c r="T217" s="64"/>
      <c r="U217" s="64"/>
      <c r="V217" s="64"/>
      <c r="W217" s="64"/>
      <c r="X217" s="64"/>
      <c r="Y217" s="64"/>
      <c r="Z217" s="64"/>
    </row>
    <row r="218" ht="12.75" customHeight="1">
      <c r="A218" s="108"/>
      <c r="B218" s="64"/>
      <c r="C218" s="64"/>
      <c r="D218" s="64"/>
      <c r="E218" s="64"/>
      <c r="F218" s="63"/>
      <c r="G218" s="63"/>
      <c r="H218" s="64"/>
      <c r="I218" s="64"/>
      <c r="J218" s="64"/>
      <c r="K218" s="64"/>
      <c r="L218" s="64"/>
      <c r="M218" s="64"/>
      <c r="N218" s="64"/>
      <c r="O218" s="64"/>
      <c r="P218" s="64"/>
      <c r="Q218" s="64"/>
      <c r="R218" s="64"/>
      <c r="S218" s="64"/>
      <c r="T218" s="64"/>
      <c r="U218" s="64"/>
      <c r="V218" s="64"/>
      <c r="W218" s="64"/>
      <c r="X218" s="64"/>
      <c r="Y218" s="64"/>
      <c r="Z218" s="64"/>
    </row>
    <row r="219" ht="12.75" customHeight="1">
      <c r="A219" s="108"/>
      <c r="B219" s="64"/>
      <c r="C219" s="64"/>
      <c r="D219" s="64"/>
      <c r="E219" s="64"/>
      <c r="F219" s="63"/>
      <c r="G219" s="63"/>
      <c r="H219" s="64"/>
      <c r="I219" s="64"/>
      <c r="J219" s="64"/>
      <c r="K219" s="64"/>
      <c r="L219" s="64"/>
      <c r="M219" s="64"/>
      <c r="N219" s="64"/>
      <c r="O219" s="64"/>
      <c r="P219" s="64"/>
      <c r="Q219" s="64"/>
      <c r="R219" s="64"/>
      <c r="S219" s="64"/>
      <c r="T219" s="64"/>
      <c r="U219" s="64"/>
      <c r="V219" s="64"/>
      <c r="W219" s="64"/>
      <c r="X219" s="64"/>
      <c r="Y219" s="64"/>
      <c r="Z219" s="64"/>
    </row>
    <row r="220" ht="12.75" customHeight="1">
      <c r="A220" s="108"/>
      <c r="B220" s="64"/>
      <c r="C220" s="64"/>
      <c r="D220" s="64"/>
      <c r="E220" s="64"/>
      <c r="F220" s="63"/>
      <c r="G220" s="63"/>
      <c r="H220" s="64"/>
      <c r="I220" s="64"/>
      <c r="J220" s="64"/>
      <c r="K220" s="64"/>
      <c r="L220" s="64"/>
      <c r="M220" s="64"/>
      <c r="N220" s="64"/>
      <c r="O220" s="64"/>
      <c r="P220" s="64"/>
      <c r="Q220" s="64"/>
      <c r="R220" s="64"/>
      <c r="S220" s="64"/>
      <c r="T220" s="64"/>
      <c r="U220" s="64"/>
      <c r="V220" s="64"/>
      <c r="W220" s="64"/>
      <c r="X220" s="64"/>
      <c r="Y220" s="64"/>
      <c r="Z220" s="64"/>
    </row>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C18:D18"/>
    <mergeCell ref="C19:D19"/>
    <mergeCell ref="C20:D20"/>
    <mergeCell ref="C11:D11"/>
    <mergeCell ref="C12:D12"/>
    <mergeCell ref="C13:D13"/>
    <mergeCell ref="C14:D14"/>
    <mergeCell ref="C15:D15"/>
    <mergeCell ref="C16:D16"/>
    <mergeCell ref="C17:D17"/>
  </mergeCells>
  <dataValidations>
    <dataValidation type="decimal" allowBlank="1" showErrorMessage="1" sqref="F12:F19">
      <formula1>0.0</formula1>
      <formula2>50.0</formula2>
    </dataValidation>
  </dataValidations>
  <printOptions/>
  <pageMargins bottom="0.75" footer="0.0" header="0.0" left="0.7" right="0.7" top="0.75"/>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4A3B8"/>
    <pageSetUpPr/>
  </sheetPr>
  <sheetViews>
    <sheetView showGridLines="0" workbookViewId="0"/>
  </sheetViews>
  <sheetFormatPr customHeight="1" defaultColWidth="12.63" defaultRowHeight="15.0"/>
  <cols>
    <col customWidth="1" min="1" max="1" width="16.88"/>
    <col customWidth="1" min="2" max="2" width="52.13"/>
    <col customWidth="1" min="3" max="3" width="27.63"/>
    <col customWidth="1" min="4" max="4" width="14.63"/>
    <col customWidth="1" min="5" max="5" width="18.38"/>
    <col customWidth="1" min="6" max="6" width="17.38"/>
    <col customWidth="1" min="7" max="7" width="15.0"/>
    <col customWidth="1" min="8" max="26" width="9.13"/>
  </cols>
  <sheetData>
    <row r="1" ht="12.75" customHeight="1">
      <c r="A1" s="105" t="s">
        <v>260</v>
      </c>
      <c r="B1" s="77" t="s">
        <v>72</v>
      </c>
      <c r="C1" s="78"/>
      <c r="D1" s="78"/>
      <c r="E1" s="64"/>
      <c r="F1" s="63"/>
      <c r="G1" s="63"/>
      <c r="H1" s="64"/>
      <c r="I1" s="64"/>
      <c r="J1" s="64"/>
      <c r="K1" s="64"/>
      <c r="L1" s="64"/>
      <c r="M1" s="64"/>
      <c r="N1" s="64"/>
      <c r="O1" s="64"/>
      <c r="P1" s="64"/>
      <c r="Q1" s="64"/>
      <c r="R1" s="64"/>
      <c r="S1" s="64"/>
      <c r="T1" s="64"/>
      <c r="U1" s="64"/>
      <c r="V1" s="64"/>
      <c r="W1" s="64"/>
      <c r="X1" s="64"/>
      <c r="Y1" s="64"/>
      <c r="Z1" s="64"/>
    </row>
    <row r="2" ht="12.75" customHeight="1">
      <c r="A2" s="110" t="s">
        <v>5</v>
      </c>
      <c r="B2" s="62" t="str">
        <f t="array" ref="B2">IFERROR(INDEX(Sessions!$C$2:$C$173,MATCH($B$1,Sessions!$B$2:$B$173,0))&amp;"","")</f>
        <v>Machine Learning Applications and Data-Driven Systems</v>
      </c>
      <c r="C2" s="64"/>
      <c r="D2" s="64"/>
      <c r="E2" s="64"/>
      <c r="F2" s="63"/>
      <c r="G2" s="63"/>
      <c r="H2" s="64"/>
      <c r="I2" s="64"/>
      <c r="J2" s="64"/>
      <c r="K2" s="64"/>
      <c r="L2" s="64"/>
      <c r="M2" s="64"/>
      <c r="N2" s="64"/>
      <c r="O2" s="64"/>
      <c r="P2" s="64"/>
      <c r="Q2" s="64"/>
      <c r="R2" s="64"/>
      <c r="S2" s="64"/>
      <c r="T2" s="64"/>
      <c r="U2" s="64"/>
      <c r="V2" s="64"/>
      <c r="W2" s="64"/>
      <c r="X2" s="64"/>
      <c r="Y2" s="64"/>
      <c r="Z2" s="64"/>
    </row>
    <row r="3" ht="12.75" customHeight="1">
      <c r="A3" s="112" t="s">
        <v>704</v>
      </c>
      <c r="B3" s="86" t="str">
        <f>IF(LEFT($B$1,2)="T1",Schedule!$A$4&amp;", "&amp;Schedule!$A$10,IF(LEFT($B$1,2)="T2",Schedule!$A$4&amp;", "&amp;Schedule!$A$12,IF(LEFT($B$1,2)="T3",Schedule!$A$4&amp;", "&amp;#REF!,IF(LEFT($B$1,2)="T4",Schedule!$A$16&amp;", "&amp;Schedule!$A$18,IF($B$1="Keynote 1",Schedule!$A$4&amp;", "&amp;Schedule!$A$8,IF($B$1="Keynote 2",Schedule!$A$4&amp;", "&amp;Schedule!$A$13,IF($B$1="Keynote 3",Schedule!$A$16&amp;", "&amp;Schedule!$A$19,IF($B$1="IEEE Workshop",Schedule!$A$16&amp;", "&amp;#REF!,""))))))))</f>
        <v>Day 2, 11:00-13:00</v>
      </c>
      <c r="C3" s="80"/>
      <c r="D3" s="80"/>
      <c r="E3" s="64"/>
      <c r="F3" s="63"/>
      <c r="G3" s="63"/>
      <c r="H3" s="64"/>
      <c r="I3" s="64"/>
      <c r="J3" s="64"/>
      <c r="K3" s="64"/>
      <c r="L3" s="64"/>
      <c r="M3" s="64"/>
      <c r="N3" s="64"/>
      <c r="O3" s="64"/>
      <c r="P3" s="64"/>
      <c r="Q3" s="64"/>
      <c r="R3" s="64"/>
      <c r="S3" s="64"/>
      <c r="T3" s="64"/>
      <c r="U3" s="64"/>
      <c r="V3" s="64"/>
      <c r="W3" s="64"/>
      <c r="X3" s="64"/>
      <c r="Y3" s="64"/>
      <c r="Z3" s="64"/>
    </row>
    <row r="4" ht="12.75" customHeight="1">
      <c r="A4" s="112" t="s">
        <v>11</v>
      </c>
      <c r="B4" s="126" t="str">
        <f t="array" ref="B4">IFERROR(INDEX(Sessions!$D$2:$D$173,MATCH($B$1,Sessions!$B$2:$B$173,0))&amp;"","")</f>
        <v>https://bdren.zoom.us/j/8428351030?pwd=7kfJZ1PoRiAzd0aKSn3l28Yuta2D1P.1&amp;omn=92475321723</v>
      </c>
      <c r="C4" s="80"/>
      <c r="D4" s="80"/>
      <c r="E4" s="64"/>
      <c r="F4" s="63"/>
      <c r="G4" s="63"/>
      <c r="H4" s="64"/>
      <c r="I4" s="64"/>
      <c r="J4" s="64"/>
      <c r="K4" s="64"/>
      <c r="L4" s="64"/>
      <c r="M4" s="64"/>
      <c r="N4" s="64"/>
      <c r="O4" s="64"/>
      <c r="P4" s="64"/>
      <c r="Q4" s="64"/>
      <c r="R4" s="64"/>
      <c r="S4" s="64"/>
      <c r="T4" s="64"/>
      <c r="U4" s="64"/>
      <c r="V4" s="64"/>
      <c r="W4" s="64"/>
      <c r="X4" s="64"/>
      <c r="Y4" s="64"/>
      <c r="Z4" s="64"/>
    </row>
    <row r="5" ht="12.75" customHeight="1">
      <c r="A5" s="114" t="s">
        <v>725</v>
      </c>
      <c r="B5" s="86" t="str">
        <f t="array" ref="B5">IFERROR(INDEX(Chairs!$J$2:$J$359,MATCH(1,INDEX((Chairs!$K$2:$K$359=$B$1)*(Chairs!$N$2:$N$359=1),0),0)),"")</f>
        <v>Prof. Dr. Ishtiak Al  Mamoon</v>
      </c>
      <c r="C5" s="86" t="str">
        <f t="array" ref="C5">IFERROR(INDEX(Chairs!$L$2:$L$359,MATCH(1,INDEX((Chairs!$K$2:$K$359=$B$1)*(Chairs!$N$2:$N$359=1),0),0))&amp;"","")</f>
        <v>Ishtiak.cse@iubat.edu</v>
      </c>
      <c r="D5" s="86" t="str">
        <f t="array" ref="D5">IFERROR(INDEX(Chairs!$M$2:$M$359,MATCH(1,INDEX((Chairs!$K$2:$K$359=$B$1)*(Chairs!$N$2:$N$359=1),0),0))&amp;"","")</f>
        <v>01713229860</v>
      </c>
      <c r="E5" s="64"/>
      <c r="F5" s="63"/>
      <c r="G5" s="63"/>
      <c r="H5" s="64"/>
      <c r="I5" s="64"/>
      <c r="J5" s="64"/>
      <c r="K5" s="64"/>
      <c r="L5" s="64"/>
      <c r="M5" s="64"/>
      <c r="N5" s="64"/>
      <c r="O5" s="64"/>
      <c r="P5" s="64"/>
      <c r="Q5" s="64"/>
      <c r="R5" s="64"/>
      <c r="S5" s="64"/>
      <c r="T5" s="64"/>
      <c r="U5" s="64"/>
      <c r="V5" s="64"/>
      <c r="W5" s="64"/>
      <c r="X5" s="64"/>
      <c r="Y5" s="64"/>
      <c r="Z5" s="64"/>
    </row>
    <row r="6" ht="12.75" customHeight="1">
      <c r="A6" s="114" t="s">
        <v>726</v>
      </c>
      <c r="B6" s="118" t="s">
        <v>326</v>
      </c>
      <c r="C6" s="19" t="s">
        <v>328</v>
      </c>
      <c r="D6" s="59" t="s">
        <v>329</v>
      </c>
      <c r="E6" s="64"/>
      <c r="F6" s="63"/>
      <c r="G6" s="63"/>
      <c r="H6" s="64"/>
      <c r="I6" s="64"/>
      <c r="J6" s="64"/>
      <c r="K6" s="64"/>
      <c r="L6" s="64"/>
      <c r="M6" s="64"/>
      <c r="N6" s="64"/>
      <c r="O6" s="64"/>
      <c r="P6" s="64"/>
      <c r="Q6" s="64"/>
      <c r="R6" s="64"/>
      <c r="S6" s="64"/>
      <c r="T6" s="64"/>
      <c r="U6" s="64"/>
      <c r="V6" s="64"/>
      <c r="W6" s="64"/>
      <c r="X6" s="64"/>
      <c r="Y6" s="64"/>
      <c r="Z6" s="64"/>
    </row>
    <row r="7" ht="12.75" customHeight="1">
      <c r="A7" s="112" t="s">
        <v>709</v>
      </c>
      <c r="B7" s="118" t="s">
        <v>205</v>
      </c>
      <c r="C7" s="118" t="s">
        <v>732</v>
      </c>
      <c r="D7" s="118">
        <v>1.308395394E9</v>
      </c>
      <c r="E7" s="64"/>
      <c r="F7" s="63"/>
      <c r="G7" s="63"/>
      <c r="H7" s="64"/>
      <c r="I7" s="64"/>
      <c r="J7" s="64"/>
      <c r="K7" s="64"/>
      <c r="L7" s="64"/>
      <c r="M7" s="64"/>
      <c r="N7" s="64"/>
      <c r="O7" s="64"/>
      <c r="P7" s="64"/>
      <c r="Q7" s="64"/>
      <c r="R7" s="64"/>
      <c r="S7" s="64"/>
      <c r="T7" s="64"/>
      <c r="U7" s="64"/>
      <c r="V7" s="64"/>
      <c r="W7" s="64"/>
      <c r="X7" s="64"/>
      <c r="Y7" s="64"/>
      <c r="Z7" s="64"/>
    </row>
    <row r="8" ht="12.75" customHeight="1">
      <c r="A8" s="112" t="s">
        <v>713</v>
      </c>
      <c r="B8" s="118" t="s">
        <v>213</v>
      </c>
      <c r="C8" s="8" t="s">
        <v>214</v>
      </c>
      <c r="D8" s="127" t="s">
        <v>215</v>
      </c>
      <c r="E8" s="64"/>
      <c r="F8" s="63"/>
      <c r="G8" s="63"/>
      <c r="H8" s="64"/>
      <c r="I8" s="64"/>
      <c r="J8" s="64"/>
      <c r="K8" s="64"/>
      <c r="L8" s="64"/>
      <c r="M8" s="64"/>
      <c r="N8" s="64"/>
      <c r="O8" s="64"/>
      <c r="P8" s="64"/>
      <c r="Q8" s="64"/>
      <c r="R8" s="64"/>
      <c r="S8" s="64"/>
      <c r="T8" s="64"/>
      <c r="U8" s="64"/>
      <c r="V8" s="64"/>
      <c r="W8" s="64"/>
      <c r="X8" s="64"/>
      <c r="Y8" s="64"/>
      <c r="Z8" s="64"/>
    </row>
    <row r="9" ht="12.75" customHeight="1">
      <c r="A9" s="119" t="s">
        <v>714</v>
      </c>
      <c r="B9" s="95" t="str">
        <f t="array" ref="B9">IFERROR(INDEX('Junior Faculty'!$J$2:$J$401,MATCH(1,INDEX(('Junior Faculty'!$K$2:$K$401=$B$1)*('Junior Faculty'!$N$2:$N$401=2),0),0)),"")</f>
        <v/>
      </c>
      <c r="C9" s="95" t="str">
        <f t="array" ref="C9">IFERROR(INDEX('Junior Faculty'!$L$2:$L$401,MATCH(1,INDEX(('Junior Faculty'!$K$2:$K$401=$B$1)*('Junior Faculty'!$N$2:$N$401=2),0),0))&amp;"","")</f>
        <v/>
      </c>
      <c r="D9" s="95" t="str">
        <f t="array" ref="D9">IFERROR(INDEX('Junior Faculty'!$M$2:$M$401,MATCH(1,INDEX(('Junior Faculty'!$K$2:$K$401=$B$1)*('Junior Faculty'!$N$2:$N$401=2),0),0))&amp;"","")</f>
        <v/>
      </c>
      <c r="E9" s="64"/>
      <c r="F9" s="63"/>
      <c r="G9" s="63"/>
      <c r="H9" s="64"/>
      <c r="I9" s="64"/>
      <c r="J9" s="64"/>
      <c r="K9" s="64"/>
      <c r="L9" s="64"/>
      <c r="M9" s="64"/>
      <c r="N9" s="64"/>
      <c r="O9" s="64"/>
      <c r="P9" s="64"/>
      <c r="Q9" s="64"/>
      <c r="R9" s="64"/>
      <c r="S9" s="64"/>
      <c r="T9" s="64"/>
      <c r="U9" s="64"/>
      <c r="V9" s="64"/>
      <c r="W9" s="64"/>
      <c r="X9" s="64"/>
      <c r="Y9" s="64"/>
      <c r="Z9" s="64"/>
    </row>
    <row r="10" ht="12.75" customHeight="1">
      <c r="A10" s="108"/>
      <c r="B10" s="64"/>
      <c r="C10" s="64"/>
      <c r="D10" s="64"/>
      <c r="E10" s="64"/>
      <c r="F10" s="63"/>
      <c r="G10" s="63"/>
      <c r="H10" s="64"/>
      <c r="I10" s="64"/>
      <c r="J10" s="64"/>
      <c r="K10" s="64"/>
      <c r="L10" s="64"/>
      <c r="M10" s="64"/>
      <c r="N10" s="64"/>
      <c r="O10" s="64"/>
      <c r="P10" s="64"/>
      <c r="Q10" s="64"/>
      <c r="R10" s="64"/>
      <c r="S10" s="64"/>
      <c r="T10" s="64"/>
      <c r="U10" s="64"/>
      <c r="V10" s="64"/>
      <c r="W10" s="64"/>
      <c r="X10" s="64"/>
      <c r="Y10" s="64"/>
      <c r="Z10" s="64"/>
    </row>
    <row r="11" ht="12.75" customHeight="1">
      <c r="A11" s="121" t="s">
        <v>727</v>
      </c>
      <c r="B11" s="86"/>
      <c r="C11" s="86"/>
      <c r="D11" s="86"/>
      <c r="E11" s="64"/>
      <c r="F11" s="63"/>
      <c r="G11" s="63"/>
      <c r="H11" s="64"/>
      <c r="I11" s="64"/>
      <c r="J11" s="64"/>
      <c r="K11" s="64"/>
      <c r="L11" s="64"/>
      <c r="M11" s="64"/>
      <c r="N11" s="64"/>
      <c r="O11" s="64"/>
      <c r="P11" s="64"/>
      <c r="Q11" s="64"/>
      <c r="R11" s="64"/>
      <c r="S11" s="64"/>
      <c r="T11" s="64"/>
      <c r="U11" s="64"/>
      <c r="V11" s="64"/>
      <c r="W11" s="64"/>
      <c r="X11" s="64"/>
      <c r="Y11" s="64"/>
      <c r="Z11" s="64"/>
    </row>
    <row r="12" ht="15.0" customHeight="1">
      <c r="A12" s="122" t="s">
        <v>174</v>
      </c>
      <c r="B12" s="122" t="s">
        <v>256</v>
      </c>
      <c r="C12" s="123" t="s">
        <v>257</v>
      </c>
      <c r="D12" s="124"/>
      <c r="E12" s="61" t="s">
        <v>258</v>
      </c>
      <c r="F12" s="60" t="s">
        <v>265</v>
      </c>
      <c r="G12" s="64"/>
      <c r="H12" s="64"/>
      <c r="I12" s="64"/>
      <c r="J12" s="64"/>
      <c r="K12" s="64"/>
      <c r="L12" s="64"/>
      <c r="M12" s="64"/>
      <c r="N12" s="64"/>
      <c r="O12" s="64"/>
      <c r="P12" s="64"/>
      <c r="Q12" s="64"/>
      <c r="R12" s="64"/>
      <c r="S12" s="64"/>
      <c r="T12" s="64"/>
      <c r="U12" s="64"/>
      <c r="V12" s="64"/>
      <c r="W12" s="64"/>
      <c r="X12" s="64"/>
      <c r="Y12" s="64"/>
      <c r="Z12" s="64"/>
    </row>
    <row r="13" ht="12.75" customHeight="1">
      <c r="A13" s="113">
        <f t="array" ref="A13">IFERROR(INDEX(Papers!$A$2:$A$201,MATCH(1,INDEX((Papers!$G$2:$G$201=$B$1)*(Papers!$I$2:$I$201=1),0),0)),"")</f>
        <v>2</v>
      </c>
      <c r="B13" s="113" t="str">
        <f t="array" ref="B13">IFERROR(INDEX(Papers!$C$2:$C$201,MATCH(1,INDEX((Papers!$G$2:$G$201=$B$1)*(Papers!$I$2:$I$201=1),0),0)),"")</f>
        <v>Evaluating image upsampling strategies for downstream microscopy image classification</v>
      </c>
      <c r="C13" s="113" t="str">
        <f t="array" ref="C13">IFERROR(INDEX(Papers!$D$2:$D$201,MATCH(1,INDEX((Papers!$G$2:$G$201=$B$1)*(Papers!$I$2:$I$201=1),0),0)),"")</f>
        <v>Sakib Mohammad (Fairmont State University)*; Aalvee Asad Kausani (Fairmont State University); Md Noumil Tousif (Islamic University of Technology)</v>
      </c>
      <c r="D13" s="125"/>
      <c r="E13" s="86" t="str">
        <f t="array" ref="E13">IFERROR(INDEX(Papers!$E$2:$E$201,MATCH(1,INDEX((Papers!$G$2:$G$201=$B$1)*(Papers!$I$2:$I$201=1),0),0)),"")</f>
        <v>smohammad@fairmontstate.edu; akausani@fairmontstate.edu; noumiltousif@iut-dhaka.edu</v>
      </c>
      <c r="F13" s="67"/>
      <c r="G13" s="64"/>
      <c r="H13" s="64"/>
      <c r="I13" s="64"/>
      <c r="J13" s="64"/>
      <c r="K13" s="64"/>
      <c r="L13" s="64"/>
      <c r="M13" s="64"/>
      <c r="N13" s="64"/>
      <c r="O13" s="64"/>
      <c r="P13" s="64"/>
      <c r="Q13" s="64"/>
      <c r="R13" s="64"/>
      <c r="S13" s="64"/>
      <c r="T13" s="64"/>
      <c r="U13" s="64"/>
      <c r="V13" s="64"/>
      <c r="W13" s="64"/>
      <c r="X13" s="64"/>
      <c r="Y13" s="64"/>
      <c r="Z13" s="64"/>
    </row>
    <row r="14" ht="12.75" customHeight="1">
      <c r="A14" s="113">
        <f t="array" ref="A14">IFERROR(INDEX(Papers!$A$2:$A$201,MATCH(1,INDEX((Papers!$G$2:$G$201=$B$1)*(Papers!$I$2:$I$201=2),0),0)),"")</f>
        <v>5</v>
      </c>
      <c r="B14" s="113" t="str">
        <f t="array" ref="B14">IFERROR(INDEX(Papers!$C$2:$C$201,MATCH(1,INDEX((Papers!$G$2:$G$201=$B$1)*(Papers!$I$2:$I$201=2),0),0)),"")</f>
        <v>A Hybrid Retrieval-Augmented Machine Learning Approach for AI-Generated Text Detection</v>
      </c>
      <c r="C14" s="113" t="str">
        <f t="array" ref="C14">IFERROR(INDEX(Papers!$D$2:$D$201,MATCH(1,INDEX((Papers!$G$2:$G$201=$B$1)*(Papers!$I$2:$I$201=2),0),0)),"")</f>
        <v>Md. Siam Ansary (Ahsanullah University of Science and Technology)*; SUMONA ISLAM ZERIN (Ahsanullah University of Science and Technology (AUST))</v>
      </c>
      <c r="D14" s="125"/>
      <c r="E14" s="86" t="str">
        <f t="array" ref="E14">IFERROR(INDEX(Papers!$E$2:$E$201,MATCH(1,INDEX((Papers!$G$2:$G$201=$B$1)*(Papers!$I$2:$I$201=2),0),0)),"")</f>
        <v>siamansary.aust@gmail.com; sumona.vnc@gmail.com</v>
      </c>
      <c r="F14" s="67"/>
      <c r="G14" s="64"/>
      <c r="H14" s="64"/>
      <c r="I14" s="64"/>
      <c r="J14" s="64"/>
      <c r="K14" s="64"/>
      <c r="L14" s="64"/>
      <c r="M14" s="64"/>
      <c r="N14" s="64"/>
      <c r="O14" s="64"/>
      <c r="P14" s="64"/>
      <c r="Q14" s="64"/>
      <c r="R14" s="64"/>
      <c r="S14" s="64"/>
      <c r="T14" s="64"/>
      <c r="U14" s="64"/>
      <c r="V14" s="64"/>
      <c r="W14" s="64"/>
      <c r="X14" s="64"/>
      <c r="Y14" s="64"/>
      <c r="Z14" s="64"/>
    </row>
    <row r="15" ht="12.75" customHeight="1">
      <c r="A15" s="113">
        <f t="array" ref="A15">IFERROR(INDEX(Papers!$A$2:$A$201,MATCH(1,INDEX((Papers!$G$2:$G$201=$B$1)*(Papers!$I$2:$I$201=3),0),0)),"")</f>
        <v>59</v>
      </c>
      <c r="B15" s="113" t="str">
        <f t="array" ref="B15">IFERROR(INDEX(Papers!$C$2:$C$201,MATCH(1,INDEX((Papers!$G$2:$G$201=$B$1)*(Papers!$I$2:$I$201=3),0),0)),"")</f>
        <v>An Explainable Lightweight CBAM-CNN with Focal Loss for Brain Tumor MRI Classification</v>
      </c>
      <c r="C15" s="113" t="str">
        <f t="array" ref="C15">IFERROR(INDEX(Papers!$D$2:$D$201,MATCH(1,INDEX((Papers!$G$2:$G$201=$B$1)*(Papers!$I$2:$I$201=3),0),0)),"")</f>
        <v>Saiful  Islam (American International University-Bangladesh); Safin Rahatil  Tanim (American International University-Bangladesh); Kazi Tanvir (Universiti Kebangsaan Malaysia(UKM)); Kamruddin  Nur (American International University-Bangladesh)*</v>
      </c>
      <c r="D15" s="125"/>
      <c r="E15" s="86" t="str">
        <f t="array" ref="E15">IFERROR(INDEX(Papers!$E$2:$E$201,MATCH(1,INDEX((Papers!$G$2:$G$201=$B$1)*(Papers!$I$2:$I$201=3),0),0)),"")</f>
        <v>22-47027-1@student.aiub.edu; 22-48551-3@student.aiub.edu; p170862@siswa.ukm.edu.my; kamruddin@aiub.edu</v>
      </c>
      <c r="F15" s="67"/>
      <c r="G15" s="64"/>
      <c r="H15" s="64"/>
      <c r="I15" s="64"/>
      <c r="J15" s="64"/>
      <c r="K15" s="64"/>
      <c r="L15" s="64"/>
      <c r="M15" s="64"/>
      <c r="N15" s="64"/>
      <c r="O15" s="64"/>
      <c r="P15" s="64"/>
      <c r="Q15" s="64"/>
      <c r="R15" s="64"/>
      <c r="S15" s="64"/>
      <c r="T15" s="64"/>
      <c r="U15" s="64"/>
      <c r="V15" s="64"/>
      <c r="W15" s="64"/>
      <c r="X15" s="64"/>
      <c r="Y15" s="64"/>
      <c r="Z15" s="64"/>
    </row>
    <row r="16" ht="12.75" customHeight="1">
      <c r="A16" s="113">
        <f t="array" ref="A16">IFERROR(INDEX(Papers!$A$2:$A$201,MATCH(1,INDEX((Papers!$G$2:$G$201=$B$1)*(Papers!$I$2:$I$201=4),0),0)),"")</f>
        <v>138</v>
      </c>
      <c r="B16" s="113" t="str">
        <f t="array" ref="B16">IFERROR(INDEX(Papers!$C$2:$C$201,MATCH(1,INDEX((Papers!$G$2:$G$201=$B$1)*(Papers!$I$2:$I$201=4),0),0)),"")</f>
        <v>HalluciNet: A Multi-Granularity Contrastive Framework for Factual Hallucination Detection in Large Language Models</v>
      </c>
      <c r="C16" s="113" t="str">
        <f t="array" ref="C16">IFERROR(INDEX(Papers!$D$2:$D$201,MATCH(1,INDEX((Papers!$G$2:$G$201=$B$1)*(Papers!$I$2:$I$201=4),0),0)),"")</f>
        <v>Md. Siam Ansary (Ahsanullah University of Science and Technology)*; SUMONA ISLAM  ZERIN (Ahsanullah University of Science and Technology)</v>
      </c>
      <c r="D16" s="125"/>
      <c r="E16" s="86" t="str">
        <f t="array" ref="E16">IFERROR(INDEX(Papers!$E$2:$E$201,MATCH(1,INDEX((Papers!$G$2:$G$201=$B$1)*(Papers!$I$2:$I$201=4),0),0)),"")</f>
        <v>siamansary.aust@gmail.com; sumona.vnc@gmail.com</v>
      </c>
      <c r="F16" s="67"/>
      <c r="G16" s="64"/>
      <c r="H16" s="64"/>
      <c r="I16" s="64"/>
      <c r="J16" s="64"/>
      <c r="K16" s="64"/>
      <c r="L16" s="64"/>
      <c r="M16" s="64"/>
      <c r="N16" s="64"/>
      <c r="O16" s="64"/>
      <c r="P16" s="64"/>
      <c r="Q16" s="64"/>
      <c r="R16" s="64"/>
      <c r="S16" s="64"/>
      <c r="T16" s="64"/>
      <c r="U16" s="64"/>
      <c r="V16" s="64"/>
      <c r="W16" s="64"/>
      <c r="X16" s="64"/>
      <c r="Y16" s="64"/>
      <c r="Z16" s="64"/>
    </row>
    <row r="17" ht="12.75" customHeight="1">
      <c r="A17" s="113">
        <f t="array" ref="A17">IFERROR(INDEX(Papers!$A$2:$A$201,MATCH(1,INDEX((Papers!$G$2:$G$201=$B$1)*(Papers!$I$2:$I$201=5),0),0)),"")</f>
        <v>243</v>
      </c>
      <c r="B17" s="113" t="str">
        <f t="array" ref="B17">IFERROR(INDEX(Papers!$C$2:$C$201,MATCH(1,INDEX((Papers!$G$2:$G$201=$B$1)*(Papers!$I$2:$I$201=5),0),0)),"")</f>
        <v>ResNet and LSTM Based Hybrid Deep Learning Model for Reliable and Interpretable Epileptic Seizure Classification</v>
      </c>
      <c r="C17" s="113" t="str">
        <f t="array" ref="C17">IFERROR(INDEX(Papers!$D$2:$D$201,MATCH(1,INDEX((Papers!$G$2:$G$201=$B$1)*(Papers!$I$2:$I$201=5),0),0)),"")</f>
        <v>Junaed Ahmed Antor (Yangzhou University); Qingzhen Han (Yangzhou University); Touhid Alam (American International University-Bangladesh)*</v>
      </c>
      <c r="D17" s="125"/>
      <c r="E17" s="86" t="str">
        <f t="array" ref="E17">IFERROR(INDEX(Papers!$E$2:$E$201,MATCH(1,INDEX((Papers!$G$2:$G$201=$B$1)*(Papers!$I$2:$I$201=5),0),0)),"")</f>
        <v>junaedm333@gmail.com; hanqzh@yzu.edu.cn; 22-46330-1@student.aiub.edu</v>
      </c>
      <c r="F17" s="67"/>
      <c r="G17" s="64"/>
      <c r="H17" s="64"/>
      <c r="I17" s="64"/>
      <c r="J17" s="64"/>
      <c r="K17" s="64"/>
      <c r="L17" s="64"/>
      <c r="M17" s="64"/>
      <c r="N17" s="64"/>
      <c r="O17" s="64"/>
      <c r="P17" s="64"/>
      <c r="Q17" s="64"/>
      <c r="R17" s="64"/>
      <c r="S17" s="64"/>
      <c r="T17" s="64"/>
      <c r="U17" s="64"/>
      <c r="V17" s="64"/>
      <c r="W17" s="64"/>
      <c r="X17" s="64"/>
      <c r="Y17" s="64"/>
      <c r="Z17" s="64"/>
    </row>
    <row r="18" ht="12.75" customHeight="1">
      <c r="A18" s="113">
        <f t="array" ref="A18">IFERROR(INDEX(Papers!$A$2:$A$201,MATCH(1,INDEX((Papers!$G$2:$G$201=$B$1)*(Papers!$I$2:$I$201=6),0),0)),"")</f>
        <v>250</v>
      </c>
      <c r="B18" s="113" t="str">
        <f t="array" ref="B18">IFERROR(INDEX(Papers!$C$2:$C$201,MATCH(1,INDEX((Papers!$G$2:$G$201=$B$1)*(Papers!$I$2:$I$201=6),0),0)),"")</f>
        <v>An Interpretable Stacking Ensemble for Chronic Kidney Disease Screening and KDIGO Severity Staging</v>
      </c>
      <c r="C18" s="113" t="str">
        <f t="array" ref="C18">IFERROR(INDEX(Papers!$D$2:$D$201,MATCH(1,INDEX((Papers!$G$2:$G$201=$B$1)*(Papers!$I$2:$I$201=6),0),0)),"")</f>
        <v>Sadman Khalid (University of Liberal Arts Bangladesh); Jannatul Adoun Lam (University of Liberal Arts Bangladesh); Abdullah Al ZIyad (	University of Liberal Arts Bangladesh); Jannatul Ferdous Ruma (ULAB)*</v>
      </c>
      <c r="D18" s="125"/>
      <c r="E18" s="86" t="str">
        <f t="array" ref="E18">IFERROR(INDEX(Papers!$E$2:$E$201,MATCH(1,INDEX((Papers!$G$2:$G$201=$B$1)*(Papers!$I$2:$I$201=6),0),0)),"")</f>
        <v>sadman.khalid.cse@ulab.edu.bd; janntul.adoun.cse@ulab.edu.bd; abdullah.al.ziyad.cse@ulab.edu.bd; jannatul.ferdous1@ulab.edu.bd</v>
      </c>
      <c r="F18" s="67"/>
      <c r="G18" s="64"/>
      <c r="H18" s="64"/>
      <c r="I18" s="64"/>
      <c r="J18" s="64"/>
      <c r="K18" s="64"/>
      <c r="L18" s="64"/>
      <c r="M18" s="64"/>
      <c r="N18" s="64"/>
      <c r="O18" s="64"/>
      <c r="P18" s="64"/>
      <c r="Q18" s="64"/>
      <c r="R18" s="64"/>
      <c r="S18" s="64"/>
      <c r="T18" s="64"/>
      <c r="U18" s="64"/>
      <c r="V18" s="64"/>
      <c r="W18" s="64"/>
      <c r="X18" s="64"/>
      <c r="Y18" s="64"/>
      <c r="Z18" s="64"/>
    </row>
    <row r="19" ht="12.75" customHeight="1">
      <c r="A19" s="113">
        <f t="array" ref="A19">IFERROR(INDEX(Papers!$A$2:$A$201,MATCH(1,INDEX((Papers!$G$2:$G$201=$B$1)*(Papers!$I$2:$I$201=7),0),0)),"")</f>
        <v>305</v>
      </c>
      <c r="B19" s="113" t="str">
        <f t="array" ref="B19">IFERROR(INDEX(Papers!$C$2:$C$201,MATCH(1,INDEX((Papers!$G$2:$G$201=$B$1)*(Papers!$I$2:$I$201=7),0),0)),"")</f>
        <v>Explainable Digital Addiction Severity Prediction Using Machine Learning, NLP, and Large Language Models</v>
      </c>
      <c r="C19" s="113" t="str">
        <f t="array" ref="C19">IFERROR(INDEX(Papers!$D$2:$D$201,MATCH(1,INDEX((Papers!$G$2:$G$201=$B$1)*(Papers!$I$2:$I$201=7),0),0)),"")</f>
        <v>Tasnim Sharif Rowla (North South University); Jawata Afnan (North South University); Nishat Salsabil (North South University); Riasat  Khan (North South University)*</v>
      </c>
      <c r="D19" s="125"/>
      <c r="E19" s="86" t="str">
        <f t="array" ref="E19">IFERROR(INDEX(Papers!$E$2:$E$201,MATCH(1,INDEX((Papers!$G$2:$G$201=$B$1)*(Papers!$I$2:$I$201=7),0),0)),"")</f>
        <v>tasnim.rowla@northsouth.edu; jawata.afnan@northsouth.edu; nishat.salsabil01@northsouth.edu; riasat.khan@northsouth.edu</v>
      </c>
      <c r="F19" s="67"/>
      <c r="G19" s="64"/>
      <c r="H19" s="64"/>
      <c r="I19" s="64"/>
      <c r="J19" s="64"/>
      <c r="K19" s="64"/>
      <c r="L19" s="64"/>
      <c r="M19" s="64"/>
      <c r="N19" s="64"/>
      <c r="O19" s="64"/>
      <c r="P19" s="64"/>
      <c r="Q19" s="64"/>
      <c r="R19" s="64"/>
      <c r="S19" s="64"/>
      <c r="T19" s="64"/>
      <c r="U19" s="64"/>
      <c r="V19" s="64"/>
      <c r="W19" s="64"/>
      <c r="X19" s="64"/>
      <c r="Y19" s="64"/>
      <c r="Z19" s="64"/>
    </row>
    <row r="20" ht="12.75" customHeight="1">
      <c r="A20" s="113">
        <f t="array" ref="A20">IFERROR(INDEX(Papers!$A$2:$A$201,MATCH(1,INDEX((Papers!$G$2:$G$201=$B$1)*(Papers!$I$2:$I$201=8),0),0)),"")</f>
        <v>332</v>
      </c>
      <c r="B20" s="113" t="str">
        <f t="array" ref="B20">IFERROR(INDEX(Papers!$C$2:$C$201,MATCH(1,INDEX((Papers!$G$2:$G$201=$B$1)*(Papers!$I$2:$I$201=8),0),0)),"")</f>
        <v>Meta-Learning for Few-Shot Personalization of Error-Related Potential Brain-Computer Interfaces</v>
      </c>
      <c r="C20" s="113" t="str">
        <f t="array" ref="C20">IFERROR(INDEX(Papers!$D$2:$D$201,MATCH(1,INDEX((Papers!$G$2:$G$201=$B$1)*(Papers!$I$2:$I$201=8),0),0)),"")</f>
        <v>Md Shahidul  Islam Dipu (Rajshahi University of Engineering and Technology)*; Barshon  Sen (Rajshahi University of Engineering and Technology)</v>
      </c>
      <c r="D20" s="125"/>
      <c r="E20" s="86" t="str">
        <f t="array" ref="E20">IFERROR(INDEX(Papers!$E$2:$E$201,MATCH(1,INDEX((Papers!$G$2:$G$201=$B$1)*(Papers!$I$2:$I$201=8),0),0)),"")</f>
        <v>shahidul03579@gmail.com; sen.barshon@gmail.com</v>
      </c>
      <c r="F20" s="67"/>
      <c r="G20" s="64"/>
      <c r="H20" s="64"/>
      <c r="I20" s="64"/>
      <c r="J20" s="64"/>
      <c r="K20" s="64"/>
      <c r="L20" s="64"/>
      <c r="M20" s="64"/>
      <c r="N20" s="64"/>
      <c r="O20" s="64"/>
      <c r="P20" s="64"/>
      <c r="Q20" s="64"/>
      <c r="R20" s="64"/>
      <c r="S20" s="64"/>
      <c r="T20" s="64"/>
      <c r="U20" s="64"/>
      <c r="V20" s="64"/>
      <c r="W20" s="64"/>
      <c r="X20" s="64"/>
      <c r="Y20" s="64"/>
      <c r="Z20" s="64"/>
    </row>
    <row r="21" ht="12.75" customHeight="1">
      <c r="A21" s="108"/>
      <c r="B21" s="64"/>
      <c r="C21" s="64"/>
      <c r="E21" s="64"/>
      <c r="F21" s="63"/>
      <c r="G21" s="64"/>
      <c r="H21" s="64"/>
      <c r="I21" s="64"/>
      <c r="J21" s="64"/>
      <c r="K21" s="64"/>
      <c r="L21" s="64"/>
      <c r="M21" s="64"/>
      <c r="N21" s="64"/>
      <c r="O21" s="64"/>
      <c r="P21" s="64"/>
      <c r="Q21" s="64"/>
      <c r="R21" s="64"/>
      <c r="S21" s="64"/>
      <c r="T21" s="64"/>
      <c r="U21" s="64"/>
      <c r="V21" s="64"/>
      <c r="W21" s="64"/>
      <c r="X21" s="64"/>
      <c r="Y21" s="64"/>
      <c r="Z21" s="64"/>
    </row>
    <row r="22" ht="12.75" customHeight="1">
      <c r="A22" s="108"/>
      <c r="B22" s="64"/>
      <c r="C22" s="64"/>
      <c r="D22" s="64"/>
      <c r="E22" s="64"/>
      <c r="F22" s="63"/>
      <c r="G22" s="63"/>
      <c r="H22" s="64"/>
      <c r="I22" s="64"/>
      <c r="J22" s="64"/>
      <c r="K22" s="64"/>
      <c r="L22" s="64"/>
      <c r="M22" s="64"/>
      <c r="N22" s="64"/>
      <c r="O22" s="64"/>
      <c r="P22" s="64"/>
      <c r="Q22" s="64"/>
      <c r="R22" s="64"/>
      <c r="S22" s="64"/>
      <c r="T22" s="64"/>
      <c r="U22" s="64"/>
      <c r="V22" s="64"/>
      <c r="W22" s="64"/>
      <c r="X22" s="64"/>
      <c r="Y22" s="64"/>
      <c r="Z22" s="64"/>
    </row>
    <row r="23" ht="12.75" customHeight="1">
      <c r="A23" s="108"/>
      <c r="B23" s="64"/>
      <c r="C23" s="64"/>
      <c r="D23" s="64"/>
      <c r="E23" s="64"/>
      <c r="F23" s="63"/>
      <c r="G23" s="63"/>
      <c r="H23" s="64"/>
      <c r="I23" s="64"/>
      <c r="J23" s="64"/>
      <c r="K23" s="64"/>
      <c r="L23" s="64"/>
      <c r="M23" s="64"/>
      <c r="N23" s="64"/>
      <c r="O23" s="64"/>
      <c r="P23" s="64"/>
      <c r="Q23" s="64"/>
      <c r="R23" s="64"/>
      <c r="S23" s="64"/>
      <c r="T23" s="64"/>
      <c r="U23" s="64"/>
      <c r="V23" s="64"/>
      <c r="W23" s="64"/>
      <c r="X23" s="64"/>
      <c r="Y23" s="64"/>
      <c r="Z23" s="64"/>
    </row>
    <row r="24" ht="12.75" customHeight="1">
      <c r="A24" s="108"/>
      <c r="B24" s="64"/>
      <c r="C24" s="64"/>
      <c r="D24" s="64"/>
      <c r="E24" s="64"/>
      <c r="F24" s="63"/>
      <c r="G24" s="63"/>
      <c r="H24" s="64"/>
      <c r="I24" s="64"/>
      <c r="J24" s="64"/>
      <c r="K24" s="64"/>
      <c r="L24" s="64"/>
      <c r="M24" s="64"/>
      <c r="N24" s="64"/>
      <c r="O24" s="64"/>
      <c r="P24" s="64"/>
      <c r="Q24" s="64"/>
      <c r="R24" s="64"/>
      <c r="S24" s="64"/>
      <c r="T24" s="64"/>
      <c r="U24" s="64"/>
      <c r="V24" s="64"/>
      <c r="W24" s="64"/>
      <c r="X24" s="64"/>
      <c r="Y24" s="64"/>
      <c r="Z24" s="64"/>
    </row>
    <row r="25" ht="12.75" customHeight="1">
      <c r="A25" s="108"/>
      <c r="B25" s="64"/>
      <c r="C25" s="64"/>
      <c r="D25" s="64"/>
      <c r="E25" s="64"/>
      <c r="F25" s="63"/>
      <c r="G25" s="63"/>
      <c r="H25" s="64"/>
      <c r="I25" s="64"/>
      <c r="J25" s="64"/>
      <c r="K25" s="64"/>
      <c r="L25" s="64"/>
      <c r="M25" s="64"/>
      <c r="N25" s="64"/>
      <c r="O25" s="64"/>
      <c r="P25" s="64"/>
      <c r="Q25" s="64"/>
      <c r="R25" s="64"/>
      <c r="S25" s="64"/>
      <c r="T25" s="64"/>
      <c r="U25" s="64"/>
      <c r="V25" s="64"/>
      <c r="W25" s="64"/>
      <c r="X25" s="64"/>
      <c r="Y25" s="64"/>
      <c r="Z25" s="64"/>
    </row>
    <row r="26" ht="12.75" customHeight="1">
      <c r="A26" s="108"/>
      <c r="B26" s="64"/>
      <c r="C26" s="64"/>
      <c r="D26" s="64"/>
      <c r="E26" s="64"/>
      <c r="F26" s="63"/>
      <c r="G26" s="63"/>
      <c r="H26" s="64"/>
      <c r="I26" s="64"/>
      <c r="J26" s="64"/>
      <c r="K26" s="64"/>
      <c r="L26" s="64"/>
      <c r="M26" s="64"/>
      <c r="N26" s="64"/>
      <c r="O26" s="64"/>
      <c r="P26" s="64"/>
      <c r="Q26" s="64"/>
      <c r="R26" s="64"/>
      <c r="S26" s="64"/>
      <c r="T26" s="64"/>
      <c r="U26" s="64"/>
      <c r="V26" s="64"/>
      <c r="W26" s="64"/>
      <c r="X26" s="64"/>
      <c r="Y26" s="64"/>
      <c r="Z26" s="64"/>
    </row>
    <row r="27" ht="12.75" customHeight="1">
      <c r="A27" s="108"/>
      <c r="B27" s="64"/>
      <c r="C27" s="64"/>
      <c r="D27" s="64"/>
      <c r="E27" s="64"/>
      <c r="F27" s="63"/>
      <c r="G27" s="63"/>
      <c r="H27" s="64"/>
      <c r="I27" s="64"/>
      <c r="J27" s="64"/>
      <c r="K27" s="64"/>
      <c r="L27" s="64"/>
      <c r="M27" s="64"/>
      <c r="N27" s="64"/>
      <c r="O27" s="64"/>
      <c r="P27" s="64"/>
      <c r="Q27" s="64"/>
      <c r="R27" s="64"/>
      <c r="S27" s="64"/>
      <c r="T27" s="64"/>
      <c r="U27" s="64"/>
      <c r="V27" s="64"/>
      <c r="W27" s="64"/>
      <c r="X27" s="64"/>
      <c r="Y27" s="64"/>
      <c r="Z27" s="64"/>
    </row>
    <row r="28" ht="12.75" customHeight="1">
      <c r="A28" s="108"/>
      <c r="B28" s="64"/>
      <c r="C28" s="64"/>
      <c r="D28" s="64"/>
      <c r="E28" s="64"/>
      <c r="F28" s="63"/>
      <c r="G28" s="63"/>
      <c r="H28" s="64"/>
      <c r="I28" s="64"/>
      <c r="J28" s="64"/>
      <c r="K28" s="64"/>
      <c r="L28" s="64"/>
      <c r="M28" s="64"/>
      <c r="N28" s="64"/>
      <c r="O28" s="64"/>
      <c r="P28" s="64"/>
      <c r="Q28" s="64"/>
      <c r="R28" s="64"/>
      <c r="S28" s="64"/>
      <c r="T28" s="64"/>
      <c r="U28" s="64"/>
      <c r="V28" s="64"/>
      <c r="W28" s="64"/>
      <c r="X28" s="64"/>
      <c r="Y28" s="64"/>
      <c r="Z28" s="64"/>
    </row>
    <row r="29" ht="12.75" customHeight="1">
      <c r="A29" s="108"/>
      <c r="B29" s="64"/>
      <c r="C29" s="64"/>
      <c r="D29" s="64"/>
      <c r="E29" s="64"/>
      <c r="F29" s="63"/>
      <c r="G29" s="63"/>
      <c r="H29" s="64"/>
      <c r="I29" s="64"/>
      <c r="J29" s="64"/>
      <c r="K29" s="64"/>
      <c r="L29" s="64"/>
      <c r="M29" s="64"/>
      <c r="N29" s="64"/>
      <c r="O29" s="64"/>
      <c r="P29" s="64"/>
      <c r="Q29" s="64"/>
      <c r="R29" s="64"/>
      <c r="S29" s="64"/>
      <c r="T29" s="64"/>
      <c r="U29" s="64"/>
      <c r="V29" s="64"/>
      <c r="W29" s="64"/>
      <c r="X29" s="64"/>
      <c r="Y29" s="64"/>
      <c r="Z29" s="64"/>
    </row>
    <row r="30" ht="12.75" customHeight="1">
      <c r="A30" s="108"/>
      <c r="B30" s="64"/>
      <c r="C30" s="64"/>
      <c r="D30" s="64"/>
      <c r="E30" s="64"/>
      <c r="F30" s="63"/>
      <c r="G30" s="63"/>
      <c r="H30" s="64"/>
      <c r="I30" s="64"/>
      <c r="J30" s="64"/>
      <c r="K30" s="64"/>
      <c r="L30" s="64"/>
      <c r="M30" s="64"/>
      <c r="N30" s="64"/>
      <c r="O30" s="64"/>
      <c r="P30" s="64"/>
      <c r="Q30" s="64"/>
      <c r="R30" s="64"/>
      <c r="S30" s="64"/>
      <c r="T30" s="64"/>
      <c r="U30" s="64"/>
      <c r="V30" s="64"/>
      <c r="W30" s="64"/>
      <c r="X30" s="64"/>
      <c r="Y30" s="64"/>
      <c r="Z30" s="64"/>
    </row>
    <row r="31" ht="12.75" customHeight="1">
      <c r="A31" s="108"/>
      <c r="B31" s="64"/>
      <c r="C31" s="64"/>
      <c r="D31" s="64"/>
      <c r="E31" s="64"/>
      <c r="F31" s="63"/>
      <c r="G31" s="63"/>
      <c r="H31" s="64"/>
      <c r="I31" s="64"/>
      <c r="J31" s="64"/>
      <c r="K31" s="64"/>
      <c r="L31" s="64"/>
      <c r="M31" s="64"/>
      <c r="N31" s="64"/>
      <c r="O31" s="64"/>
      <c r="P31" s="64"/>
      <c r="Q31" s="64"/>
      <c r="R31" s="64"/>
      <c r="S31" s="64"/>
      <c r="T31" s="64"/>
      <c r="U31" s="64"/>
      <c r="V31" s="64"/>
      <c r="W31" s="64"/>
      <c r="X31" s="64"/>
      <c r="Y31" s="64"/>
      <c r="Z31" s="64"/>
    </row>
    <row r="32" ht="12.75" customHeight="1">
      <c r="A32" s="108"/>
      <c r="B32" s="64"/>
      <c r="C32" s="64"/>
      <c r="D32" s="64"/>
      <c r="E32" s="64"/>
      <c r="F32" s="63"/>
      <c r="G32" s="63"/>
      <c r="H32" s="64"/>
      <c r="I32" s="64"/>
      <c r="J32" s="64"/>
      <c r="K32" s="64"/>
      <c r="L32" s="64"/>
      <c r="M32" s="64"/>
      <c r="N32" s="64"/>
      <c r="O32" s="64"/>
      <c r="P32" s="64"/>
      <c r="Q32" s="64"/>
      <c r="R32" s="64"/>
      <c r="S32" s="64"/>
      <c r="T32" s="64"/>
      <c r="U32" s="64"/>
      <c r="V32" s="64"/>
      <c r="W32" s="64"/>
      <c r="X32" s="64"/>
      <c r="Y32" s="64"/>
      <c r="Z32" s="64"/>
    </row>
    <row r="33" ht="12.75" customHeight="1">
      <c r="A33" s="108"/>
      <c r="B33" s="64"/>
      <c r="C33" s="64"/>
      <c r="D33" s="64"/>
      <c r="E33" s="64"/>
      <c r="F33" s="63"/>
      <c r="G33" s="63"/>
      <c r="H33" s="64"/>
      <c r="I33" s="64"/>
      <c r="J33" s="64"/>
      <c r="K33" s="64"/>
      <c r="L33" s="64"/>
      <c r="M33" s="64"/>
      <c r="N33" s="64"/>
      <c r="O33" s="64"/>
      <c r="P33" s="64"/>
      <c r="Q33" s="64"/>
      <c r="R33" s="64"/>
      <c r="S33" s="64"/>
      <c r="T33" s="64"/>
      <c r="U33" s="64"/>
      <c r="V33" s="64"/>
      <c r="W33" s="64"/>
      <c r="X33" s="64"/>
      <c r="Y33" s="64"/>
      <c r="Z33" s="64"/>
    </row>
    <row r="34" ht="12.75" customHeight="1">
      <c r="A34" s="108"/>
      <c r="B34" s="64"/>
      <c r="C34" s="64"/>
      <c r="D34" s="64"/>
      <c r="E34" s="64"/>
      <c r="F34" s="63"/>
      <c r="G34" s="63"/>
      <c r="H34" s="64"/>
      <c r="I34" s="64"/>
      <c r="J34" s="64"/>
      <c r="K34" s="64"/>
      <c r="L34" s="64"/>
      <c r="M34" s="64"/>
      <c r="N34" s="64"/>
      <c r="O34" s="64"/>
      <c r="P34" s="64"/>
      <c r="Q34" s="64"/>
      <c r="R34" s="64"/>
      <c r="S34" s="64"/>
      <c r="T34" s="64"/>
      <c r="U34" s="64"/>
      <c r="V34" s="64"/>
      <c r="W34" s="64"/>
      <c r="X34" s="64"/>
      <c r="Y34" s="64"/>
      <c r="Z34" s="64"/>
    </row>
    <row r="35" ht="12.75" customHeight="1">
      <c r="A35" s="108"/>
      <c r="B35" s="64"/>
      <c r="C35" s="64"/>
      <c r="D35" s="64"/>
      <c r="E35" s="64"/>
      <c r="F35" s="63"/>
      <c r="G35" s="63"/>
      <c r="H35" s="64"/>
      <c r="I35" s="64"/>
      <c r="J35" s="64"/>
      <c r="K35" s="64"/>
      <c r="L35" s="64"/>
      <c r="M35" s="64"/>
      <c r="N35" s="64"/>
      <c r="O35" s="64"/>
      <c r="P35" s="64"/>
      <c r="Q35" s="64"/>
      <c r="R35" s="64"/>
      <c r="S35" s="64"/>
      <c r="T35" s="64"/>
      <c r="U35" s="64"/>
      <c r="V35" s="64"/>
      <c r="W35" s="64"/>
      <c r="X35" s="64"/>
      <c r="Y35" s="64"/>
      <c r="Z35" s="64"/>
    </row>
    <row r="36" ht="12.75" customHeight="1">
      <c r="A36" s="108"/>
      <c r="B36" s="64"/>
      <c r="C36" s="64"/>
      <c r="D36" s="64"/>
      <c r="E36" s="64"/>
      <c r="F36" s="63"/>
      <c r="G36" s="63"/>
      <c r="H36" s="64"/>
      <c r="I36" s="64"/>
      <c r="J36" s="64"/>
      <c r="K36" s="64"/>
      <c r="L36" s="64"/>
      <c r="M36" s="64"/>
      <c r="N36" s="64"/>
      <c r="O36" s="64"/>
      <c r="P36" s="64"/>
      <c r="Q36" s="64"/>
      <c r="R36" s="64"/>
      <c r="S36" s="64"/>
      <c r="T36" s="64"/>
      <c r="U36" s="64"/>
      <c r="V36" s="64"/>
      <c r="W36" s="64"/>
      <c r="X36" s="64"/>
      <c r="Y36" s="64"/>
      <c r="Z36" s="64"/>
    </row>
    <row r="37" ht="12.75" customHeight="1">
      <c r="A37" s="108"/>
      <c r="B37" s="64"/>
      <c r="C37" s="64"/>
      <c r="D37" s="64"/>
      <c r="E37" s="64"/>
      <c r="F37" s="63"/>
      <c r="G37" s="63"/>
      <c r="H37" s="64"/>
      <c r="I37" s="64"/>
      <c r="J37" s="64"/>
      <c r="K37" s="64"/>
      <c r="L37" s="64"/>
      <c r="M37" s="64"/>
      <c r="N37" s="64"/>
      <c r="O37" s="64"/>
      <c r="P37" s="64"/>
      <c r="Q37" s="64"/>
      <c r="R37" s="64"/>
      <c r="S37" s="64"/>
      <c r="T37" s="64"/>
      <c r="U37" s="64"/>
      <c r="V37" s="64"/>
      <c r="W37" s="64"/>
      <c r="X37" s="64"/>
      <c r="Y37" s="64"/>
      <c r="Z37" s="64"/>
    </row>
    <row r="38" ht="12.75" customHeight="1">
      <c r="A38" s="108"/>
      <c r="B38" s="64"/>
      <c r="C38" s="64"/>
      <c r="D38" s="64"/>
      <c r="E38" s="64"/>
      <c r="F38" s="63"/>
      <c r="G38" s="63"/>
      <c r="H38" s="64"/>
      <c r="I38" s="64"/>
      <c r="J38" s="64"/>
      <c r="K38" s="64"/>
      <c r="L38" s="64"/>
      <c r="M38" s="64"/>
      <c r="N38" s="64"/>
      <c r="O38" s="64"/>
      <c r="P38" s="64"/>
      <c r="Q38" s="64"/>
      <c r="R38" s="64"/>
      <c r="S38" s="64"/>
      <c r="T38" s="64"/>
      <c r="U38" s="64"/>
      <c r="V38" s="64"/>
      <c r="W38" s="64"/>
      <c r="X38" s="64"/>
      <c r="Y38" s="64"/>
      <c r="Z38" s="64"/>
    </row>
    <row r="39" ht="12.75" customHeight="1">
      <c r="A39" s="108"/>
      <c r="B39" s="64"/>
      <c r="C39" s="64"/>
      <c r="D39" s="64"/>
      <c r="E39" s="64"/>
      <c r="F39" s="63"/>
      <c r="G39" s="63"/>
      <c r="H39" s="64"/>
      <c r="I39" s="64"/>
      <c r="J39" s="64"/>
      <c r="K39" s="64"/>
      <c r="L39" s="64"/>
      <c r="M39" s="64"/>
      <c r="N39" s="64"/>
      <c r="O39" s="64"/>
      <c r="P39" s="64"/>
      <c r="Q39" s="64"/>
      <c r="R39" s="64"/>
      <c r="S39" s="64"/>
      <c r="T39" s="64"/>
      <c r="U39" s="64"/>
      <c r="V39" s="64"/>
      <c r="W39" s="64"/>
      <c r="X39" s="64"/>
      <c r="Y39" s="64"/>
      <c r="Z39" s="64"/>
    </row>
    <row r="40" ht="12.75" customHeight="1">
      <c r="A40" s="108"/>
      <c r="B40" s="64"/>
      <c r="C40" s="64"/>
      <c r="D40" s="64"/>
      <c r="E40" s="64"/>
      <c r="F40" s="63"/>
      <c r="G40" s="63"/>
      <c r="H40" s="64"/>
      <c r="I40" s="64"/>
      <c r="J40" s="64"/>
      <c r="K40" s="64"/>
      <c r="L40" s="64"/>
      <c r="M40" s="64"/>
      <c r="N40" s="64"/>
      <c r="O40" s="64"/>
      <c r="P40" s="64"/>
      <c r="Q40" s="64"/>
      <c r="R40" s="64"/>
      <c r="S40" s="64"/>
      <c r="T40" s="64"/>
      <c r="U40" s="64"/>
      <c r="V40" s="64"/>
      <c r="W40" s="64"/>
      <c r="X40" s="64"/>
      <c r="Y40" s="64"/>
      <c r="Z40" s="64"/>
    </row>
    <row r="41" ht="12.75" customHeight="1">
      <c r="A41" s="108"/>
      <c r="B41" s="64"/>
      <c r="C41" s="64"/>
      <c r="D41" s="64"/>
      <c r="E41" s="64"/>
      <c r="F41" s="63"/>
      <c r="G41" s="63"/>
      <c r="H41" s="64"/>
      <c r="I41" s="64"/>
      <c r="J41" s="64"/>
      <c r="K41" s="64"/>
      <c r="L41" s="64"/>
      <c r="M41" s="64"/>
      <c r="N41" s="64"/>
      <c r="O41" s="64"/>
      <c r="P41" s="64"/>
      <c r="Q41" s="64"/>
      <c r="R41" s="64"/>
      <c r="S41" s="64"/>
      <c r="T41" s="64"/>
      <c r="U41" s="64"/>
      <c r="V41" s="64"/>
      <c r="W41" s="64"/>
      <c r="X41" s="64"/>
      <c r="Y41" s="64"/>
      <c r="Z41" s="64"/>
    </row>
    <row r="42" ht="12.75" customHeight="1">
      <c r="A42" s="108"/>
      <c r="B42" s="64"/>
      <c r="C42" s="64"/>
      <c r="D42" s="64"/>
      <c r="E42" s="64"/>
      <c r="F42" s="63"/>
      <c r="G42" s="63"/>
      <c r="H42" s="64"/>
      <c r="I42" s="64"/>
      <c r="J42" s="64"/>
      <c r="K42" s="64"/>
      <c r="L42" s="64"/>
      <c r="M42" s="64"/>
      <c r="N42" s="64"/>
      <c r="O42" s="64"/>
      <c r="P42" s="64"/>
      <c r="Q42" s="64"/>
      <c r="R42" s="64"/>
      <c r="S42" s="64"/>
      <c r="T42" s="64"/>
      <c r="U42" s="64"/>
      <c r="V42" s="64"/>
      <c r="W42" s="64"/>
      <c r="X42" s="64"/>
      <c r="Y42" s="64"/>
      <c r="Z42" s="64"/>
    </row>
    <row r="43" ht="12.75" customHeight="1">
      <c r="A43" s="108"/>
      <c r="B43" s="64"/>
      <c r="C43" s="64"/>
      <c r="D43" s="64"/>
      <c r="E43" s="64"/>
      <c r="F43" s="63"/>
      <c r="G43" s="63"/>
      <c r="H43" s="64"/>
      <c r="I43" s="64"/>
      <c r="J43" s="64"/>
      <c r="K43" s="64"/>
      <c r="L43" s="64"/>
      <c r="M43" s="64"/>
      <c r="N43" s="64"/>
      <c r="O43" s="64"/>
      <c r="P43" s="64"/>
      <c r="Q43" s="64"/>
      <c r="R43" s="64"/>
      <c r="S43" s="64"/>
      <c r="T43" s="64"/>
      <c r="U43" s="64"/>
      <c r="V43" s="64"/>
      <c r="W43" s="64"/>
      <c r="X43" s="64"/>
      <c r="Y43" s="64"/>
      <c r="Z43" s="64"/>
    </row>
    <row r="44" ht="12.75" customHeight="1">
      <c r="A44" s="108"/>
      <c r="B44" s="64"/>
      <c r="C44" s="64"/>
      <c r="D44" s="64"/>
      <c r="E44" s="64"/>
      <c r="F44" s="63"/>
      <c r="G44" s="63"/>
      <c r="H44" s="64"/>
      <c r="I44" s="64"/>
      <c r="J44" s="64"/>
      <c r="K44" s="64"/>
      <c r="L44" s="64"/>
      <c r="M44" s="64"/>
      <c r="N44" s="64"/>
      <c r="O44" s="64"/>
      <c r="P44" s="64"/>
      <c r="Q44" s="64"/>
      <c r="R44" s="64"/>
      <c r="S44" s="64"/>
      <c r="T44" s="64"/>
      <c r="U44" s="64"/>
      <c r="V44" s="64"/>
      <c r="W44" s="64"/>
      <c r="X44" s="64"/>
      <c r="Y44" s="64"/>
      <c r="Z44" s="64"/>
    </row>
    <row r="45" ht="12.75" customHeight="1">
      <c r="A45" s="108"/>
      <c r="B45" s="64"/>
      <c r="C45" s="64"/>
      <c r="D45" s="64"/>
      <c r="E45" s="64"/>
      <c r="F45" s="63"/>
      <c r="G45" s="63"/>
      <c r="H45" s="64"/>
      <c r="I45" s="64"/>
      <c r="J45" s="64"/>
      <c r="K45" s="64"/>
      <c r="L45" s="64"/>
      <c r="M45" s="64"/>
      <c r="N45" s="64"/>
      <c r="O45" s="64"/>
      <c r="P45" s="64"/>
      <c r="Q45" s="64"/>
      <c r="R45" s="64"/>
      <c r="S45" s="64"/>
      <c r="T45" s="64"/>
      <c r="U45" s="64"/>
      <c r="V45" s="64"/>
      <c r="W45" s="64"/>
      <c r="X45" s="64"/>
      <c r="Y45" s="64"/>
      <c r="Z45" s="64"/>
    </row>
    <row r="46" ht="12.75" customHeight="1">
      <c r="A46" s="108"/>
      <c r="B46" s="64"/>
      <c r="C46" s="64"/>
      <c r="D46" s="64"/>
      <c r="E46" s="64"/>
      <c r="F46" s="63"/>
      <c r="G46" s="63"/>
      <c r="H46" s="64"/>
      <c r="I46" s="64"/>
      <c r="J46" s="64"/>
      <c r="K46" s="64"/>
      <c r="L46" s="64"/>
      <c r="M46" s="64"/>
      <c r="N46" s="64"/>
      <c r="O46" s="64"/>
      <c r="P46" s="64"/>
      <c r="Q46" s="64"/>
      <c r="R46" s="64"/>
      <c r="S46" s="64"/>
      <c r="T46" s="64"/>
      <c r="U46" s="64"/>
      <c r="V46" s="64"/>
      <c r="W46" s="64"/>
      <c r="X46" s="64"/>
      <c r="Y46" s="64"/>
      <c r="Z46" s="64"/>
    </row>
    <row r="47" ht="12.75" customHeight="1">
      <c r="A47" s="108"/>
      <c r="B47" s="64"/>
      <c r="C47" s="64"/>
      <c r="D47" s="64"/>
      <c r="E47" s="64"/>
      <c r="F47" s="63"/>
      <c r="G47" s="63"/>
      <c r="H47" s="64"/>
      <c r="I47" s="64"/>
      <c r="J47" s="64"/>
      <c r="K47" s="64"/>
      <c r="L47" s="64"/>
      <c r="M47" s="64"/>
      <c r="N47" s="64"/>
      <c r="O47" s="64"/>
      <c r="P47" s="64"/>
      <c r="Q47" s="64"/>
      <c r="R47" s="64"/>
      <c r="S47" s="64"/>
      <c r="T47" s="64"/>
      <c r="U47" s="64"/>
      <c r="V47" s="64"/>
      <c r="W47" s="64"/>
      <c r="X47" s="64"/>
      <c r="Y47" s="64"/>
      <c r="Z47" s="64"/>
    </row>
    <row r="48" ht="12.75" customHeight="1">
      <c r="A48" s="108"/>
      <c r="B48" s="64"/>
      <c r="C48" s="64"/>
      <c r="D48" s="64"/>
      <c r="E48" s="64"/>
      <c r="F48" s="63"/>
      <c r="G48" s="63"/>
      <c r="H48" s="64"/>
      <c r="I48" s="64"/>
      <c r="J48" s="64"/>
      <c r="K48" s="64"/>
      <c r="L48" s="64"/>
      <c r="M48" s="64"/>
      <c r="N48" s="64"/>
      <c r="O48" s="64"/>
      <c r="P48" s="64"/>
      <c r="Q48" s="64"/>
      <c r="R48" s="64"/>
      <c r="S48" s="64"/>
      <c r="T48" s="64"/>
      <c r="U48" s="64"/>
      <c r="V48" s="64"/>
      <c r="W48" s="64"/>
      <c r="X48" s="64"/>
      <c r="Y48" s="64"/>
      <c r="Z48" s="64"/>
    </row>
    <row r="49" ht="12.75" customHeight="1">
      <c r="A49" s="108"/>
      <c r="B49" s="64"/>
      <c r="C49" s="64"/>
      <c r="D49" s="64"/>
      <c r="E49" s="64"/>
      <c r="F49" s="63"/>
      <c r="G49" s="63"/>
      <c r="H49" s="64"/>
      <c r="I49" s="64"/>
      <c r="J49" s="64"/>
      <c r="K49" s="64"/>
      <c r="L49" s="64"/>
      <c r="M49" s="64"/>
      <c r="N49" s="64"/>
      <c r="O49" s="64"/>
      <c r="P49" s="64"/>
      <c r="Q49" s="64"/>
      <c r="R49" s="64"/>
      <c r="S49" s="64"/>
      <c r="T49" s="64"/>
      <c r="U49" s="64"/>
      <c r="V49" s="64"/>
      <c r="W49" s="64"/>
      <c r="X49" s="64"/>
      <c r="Y49" s="64"/>
      <c r="Z49" s="64"/>
    </row>
    <row r="50" ht="12.75" customHeight="1">
      <c r="A50" s="108"/>
      <c r="B50" s="64"/>
      <c r="C50" s="64"/>
      <c r="D50" s="64"/>
      <c r="E50" s="64"/>
      <c r="F50" s="63"/>
      <c r="G50" s="63"/>
      <c r="H50" s="64"/>
      <c r="I50" s="64"/>
      <c r="J50" s="64"/>
      <c r="K50" s="64"/>
      <c r="L50" s="64"/>
      <c r="M50" s="64"/>
      <c r="N50" s="64"/>
      <c r="O50" s="64"/>
      <c r="P50" s="64"/>
      <c r="Q50" s="64"/>
      <c r="R50" s="64"/>
      <c r="S50" s="64"/>
      <c r="T50" s="64"/>
      <c r="U50" s="64"/>
      <c r="V50" s="64"/>
      <c r="W50" s="64"/>
      <c r="X50" s="64"/>
      <c r="Y50" s="64"/>
      <c r="Z50" s="64"/>
    </row>
    <row r="51" ht="12.75" customHeight="1">
      <c r="A51" s="108"/>
      <c r="B51" s="64"/>
      <c r="C51" s="64"/>
      <c r="D51" s="64"/>
      <c r="E51" s="64"/>
      <c r="F51" s="63"/>
      <c r="G51" s="63"/>
      <c r="H51" s="64"/>
      <c r="I51" s="64"/>
      <c r="J51" s="64"/>
      <c r="K51" s="64"/>
      <c r="L51" s="64"/>
      <c r="M51" s="64"/>
      <c r="N51" s="64"/>
      <c r="O51" s="64"/>
      <c r="P51" s="64"/>
      <c r="Q51" s="64"/>
      <c r="R51" s="64"/>
      <c r="S51" s="64"/>
      <c r="T51" s="64"/>
      <c r="U51" s="64"/>
      <c r="V51" s="64"/>
      <c r="W51" s="64"/>
      <c r="X51" s="64"/>
      <c r="Y51" s="64"/>
      <c r="Z51" s="64"/>
    </row>
    <row r="52" ht="12.75" customHeight="1">
      <c r="A52" s="108"/>
      <c r="B52" s="64"/>
      <c r="C52" s="64"/>
      <c r="D52" s="64"/>
      <c r="E52" s="64"/>
      <c r="F52" s="63"/>
      <c r="G52" s="63"/>
      <c r="H52" s="64"/>
      <c r="I52" s="64"/>
      <c r="J52" s="64"/>
      <c r="K52" s="64"/>
      <c r="L52" s="64"/>
      <c r="M52" s="64"/>
      <c r="N52" s="64"/>
      <c r="O52" s="64"/>
      <c r="P52" s="64"/>
      <c r="Q52" s="64"/>
      <c r="R52" s="64"/>
      <c r="S52" s="64"/>
      <c r="T52" s="64"/>
      <c r="U52" s="64"/>
      <c r="V52" s="64"/>
      <c r="W52" s="64"/>
      <c r="X52" s="64"/>
      <c r="Y52" s="64"/>
      <c r="Z52" s="64"/>
    </row>
    <row r="53" ht="12.75" customHeight="1">
      <c r="A53" s="108"/>
      <c r="B53" s="64"/>
      <c r="C53" s="64"/>
      <c r="D53" s="64"/>
      <c r="E53" s="64"/>
      <c r="F53" s="63"/>
      <c r="G53" s="63"/>
      <c r="H53" s="64"/>
      <c r="I53" s="64"/>
      <c r="J53" s="64"/>
      <c r="K53" s="64"/>
      <c r="L53" s="64"/>
      <c r="M53" s="64"/>
      <c r="N53" s="64"/>
      <c r="O53" s="64"/>
      <c r="P53" s="64"/>
      <c r="Q53" s="64"/>
      <c r="R53" s="64"/>
      <c r="S53" s="64"/>
      <c r="T53" s="64"/>
      <c r="U53" s="64"/>
      <c r="V53" s="64"/>
      <c r="W53" s="64"/>
      <c r="X53" s="64"/>
      <c r="Y53" s="64"/>
      <c r="Z53" s="64"/>
    </row>
    <row r="54" ht="12.75" customHeight="1">
      <c r="A54" s="108"/>
      <c r="B54" s="64"/>
      <c r="C54" s="64"/>
      <c r="D54" s="64"/>
      <c r="E54" s="64"/>
      <c r="F54" s="63"/>
      <c r="G54" s="63"/>
      <c r="H54" s="64"/>
      <c r="I54" s="64"/>
      <c r="J54" s="64"/>
      <c r="K54" s="64"/>
      <c r="L54" s="64"/>
      <c r="M54" s="64"/>
      <c r="N54" s="64"/>
      <c r="O54" s="64"/>
      <c r="P54" s="64"/>
      <c r="Q54" s="64"/>
      <c r="R54" s="64"/>
      <c r="S54" s="64"/>
      <c r="T54" s="64"/>
      <c r="U54" s="64"/>
      <c r="V54" s="64"/>
      <c r="W54" s="64"/>
      <c r="X54" s="64"/>
      <c r="Y54" s="64"/>
      <c r="Z54" s="64"/>
    </row>
    <row r="55" ht="12.75" customHeight="1">
      <c r="A55" s="108"/>
      <c r="B55" s="64"/>
      <c r="C55" s="64"/>
      <c r="D55" s="64"/>
      <c r="E55" s="64"/>
      <c r="F55" s="63"/>
      <c r="G55" s="63"/>
      <c r="H55" s="64"/>
      <c r="I55" s="64"/>
      <c r="J55" s="64"/>
      <c r="K55" s="64"/>
      <c r="L55" s="64"/>
      <c r="M55" s="64"/>
      <c r="N55" s="64"/>
      <c r="O55" s="64"/>
      <c r="P55" s="64"/>
      <c r="Q55" s="64"/>
      <c r="R55" s="64"/>
      <c r="S55" s="64"/>
      <c r="T55" s="64"/>
      <c r="U55" s="64"/>
      <c r="V55" s="64"/>
      <c r="W55" s="64"/>
      <c r="X55" s="64"/>
      <c r="Y55" s="64"/>
      <c r="Z55" s="64"/>
    </row>
    <row r="56" ht="12.75" customHeight="1">
      <c r="A56" s="108"/>
      <c r="B56" s="64"/>
      <c r="C56" s="64"/>
      <c r="D56" s="64"/>
      <c r="E56" s="64"/>
      <c r="F56" s="63"/>
      <c r="G56" s="63"/>
      <c r="H56" s="64"/>
      <c r="I56" s="64"/>
      <c r="J56" s="64"/>
      <c r="K56" s="64"/>
      <c r="L56" s="64"/>
      <c r="M56" s="64"/>
      <c r="N56" s="64"/>
      <c r="O56" s="64"/>
      <c r="P56" s="64"/>
      <c r="Q56" s="64"/>
      <c r="R56" s="64"/>
      <c r="S56" s="64"/>
      <c r="T56" s="64"/>
      <c r="U56" s="64"/>
      <c r="V56" s="64"/>
      <c r="W56" s="64"/>
      <c r="X56" s="64"/>
      <c r="Y56" s="64"/>
      <c r="Z56" s="64"/>
    </row>
    <row r="57" ht="12.75" customHeight="1">
      <c r="A57" s="108"/>
      <c r="B57" s="64"/>
      <c r="C57" s="64"/>
      <c r="D57" s="64"/>
      <c r="E57" s="64"/>
      <c r="F57" s="63"/>
      <c r="G57" s="63"/>
      <c r="H57" s="64"/>
      <c r="I57" s="64"/>
      <c r="J57" s="64"/>
      <c r="K57" s="64"/>
      <c r="L57" s="64"/>
      <c r="M57" s="64"/>
      <c r="N57" s="64"/>
      <c r="O57" s="64"/>
      <c r="P57" s="64"/>
      <c r="Q57" s="64"/>
      <c r="R57" s="64"/>
      <c r="S57" s="64"/>
      <c r="T57" s="64"/>
      <c r="U57" s="64"/>
      <c r="V57" s="64"/>
      <c r="W57" s="64"/>
      <c r="X57" s="64"/>
      <c r="Y57" s="64"/>
      <c r="Z57" s="64"/>
    </row>
    <row r="58" ht="12.75" customHeight="1">
      <c r="A58" s="108"/>
      <c r="B58" s="64"/>
      <c r="C58" s="64"/>
      <c r="D58" s="64"/>
      <c r="E58" s="64"/>
      <c r="F58" s="63"/>
      <c r="G58" s="63"/>
      <c r="H58" s="64"/>
      <c r="I58" s="64"/>
      <c r="J58" s="64"/>
      <c r="K58" s="64"/>
      <c r="L58" s="64"/>
      <c r="M58" s="64"/>
      <c r="N58" s="64"/>
      <c r="O58" s="64"/>
      <c r="P58" s="64"/>
      <c r="Q58" s="64"/>
      <c r="R58" s="64"/>
      <c r="S58" s="64"/>
      <c r="T58" s="64"/>
      <c r="U58" s="64"/>
      <c r="V58" s="64"/>
      <c r="W58" s="64"/>
      <c r="X58" s="64"/>
      <c r="Y58" s="64"/>
      <c r="Z58" s="64"/>
    </row>
    <row r="59" ht="12.75" customHeight="1">
      <c r="A59" s="108"/>
      <c r="B59" s="64"/>
      <c r="C59" s="64"/>
      <c r="D59" s="64"/>
      <c r="E59" s="64"/>
      <c r="F59" s="63"/>
      <c r="G59" s="63"/>
      <c r="H59" s="64"/>
      <c r="I59" s="64"/>
      <c r="J59" s="64"/>
      <c r="K59" s="64"/>
      <c r="L59" s="64"/>
      <c r="M59" s="64"/>
      <c r="N59" s="64"/>
      <c r="O59" s="64"/>
      <c r="P59" s="64"/>
      <c r="Q59" s="64"/>
      <c r="R59" s="64"/>
      <c r="S59" s="64"/>
      <c r="T59" s="64"/>
      <c r="U59" s="64"/>
      <c r="V59" s="64"/>
      <c r="W59" s="64"/>
      <c r="X59" s="64"/>
      <c r="Y59" s="64"/>
      <c r="Z59" s="64"/>
    </row>
    <row r="60" ht="12.75" customHeight="1">
      <c r="A60" s="108"/>
      <c r="B60" s="64"/>
      <c r="C60" s="64"/>
      <c r="D60" s="64"/>
      <c r="E60" s="64"/>
      <c r="F60" s="63"/>
      <c r="G60" s="63"/>
      <c r="H60" s="64"/>
      <c r="I60" s="64"/>
      <c r="J60" s="64"/>
      <c r="K60" s="64"/>
      <c r="L60" s="64"/>
      <c r="M60" s="64"/>
      <c r="N60" s="64"/>
      <c r="O60" s="64"/>
      <c r="P60" s="64"/>
      <c r="Q60" s="64"/>
      <c r="R60" s="64"/>
      <c r="S60" s="64"/>
      <c r="T60" s="64"/>
      <c r="U60" s="64"/>
      <c r="V60" s="64"/>
      <c r="W60" s="64"/>
      <c r="X60" s="64"/>
      <c r="Y60" s="64"/>
      <c r="Z60" s="64"/>
    </row>
    <row r="61" ht="12.75" customHeight="1">
      <c r="A61" s="108"/>
      <c r="B61" s="64"/>
      <c r="C61" s="64"/>
      <c r="D61" s="64"/>
      <c r="E61" s="64"/>
      <c r="F61" s="63"/>
      <c r="G61" s="63"/>
      <c r="H61" s="64"/>
      <c r="I61" s="64"/>
      <c r="J61" s="64"/>
      <c r="K61" s="64"/>
      <c r="L61" s="64"/>
      <c r="M61" s="64"/>
      <c r="N61" s="64"/>
      <c r="O61" s="64"/>
      <c r="P61" s="64"/>
      <c r="Q61" s="64"/>
      <c r="R61" s="64"/>
      <c r="S61" s="64"/>
      <c r="T61" s="64"/>
      <c r="U61" s="64"/>
      <c r="V61" s="64"/>
      <c r="W61" s="64"/>
      <c r="X61" s="64"/>
      <c r="Y61" s="64"/>
      <c r="Z61" s="64"/>
    </row>
    <row r="62" ht="12.75" customHeight="1">
      <c r="A62" s="108"/>
      <c r="B62" s="64"/>
      <c r="C62" s="64"/>
      <c r="D62" s="64"/>
      <c r="E62" s="64"/>
      <c r="F62" s="63"/>
      <c r="G62" s="63"/>
      <c r="H62" s="64"/>
      <c r="I62" s="64"/>
      <c r="J62" s="64"/>
      <c r="K62" s="64"/>
      <c r="L62" s="64"/>
      <c r="M62" s="64"/>
      <c r="N62" s="64"/>
      <c r="O62" s="64"/>
      <c r="P62" s="64"/>
      <c r="Q62" s="64"/>
      <c r="R62" s="64"/>
      <c r="S62" s="64"/>
      <c r="T62" s="64"/>
      <c r="U62" s="64"/>
      <c r="V62" s="64"/>
      <c r="W62" s="64"/>
      <c r="X62" s="64"/>
      <c r="Y62" s="64"/>
      <c r="Z62" s="64"/>
    </row>
    <row r="63" ht="12.75" customHeight="1">
      <c r="A63" s="108"/>
      <c r="B63" s="64"/>
      <c r="C63" s="64"/>
      <c r="D63" s="64"/>
      <c r="E63" s="64"/>
      <c r="F63" s="63"/>
      <c r="G63" s="63"/>
      <c r="H63" s="64"/>
      <c r="I63" s="64"/>
      <c r="J63" s="64"/>
      <c r="K63" s="64"/>
      <c r="L63" s="64"/>
      <c r="M63" s="64"/>
      <c r="N63" s="64"/>
      <c r="O63" s="64"/>
      <c r="P63" s="64"/>
      <c r="Q63" s="64"/>
      <c r="R63" s="64"/>
      <c r="S63" s="64"/>
      <c r="T63" s="64"/>
      <c r="U63" s="64"/>
      <c r="V63" s="64"/>
      <c r="W63" s="64"/>
      <c r="X63" s="64"/>
      <c r="Y63" s="64"/>
      <c r="Z63" s="64"/>
    </row>
    <row r="64" ht="12.75" customHeight="1">
      <c r="A64" s="108"/>
      <c r="B64" s="64"/>
      <c r="C64" s="64"/>
      <c r="D64" s="64"/>
      <c r="E64" s="64"/>
      <c r="F64" s="63"/>
      <c r="G64" s="63"/>
      <c r="H64" s="64"/>
      <c r="I64" s="64"/>
      <c r="J64" s="64"/>
      <c r="K64" s="64"/>
      <c r="L64" s="64"/>
      <c r="M64" s="64"/>
      <c r="N64" s="64"/>
      <c r="O64" s="64"/>
      <c r="P64" s="64"/>
      <c r="Q64" s="64"/>
      <c r="R64" s="64"/>
      <c r="S64" s="64"/>
      <c r="T64" s="64"/>
      <c r="U64" s="64"/>
      <c r="V64" s="64"/>
      <c r="W64" s="64"/>
      <c r="X64" s="64"/>
      <c r="Y64" s="64"/>
      <c r="Z64" s="64"/>
    </row>
    <row r="65" ht="12.75" customHeight="1">
      <c r="A65" s="108"/>
      <c r="B65" s="64"/>
      <c r="C65" s="64"/>
      <c r="D65" s="64"/>
      <c r="E65" s="64"/>
      <c r="F65" s="63"/>
      <c r="G65" s="63"/>
      <c r="H65" s="64"/>
      <c r="I65" s="64"/>
      <c r="J65" s="64"/>
      <c r="K65" s="64"/>
      <c r="L65" s="64"/>
      <c r="M65" s="64"/>
      <c r="N65" s="64"/>
      <c r="O65" s="64"/>
      <c r="P65" s="64"/>
      <c r="Q65" s="64"/>
      <c r="R65" s="64"/>
      <c r="S65" s="64"/>
      <c r="T65" s="64"/>
      <c r="U65" s="64"/>
      <c r="V65" s="64"/>
      <c r="W65" s="64"/>
      <c r="X65" s="64"/>
      <c r="Y65" s="64"/>
      <c r="Z65" s="64"/>
    </row>
    <row r="66" ht="12.75" customHeight="1">
      <c r="A66" s="108"/>
      <c r="B66" s="64"/>
      <c r="C66" s="64"/>
      <c r="D66" s="64"/>
      <c r="E66" s="64"/>
      <c r="F66" s="63"/>
      <c r="G66" s="63"/>
      <c r="H66" s="64"/>
      <c r="I66" s="64"/>
      <c r="J66" s="64"/>
      <c r="K66" s="64"/>
      <c r="L66" s="64"/>
      <c r="M66" s="64"/>
      <c r="N66" s="64"/>
      <c r="O66" s="64"/>
      <c r="P66" s="64"/>
      <c r="Q66" s="64"/>
      <c r="R66" s="64"/>
      <c r="S66" s="64"/>
      <c r="T66" s="64"/>
      <c r="U66" s="64"/>
      <c r="V66" s="64"/>
      <c r="W66" s="64"/>
      <c r="X66" s="64"/>
      <c r="Y66" s="64"/>
      <c r="Z66" s="64"/>
    </row>
    <row r="67" ht="12.75" customHeight="1">
      <c r="A67" s="108"/>
      <c r="B67" s="64"/>
      <c r="C67" s="64"/>
      <c r="D67" s="64"/>
      <c r="E67" s="64"/>
      <c r="F67" s="63"/>
      <c r="G67" s="63"/>
      <c r="H67" s="64"/>
      <c r="I67" s="64"/>
      <c r="J67" s="64"/>
      <c r="K67" s="64"/>
      <c r="L67" s="64"/>
      <c r="M67" s="64"/>
      <c r="N67" s="64"/>
      <c r="O67" s="64"/>
      <c r="P67" s="64"/>
      <c r="Q67" s="64"/>
      <c r="R67" s="64"/>
      <c r="S67" s="64"/>
      <c r="T67" s="64"/>
      <c r="U67" s="64"/>
      <c r="V67" s="64"/>
      <c r="W67" s="64"/>
      <c r="X67" s="64"/>
      <c r="Y67" s="64"/>
      <c r="Z67" s="64"/>
    </row>
    <row r="68" ht="12.75" customHeight="1">
      <c r="A68" s="108"/>
      <c r="B68" s="64"/>
      <c r="C68" s="64"/>
      <c r="D68" s="64"/>
      <c r="E68" s="64"/>
      <c r="F68" s="63"/>
      <c r="G68" s="63"/>
      <c r="H68" s="64"/>
      <c r="I68" s="64"/>
      <c r="J68" s="64"/>
      <c r="K68" s="64"/>
      <c r="L68" s="64"/>
      <c r="M68" s="64"/>
      <c r="N68" s="64"/>
      <c r="O68" s="64"/>
      <c r="P68" s="64"/>
      <c r="Q68" s="64"/>
      <c r="R68" s="64"/>
      <c r="S68" s="64"/>
      <c r="T68" s="64"/>
      <c r="U68" s="64"/>
      <c r="V68" s="64"/>
      <c r="W68" s="64"/>
      <c r="X68" s="64"/>
      <c r="Y68" s="64"/>
      <c r="Z68" s="64"/>
    </row>
    <row r="69" ht="12.75" customHeight="1">
      <c r="A69" s="108"/>
      <c r="B69" s="64"/>
      <c r="C69" s="64"/>
      <c r="D69" s="64"/>
      <c r="E69" s="64"/>
      <c r="F69" s="63"/>
      <c r="G69" s="63"/>
      <c r="H69" s="64"/>
      <c r="I69" s="64"/>
      <c r="J69" s="64"/>
      <c r="K69" s="64"/>
      <c r="L69" s="64"/>
      <c r="M69" s="64"/>
      <c r="N69" s="64"/>
      <c r="O69" s="64"/>
      <c r="P69" s="64"/>
      <c r="Q69" s="64"/>
      <c r="R69" s="64"/>
      <c r="S69" s="64"/>
      <c r="T69" s="64"/>
      <c r="U69" s="64"/>
      <c r="V69" s="64"/>
      <c r="W69" s="64"/>
      <c r="X69" s="64"/>
      <c r="Y69" s="64"/>
      <c r="Z69" s="64"/>
    </row>
    <row r="70" ht="12.75" customHeight="1">
      <c r="A70" s="108"/>
      <c r="B70" s="64"/>
      <c r="C70" s="64"/>
      <c r="D70" s="64"/>
      <c r="E70" s="64"/>
      <c r="F70" s="63"/>
      <c r="G70" s="63"/>
      <c r="H70" s="64"/>
      <c r="I70" s="64"/>
      <c r="J70" s="64"/>
      <c r="K70" s="64"/>
      <c r="L70" s="64"/>
      <c r="M70" s="64"/>
      <c r="N70" s="64"/>
      <c r="O70" s="64"/>
      <c r="P70" s="64"/>
      <c r="Q70" s="64"/>
      <c r="R70" s="64"/>
      <c r="S70" s="64"/>
      <c r="T70" s="64"/>
      <c r="U70" s="64"/>
      <c r="V70" s="64"/>
      <c r="W70" s="64"/>
      <c r="X70" s="64"/>
      <c r="Y70" s="64"/>
      <c r="Z70" s="64"/>
    </row>
    <row r="71" ht="12.75" customHeight="1">
      <c r="A71" s="108"/>
      <c r="B71" s="64"/>
      <c r="C71" s="64"/>
      <c r="D71" s="64"/>
      <c r="E71" s="64"/>
      <c r="F71" s="63"/>
      <c r="G71" s="63"/>
      <c r="H71" s="64"/>
      <c r="I71" s="64"/>
      <c r="J71" s="64"/>
      <c r="K71" s="64"/>
      <c r="L71" s="64"/>
      <c r="M71" s="64"/>
      <c r="N71" s="64"/>
      <c r="O71" s="64"/>
      <c r="P71" s="64"/>
      <c r="Q71" s="64"/>
      <c r="R71" s="64"/>
      <c r="S71" s="64"/>
      <c r="T71" s="64"/>
      <c r="U71" s="64"/>
      <c r="V71" s="64"/>
      <c r="W71" s="64"/>
      <c r="X71" s="64"/>
      <c r="Y71" s="64"/>
      <c r="Z71" s="64"/>
    </row>
    <row r="72" ht="12.75" customHeight="1">
      <c r="A72" s="108"/>
      <c r="B72" s="64"/>
      <c r="C72" s="64"/>
      <c r="D72" s="64"/>
      <c r="E72" s="64"/>
      <c r="F72" s="63"/>
      <c r="G72" s="63"/>
      <c r="H72" s="64"/>
      <c r="I72" s="64"/>
      <c r="J72" s="64"/>
      <c r="K72" s="64"/>
      <c r="L72" s="64"/>
      <c r="M72" s="64"/>
      <c r="N72" s="64"/>
      <c r="O72" s="64"/>
      <c r="P72" s="64"/>
      <c r="Q72" s="64"/>
      <c r="R72" s="64"/>
      <c r="S72" s="64"/>
      <c r="T72" s="64"/>
      <c r="U72" s="64"/>
      <c r="V72" s="64"/>
      <c r="W72" s="64"/>
      <c r="X72" s="64"/>
      <c r="Y72" s="64"/>
      <c r="Z72" s="64"/>
    </row>
    <row r="73" ht="12.75" customHeight="1">
      <c r="A73" s="108"/>
      <c r="B73" s="64"/>
      <c r="C73" s="64"/>
      <c r="D73" s="64"/>
      <c r="E73" s="64"/>
      <c r="F73" s="63"/>
      <c r="G73" s="63"/>
      <c r="H73" s="64"/>
      <c r="I73" s="64"/>
      <c r="J73" s="64"/>
      <c r="K73" s="64"/>
      <c r="L73" s="64"/>
      <c r="M73" s="64"/>
      <c r="N73" s="64"/>
      <c r="O73" s="64"/>
      <c r="P73" s="64"/>
      <c r="Q73" s="64"/>
      <c r="R73" s="64"/>
      <c r="S73" s="64"/>
      <c r="T73" s="64"/>
      <c r="U73" s="64"/>
      <c r="V73" s="64"/>
      <c r="W73" s="64"/>
      <c r="X73" s="64"/>
      <c r="Y73" s="64"/>
      <c r="Z73" s="64"/>
    </row>
    <row r="74" ht="12.75" customHeight="1">
      <c r="A74" s="108"/>
      <c r="B74" s="64"/>
      <c r="C74" s="64"/>
      <c r="D74" s="64"/>
      <c r="E74" s="64"/>
      <c r="F74" s="63"/>
      <c r="G74" s="63"/>
      <c r="H74" s="64"/>
      <c r="I74" s="64"/>
      <c r="J74" s="64"/>
      <c r="K74" s="64"/>
      <c r="L74" s="64"/>
      <c r="M74" s="64"/>
      <c r="N74" s="64"/>
      <c r="O74" s="64"/>
      <c r="P74" s="64"/>
      <c r="Q74" s="64"/>
      <c r="R74" s="64"/>
      <c r="S74" s="64"/>
      <c r="T74" s="64"/>
      <c r="U74" s="64"/>
      <c r="V74" s="64"/>
      <c r="W74" s="64"/>
      <c r="X74" s="64"/>
      <c r="Y74" s="64"/>
      <c r="Z74" s="64"/>
    </row>
    <row r="75" ht="12.75" customHeight="1">
      <c r="A75" s="108"/>
      <c r="B75" s="64"/>
      <c r="C75" s="64"/>
      <c r="D75" s="64"/>
      <c r="E75" s="64"/>
      <c r="F75" s="63"/>
      <c r="G75" s="63"/>
      <c r="H75" s="64"/>
      <c r="I75" s="64"/>
      <c r="J75" s="64"/>
      <c r="K75" s="64"/>
      <c r="L75" s="64"/>
      <c r="M75" s="64"/>
      <c r="N75" s="64"/>
      <c r="O75" s="64"/>
      <c r="P75" s="64"/>
      <c r="Q75" s="64"/>
      <c r="R75" s="64"/>
      <c r="S75" s="64"/>
      <c r="T75" s="64"/>
      <c r="U75" s="64"/>
      <c r="V75" s="64"/>
      <c r="W75" s="64"/>
      <c r="X75" s="64"/>
      <c r="Y75" s="64"/>
      <c r="Z75" s="64"/>
    </row>
    <row r="76" ht="12.75" customHeight="1">
      <c r="A76" s="108"/>
      <c r="B76" s="64"/>
      <c r="C76" s="64"/>
      <c r="D76" s="64"/>
      <c r="E76" s="64"/>
      <c r="F76" s="63"/>
      <c r="G76" s="63"/>
      <c r="H76" s="64"/>
      <c r="I76" s="64"/>
      <c r="J76" s="64"/>
      <c r="K76" s="64"/>
      <c r="L76" s="64"/>
      <c r="M76" s="64"/>
      <c r="N76" s="64"/>
      <c r="O76" s="64"/>
      <c r="P76" s="64"/>
      <c r="Q76" s="64"/>
      <c r="R76" s="64"/>
      <c r="S76" s="64"/>
      <c r="T76" s="64"/>
      <c r="U76" s="64"/>
      <c r="V76" s="64"/>
      <c r="W76" s="64"/>
      <c r="X76" s="64"/>
      <c r="Y76" s="64"/>
      <c r="Z76" s="64"/>
    </row>
    <row r="77" ht="12.75" customHeight="1">
      <c r="A77" s="108"/>
      <c r="B77" s="64"/>
      <c r="C77" s="64"/>
      <c r="D77" s="64"/>
      <c r="E77" s="64"/>
      <c r="F77" s="63"/>
      <c r="G77" s="63"/>
      <c r="H77" s="64"/>
      <c r="I77" s="64"/>
      <c r="J77" s="64"/>
      <c r="K77" s="64"/>
      <c r="L77" s="64"/>
      <c r="M77" s="64"/>
      <c r="N77" s="64"/>
      <c r="O77" s="64"/>
      <c r="P77" s="64"/>
      <c r="Q77" s="64"/>
      <c r="R77" s="64"/>
      <c r="S77" s="64"/>
      <c r="T77" s="64"/>
      <c r="U77" s="64"/>
      <c r="V77" s="64"/>
      <c r="W77" s="64"/>
      <c r="X77" s="64"/>
      <c r="Y77" s="64"/>
      <c r="Z77" s="64"/>
    </row>
    <row r="78" ht="12.75" customHeight="1">
      <c r="A78" s="108"/>
      <c r="B78" s="64"/>
      <c r="C78" s="64"/>
      <c r="D78" s="64"/>
      <c r="E78" s="64"/>
      <c r="F78" s="63"/>
      <c r="G78" s="63"/>
      <c r="H78" s="64"/>
      <c r="I78" s="64"/>
      <c r="J78" s="64"/>
      <c r="K78" s="64"/>
      <c r="L78" s="64"/>
      <c r="M78" s="64"/>
      <c r="N78" s="64"/>
      <c r="O78" s="64"/>
      <c r="P78" s="64"/>
      <c r="Q78" s="64"/>
      <c r="R78" s="64"/>
      <c r="S78" s="64"/>
      <c r="T78" s="64"/>
      <c r="U78" s="64"/>
      <c r="V78" s="64"/>
      <c r="W78" s="64"/>
      <c r="X78" s="64"/>
      <c r="Y78" s="64"/>
      <c r="Z78" s="64"/>
    </row>
    <row r="79" ht="12.75" customHeight="1">
      <c r="A79" s="108"/>
      <c r="B79" s="64"/>
      <c r="C79" s="64"/>
      <c r="D79" s="64"/>
      <c r="E79" s="64"/>
      <c r="F79" s="63"/>
      <c r="G79" s="63"/>
      <c r="H79" s="64"/>
      <c r="I79" s="64"/>
      <c r="J79" s="64"/>
      <c r="K79" s="64"/>
      <c r="L79" s="64"/>
      <c r="M79" s="64"/>
      <c r="N79" s="64"/>
      <c r="O79" s="64"/>
      <c r="P79" s="64"/>
      <c r="Q79" s="64"/>
      <c r="R79" s="64"/>
      <c r="S79" s="64"/>
      <c r="T79" s="64"/>
      <c r="U79" s="64"/>
      <c r="V79" s="64"/>
      <c r="W79" s="64"/>
      <c r="X79" s="64"/>
      <c r="Y79" s="64"/>
      <c r="Z79" s="64"/>
    </row>
    <row r="80" ht="12.75" customHeight="1">
      <c r="A80" s="108"/>
      <c r="B80" s="64"/>
      <c r="C80" s="64"/>
      <c r="D80" s="64"/>
      <c r="E80" s="64"/>
      <c r="F80" s="63"/>
      <c r="G80" s="63"/>
      <c r="H80" s="64"/>
      <c r="I80" s="64"/>
      <c r="J80" s="64"/>
      <c r="K80" s="64"/>
      <c r="L80" s="64"/>
      <c r="M80" s="64"/>
      <c r="N80" s="64"/>
      <c r="O80" s="64"/>
      <c r="P80" s="64"/>
      <c r="Q80" s="64"/>
      <c r="R80" s="64"/>
      <c r="S80" s="64"/>
      <c r="T80" s="64"/>
      <c r="U80" s="64"/>
      <c r="V80" s="64"/>
      <c r="W80" s="64"/>
      <c r="X80" s="64"/>
      <c r="Y80" s="64"/>
      <c r="Z80" s="64"/>
    </row>
    <row r="81" ht="12.75" customHeight="1">
      <c r="A81" s="108"/>
      <c r="B81" s="64"/>
      <c r="C81" s="64"/>
      <c r="D81" s="64"/>
      <c r="E81" s="64"/>
      <c r="F81" s="63"/>
      <c r="G81" s="63"/>
      <c r="H81" s="64"/>
      <c r="I81" s="64"/>
      <c r="J81" s="64"/>
      <c r="K81" s="64"/>
      <c r="L81" s="64"/>
      <c r="M81" s="64"/>
      <c r="N81" s="64"/>
      <c r="O81" s="64"/>
      <c r="P81" s="64"/>
      <c r="Q81" s="64"/>
      <c r="R81" s="64"/>
      <c r="S81" s="64"/>
      <c r="T81" s="64"/>
      <c r="U81" s="64"/>
      <c r="V81" s="64"/>
      <c r="W81" s="64"/>
      <c r="X81" s="64"/>
      <c r="Y81" s="64"/>
      <c r="Z81" s="64"/>
    </row>
    <row r="82" ht="12.75" customHeight="1">
      <c r="A82" s="108"/>
      <c r="B82" s="64"/>
      <c r="C82" s="64"/>
      <c r="D82" s="64"/>
      <c r="E82" s="64"/>
      <c r="F82" s="63"/>
      <c r="G82" s="63"/>
      <c r="H82" s="64"/>
      <c r="I82" s="64"/>
      <c r="J82" s="64"/>
      <c r="K82" s="64"/>
      <c r="L82" s="64"/>
      <c r="M82" s="64"/>
      <c r="N82" s="64"/>
      <c r="O82" s="64"/>
      <c r="P82" s="64"/>
      <c r="Q82" s="64"/>
      <c r="R82" s="64"/>
      <c r="S82" s="64"/>
      <c r="T82" s="64"/>
      <c r="U82" s="64"/>
      <c r="V82" s="64"/>
      <c r="W82" s="64"/>
      <c r="X82" s="64"/>
      <c r="Y82" s="64"/>
      <c r="Z82" s="64"/>
    </row>
    <row r="83" ht="12.75" customHeight="1">
      <c r="A83" s="108"/>
      <c r="B83" s="64"/>
      <c r="C83" s="64"/>
      <c r="D83" s="64"/>
      <c r="E83" s="64"/>
      <c r="F83" s="63"/>
      <c r="G83" s="63"/>
      <c r="H83" s="64"/>
      <c r="I83" s="64"/>
      <c r="J83" s="64"/>
      <c r="K83" s="64"/>
      <c r="L83" s="64"/>
      <c r="M83" s="64"/>
      <c r="N83" s="64"/>
      <c r="O83" s="64"/>
      <c r="P83" s="64"/>
      <c r="Q83" s="64"/>
      <c r="R83" s="64"/>
      <c r="S83" s="64"/>
      <c r="T83" s="64"/>
      <c r="U83" s="64"/>
      <c r="V83" s="64"/>
      <c r="W83" s="64"/>
      <c r="X83" s="64"/>
      <c r="Y83" s="64"/>
      <c r="Z83" s="64"/>
    </row>
    <row r="84" ht="12.75" customHeight="1">
      <c r="A84" s="108"/>
      <c r="B84" s="64"/>
      <c r="C84" s="64"/>
      <c r="D84" s="64"/>
      <c r="E84" s="64"/>
      <c r="F84" s="63"/>
      <c r="G84" s="63"/>
      <c r="H84" s="64"/>
      <c r="I84" s="64"/>
      <c r="J84" s="64"/>
      <c r="K84" s="64"/>
      <c r="L84" s="64"/>
      <c r="M84" s="64"/>
      <c r="N84" s="64"/>
      <c r="O84" s="64"/>
      <c r="P84" s="64"/>
      <c r="Q84" s="64"/>
      <c r="R84" s="64"/>
      <c r="S84" s="64"/>
      <c r="T84" s="64"/>
      <c r="U84" s="64"/>
      <c r="V84" s="64"/>
      <c r="W84" s="64"/>
      <c r="X84" s="64"/>
      <c r="Y84" s="64"/>
      <c r="Z84" s="64"/>
    </row>
    <row r="85" ht="12.75" customHeight="1">
      <c r="A85" s="108"/>
      <c r="B85" s="64"/>
      <c r="C85" s="64"/>
      <c r="D85" s="64"/>
      <c r="E85" s="64"/>
      <c r="F85" s="63"/>
      <c r="G85" s="63"/>
      <c r="H85" s="64"/>
      <c r="I85" s="64"/>
      <c r="J85" s="64"/>
      <c r="K85" s="64"/>
      <c r="L85" s="64"/>
      <c r="M85" s="64"/>
      <c r="N85" s="64"/>
      <c r="O85" s="64"/>
      <c r="P85" s="64"/>
      <c r="Q85" s="64"/>
      <c r="R85" s="64"/>
      <c r="S85" s="64"/>
      <c r="T85" s="64"/>
      <c r="U85" s="64"/>
      <c r="V85" s="64"/>
      <c r="W85" s="64"/>
      <c r="X85" s="64"/>
      <c r="Y85" s="64"/>
      <c r="Z85" s="64"/>
    </row>
    <row r="86" ht="12.75" customHeight="1">
      <c r="A86" s="108"/>
      <c r="B86" s="64"/>
      <c r="C86" s="64"/>
      <c r="D86" s="64"/>
      <c r="E86" s="64"/>
      <c r="F86" s="63"/>
      <c r="G86" s="63"/>
      <c r="H86" s="64"/>
      <c r="I86" s="64"/>
      <c r="J86" s="64"/>
      <c r="K86" s="64"/>
      <c r="L86" s="64"/>
      <c r="M86" s="64"/>
      <c r="N86" s="64"/>
      <c r="O86" s="64"/>
      <c r="P86" s="64"/>
      <c r="Q86" s="64"/>
      <c r="R86" s="64"/>
      <c r="S86" s="64"/>
      <c r="T86" s="64"/>
      <c r="U86" s="64"/>
      <c r="V86" s="64"/>
      <c r="W86" s="64"/>
      <c r="X86" s="64"/>
      <c r="Y86" s="64"/>
      <c r="Z86" s="64"/>
    </row>
    <row r="87" ht="12.75" customHeight="1">
      <c r="A87" s="108"/>
      <c r="B87" s="64"/>
      <c r="C87" s="64"/>
      <c r="D87" s="64"/>
      <c r="E87" s="64"/>
      <c r="F87" s="63"/>
      <c r="G87" s="63"/>
      <c r="H87" s="64"/>
      <c r="I87" s="64"/>
      <c r="J87" s="64"/>
      <c r="K87" s="64"/>
      <c r="L87" s="64"/>
      <c r="M87" s="64"/>
      <c r="N87" s="64"/>
      <c r="O87" s="64"/>
      <c r="P87" s="64"/>
      <c r="Q87" s="64"/>
      <c r="R87" s="64"/>
      <c r="S87" s="64"/>
      <c r="T87" s="64"/>
      <c r="U87" s="64"/>
      <c r="V87" s="64"/>
      <c r="W87" s="64"/>
      <c r="X87" s="64"/>
      <c r="Y87" s="64"/>
      <c r="Z87" s="64"/>
    </row>
    <row r="88" ht="12.75" customHeight="1">
      <c r="A88" s="108"/>
      <c r="B88" s="64"/>
      <c r="C88" s="64"/>
      <c r="D88" s="64"/>
      <c r="E88" s="64"/>
      <c r="F88" s="63"/>
      <c r="G88" s="63"/>
      <c r="H88" s="64"/>
      <c r="I88" s="64"/>
      <c r="J88" s="64"/>
      <c r="K88" s="64"/>
      <c r="L88" s="64"/>
      <c r="M88" s="64"/>
      <c r="N88" s="64"/>
      <c r="O88" s="64"/>
      <c r="P88" s="64"/>
      <c r="Q88" s="64"/>
      <c r="R88" s="64"/>
      <c r="S88" s="64"/>
      <c r="T88" s="64"/>
      <c r="U88" s="64"/>
      <c r="V88" s="64"/>
      <c r="W88" s="64"/>
      <c r="X88" s="64"/>
      <c r="Y88" s="64"/>
      <c r="Z88" s="64"/>
    </row>
    <row r="89" ht="12.75" customHeight="1">
      <c r="A89" s="108"/>
      <c r="B89" s="64"/>
      <c r="C89" s="64"/>
      <c r="D89" s="64"/>
      <c r="E89" s="64"/>
      <c r="F89" s="63"/>
      <c r="G89" s="63"/>
      <c r="H89" s="64"/>
      <c r="I89" s="64"/>
      <c r="J89" s="64"/>
      <c r="K89" s="64"/>
      <c r="L89" s="64"/>
      <c r="M89" s="64"/>
      <c r="N89" s="64"/>
      <c r="O89" s="64"/>
      <c r="P89" s="64"/>
      <c r="Q89" s="64"/>
      <c r="R89" s="64"/>
      <c r="S89" s="64"/>
      <c r="T89" s="64"/>
      <c r="U89" s="64"/>
      <c r="V89" s="64"/>
      <c r="W89" s="64"/>
      <c r="X89" s="64"/>
      <c r="Y89" s="64"/>
      <c r="Z89" s="64"/>
    </row>
    <row r="90" ht="12.75" customHeight="1">
      <c r="A90" s="108"/>
      <c r="B90" s="64"/>
      <c r="C90" s="64"/>
      <c r="D90" s="64"/>
      <c r="E90" s="64"/>
      <c r="F90" s="63"/>
      <c r="G90" s="63"/>
      <c r="H90" s="64"/>
      <c r="I90" s="64"/>
      <c r="J90" s="64"/>
      <c r="K90" s="64"/>
      <c r="L90" s="64"/>
      <c r="M90" s="64"/>
      <c r="N90" s="64"/>
      <c r="O90" s="64"/>
      <c r="P90" s="64"/>
      <c r="Q90" s="64"/>
      <c r="R90" s="64"/>
      <c r="S90" s="64"/>
      <c r="T90" s="64"/>
      <c r="U90" s="64"/>
      <c r="V90" s="64"/>
      <c r="W90" s="64"/>
      <c r="X90" s="64"/>
      <c r="Y90" s="64"/>
      <c r="Z90" s="64"/>
    </row>
    <row r="91" ht="12.75" customHeight="1">
      <c r="A91" s="108"/>
      <c r="B91" s="64"/>
      <c r="C91" s="64"/>
      <c r="D91" s="64"/>
      <c r="E91" s="64"/>
      <c r="F91" s="63"/>
      <c r="G91" s="63"/>
      <c r="H91" s="64"/>
      <c r="I91" s="64"/>
      <c r="J91" s="64"/>
      <c r="K91" s="64"/>
      <c r="L91" s="64"/>
      <c r="M91" s="64"/>
      <c r="N91" s="64"/>
      <c r="O91" s="64"/>
      <c r="P91" s="64"/>
      <c r="Q91" s="64"/>
      <c r="R91" s="64"/>
      <c r="S91" s="64"/>
      <c r="T91" s="64"/>
      <c r="U91" s="64"/>
      <c r="V91" s="64"/>
      <c r="W91" s="64"/>
      <c r="X91" s="64"/>
      <c r="Y91" s="64"/>
      <c r="Z91" s="64"/>
    </row>
    <row r="92" ht="12.75" customHeight="1">
      <c r="A92" s="108"/>
      <c r="B92" s="64"/>
      <c r="C92" s="64"/>
      <c r="D92" s="64"/>
      <c r="E92" s="64"/>
      <c r="F92" s="63"/>
      <c r="G92" s="63"/>
      <c r="H92" s="64"/>
      <c r="I92" s="64"/>
      <c r="J92" s="64"/>
      <c r="K92" s="64"/>
      <c r="L92" s="64"/>
      <c r="M92" s="64"/>
      <c r="N92" s="64"/>
      <c r="O92" s="64"/>
      <c r="P92" s="64"/>
      <c r="Q92" s="64"/>
      <c r="R92" s="64"/>
      <c r="S92" s="64"/>
      <c r="T92" s="64"/>
      <c r="U92" s="64"/>
      <c r="V92" s="64"/>
      <c r="W92" s="64"/>
      <c r="X92" s="64"/>
      <c r="Y92" s="64"/>
      <c r="Z92" s="64"/>
    </row>
    <row r="93" ht="12.75" customHeight="1">
      <c r="A93" s="108"/>
      <c r="B93" s="64"/>
      <c r="C93" s="64"/>
      <c r="D93" s="64"/>
      <c r="E93" s="64"/>
      <c r="F93" s="63"/>
      <c r="G93" s="63"/>
      <c r="H93" s="64"/>
      <c r="I93" s="64"/>
      <c r="J93" s="64"/>
      <c r="K93" s="64"/>
      <c r="L93" s="64"/>
      <c r="M93" s="64"/>
      <c r="N93" s="64"/>
      <c r="O93" s="64"/>
      <c r="P93" s="64"/>
      <c r="Q93" s="64"/>
      <c r="R93" s="64"/>
      <c r="S93" s="64"/>
      <c r="T93" s="64"/>
      <c r="U93" s="64"/>
      <c r="V93" s="64"/>
      <c r="W93" s="64"/>
      <c r="X93" s="64"/>
      <c r="Y93" s="64"/>
      <c r="Z93" s="64"/>
    </row>
    <row r="94" ht="12.75" customHeight="1">
      <c r="A94" s="108"/>
      <c r="B94" s="64"/>
      <c r="C94" s="64"/>
      <c r="D94" s="64"/>
      <c r="E94" s="64"/>
      <c r="F94" s="63"/>
      <c r="G94" s="63"/>
      <c r="H94" s="64"/>
      <c r="I94" s="64"/>
      <c r="J94" s="64"/>
      <c r="K94" s="64"/>
      <c r="L94" s="64"/>
      <c r="M94" s="64"/>
      <c r="N94" s="64"/>
      <c r="O94" s="64"/>
      <c r="P94" s="64"/>
      <c r="Q94" s="64"/>
      <c r="R94" s="64"/>
      <c r="S94" s="64"/>
      <c r="T94" s="64"/>
      <c r="U94" s="64"/>
      <c r="V94" s="64"/>
      <c r="W94" s="64"/>
      <c r="X94" s="64"/>
      <c r="Y94" s="64"/>
      <c r="Z94" s="64"/>
    </row>
    <row r="95" ht="12.75" customHeight="1">
      <c r="A95" s="108"/>
      <c r="B95" s="64"/>
      <c r="C95" s="64"/>
      <c r="D95" s="64"/>
      <c r="E95" s="64"/>
      <c r="F95" s="63"/>
      <c r="G95" s="63"/>
      <c r="H95" s="64"/>
      <c r="I95" s="64"/>
      <c r="J95" s="64"/>
      <c r="K95" s="64"/>
      <c r="L95" s="64"/>
      <c r="M95" s="64"/>
      <c r="N95" s="64"/>
      <c r="O95" s="64"/>
      <c r="P95" s="64"/>
      <c r="Q95" s="64"/>
      <c r="R95" s="64"/>
      <c r="S95" s="64"/>
      <c r="T95" s="64"/>
      <c r="U95" s="64"/>
      <c r="V95" s="64"/>
      <c r="W95" s="64"/>
      <c r="X95" s="64"/>
      <c r="Y95" s="64"/>
      <c r="Z95" s="64"/>
    </row>
    <row r="96" ht="12.75" customHeight="1">
      <c r="A96" s="108"/>
      <c r="B96" s="64"/>
      <c r="C96" s="64"/>
      <c r="D96" s="64"/>
      <c r="E96" s="64"/>
      <c r="F96" s="63"/>
      <c r="G96" s="63"/>
      <c r="H96" s="64"/>
      <c r="I96" s="64"/>
      <c r="J96" s="64"/>
      <c r="K96" s="64"/>
      <c r="L96" s="64"/>
      <c r="M96" s="64"/>
      <c r="N96" s="64"/>
      <c r="O96" s="64"/>
      <c r="P96" s="64"/>
      <c r="Q96" s="64"/>
      <c r="R96" s="64"/>
      <c r="S96" s="64"/>
      <c r="T96" s="64"/>
      <c r="U96" s="64"/>
      <c r="V96" s="64"/>
      <c r="W96" s="64"/>
      <c r="X96" s="64"/>
      <c r="Y96" s="64"/>
      <c r="Z96" s="64"/>
    </row>
    <row r="97" ht="12.75" customHeight="1">
      <c r="A97" s="108"/>
      <c r="B97" s="64"/>
      <c r="C97" s="64"/>
      <c r="D97" s="64"/>
      <c r="E97" s="64"/>
      <c r="F97" s="63"/>
      <c r="G97" s="63"/>
      <c r="H97" s="64"/>
      <c r="I97" s="64"/>
      <c r="J97" s="64"/>
      <c r="K97" s="64"/>
      <c r="L97" s="64"/>
      <c r="M97" s="64"/>
      <c r="N97" s="64"/>
      <c r="O97" s="64"/>
      <c r="P97" s="64"/>
      <c r="Q97" s="64"/>
      <c r="R97" s="64"/>
      <c r="S97" s="64"/>
      <c r="T97" s="64"/>
      <c r="U97" s="64"/>
      <c r="V97" s="64"/>
      <c r="W97" s="64"/>
      <c r="X97" s="64"/>
      <c r="Y97" s="64"/>
      <c r="Z97" s="64"/>
    </row>
    <row r="98" ht="12.75" customHeight="1">
      <c r="A98" s="108"/>
      <c r="B98" s="64"/>
      <c r="C98" s="64"/>
      <c r="D98" s="64"/>
      <c r="E98" s="64"/>
      <c r="F98" s="63"/>
      <c r="G98" s="63"/>
      <c r="H98" s="64"/>
      <c r="I98" s="64"/>
      <c r="J98" s="64"/>
      <c r="K98" s="64"/>
      <c r="L98" s="64"/>
      <c r="M98" s="64"/>
      <c r="N98" s="64"/>
      <c r="O98" s="64"/>
      <c r="P98" s="64"/>
      <c r="Q98" s="64"/>
      <c r="R98" s="64"/>
      <c r="S98" s="64"/>
      <c r="T98" s="64"/>
      <c r="U98" s="64"/>
      <c r="V98" s="64"/>
      <c r="W98" s="64"/>
      <c r="X98" s="64"/>
      <c r="Y98" s="64"/>
      <c r="Z98" s="64"/>
    </row>
    <row r="99" ht="12.75" customHeight="1">
      <c r="A99" s="108"/>
      <c r="B99" s="64"/>
      <c r="C99" s="64"/>
      <c r="D99" s="64"/>
      <c r="E99" s="64"/>
      <c r="F99" s="63"/>
      <c r="G99" s="63"/>
      <c r="H99" s="64"/>
      <c r="I99" s="64"/>
      <c r="J99" s="64"/>
      <c r="K99" s="64"/>
      <c r="L99" s="64"/>
      <c r="M99" s="64"/>
      <c r="N99" s="64"/>
      <c r="O99" s="64"/>
      <c r="P99" s="64"/>
      <c r="Q99" s="64"/>
      <c r="R99" s="64"/>
      <c r="S99" s="64"/>
      <c r="T99" s="64"/>
      <c r="U99" s="64"/>
      <c r="V99" s="64"/>
      <c r="W99" s="64"/>
      <c r="X99" s="64"/>
      <c r="Y99" s="64"/>
      <c r="Z99" s="64"/>
    </row>
    <row r="100" ht="12.75" customHeight="1">
      <c r="A100" s="108"/>
      <c r="B100" s="64"/>
      <c r="C100" s="64"/>
      <c r="D100" s="64"/>
      <c r="E100" s="64"/>
      <c r="F100" s="63"/>
      <c r="G100" s="63"/>
      <c r="H100" s="64"/>
      <c r="I100" s="64"/>
      <c r="J100" s="64"/>
      <c r="K100" s="64"/>
      <c r="L100" s="64"/>
      <c r="M100" s="64"/>
      <c r="N100" s="64"/>
      <c r="O100" s="64"/>
      <c r="P100" s="64"/>
      <c r="Q100" s="64"/>
      <c r="R100" s="64"/>
      <c r="S100" s="64"/>
      <c r="T100" s="64"/>
      <c r="U100" s="64"/>
      <c r="V100" s="64"/>
      <c r="W100" s="64"/>
      <c r="X100" s="64"/>
      <c r="Y100" s="64"/>
      <c r="Z100" s="64"/>
    </row>
    <row r="101" ht="12.75" customHeight="1">
      <c r="A101" s="108"/>
      <c r="B101" s="64"/>
      <c r="C101" s="64"/>
      <c r="D101" s="64"/>
      <c r="E101" s="64"/>
      <c r="F101" s="63"/>
      <c r="G101" s="63"/>
      <c r="H101" s="64"/>
      <c r="I101" s="64"/>
      <c r="J101" s="64"/>
      <c r="K101" s="64"/>
      <c r="L101" s="64"/>
      <c r="M101" s="64"/>
      <c r="N101" s="64"/>
      <c r="O101" s="64"/>
      <c r="P101" s="64"/>
      <c r="Q101" s="64"/>
      <c r="R101" s="64"/>
      <c r="S101" s="64"/>
      <c r="T101" s="64"/>
      <c r="U101" s="64"/>
      <c r="V101" s="64"/>
      <c r="W101" s="64"/>
      <c r="X101" s="64"/>
      <c r="Y101" s="64"/>
      <c r="Z101" s="64"/>
    </row>
    <row r="102" ht="12.75" customHeight="1">
      <c r="A102" s="108"/>
      <c r="B102" s="64"/>
      <c r="C102" s="64"/>
      <c r="D102" s="64"/>
      <c r="E102" s="64"/>
      <c r="F102" s="63"/>
      <c r="G102" s="63"/>
      <c r="H102" s="64"/>
      <c r="I102" s="64"/>
      <c r="J102" s="64"/>
      <c r="K102" s="64"/>
      <c r="L102" s="64"/>
      <c r="M102" s="64"/>
      <c r="N102" s="64"/>
      <c r="O102" s="64"/>
      <c r="P102" s="64"/>
      <c r="Q102" s="64"/>
      <c r="R102" s="64"/>
      <c r="S102" s="64"/>
      <c r="T102" s="64"/>
      <c r="U102" s="64"/>
      <c r="V102" s="64"/>
      <c r="W102" s="64"/>
      <c r="X102" s="64"/>
      <c r="Y102" s="64"/>
      <c r="Z102" s="64"/>
    </row>
    <row r="103" ht="12.75" customHeight="1">
      <c r="A103" s="108"/>
      <c r="B103" s="64"/>
      <c r="C103" s="64"/>
      <c r="D103" s="64"/>
      <c r="E103" s="64"/>
      <c r="F103" s="63"/>
      <c r="G103" s="63"/>
      <c r="H103" s="64"/>
      <c r="I103" s="64"/>
      <c r="J103" s="64"/>
      <c r="K103" s="64"/>
      <c r="L103" s="64"/>
      <c r="M103" s="64"/>
      <c r="N103" s="64"/>
      <c r="O103" s="64"/>
      <c r="P103" s="64"/>
      <c r="Q103" s="64"/>
      <c r="R103" s="64"/>
      <c r="S103" s="64"/>
      <c r="T103" s="64"/>
      <c r="U103" s="64"/>
      <c r="V103" s="64"/>
      <c r="W103" s="64"/>
      <c r="X103" s="64"/>
      <c r="Y103" s="64"/>
      <c r="Z103" s="64"/>
    </row>
    <row r="104" ht="12.75" customHeight="1">
      <c r="A104" s="108"/>
      <c r="B104" s="64"/>
      <c r="C104" s="64"/>
      <c r="D104" s="64"/>
      <c r="E104" s="64"/>
      <c r="F104" s="63"/>
      <c r="G104" s="63"/>
      <c r="H104" s="64"/>
      <c r="I104" s="64"/>
      <c r="J104" s="64"/>
      <c r="K104" s="64"/>
      <c r="L104" s="64"/>
      <c r="M104" s="64"/>
      <c r="N104" s="64"/>
      <c r="O104" s="64"/>
      <c r="P104" s="64"/>
      <c r="Q104" s="64"/>
      <c r="R104" s="64"/>
      <c r="S104" s="64"/>
      <c r="T104" s="64"/>
      <c r="U104" s="64"/>
      <c r="V104" s="64"/>
      <c r="W104" s="64"/>
      <c r="X104" s="64"/>
      <c r="Y104" s="64"/>
      <c r="Z104" s="64"/>
    </row>
    <row r="105" ht="12.75" customHeight="1">
      <c r="A105" s="108"/>
      <c r="B105" s="64"/>
      <c r="C105" s="64"/>
      <c r="D105" s="64"/>
      <c r="E105" s="64"/>
      <c r="F105" s="63"/>
      <c r="G105" s="63"/>
      <c r="H105" s="64"/>
      <c r="I105" s="64"/>
      <c r="J105" s="64"/>
      <c r="K105" s="64"/>
      <c r="L105" s="64"/>
      <c r="M105" s="64"/>
      <c r="N105" s="64"/>
      <c r="O105" s="64"/>
      <c r="P105" s="64"/>
      <c r="Q105" s="64"/>
      <c r="R105" s="64"/>
      <c r="S105" s="64"/>
      <c r="T105" s="64"/>
      <c r="U105" s="64"/>
      <c r="V105" s="64"/>
      <c r="W105" s="64"/>
      <c r="X105" s="64"/>
      <c r="Y105" s="64"/>
      <c r="Z105" s="64"/>
    </row>
    <row r="106" ht="12.75" customHeight="1">
      <c r="A106" s="108"/>
      <c r="B106" s="64"/>
      <c r="C106" s="64"/>
      <c r="D106" s="64"/>
      <c r="E106" s="64"/>
      <c r="F106" s="63"/>
      <c r="G106" s="63"/>
      <c r="H106" s="64"/>
      <c r="I106" s="64"/>
      <c r="J106" s="64"/>
      <c r="K106" s="64"/>
      <c r="L106" s="64"/>
      <c r="M106" s="64"/>
      <c r="N106" s="64"/>
      <c r="O106" s="64"/>
      <c r="P106" s="64"/>
      <c r="Q106" s="64"/>
      <c r="R106" s="64"/>
      <c r="S106" s="64"/>
      <c r="T106" s="64"/>
      <c r="U106" s="64"/>
      <c r="V106" s="64"/>
      <c r="W106" s="64"/>
      <c r="X106" s="64"/>
      <c r="Y106" s="64"/>
      <c r="Z106" s="64"/>
    </row>
    <row r="107" ht="12.75" customHeight="1">
      <c r="A107" s="108"/>
      <c r="B107" s="64"/>
      <c r="C107" s="64"/>
      <c r="D107" s="64"/>
      <c r="E107" s="64"/>
      <c r="F107" s="63"/>
      <c r="G107" s="63"/>
      <c r="H107" s="64"/>
      <c r="I107" s="64"/>
      <c r="J107" s="64"/>
      <c r="K107" s="64"/>
      <c r="L107" s="64"/>
      <c r="M107" s="64"/>
      <c r="N107" s="64"/>
      <c r="O107" s="64"/>
      <c r="P107" s="64"/>
      <c r="Q107" s="64"/>
      <c r="R107" s="64"/>
      <c r="S107" s="64"/>
      <c r="T107" s="64"/>
      <c r="U107" s="64"/>
      <c r="V107" s="64"/>
      <c r="W107" s="64"/>
      <c r="X107" s="64"/>
      <c r="Y107" s="64"/>
      <c r="Z107" s="64"/>
    </row>
    <row r="108" ht="12.75" customHeight="1">
      <c r="A108" s="108"/>
      <c r="B108" s="64"/>
      <c r="C108" s="64"/>
      <c r="D108" s="64"/>
      <c r="E108" s="64"/>
      <c r="F108" s="63"/>
      <c r="G108" s="63"/>
      <c r="H108" s="64"/>
      <c r="I108" s="64"/>
      <c r="J108" s="64"/>
      <c r="K108" s="64"/>
      <c r="L108" s="64"/>
      <c r="M108" s="64"/>
      <c r="N108" s="64"/>
      <c r="O108" s="64"/>
      <c r="P108" s="64"/>
      <c r="Q108" s="64"/>
      <c r="R108" s="64"/>
      <c r="S108" s="64"/>
      <c r="T108" s="64"/>
      <c r="U108" s="64"/>
      <c r="V108" s="64"/>
      <c r="W108" s="64"/>
      <c r="X108" s="64"/>
      <c r="Y108" s="64"/>
      <c r="Z108" s="64"/>
    </row>
    <row r="109" ht="12.75" customHeight="1">
      <c r="A109" s="108"/>
      <c r="B109" s="64"/>
      <c r="C109" s="64"/>
      <c r="D109" s="64"/>
      <c r="E109" s="64"/>
      <c r="F109" s="63"/>
      <c r="G109" s="63"/>
      <c r="H109" s="64"/>
      <c r="I109" s="64"/>
      <c r="J109" s="64"/>
      <c r="K109" s="64"/>
      <c r="L109" s="64"/>
      <c r="M109" s="64"/>
      <c r="N109" s="64"/>
      <c r="O109" s="64"/>
      <c r="P109" s="64"/>
      <c r="Q109" s="64"/>
      <c r="R109" s="64"/>
      <c r="S109" s="64"/>
      <c r="T109" s="64"/>
      <c r="U109" s="64"/>
      <c r="V109" s="64"/>
      <c r="W109" s="64"/>
      <c r="X109" s="64"/>
      <c r="Y109" s="64"/>
      <c r="Z109" s="64"/>
    </row>
    <row r="110" ht="12.75" customHeight="1">
      <c r="A110" s="108"/>
      <c r="B110" s="64"/>
      <c r="C110" s="64"/>
      <c r="D110" s="64"/>
      <c r="E110" s="64"/>
      <c r="F110" s="63"/>
      <c r="G110" s="63"/>
      <c r="H110" s="64"/>
      <c r="I110" s="64"/>
      <c r="J110" s="64"/>
      <c r="K110" s="64"/>
      <c r="L110" s="64"/>
      <c r="M110" s="64"/>
      <c r="N110" s="64"/>
      <c r="O110" s="64"/>
      <c r="P110" s="64"/>
      <c r="Q110" s="64"/>
      <c r="R110" s="64"/>
      <c r="S110" s="64"/>
      <c r="T110" s="64"/>
      <c r="U110" s="64"/>
      <c r="V110" s="64"/>
      <c r="W110" s="64"/>
      <c r="X110" s="64"/>
      <c r="Y110" s="64"/>
      <c r="Z110" s="64"/>
    </row>
    <row r="111" ht="12.75" customHeight="1">
      <c r="A111" s="108"/>
      <c r="B111" s="64"/>
      <c r="C111" s="64"/>
      <c r="D111" s="64"/>
      <c r="E111" s="64"/>
      <c r="F111" s="63"/>
      <c r="G111" s="63"/>
      <c r="H111" s="64"/>
      <c r="I111" s="64"/>
      <c r="J111" s="64"/>
      <c r="K111" s="64"/>
      <c r="L111" s="64"/>
      <c r="M111" s="64"/>
      <c r="N111" s="64"/>
      <c r="O111" s="64"/>
      <c r="P111" s="64"/>
      <c r="Q111" s="64"/>
      <c r="R111" s="64"/>
      <c r="S111" s="64"/>
      <c r="T111" s="64"/>
      <c r="U111" s="64"/>
      <c r="V111" s="64"/>
      <c r="W111" s="64"/>
      <c r="X111" s="64"/>
      <c r="Y111" s="64"/>
      <c r="Z111" s="64"/>
    </row>
    <row r="112" ht="12.75" customHeight="1">
      <c r="A112" s="108"/>
      <c r="B112" s="64"/>
      <c r="C112" s="64"/>
      <c r="D112" s="64"/>
      <c r="E112" s="64"/>
      <c r="F112" s="63"/>
      <c r="G112" s="63"/>
      <c r="H112" s="64"/>
      <c r="I112" s="64"/>
      <c r="J112" s="64"/>
      <c r="K112" s="64"/>
      <c r="L112" s="64"/>
      <c r="M112" s="64"/>
      <c r="N112" s="64"/>
      <c r="O112" s="64"/>
      <c r="P112" s="64"/>
      <c r="Q112" s="64"/>
      <c r="R112" s="64"/>
      <c r="S112" s="64"/>
      <c r="T112" s="64"/>
      <c r="U112" s="64"/>
      <c r="V112" s="64"/>
      <c r="W112" s="64"/>
      <c r="X112" s="64"/>
      <c r="Y112" s="64"/>
      <c r="Z112" s="64"/>
    </row>
    <row r="113" ht="12.75" customHeight="1">
      <c r="A113" s="108"/>
      <c r="B113" s="64"/>
      <c r="C113" s="64"/>
      <c r="D113" s="64"/>
      <c r="E113" s="64"/>
      <c r="F113" s="63"/>
      <c r="G113" s="63"/>
      <c r="H113" s="64"/>
      <c r="I113" s="64"/>
      <c r="J113" s="64"/>
      <c r="K113" s="64"/>
      <c r="L113" s="64"/>
      <c r="M113" s="64"/>
      <c r="N113" s="64"/>
      <c r="O113" s="64"/>
      <c r="P113" s="64"/>
      <c r="Q113" s="64"/>
      <c r="R113" s="64"/>
      <c r="S113" s="64"/>
      <c r="T113" s="64"/>
      <c r="U113" s="64"/>
      <c r="V113" s="64"/>
      <c r="W113" s="64"/>
      <c r="X113" s="64"/>
      <c r="Y113" s="64"/>
      <c r="Z113" s="64"/>
    </row>
    <row r="114" ht="12.75" customHeight="1">
      <c r="A114" s="108"/>
      <c r="B114" s="64"/>
      <c r="C114" s="64"/>
      <c r="D114" s="64"/>
      <c r="E114" s="64"/>
      <c r="F114" s="63"/>
      <c r="G114" s="63"/>
      <c r="H114" s="64"/>
      <c r="I114" s="64"/>
      <c r="J114" s="64"/>
      <c r="K114" s="64"/>
      <c r="L114" s="64"/>
      <c r="M114" s="64"/>
      <c r="N114" s="64"/>
      <c r="O114" s="64"/>
      <c r="P114" s="64"/>
      <c r="Q114" s="64"/>
      <c r="R114" s="64"/>
      <c r="S114" s="64"/>
      <c r="T114" s="64"/>
      <c r="U114" s="64"/>
      <c r="V114" s="64"/>
      <c r="W114" s="64"/>
      <c r="X114" s="64"/>
      <c r="Y114" s="64"/>
      <c r="Z114" s="64"/>
    </row>
    <row r="115" ht="12.75" customHeight="1">
      <c r="A115" s="108"/>
      <c r="B115" s="64"/>
      <c r="C115" s="64"/>
      <c r="D115" s="64"/>
      <c r="E115" s="64"/>
      <c r="F115" s="63"/>
      <c r="G115" s="63"/>
      <c r="H115" s="64"/>
      <c r="I115" s="64"/>
      <c r="J115" s="64"/>
      <c r="K115" s="64"/>
      <c r="L115" s="64"/>
      <c r="M115" s="64"/>
      <c r="N115" s="64"/>
      <c r="O115" s="64"/>
      <c r="P115" s="64"/>
      <c r="Q115" s="64"/>
      <c r="R115" s="64"/>
      <c r="S115" s="64"/>
      <c r="T115" s="64"/>
      <c r="U115" s="64"/>
      <c r="V115" s="64"/>
      <c r="W115" s="64"/>
      <c r="X115" s="64"/>
      <c r="Y115" s="64"/>
      <c r="Z115" s="64"/>
    </row>
    <row r="116" ht="12.75" customHeight="1">
      <c r="A116" s="108"/>
      <c r="B116" s="64"/>
      <c r="C116" s="64"/>
      <c r="D116" s="64"/>
      <c r="E116" s="64"/>
      <c r="F116" s="63"/>
      <c r="G116" s="63"/>
      <c r="H116" s="64"/>
      <c r="I116" s="64"/>
      <c r="J116" s="64"/>
      <c r="K116" s="64"/>
      <c r="L116" s="64"/>
      <c r="M116" s="64"/>
      <c r="N116" s="64"/>
      <c r="O116" s="64"/>
      <c r="P116" s="64"/>
      <c r="Q116" s="64"/>
      <c r="R116" s="64"/>
      <c r="S116" s="64"/>
      <c r="T116" s="64"/>
      <c r="U116" s="64"/>
      <c r="V116" s="64"/>
      <c r="W116" s="64"/>
      <c r="X116" s="64"/>
      <c r="Y116" s="64"/>
      <c r="Z116" s="64"/>
    </row>
    <row r="117" ht="12.75" customHeight="1">
      <c r="A117" s="108"/>
      <c r="B117" s="64"/>
      <c r="C117" s="64"/>
      <c r="D117" s="64"/>
      <c r="E117" s="64"/>
      <c r="F117" s="63"/>
      <c r="G117" s="63"/>
      <c r="H117" s="64"/>
      <c r="I117" s="64"/>
      <c r="J117" s="64"/>
      <c r="K117" s="64"/>
      <c r="L117" s="64"/>
      <c r="M117" s="64"/>
      <c r="N117" s="64"/>
      <c r="O117" s="64"/>
      <c r="P117" s="64"/>
      <c r="Q117" s="64"/>
      <c r="R117" s="64"/>
      <c r="S117" s="64"/>
      <c r="T117" s="64"/>
      <c r="U117" s="64"/>
      <c r="V117" s="64"/>
      <c r="W117" s="64"/>
      <c r="X117" s="64"/>
      <c r="Y117" s="64"/>
      <c r="Z117" s="64"/>
    </row>
    <row r="118" ht="12.75" customHeight="1">
      <c r="A118" s="108"/>
      <c r="B118" s="64"/>
      <c r="C118" s="64"/>
      <c r="D118" s="64"/>
      <c r="E118" s="64"/>
      <c r="F118" s="63"/>
      <c r="G118" s="63"/>
      <c r="H118" s="64"/>
      <c r="I118" s="64"/>
      <c r="J118" s="64"/>
      <c r="K118" s="64"/>
      <c r="L118" s="64"/>
      <c r="M118" s="64"/>
      <c r="N118" s="64"/>
      <c r="O118" s="64"/>
      <c r="P118" s="64"/>
      <c r="Q118" s="64"/>
      <c r="R118" s="64"/>
      <c r="S118" s="64"/>
      <c r="T118" s="64"/>
      <c r="U118" s="64"/>
      <c r="V118" s="64"/>
      <c r="W118" s="64"/>
      <c r="X118" s="64"/>
      <c r="Y118" s="64"/>
      <c r="Z118" s="64"/>
    </row>
    <row r="119" ht="12.75" customHeight="1">
      <c r="A119" s="108"/>
      <c r="B119" s="64"/>
      <c r="C119" s="64"/>
      <c r="D119" s="64"/>
      <c r="E119" s="64"/>
      <c r="F119" s="63"/>
      <c r="G119" s="63"/>
      <c r="H119" s="64"/>
      <c r="I119" s="64"/>
      <c r="J119" s="64"/>
      <c r="K119" s="64"/>
      <c r="L119" s="64"/>
      <c r="M119" s="64"/>
      <c r="N119" s="64"/>
      <c r="O119" s="64"/>
      <c r="P119" s="64"/>
      <c r="Q119" s="64"/>
      <c r="R119" s="64"/>
      <c r="S119" s="64"/>
      <c r="T119" s="64"/>
      <c r="U119" s="64"/>
      <c r="V119" s="64"/>
      <c r="W119" s="64"/>
      <c r="X119" s="64"/>
      <c r="Y119" s="64"/>
      <c r="Z119" s="64"/>
    </row>
    <row r="120" ht="12.75" customHeight="1">
      <c r="A120" s="108"/>
      <c r="B120" s="64"/>
      <c r="C120" s="64"/>
      <c r="D120" s="64"/>
      <c r="E120" s="64"/>
      <c r="F120" s="63"/>
      <c r="G120" s="63"/>
      <c r="H120" s="64"/>
      <c r="I120" s="64"/>
      <c r="J120" s="64"/>
      <c r="K120" s="64"/>
      <c r="L120" s="64"/>
      <c r="M120" s="64"/>
      <c r="N120" s="64"/>
      <c r="O120" s="64"/>
      <c r="P120" s="64"/>
      <c r="Q120" s="64"/>
      <c r="R120" s="64"/>
      <c r="S120" s="64"/>
      <c r="T120" s="64"/>
      <c r="U120" s="64"/>
      <c r="V120" s="64"/>
      <c r="W120" s="64"/>
      <c r="X120" s="64"/>
      <c r="Y120" s="64"/>
      <c r="Z120" s="64"/>
    </row>
    <row r="121" ht="12.75" customHeight="1">
      <c r="A121" s="108"/>
      <c r="B121" s="64"/>
      <c r="C121" s="64"/>
      <c r="D121" s="64"/>
      <c r="E121" s="64"/>
      <c r="F121" s="63"/>
      <c r="G121" s="63"/>
      <c r="H121" s="64"/>
      <c r="I121" s="64"/>
      <c r="J121" s="64"/>
      <c r="K121" s="64"/>
      <c r="L121" s="64"/>
      <c r="M121" s="64"/>
      <c r="N121" s="64"/>
      <c r="O121" s="64"/>
      <c r="P121" s="64"/>
      <c r="Q121" s="64"/>
      <c r="R121" s="64"/>
      <c r="S121" s="64"/>
      <c r="T121" s="64"/>
      <c r="U121" s="64"/>
      <c r="V121" s="64"/>
      <c r="W121" s="64"/>
      <c r="X121" s="64"/>
      <c r="Y121" s="64"/>
      <c r="Z121" s="64"/>
    </row>
    <row r="122" ht="12.75" customHeight="1">
      <c r="A122" s="108"/>
      <c r="B122" s="64"/>
      <c r="C122" s="64"/>
      <c r="D122" s="64"/>
      <c r="E122" s="64"/>
      <c r="F122" s="63"/>
      <c r="G122" s="63"/>
      <c r="H122" s="64"/>
      <c r="I122" s="64"/>
      <c r="J122" s="64"/>
      <c r="K122" s="64"/>
      <c r="L122" s="64"/>
      <c r="M122" s="64"/>
      <c r="N122" s="64"/>
      <c r="O122" s="64"/>
      <c r="P122" s="64"/>
      <c r="Q122" s="64"/>
      <c r="R122" s="64"/>
      <c r="S122" s="64"/>
      <c r="T122" s="64"/>
      <c r="U122" s="64"/>
      <c r="V122" s="64"/>
      <c r="W122" s="64"/>
      <c r="X122" s="64"/>
      <c r="Y122" s="64"/>
      <c r="Z122" s="64"/>
    </row>
    <row r="123" ht="12.75" customHeight="1">
      <c r="A123" s="108"/>
      <c r="B123" s="64"/>
      <c r="C123" s="64"/>
      <c r="D123" s="64"/>
      <c r="E123" s="64"/>
      <c r="F123" s="63"/>
      <c r="G123" s="63"/>
      <c r="H123" s="64"/>
      <c r="I123" s="64"/>
      <c r="J123" s="64"/>
      <c r="K123" s="64"/>
      <c r="L123" s="64"/>
      <c r="M123" s="64"/>
      <c r="N123" s="64"/>
      <c r="O123" s="64"/>
      <c r="P123" s="64"/>
      <c r="Q123" s="64"/>
      <c r="R123" s="64"/>
      <c r="S123" s="64"/>
      <c r="T123" s="64"/>
      <c r="U123" s="64"/>
      <c r="V123" s="64"/>
      <c r="W123" s="64"/>
      <c r="X123" s="64"/>
      <c r="Y123" s="64"/>
      <c r="Z123" s="64"/>
    </row>
    <row r="124" ht="12.75" customHeight="1">
      <c r="A124" s="108"/>
      <c r="B124" s="64"/>
      <c r="C124" s="64"/>
      <c r="D124" s="64"/>
      <c r="E124" s="64"/>
      <c r="F124" s="63"/>
      <c r="G124" s="63"/>
      <c r="H124" s="64"/>
      <c r="I124" s="64"/>
      <c r="J124" s="64"/>
      <c r="K124" s="64"/>
      <c r="L124" s="64"/>
      <c r="M124" s="64"/>
      <c r="N124" s="64"/>
      <c r="O124" s="64"/>
      <c r="P124" s="64"/>
      <c r="Q124" s="64"/>
      <c r="R124" s="64"/>
      <c r="S124" s="64"/>
      <c r="T124" s="64"/>
      <c r="U124" s="64"/>
      <c r="V124" s="64"/>
      <c r="W124" s="64"/>
      <c r="X124" s="64"/>
      <c r="Y124" s="64"/>
      <c r="Z124" s="64"/>
    </row>
    <row r="125" ht="12.75" customHeight="1">
      <c r="A125" s="108"/>
      <c r="B125" s="64"/>
      <c r="C125" s="64"/>
      <c r="D125" s="64"/>
      <c r="E125" s="64"/>
      <c r="F125" s="63"/>
      <c r="G125" s="63"/>
      <c r="H125" s="64"/>
      <c r="I125" s="64"/>
      <c r="J125" s="64"/>
      <c r="K125" s="64"/>
      <c r="L125" s="64"/>
      <c r="M125" s="64"/>
      <c r="N125" s="64"/>
      <c r="O125" s="64"/>
      <c r="P125" s="64"/>
      <c r="Q125" s="64"/>
      <c r="R125" s="64"/>
      <c r="S125" s="64"/>
      <c r="T125" s="64"/>
      <c r="U125" s="64"/>
      <c r="V125" s="64"/>
      <c r="W125" s="64"/>
      <c r="X125" s="64"/>
      <c r="Y125" s="64"/>
      <c r="Z125" s="64"/>
    </row>
    <row r="126" ht="12.75" customHeight="1">
      <c r="A126" s="108"/>
      <c r="B126" s="64"/>
      <c r="C126" s="64"/>
      <c r="D126" s="64"/>
      <c r="E126" s="64"/>
      <c r="F126" s="63"/>
      <c r="G126" s="63"/>
      <c r="H126" s="64"/>
      <c r="I126" s="64"/>
      <c r="J126" s="64"/>
      <c r="K126" s="64"/>
      <c r="L126" s="64"/>
      <c r="M126" s="64"/>
      <c r="N126" s="64"/>
      <c r="O126" s="64"/>
      <c r="P126" s="64"/>
      <c r="Q126" s="64"/>
      <c r="R126" s="64"/>
      <c r="S126" s="64"/>
      <c r="T126" s="64"/>
      <c r="U126" s="64"/>
      <c r="V126" s="64"/>
      <c r="W126" s="64"/>
      <c r="X126" s="64"/>
      <c r="Y126" s="64"/>
      <c r="Z126" s="64"/>
    </row>
    <row r="127" ht="12.75" customHeight="1">
      <c r="A127" s="108"/>
      <c r="B127" s="64"/>
      <c r="C127" s="64"/>
      <c r="D127" s="64"/>
      <c r="E127" s="64"/>
      <c r="F127" s="63"/>
      <c r="G127" s="63"/>
      <c r="H127" s="64"/>
      <c r="I127" s="64"/>
      <c r="J127" s="64"/>
      <c r="K127" s="64"/>
      <c r="L127" s="64"/>
      <c r="M127" s="64"/>
      <c r="N127" s="64"/>
      <c r="O127" s="64"/>
      <c r="P127" s="64"/>
      <c r="Q127" s="64"/>
      <c r="R127" s="64"/>
      <c r="S127" s="64"/>
      <c r="T127" s="64"/>
      <c r="U127" s="64"/>
      <c r="V127" s="64"/>
      <c r="W127" s="64"/>
      <c r="X127" s="64"/>
      <c r="Y127" s="64"/>
      <c r="Z127" s="64"/>
    </row>
    <row r="128" ht="12.75" customHeight="1">
      <c r="A128" s="108"/>
      <c r="B128" s="64"/>
      <c r="C128" s="64"/>
      <c r="D128" s="64"/>
      <c r="E128" s="64"/>
      <c r="F128" s="63"/>
      <c r="G128" s="63"/>
      <c r="H128" s="64"/>
      <c r="I128" s="64"/>
      <c r="J128" s="64"/>
      <c r="K128" s="64"/>
      <c r="L128" s="64"/>
      <c r="M128" s="64"/>
      <c r="N128" s="64"/>
      <c r="O128" s="64"/>
      <c r="P128" s="64"/>
      <c r="Q128" s="64"/>
      <c r="R128" s="64"/>
      <c r="S128" s="64"/>
      <c r="T128" s="64"/>
      <c r="U128" s="64"/>
      <c r="V128" s="64"/>
      <c r="W128" s="64"/>
      <c r="X128" s="64"/>
      <c r="Y128" s="64"/>
      <c r="Z128" s="64"/>
    </row>
    <row r="129" ht="12.75" customHeight="1">
      <c r="A129" s="108"/>
      <c r="B129" s="64"/>
      <c r="C129" s="64"/>
      <c r="D129" s="64"/>
      <c r="E129" s="64"/>
      <c r="F129" s="63"/>
      <c r="G129" s="63"/>
      <c r="H129" s="64"/>
      <c r="I129" s="64"/>
      <c r="J129" s="64"/>
      <c r="K129" s="64"/>
      <c r="L129" s="64"/>
      <c r="M129" s="64"/>
      <c r="N129" s="64"/>
      <c r="O129" s="64"/>
      <c r="P129" s="64"/>
      <c r="Q129" s="64"/>
      <c r="R129" s="64"/>
      <c r="S129" s="64"/>
      <c r="T129" s="64"/>
      <c r="U129" s="64"/>
      <c r="V129" s="64"/>
      <c r="W129" s="64"/>
      <c r="X129" s="64"/>
      <c r="Y129" s="64"/>
      <c r="Z129" s="64"/>
    </row>
    <row r="130" ht="12.75" customHeight="1">
      <c r="A130" s="108"/>
      <c r="B130" s="64"/>
      <c r="C130" s="64"/>
      <c r="D130" s="64"/>
      <c r="E130" s="64"/>
      <c r="F130" s="63"/>
      <c r="G130" s="63"/>
      <c r="H130" s="64"/>
      <c r="I130" s="64"/>
      <c r="J130" s="64"/>
      <c r="K130" s="64"/>
      <c r="L130" s="64"/>
      <c r="M130" s="64"/>
      <c r="N130" s="64"/>
      <c r="O130" s="64"/>
      <c r="P130" s="64"/>
      <c r="Q130" s="64"/>
      <c r="R130" s="64"/>
      <c r="S130" s="64"/>
      <c r="T130" s="64"/>
      <c r="U130" s="64"/>
      <c r="V130" s="64"/>
      <c r="W130" s="64"/>
      <c r="X130" s="64"/>
      <c r="Y130" s="64"/>
      <c r="Z130" s="64"/>
    </row>
    <row r="131" ht="12.75" customHeight="1">
      <c r="A131" s="108"/>
      <c r="B131" s="64"/>
      <c r="C131" s="64"/>
      <c r="D131" s="64"/>
      <c r="E131" s="64"/>
      <c r="F131" s="63"/>
      <c r="G131" s="63"/>
      <c r="H131" s="64"/>
      <c r="I131" s="64"/>
      <c r="J131" s="64"/>
      <c r="K131" s="64"/>
      <c r="L131" s="64"/>
      <c r="M131" s="64"/>
      <c r="N131" s="64"/>
      <c r="O131" s="64"/>
      <c r="P131" s="64"/>
      <c r="Q131" s="64"/>
      <c r="R131" s="64"/>
      <c r="S131" s="64"/>
      <c r="T131" s="64"/>
      <c r="U131" s="64"/>
      <c r="V131" s="64"/>
      <c r="W131" s="64"/>
      <c r="X131" s="64"/>
      <c r="Y131" s="64"/>
      <c r="Z131" s="64"/>
    </row>
    <row r="132" ht="12.75" customHeight="1">
      <c r="A132" s="108"/>
      <c r="B132" s="64"/>
      <c r="C132" s="64"/>
      <c r="D132" s="64"/>
      <c r="E132" s="64"/>
      <c r="F132" s="63"/>
      <c r="G132" s="63"/>
      <c r="H132" s="64"/>
      <c r="I132" s="64"/>
      <c r="J132" s="64"/>
      <c r="K132" s="64"/>
      <c r="L132" s="64"/>
      <c r="M132" s="64"/>
      <c r="N132" s="64"/>
      <c r="O132" s="64"/>
      <c r="P132" s="64"/>
      <c r="Q132" s="64"/>
      <c r="R132" s="64"/>
      <c r="S132" s="64"/>
      <c r="T132" s="64"/>
      <c r="U132" s="64"/>
      <c r="V132" s="64"/>
      <c r="W132" s="64"/>
      <c r="X132" s="64"/>
      <c r="Y132" s="64"/>
      <c r="Z132" s="64"/>
    </row>
    <row r="133" ht="12.75" customHeight="1">
      <c r="A133" s="108"/>
      <c r="B133" s="64"/>
      <c r="C133" s="64"/>
      <c r="D133" s="64"/>
      <c r="E133" s="64"/>
      <c r="F133" s="63"/>
      <c r="G133" s="63"/>
      <c r="H133" s="64"/>
      <c r="I133" s="64"/>
      <c r="J133" s="64"/>
      <c r="K133" s="64"/>
      <c r="L133" s="64"/>
      <c r="M133" s="64"/>
      <c r="N133" s="64"/>
      <c r="O133" s="64"/>
      <c r="P133" s="64"/>
      <c r="Q133" s="64"/>
      <c r="R133" s="64"/>
      <c r="S133" s="64"/>
      <c r="T133" s="64"/>
      <c r="U133" s="64"/>
      <c r="V133" s="64"/>
      <c r="W133" s="64"/>
      <c r="X133" s="64"/>
      <c r="Y133" s="64"/>
      <c r="Z133" s="64"/>
    </row>
    <row r="134" ht="12.75" customHeight="1">
      <c r="A134" s="108"/>
      <c r="B134" s="64"/>
      <c r="C134" s="64"/>
      <c r="D134" s="64"/>
      <c r="E134" s="64"/>
      <c r="F134" s="63"/>
      <c r="G134" s="63"/>
      <c r="H134" s="64"/>
      <c r="I134" s="64"/>
      <c r="J134" s="64"/>
      <c r="K134" s="64"/>
      <c r="L134" s="64"/>
      <c r="M134" s="64"/>
      <c r="N134" s="64"/>
      <c r="O134" s="64"/>
      <c r="P134" s="64"/>
      <c r="Q134" s="64"/>
      <c r="R134" s="64"/>
      <c r="S134" s="64"/>
      <c r="T134" s="64"/>
      <c r="U134" s="64"/>
      <c r="V134" s="64"/>
      <c r="W134" s="64"/>
      <c r="X134" s="64"/>
      <c r="Y134" s="64"/>
      <c r="Z134" s="64"/>
    </row>
    <row r="135" ht="12.75" customHeight="1">
      <c r="A135" s="108"/>
      <c r="B135" s="64"/>
      <c r="C135" s="64"/>
      <c r="D135" s="64"/>
      <c r="E135" s="64"/>
      <c r="F135" s="63"/>
      <c r="G135" s="63"/>
      <c r="H135" s="64"/>
      <c r="I135" s="64"/>
      <c r="J135" s="64"/>
      <c r="K135" s="64"/>
      <c r="L135" s="64"/>
      <c r="M135" s="64"/>
      <c r="N135" s="64"/>
      <c r="O135" s="64"/>
      <c r="P135" s="64"/>
      <c r="Q135" s="64"/>
      <c r="R135" s="64"/>
      <c r="S135" s="64"/>
      <c r="T135" s="64"/>
      <c r="U135" s="64"/>
      <c r="V135" s="64"/>
      <c r="W135" s="64"/>
      <c r="X135" s="64"/>
      <c r="Y135" s="64"/>
      <c r="Z135" s="64"/>
    </row>
    <row r="136" ht="12.75" customHeight="1">
      <c r="A136" s="108"/>
      <c r="B136" s="64"/>
      <c r="C136" s="64"/>
      <c r="D136" s="64"/>
      <c r="E136" s="64"/>
      <c r="F136" s="63"/>
      <c r="G136" s="63"/>
      <c r="H136" s="64"/>
      <c r="I136" s="64"/>
      <c r="J136" s="64"/>
      <c r="K136" s="64"/>
      <c r="L136" s="64"/>
      <c r="M136" s="64"/>
      <c r="N136" s="64"/>
      <c r="O136" s="64"/>
      <c r="P136" s="64"/>
      <c r="Q136" s="64"/>
      <c r="R136" s="64"/>
      <c r="S136" s="64"/>
      <c r="T136" s="64"/>
      <c r="U136" s="64"/>
      <c r="V136" s="64"/>
      <c r="W136" s="64"/>
      <c r="X136" s="64"/>
      <c r="Y136" s="64"/>
      <c r="Z136" s="64"/>
    </row>
    <row r="137" ht="12.75" customHeight="1">
      <c r="A137" s="108"/>
      <c r="B137" s="64"/>
      <c r="C137" s="64"/>
      <c r="D137" s="64"/>
      <c r="E137" s="64"/>
      <c r="F137" s="63"/>
      <c r="G137" s="63"/>
      <c r="H137" s="64"/>
      <c r="I137" s="64"/>
      <c r="J137" s="64"/>
      <c r="K137" s="64"/>
      <c r="L137" s="64"/>
      <c r="M137" s="64"/>
      <c r="N137" s="64"/>
      <c r="O137" s="64"/>
      <c r="P137" s="64"/>
      <c r="Q137" s="64"/>
      <c r="R137" s="64"/>
      <c r="S137" s="64"/>
      <c r="T137" s="64"/>
      <c r="U137" s="64"/>
      <c r="V137" s="64"/>
      <c r="W137" s="64"/>
      <c r="X137" s="64"/>
      <c r="Y137" s="64"/>
      <c r="Z137" s="64"/>
    </row>
    <row r="138" ht="12.75" customHeight="1">
      <c r="A138" s="108"/>
      <c r="B138" s="64"/>
      <c r="C138" s="64"/>
      <c r="D138" s="64"/>
      <c r="E138" s="64"/>
      <c r="F138" s="63"/>
      <c r="G138" s="63"/>
      <c r="H138" s="64"/>
      <c r="I138" s="64"/>
      <c r="J138" s="64"/>
      <c r="K138" s="64"/>
      <c r="L138" s="64"/>
      <c r="M138" s="64"/>
      <c r="N138" s="64"/>
      <c r="O138" s="64"/>
      <c r="P138" s="64"/>
      <c r="Q138" s="64"/>
      <c r="R138" s="64"/>
      <c r="S138" s="64"/>
      <c r="T138" s="64"/>
      <c r="U138" s="64"/>
      <c r="V138" s="64"/>
      <c r="W138" s="64"/>
      <c r="X138" s="64"/>
      <c r="Y138" s="64"/>
      <c r="Z138" s="64"/>
    </row>
    <row r="139" ht="12.75" customHeight="1">
      <c r="A139" s="108"/>
      <c r="B139" s="64"/>
      <c r="C139" s="64"/>
      <c r="D139" s="64"/>
      <c r="E139" s="64"/>
      <c r="F139" s="63"/>
      <c r="G139" s="63"/>
      <c r="H139" s="64"/>
      <c r="I139" s="64"/>
      <c r="J139" s="64"/>
      <c r="K139" s="64"/>
      <c r="L139" s="64"/>
      <c r="M139" s="64"/>
      <c r="N139" s="64"/>
      <c r="O139" s="64"/>
      <c r="P139" s="64"/>
      <c r="Q139" s="64"/>
      <c r="R139" s="64"/>
      <c r="S139" s="64"/>
      <c r="T139" s="64"/>
      <c r="U139" s="64"/>
      <c r="V139" s="64"/>
      <c r="W139" s="64"/>
      <c r="X139" s="64"/>
      <c r="Y139" s="64"/>
      <c r="Z139" s="64"/>
    </row>
    <row r="140" ht="12.75" customHeight="1">
      <c r="A140" s="108"/>
      <c r="B140" s="64"/>
      <c r="C140" s="64"/>
      <c r="D140" s="64"/>
      <c r="E140" s="64"/>
      <c r="F140" s="63"/>
      <c r="G140" s="63"/>
      <c r="H140" s="64"/>
      <c r="I140" s="64"/>
      <c r="J140" s="64"/>
      <c r="K140" s="64"/>
      <c r="L140" s="64"/>
      <c r="M140" s="64"/>
      <c r="N140" s="64"/>
      <c r="O140" s="64"/>
      <c r="P140" s="64"/>
      <c r="Q140" s="64"/>
      <c r="R140" s="64"/>
      <c r="S140" s="64"/>
      <c r="T140" s="64"/>
      <c r="U140" s="64"/>
      <c r="V140" s="64"/>
      <c r="W140" s="64"/>
      <c r="X140" s="64"/>
      <c r="Y140" s="64"/>
      <c r="Z140" s="64"/>
    </row>
    <row r="141" ht="12.75" customHeight="1">
      <c r="A141" s="108"/>
      <c r="B141" s="64"/>
      <c r="C141" s="64"/>
      <c r="D141" s="64"/>
      <c r="E141" s="64"/>
      <c r="F141" s="63"/>
      <c r="G141" s="63"/>
      <c r="H141" s="64"/>
      <c r="I141" s="64"/>
      <c r="J141" s="64"/>
      <c r="K141" s="64"/>
      <c r="L141" s="64"/>
      <c r="M141" s="64"/>
      <c r="N141" s="64"/>
      <c r="O141" s="64"/>
      <c r="P141" s="64"/>
      <c r="Q141" s="64"/>
      <c r="R141" s="64"/>
      <c r="S141" s="64"/>
      <c r="T141" s="64"/>
      <c r="U141" s="64"/>
      <c r="V141" s="64"/>
      <c r="W141" s="64"/>
      <c r="X141" s="64"/>
      <c r="Y141" s="64"/>
      <c r="Z141" s="64"/>
    </row>
    <row r="142" ht="12.75" customHeight="1">
      <c r="A142" s="108"/>
      <c r="B142" s="64"/>
      <c r="C142" s="64"/>
      <c r="D142" s="64"/>
      <c r="E142" s="64"/>
      <c r="F142" s="63"/>
      <c r="G142" s="63"/>
      <c r="H142" s="64"/>
      <c r="I142" s="64"/>
      <c r="J142" s="64"/>
      <c r="K142" s="64"/>
      <c r="L142" s="64"/>
      <c r="M142" s="64"/>
      <c r="N142" s="64"/>
      <c r="O142" s="64"/>
      <c r="P142" s="64"/>
      <c r="Q142" s="64"/>
      <c r="R142" s="64"/>
      <c r="S142" s="64"/>
      <c r="T142" s="64"/>
      <c r="U142" s="64"/>
      <c r="V142" s="64"/>
      <c r="W142" s="64"/>
      <c r="X142" s="64"/>
      <c r="Y142" s="64"/>
      <c r="Z142" s="64"/>
    </row>
    <row r="143" ht="12.75" customHeight="1">
      <c r="A143" s="108"/>
      <c r="B143" s="64"/>
      <c r="C143" s="64"/>
      <c r="D143" s="64"/>
      <c r="E143" s="64"/>
      <c r="F143" s="63"/>
      <c r="G143" s="63"/>
      <c r="H143" s="64"/>
      <c r="I143" s="64"/>
      <c r="J143" s="64"/>
      <c r="K143" s="64"/>
      <c r="L143" s="64"/>
      <c r="M143" s="64"/>
      <c r="N143" s="64"/>
      <c r="O143" s="64"/>
      <c r="P143" s="64"/>
      <c r="Q143" s="64"/>
      <c r="R143" s="64"/>
      <c r="S143" s="64"/>
      <c r="T143" s="64"/>
      <c r="U143" s="64"/>
      <c r="V143" s="64"/>
      <c r="W143" s="64"/>
      <c r="X143" s="64"/>
      <c r="Y143" s="64"/>
      <c r="Z143" s="64"/>
    </row>
    <row r="144" ht="12.75" customHeight="1">
      <c r="A144" s="108"/>
      <c r="B144" s="64"/>
      <c r="C144" s="64"/>
      <c r="D144" s="64"/>
      <c r="E144" s="64"/>
      <c r="F144" s="63"/>
      <c r="G144" s="63"/>
      <c r="H144" s="64"/>
      <c r="I144" s="64"/>
      <c r="J144" s="64"/>
      <c r="K144" s="64"/>
      <c r="L144" s="64"/>
      <c r="M144" s="64"/>
      <c r="N144" s="64"/>
      <c r="O144" s="64"/>
      <c r="P144" s="64"/>
      <c r="Q144" s="64"/>
      <c r="R144" s="64"/>
      <c r="S144" s="64"/>
      <c r="T144" s="64"/>
      <c r="U144" s="64"/>
      <c r="V144" s="64"/>
      <c r="W144" s="64"/>
      <c r="X144" s="64"/>
      <c r="Y144" s="64"/>
      <c r="Z144" s="64"/>
    </row>
    <row r="145" ht="12.75" customHeight="1">
      <c r="A145" s="108"/>
      <c r="B145" s="64"/>
      <c r="C145" s="64"/>
      <c r="D145" s="64"/>
      <c r="E145" s="64"/>
      <c r="F145" s="63"/>
      <c r="G145" s="63"/>
      <c r="H145" s="64"/>
      <c r="I145" s="64"/>
      <c r="J145" s="64"/>
      <c r="K145" s="64"/>
      <c r="L145" s="64"/>
      <c r="M145" s="64"/>
      <c r="N145" s="64"/>
      <c r="O145" s="64"/>
      <c r="P145" s="64"/>
      <c r="Q145" s="64"/>
      <c r="R145" s="64"/>
      <c r="S145" s="64"/>
      <c r="T145" s="64"/>
      <c r="U145" s="64"/>
      <c r="V145" s="64"/>
      <c r="W145" s="64"/>
      <c r="X145" s="64"/>
      <c r="Y145" s="64"/>
      <c r="Z145" s="64"/>
    </row>
    <row r="146" ht="12.75" customHeight="1">
      <c r="A146" s="108"/>
      <c r="B146" s="64"/>
      <c r="C146" s="64"/>
      <c r="D146" s="64"/>
      <c r="E146" s="64"/>
      <c r="F146" s="63"/>
      <c r="G146" s="63"/>
      <c r="H146" s="64"/>
      <c r="I146" s="64"/>
      <c r="J146" s="64"/>
      <c r="K146" s="64"/>
      <c r="L146" s="64"/>
      <c r="M146" s="64"/>
      <c r="N146" s="64"/>
      <c r="O146" s="64"/>
      <c r="P146" s="64"/>
      <c r="Q146" s="64"/>
      <c r="R146" s="64"/>
      <c r="S146" s="64"/>
      <c r="T146" s="64"/>
      <c r="U146" s="64"/>
      <c r="V146" s="64"/>
      <c r="W146" s="64"/>
      <c r="X146" s="64"/>
      <c r="Y146" s="64"/>
      <c r="Z146" s="64"/>
    </row>
    <row r="147" ht="12.75" customHeight="1">
      <c r="A147" s="108"/>
      <c r="B147" s="64"/>
      <c r="C147" s="64"/>
      <c r="D147" s="64"/>
      <c r="E147" s="64"/>
      <c r="F147" s="63"/>
      <c r="G147" s="63"/>
      <c r="H147" s="64"/>
      <c r="I147" s="64"/>
      <c r="J147" s="64"/>
      <c r="K147" s="64"/>
      <c r="L147" s="64"/>
      <c r="M147" s="64"/>
      <c r="N147" s="64"/>
      <c r="O147" s="64"/>
      <c r="P147" s="64"/>
      <c r="Q147" s="64"/>
      <c r="R147" s="64"/>
      <c r="S147" s="64"/>
      <c r="T147" s="64"/>
      <c r="U147" s="64"/>
      <c r="V147" s="64"/>
      <c r="W147" s="64"/>
      <c r="X147" s="64"/>
      <c r="Y147" s="64"/>
      <c r="Z147" s="64"/>
    </row>
    <row r="148" ht="12.75" customHeight="1">
      <c r="A148" s="108"/>
      <c r="B148" s="64"/>
      <c r="C148" s="64"/>
      <c r="D148" s="64"/>
      <c r="E148" s="64"/>
      <c r="F148" s="63"/>
      <c r="G148" s="63"/>
      <c r="H148" s="64"/>
      <c r="I148" s="64"/>
      <c r="J148" s="64"/>
      <c r="K148" s="64"/>
      <c r="L148" s="64"/>
      <c r="M148" s="64"/>
      <c r="N148" s="64"/>
      <c r="O148" s="64"/>
      <c r="P148" s="64"/>
      <c r="Q148" s="64"/>
      <c r="R148" s="64"/>
      <c r="S148" s="64"/>
      <c r="T148" s="64"/>
      <c r="U148" s="64"/>
      <c r="V148" s="64"/>
      <c r="W148" s="64"/>
      <c r="X148" s="64"/>
      <c r="Y148" s="64"/>
      <c r="Z148" s="64"/>
    </row>
    <row r="149" ht="12.75" customHeight="1">
      <c r="A149" s="108"/>
      <c r="B149" s="64"/>
      <c r="C149" s="64"/>
      <c r="D149" s="64"/>
      <c r="E149" s="64"/>
      <c r="F149" s="63"/>
      <c r="G149" s="63"/>
      <c r="H149" s="64"/>
      <c r="I149" s="64"/>
      <c r="J149" s="64"/>
      <c r="K149" s="64"/>
      <c r="L149" s="64"/>
      <c r="M149" s="64"/>
      <c r="N149" s="64"/>
      <c r="O149" s="64"/>
      <c r="P149" s="64"/>
      <c r="Q149" s="64"/>
      <c r="R149" s="64"/>
      <c r="S149" s="64"/>
      <c r="T149" s="64"/>
      <c r="U149" s="64"/>
      <c r="V149" s="64"/>
      <c r="W149" s="64"/>
      <c r="X149" s="64"/>
      <c r="Y149" s="64"/>
      <c r="Z149" s="64"/>
    </row>
    <row r="150" ht="12.75" customHeight="1">
      <c r="A150" s="108"/>
      <c r="B150" s="64"/>
      <c r="C150" s="64"/>
      <c r="D150" s="64"/>
      <c r="E150" s="64"/>
      <c r="F150" s="63"/>
      <c r="G150" s="63"/>
      <c r="H150" s="64"/>
      <c r="I150" s="64"/>
      <c r="J150" s="64"/>
      <c r="K150" s="64"/>
      <c r="L150" s="64"/>
      <c r="M150" s="64"/>
      <c r="N150" s="64"/>
      <c r="O150" s="64"/>
      <c r="P150" s="64"/>
      <c r="Q150" s="64"/>
      <c r="R150" s="64"/>
      <c r="S150" s="64"/>
      <c r="T150" s="64"/>
      <c r="U150" s="64"/>
      <c r="V150" s="64"/>
      <c r="W150" s="64"/>
      <c r="X150" s="64"/>
      <c r="Y150" s="64"/>
      <c r="Z150" s="64"/>
    </row>
    <row r="151" ht="12.75" customHeight="1">
      <c r="A151" s="108"/>
      <c r="B151" s="64"/>
      <c r="C151" s="64"/>
      <c r="D151" s="64"/>
      <c r="E151" s="64"/>
      <c r="F151" s="63"/>
      <c r="G151" s="63"/>
      <c r="H151" s="64"/>
      <c r="I151" s="64"/>
      <c r="J151" s="64"/>
      <c r="K151" s="64"/>
      <c r="L151" s="64"/>
      <c r="M151" s="64"/>
      <c r="N151" s="64"/>
      <c r="O151" s="64"/>
      <c r="P151" s="64"/>
      <c r="Q151" s="64"/>
      <c r="R151" s="64"/>
      <c r="S151" s="64"/>
      <c r="T151" s="64"/>
      <c r="U151" s="64"/>
      <c r="V151" s="64"/>
      <c r="W151" s="64"/>
      <c r="X151" s="64"/>
      <c r="Y151" s="64"/>
      <c r="Z151" s="64"/>
    </row>
    <row r="152" ht="12.75" customHeight="1">
      <c r="A152" s="108"/>
      <c r="B152" s="64"/>
      <c r="C152" s="64"/>
      <c r="D152" s="64"/>
      <c r="E152" s="64"/>
      <c r="F152" s="63"/>
      <c r="G152" s="63"/>
      <c r="H152" s="64"/>
      <c r="I152" s="64"/>
      <c r="J152" s="64"/>
      <c r="K152" s="64"/>
      <c r="L152" s="64"/>
      <c r="M152" s="64"/>
      <c r="N152" s="64"/>
      <c r="O152" s="64"/>
      <c r="P152" s="64"/>
      <c r="Q152" s="64"/>
      <c r="R152" s="64"/>
      <c r="S152" s="64"/>
      <c r="T152" s="64"/>
      <c r="U152" s="64"/>
      <c r="V152" s="64"/>
      <c r="W152" s="64"/>
      <c r="X152" s="64"/>
      <c r="Y152" s="64"/>
      <c r="Z152" s="64"/>
    </row>
    <row r="153" ht="12.75" customHeight="1">
      <c r="A153" s="108"/>
      <c r="B153" s="64"/>
      <c r="C153" s="64"/>
      <c r="D153" s="64"/>
      <c r="E153" s="64"/>
      <c r="F153" s="63"/>
      <c r="G153" s="63"/>
      <c r="H153" s="64"/>
      <c r="I153" s="64"/>
      <c r="J153" s="64"/>
      <c r="K153" s="64"/>
      <c r="L153" s="64"/>
      <c r="M153" s="64"/>
      <c r="N153" s="64"/>
      <c r="O153" s="64"/>
      <c r="P153" s="64"/>
      <c r="Q153" s="64"/>
      <c r="R153" s="64"/>
      <c r="S153" s="64"/>
      <c r="T153" s="64"/>
      <c r="U153" s="64"/>
      <c r="V153" s="64"/>
      <c r="W153" s="64"/>
      <c r="X153" s="64"/>
      <c r="Y153" s="64"/>
      <c r="Z153" s="64"/>
    </row>
    <row r="154" ht="12.75" customHeight="1">
      <c r="A154" s="108"/>
      <c r="B154" s="64"/>
      <c r="C154" s="64"/>
      <c r="D154" s="64"/>
      <c r="E154" s="64"/>
      <c r="F154" s="63"/>
      <c r="G154" s="63"/>
      <c r="H154" s="64"/>
      <c r="I154" s="64"/>
      <c r="J154" s="64"/>
      <c r="K154" s="64"/>
      <c r="L154" s="64"/>
      <c r="M154" s="64"/>
      <c r="N154" s="64"/>
      <c r="O154" s="64"/>
      <c r="P154" s="64"/>
      <c r="Q154" s="64"/>
      <c r="R154" s="64"/>
      <c r="S154" s="64"/>
      <c r="T154" s="64"/>
      <c r="U154" s="64"/>
      <c r="V154" s="64"/>
      <c r="W154" s="64"/>
      <c r="X154" s="64"/>
      <c r="Y154" s="64"/>
      <c r="Z154" s="64"/>
    </row>
    <row r="155" ht="12.75" customHeight="1">
      <c r="A155" s="108"/>
      <c r="B155" s="64"/>
      <c r="C155" s="64"/>
      <c r="D155" s="64"/>
      <c r="E155" s="64"/>
      <c r="F155" s="63"/>
      <c r="G155" s="63"/>
      <c r="H155" s="64"/>
      <c r="I155" s="64"/>
      <c r="J155" s="64"/>
      <c r="K155" s="64"/>
      <c r="L155" s="64"/>
      <c r="M155" s="64"/>
      <c r="N155" s="64"/>
      <c r="O155" s="64"/>
      <c r="P155" s="64"/>
      <c r="Q155" s="64"/>
      <c r="R155" s="64"/>
      <c r="S155" s="64"/>
      <c r="T155" s="64"/>
      <c r="U155" s="64"/>
      <c r="V155" s="64"/>
      <c r="W155" s="64"/>
      <c r="X155" s="64"/>
      <c r="Y155" s="64"/>
      <c r="Z155" s="64"/>
    </row>
    <row r="156" ht="12.75" customHeight="1">
      <c r="A156" s="108"/>
      <c r="B156" s="64"/>
      <c r="C156" s="64"/>
      <c r="D156" s="64"/>
      <c r="E156" s="64"/>
      <c r="F156" s="63"/>
      <c r="G156" s="63"/>
      <c r="H156" s="64"/>
      <c r="I156" s="64"/>
      <c r="J156" s="64"/>
      <c r="K156" s="64"/>
      <c r="L156" s="64"/>
      <c r="M156" s="64"/>
      <c r="N156" s="64"/>
      <c r="O156" s="64"/>
      <c r="P156" s="64"/>
      <c r="Q156" s="64"/>
      <c r="R156" s="64"/>
      <c r="S156" s="64"/>
      <c r="T156" s="64"/>
      <c r="U156" s="64"/>
      <c r="V156" s="64"/>
      <c r="W156" s="64"/>
      <c r="X156" s="64"/>
      <c r="Y156" s="64"/>
      <c r="Z156" s="64"/>
    </row>
    <row r="157" ht="12.75" customHeight="1">
      <c r="A157" s="108"/>
      <c r="B157" s="64"/>
      <c r="C157" s="64"/>
      <c r="D157" s="64"/>
      <c r="E157" s="64"/>
      <c r="F157" s="63"/>
      <c r="G157" s="63"/>
      <c r="H157" s="64"/>
      <c r="I157" s="64"/>
      <c r="J157" s="64"/>
      <c r="K157" s="64"/>
      <c r="L157" s="64"/>
      <c r="M157" s="64"/>
      <c r="N157" s="64"/>
      <c r="O157" s="64"/>
      <c r="P157" s="64"/>
      <c r="Q157" s="64"/>
      <c r="R157" s="64"/>
      <c r="S157" s="64"/>
      <c r="T157" s="64"/>
      <c r="U157" s="64"/>
      <c r="V157" s="64"/>
      <c r="W157" s="64"/>
      <c r="X157" s="64"/>
      <c r="Y157" s="64"/>
      <c r="Z157" s="64"/>
    </row>
    <row r="158" ht="12.75" customHeight="1">
      <c r="A158" s="108"/>
      <c r="B158" s="64"/>
      <c r="C158" s="64"/>
      <c r="D158" s="64"/>
      <c r="E158" s="64"/>
      <c r="F158" s="63"/>
      <c r="G158" s="63"/>
      <c r="H158" s="64"/>
      <c r="I158" s="64"/>
      <c r="J158" s="64"/>
      <c r="K158" s="64"/>
      <c r="L158" s="64"/>
      <c r="M158" s="64"/>
      <c r="N158" s="64"/>
      <c r="O158" s="64"/>
      <c r="P158" s="64"/>
      <c r="Q158" s="64"/>
      <c r="R158" s="64"/>
      <c r="S158" s="64"/>
      <c r="T158" s="64"/>
      <c r="U158" s="64"/>
      <c r="V158" s="64"/>
      <c r="W158" s="64"/>
      <c r="X158" s="64"/>
      <c r="Y158" s="64"/>
      <c r="Z158" s="64"/>
    </row>
    <row r="159" ht="12.75" customHeight="1">
      <c r="A159" s="108"/>
      <c r="B159" s="64"/>
      <c r="C159" s="64"/>
      <c r="D159" s="64"/>
      <c r="E159" s="64"/>
      <c r="F159" s="63"/>
      <c r="G159" s="63"/>
      <c r="H159" s="64"/>
      <c r="I159" s="64"/>
      <c r="J159" s="64"/>
      <c r="K159" s="64"/>
      <c r="L159" s="64"/>
      <c r="M159" s="64"/>
      <c r="N159" s="64"/>
      <c r="O159" s="64"/>
      <c r="P159" s="64"/>
      <c r="Q159" s="64"/>
      <c r="R159" s="64"/>
      <c r="S159" s="64"/>
      <c r="T159" s="64"/>
      <c r="U159" s="64"/>
      <c r="V159" s="64"/>
      <c r="W159" s="64"/>
      <c r="X159" s="64"/>
      <c r="Y159" s="64"/>
      <c r="Z159" s="64"/>
    </row>
    <row r="160" ht="12.75" customHeight="1">
      <c r="A160" s="108"/>
      <c r="B160" s="64"/>
      <c r="C160" s="64"/>
      <c r="D160" s="64"/>
      <c r="E160" s="64"/>
      <c r="F160" s="63"/>
      <c r="G160" s="63"/>
      <c r="H160" s="64"/>
      <c r="I160" s="64"/>
      <c r="J160" s="64"/>
      <c r="K160" s="64"/>
      <c r="L160" s="64"/>
      <c r="M160" s="64"/>
      <c r="N160" s="64"/>
      <c r="O160" s="64"/>
      <c r="P160" s="64"/>
      <c r="Q160" s="64"/>
      <c r="R160" s="64"/>
      <c r="S160" s="64"/>
      <c r="T160" s="64"/>
      <c r="U160" s="64"/>
      <c r="V160" s="64"/>
      <c r="W160" s="64"/>
      <c r="X160" s="64"/>
      <c r="Y160" s="64"/>
      <c r="Z160" s="64"/>
    </row>
    <row r="161" ht="12.75" customHeight="1">
      <c r="A161" s="108"/>
      <c r="B161" s="64"/>
      <c r="C161" s="64"/>
      <c r="D161" s="64"/>
      <c r="E161" s="64"/>
      <c r="F161" s="63"/>
      <c r="G161" s="63"/>
      <c r="H161" s="64"/>
      <c r="I161" s="64"/>
      <c r="J161" s="64"/>
      <c r="K161" s="64"/>
      <c r="L161" s="64"/>
      <c r="M161" s="64"/>
      <c r="N161" s="64"/>
      <c r="O161" s="64"/>
      <c r="P161" s="64"/>
      <c r="Q161" s="64"/>
      <c r="R161" s="64"/>
      <c r="S161" s="64"/>
      <c r="T161" s="64"/>
      <c r="U161" s="64"/>
      <c r="V161" s="64"/>
      <c r="W161" s="64"/>
      <c r="X161" s="64"/>
      <c r="Y161" s="64"/>
      <c r="Z161" s="64"/>
    </row>
    <row r="162" ht="12.75" customHeight="1">
      <c r="A162" s="108"/>
      <c r="B162" s="64"/>
      <c r="C162" s="64"/>
      <c r="D162" s="64"/>
      <c r="E162" s="64"/>
      <c r="F162" s="63"/>
      <c r="G162" s="63"/>
      <c r="H162" s="64"/>
      <c r="I162" s="64"/>
      <c r="J162" s="64"/>
      <c r="K162" s="64"/>
      <c r="L162" s="64"/>
      <c r="M162" s="64"/>
      <c r="N162" s="64"/>
      <c r="O162" s="64"/>
      <c r="P162" s="64"/>
      <c r="Q162" s="64"/>
      <c r="R162" s="64"/>
      <c r="S162" s="64"/>
      <c r="T162" s="64"/>
      <c r="U162" s="64"/>
      <c r="V162" s="64"/>
      <c r="W162" s="64"/>
      <c r="X162" s="64"/>
      <c r="Y162" s="64"/>
      <c r="Z162" s="64"/>
    </row>
    <row r="163" ht="12.75" customHeight="1">
      <c r="A163" s="108"/>
      <c r="B163" s="64"/>
      <c r="C163" s="64"/>
      <c r="D163" s="64"/>
      <c r="E163" s="64"/>
      <c r="F163" s="63"/>
      <c r="G163" s="63"/>
      <c r="H163" s="64"/>
      <c r="I163" s="64"/>
      <c r="J163" s="64"/>
      <c r="K163" s="64"/>
      <c r="L163" s="64"/>
      <c r="M163" s="64"/>
      <c r="N163" s="64"/>
      <c r="O163" s="64"/>
      <c r="P163" s="64"/>
      <c r="Q163" s="64"/>
      <c r="R163" s="64"/>
      <c r="S163" s="64"/>
      <c r="T163" s="64"/>
      <c r="U163" s="64"/>
      <c r="V163" s="64"/>
      <c r="W163" s="64"/>
      <c r="X163" s="64"/>
      <c r="Y163" s="64"/>
      <c r="Z163" s="64"/>
    </row>
    <row r="164" ht="12.75" customHeight="1">
      <c r="A164" s="108"/>
      <c r="B164" s="64"/>
      <c r="C164" s="64"/>
      <c r="D164" s="64"/>
      <c r="E164" s="64"/>
      <c r="F164" s="63"/>
      <c r="G164" s="63"/>
      <c r="H164" s="64"/>
      <c r="I164" s="64"/>
      <c r="J164" s="64"/>
      <c r="K164" s="64"/>
      <c r="L164" s="64"/>
      <c r="M164" s="64"/>
      <c r="N164" s="64"/>
      <c r="O164" s="64"/>
      <c r="P164" s="64"/>
      <c r="Q164" s="64"/>
      <c r="R164" s="64"/>
      <c r="S164" s="64"/>
      <c r="T164" s="64"/>
      <c r="U164" s="64"/>
      <c r="V164" s="64"/>
      <c r="W164" s="64"/>
      <c r="X164" s="64"/>
      <c r="Y164" s="64"/>
      <c r="Z164" s="64"/>
    </row>
    <row r="165" ht="12.75" customHeight="1">
      <c r="A165" s="108"/>
      <c r="B165" s="64"/>
      <c r="C165" s="64"/>
      <c r="D165" s="64"/>
      <c r="E165" s="64"/>
      <c r="F165" s="63"/>
      <c r="G165" s="63"/>
      <c r="H165" s="64"/>
      <c r="I165" s="64"/>
      <c r="J165" s="64"/>
      <c r="K165" s="64"/>
      <c r="L165" s="64"/>
      <c r="M165" s="64"/>
      <c r="N165" s="64"/>
      <c r="O165" s="64"/>
      <c r="P165" s="64"/>
      <c r="Q165" s="64"/>
      <c r="R165" s="64"/>
      <c r="S165" s="64"/>
      <c r="T165" s="64"/>
      <c r="U165" s="64"/>
      <c r="V165" s="64"/>
      <c r="W165" s="64"/>
      <c r="X165" s="64"/>
      <c r="Y165" s="64"/>
      <c r="Z165" s="64"/>
    </row>
    <row r="166" ht="12.75" customHeight="1">
      <c r="A166" s="108"/>
      <c r="B166" s="64"/>
      <c r="C166" s="64"/>
      <c r="D166" s="64"/>
      <c r="E166" s="64"/>
      <c r="F166" s="63"/>
      <c r="G166" s="63"/>
      <c r="H166" s="64"/>
      <c r="I166" s="64"/>
      <c r="J166" s="64"/>
      <c r="K166" s="64"/>
      <c r="L166" s="64"/>
      <c r="M166" s="64"/>
      <c r="N166" s="64"/>
      <c r="O166" s="64"/>
      <c r="P166" s="64"/>
      <c r="Q166" s="64"/>
      <c r="R166" s="64"/>
      <c r="S166" s="64"/>
      <c r="T166" s="64"/>
      <c r="U166" s="64"/>
      <c r="V166" s="64"/>
      <c r="W166" s="64"/>
      <c r="X166" s="64"/>
      <c r="Y166" s="64"/>
      <c r="Z166" s="64"/>
    </row>
    <row r="167" ht="12.75" customHeight="1">
      <c r="A167" s="108"/>
      <c r="B167" s="64"/>
      <c r="C167" s="64"/>
      <c r="D167" s="64"/>
      <c r="E167" s="64"/>
      <c r="F167" s="63"/>
      <c r="G167" s="63"/>
      <c r="H167" s="64"/>
      <c r="I167" s="64"/>
      <c r="J167" s="64"/>
      <c r="K167" s="64"/>
      <c r="L167" s="64"/>
      <c r="M167" s="64"/>
      <c r="N167" s="64"/>
      <c r="O167" s="64"/>
      <c r="P167" s="64"/>
      <c r="Q167" s="64"/>
      <c r="R167" s="64"/>
      <c r="S167" s="64"/>
      <c r="T167" s="64"/>
      <c r="U167" s="64"/>
      <c r="V167" s="64"/>
      <c r="W167" s="64"/>
      <c r="X167" s="64"/>
      <c r="Y167" s="64"/>
      <c r="Z167" s="64"/>
    </row>
    <row r="168" ht="12.75" customHeight="1">
      <c r="A168" s="108"/>
      <c r="B168" s="64"/>
      <c r="C168" s="64"/>
      <c r="D168" s="64"/>
      <c r="E168" s="64"/>
      <c r="F168" s="63"/>
      <c r="G168" s="63"/>
      <c r="H168" s="64"/>
      <c r="I168" s="64"/>
      <c r="J168" s="64"/>
      <c r="K168" s="64"/>
      <c r="L168" s="64"/>
      <c r="M168" s="64"/>
      <c r="N168" s="64"/>
      <c r="O168" s="64"/>
      <c r="P168" s="64"/>
      <c r="Q168" s="64"/>
      <c r="R168" s="64"/>
      <c r="S168" s="64"/>
      <c r="T168" s="64"/>
      <c r="U168" s="64"/>
      <c r="V168" s="64"/>
      <c r="W168" s="64"/>
      <c r="X168" s="64"/>
      <c r="Y168" s="64"/>
      <c r="Z168" s="64"/>
    </row>
    <row r="169" ht="12.75" customHeight="1">
      <c r="A169" s="108"/>
      <c r="B169" s="64"/>
      <c r="C169" s="64"/>
      <c r="D169" s="64"/>
      <c r="E169" s="64"/>
      <c r="F169" s="63"/>
      <c r="G169" s="63"/>
      <c r="H169" s="64"/>
      <c r="I169" s="64"/>
      <c r="J169" s="64"/>
      <c r="K169" s="64"/>
      <c r="L169" s="64"/>
      <c r="M169" s="64"/>
      <c r="N169" s="64"/>
      <c r="O169" s="64"/>
      <c r="P169" s="64"/>
      <c r="Q169" s="64"/>
      <c r="R169" s="64"/>
      <c r="S169" s="64"/>
      <c r="T169" s="64"/>
      <c r="U169" s="64"/>
      <c r="V169" s="64"/>
      <c r="W169" s="64"/>
      <c r="X169" s="64"/>
      <c r="Y169" s="64"/>
      <c r="Z169" s="64"/>
    </row>
    <row r="170" ht="12.75" customHeight="1">
      <c r="A170" s="108"/>
      <c r="B170" s="64"/>
      <c r="C170" s="64"/>
      <c r="D170" s="64"/>
      <c r="E170" s="64"/>
      <c r="F170" s="63"/>
      <c r="G170" s="63"/>
      <c r="H170" s="64"/>
      <c r="I170" s="64"/>
      <c r="J170" s="64"/>
      <c r="K170" s="64"/>
      <c r="L170" s="64"/>
      <c r="M170" s="64"/>
      <c r="N170" s="64"/>
      <c r="O170" s="64"/>
      <c r="P170" s="64"/>
      <c r="Q170" s="64"/>
      <c r="R170" s="64"/>
      <c r="S170" s="64"/>
      <c r="T170" s="64"/>
      <c r="U170" s="64"/>
      <c r="V170" s="64"/>
      <c r="W170" s="64"/>
      <c r="X170" s="64"/>
      <c r="Y170" s="64"/>
      <c r="Z170" s="64"/>
    </row>
    <row r="171" ht="12.75" customHeight="1">
      <c r="A171" s="108"/>
      <c r="B171" s="64"/>
      <c r="C171" s="64"/>
      <c r="D171" s="64"/>
      <c r="E171" s="64"/>
      <c r="F171" s="63"/>
      <c r="G171" s="63"/>
      <c r="H171" s="64"/>
      <c r="I171" s="64"/>
      <c r="J171" s="64"/>
      <c r="K171" s="64"/>
      <c r="L171" s="64"/>
      <c r="M171" s="64"/>
      <c r="N171" s="64"/>
      <c r="O171" s="64"/>
      <c r="P171" s="64"/>
      <c r="Q171" s="64"/>
      <c r="R171" s="64"/>
      <c r="S171" s="64"/>
      <c r="T171" s="64"/>
      <c r="U171" s="64"/>
      <c r="V171" s="64"/>
      <c r="W171" s="64"/>
      <c r="X171" s="64"/>
      <c r="Y171" s="64"/>
      <c r="Z171" s="64"/>
    </row>
    <row r="172" ht="12.75" customHeight="1">
      <c r="A172" s="108"/>
      <c r="B172" s="64"/>
      <c r="C172" s="64"/>
      <c r="D172" s="64"/>
      <c r="E172" s="64"/>
      <c r="F172" s="63"/>
      <c r="G172" s="63"/>
      <c r="H172" s="64"/>
      <c r="I172" s="64"/>
      <c r="J172" s="64"/>
      <c r="K172" s="64"/>
      <c r="L172" s="64"/>
      <c r="M172" s="64"/>
      <c r="N172" s="64"/>
      <c r="O172" s="64"/>
      <c r="P172" s="64"/>
      <c r="Q172" s="64"/>
      <c r="R172" s="64"/>
      <c r="S172" s="64"/>
      <c r="T172" s="64"/>
      <c r="U172" s="64"/>
      <c r="V172" s="64"/>
      <c r="W172" s="64"/>
      <c r="X172" s="64"/>
      <c r="Y172" s="64"/>
      <c r="Z172" s="64"/>
    </row>
    <row r="173" ht="12.75" customHeight="1">
      <c r="A173" s="108"/>
      <c r="B173" s="64"/>
      <c r="C173" s="64"/>
      <c r="D173" s="64"/>
      <c r="E173" s="64"/>
      <c r="F173" s="63"/>
      <c r="G173" s="63"/>
      <c r="H173" s="64"/>
      <c r="I173" s="64"/>
      <c r="J173" s="64"/>
      <c r="K173" s="64"/>
      <c r="L173" s="64"/>
      <c r="M173" s="64"/>
      <c r="N173" s="64"/>
      <c r="O173" s="64"/>
      <c r="P173" s="64"/>
      <c r="Q173" s="64"/>
      <c r="R173" s="64"/>
      <c r="S173" s="64"/>
      <c r="T173" s="64"/>
      <c r="U173" s="64"/>
      <c r="V173" s="64"/>
      <c r="W173" s="64"/>
      <c r="X173" s="64"/>
      <c r="Y173" s="64"/>
      <c r="Z173" s="64"/>
    </row>
    <row r="174" ht="12.75" customHeight="1">
      <c r="A174" s="108"/>
      <c r="B174" s="64"/>
      <c r="C174" s="64"/>
      <c r="D174" s="64"/>
      <c r="E174" s="64"/>
      <c r="F174" s="63"/>
      <c r="G174" s="63"/>
      <c r="H174" s="64"/>
      <c r="I174" s="64"/>
      <c r="J174" s="64"/>
      <c r="K174" s="64"/>
      <c r="L174" s="64"/>
      <c r="M174" s="64"/>
      <c r="N174" s="64"/>
      <c r="O174" s="64"/>
      <c r="P174" s="64"/>
      <c r="Q174" s="64"/>
      <c r="R174" s="64"/>
      <c r="S174" s="64"/>
      <c r="T174" s="64"/>
      <c r="U174" s="64"/>
      <c r="V174" s="64"/>
      <c r="W174" s="64"/>
      <c r="X174" s="64"/>
      <c r="Y174" s="64"/>
      <c r="Z174" s="64"/>
    </row>
    <row r="175" ht="12.75" customHeight="1">
      <c r="A175" s="108"/>
      <c r="B175" s="64"/>
      <c r="C175" s="64"/>
      <c r="D175" s="64"/>
      <c r="E175" s="64"/>
      <c r="F175" s="63"/>
      <c r="G175" s="63"/>
      <c r="H175" s="64"/>
      <c r="I175" s="64"/>
      <c r="J175" s="64"/>
      <c r="K175" s="64"/>
      <c r="L175" s="64"/>
      <c r="M175" s="64"/>
      <c r="N175" s="64"/>
      <c r="O175" s="64"/>
      <c r="P175" s="64"/>
      <c r="Q175" s="64"/>
      <c r="R175" s="64"/>
      <c r="S175" s="64"/>
      <c r="T175" s="64"/>
      <c r="U175" s="64"/>
      <c r="V175" s="64"/>
      <c r="W175" s="64"/>
      <c r="X175" s="64"/>
      <c r="Y175" s="64"/>
      <c r="Z175" s="64"/>
    </row>
    <row r="176" ht="12.75" customHeight="1">
      <c r="A176" s="108"/>
      <c r="B176" s="64"/>
      <c r="C176" s="64"/>
      <c r="D176" s="64"/>
      <c r="E176" s="64"/>
      <c r="F176" s="63"/>
      <c r="G176" s="63"/>
      <c r="H176" s="64"/>
      <c r="I176" s="64"/>
      <c r="J176" s="64"/>
      <c r="K176" s="64"/>
      <c r="L176" s="64"/>
      <c r="M176" s="64"/>
      <c r="N176" s="64"/>
      <c r="O176" s="64"/>
      <c r="P176" s="64"/>
      <c r="Q176" s="64"/>
      <c r="R176" s="64"/>
      <c r="S176" s="64"/>
      <c r="T176" s="64"/>
      <c r="U176" s="64"/>
      <c r="V176" s="64"/>
      <c r="W176" s="64"/>
      <c r="X176" s="64"/>
      <c r="Y176" s="64"/>
      <c r="Z176" s="64"/>
    </row>
    <row r="177" ht="12.75" customHeight="1">
      <c r="A177" s="108"/>
      <c r="B177" s="64"/>
      <c r="C177" s="64"/>
      <c r="D177" s="64"/>
      <c r="E177" s="64"/>
      <c r="F177" s="63"/>
      <c r="G177" s="63"/>
      <c r="H177" s="64"/>
      <c r="I177" s="64"/>
      <c r="J177" s="64"/>
      <c r="K177" s="64"/>
      <c r="L177" s="64"/>
      <c r="M177" s="64"/>
      <c r="N177" s="64"/>
      <c r="O177" s="64"/>
      <c r="P177" s="64"/>
      <c r="Q177" s="64"/>
      <c r="R177" s="64"/>
      <c r="S177" s="64"/>
      <c r="T177" s="64"/>
      <c r="U177" s="64"/>
      <c r="V177" s="64"/>
      <c r="W177" s="64"/>
      <c r="X177" s="64"/>
      <c r="Y177" s="64"/>
      <c r="Z177" s="64"/>
    </row>
    <row r="178" ht="12.75" customHeight="1">
      <c r="A178" s="108"/>
      <c r="B178" s="64"/>
      <c r="C178" s="64"/>
      <c r="D178" s="64"/>
      <c r="E178" s="64"/>
      <c r="F178" s="63"/>
      <c r="G178" s="63"/>
      <c r="H178" s="64"/>
      <c r="I178" s="64"/>
      <c r="J178" s="64"/>
      <c r="K178" s="64"/>
      <c r="L178" s="64"/>
      <c r="M178" s="64"/>
      <c r="N178" s="64"/>
      <c r="O178" s="64"/>
      <c r="P178" s="64"/>
      <c r="Q178" s="64"/>
      <c r="R178" s="64"/>
      <c r="S178" s="64"/>
      <c r="T178" s="64"/>
      <c r="U178" s="64"/>
      <c r="V178" s="64"/>
      <c r="W178" s="64"/>
      <c r="X178" s="64"/>
      <c r="Y178" s="64"/>
      <c r="Z178" s="64"/>
    </row>
    <row r="179" ht="12.75" customHeight="1">
      <c r="A179" s="108"/>
      <c r="B179" s="64"/>
      <c r="C179" s="64"/>
      <c r="D179" s="64"/>
      <c r="E179" s="64"/>
      <c r="F179" s="63"/>
      <c r="G179" s="63"/>
      <c r="H179" s="64"/>
      <c r="I179" s="64"/>
      <c r="J179" s="64"/>
      <c r="K179" s="64"/>
      <c r="L179" s="64"/>
      <c r="M179" s="64"/>
      <c r="N179" s="64"/>
      <c r="O179" s="64"/>
      <c r="P179" s="64"/>
      <c r="Q179" s="64"/>
      <c r="R179" s="64"/>
      <c r="S179" s="64"/>
      <c r="T179" s="64"/>
      <c r="U179" s="64"/>
      <c r="V179" s="64"/>
      <c r="W179" s="64"/>
      <c r="X179" s="64"/>
      <c r="Y179" s="64"/>
      <c r="Z179" s="64"/>
    </row>
    <row r="180" ht="12.75" customHeight="1">
      <c r="A180" s="108"/>
      <c r="B180" s="64"/>
      <c r="C180" s="64"/>
      <c r="D180" s="64"/>
      <c r="E180" s="64"/>
      <c r="F180" s="63"/>
      <c r="G180" s="63"/>
      <c r="H180" s="64"/>
      <c r="I180" s="64"/>
      <c r="J180" s="64"/>
      <c r="K180" s="64"/>
      <c r="L180" s="64"/>
      <c r="M180" s="64"/>
      <c r="N180" s="64"/>
      <c r="O180" s="64"/>
      <c r="P180" s="64"/>
      <c r="Q180" s="64"/>
      <c r="R180" s="64"/>
      <c r="S180" s="64"/>
      <c r="T180" s="64"/>
      <c r="U180" s="64"/>
      <c r="V180" s="64"/>
      <c r="W180" s="64"/>
      <c r="X180" s="64"/>
      <c r="Y180" s="64"/>
      <c r="Z180" s="64"/>
    </row>
    <row r="181" ht="12.75" customHeight="1">
      <c r="A181" s="108"/>
      <c r="B181" s="64"/>
      <c r="C181" s="64"/>
      <c r="D181" s="64"/>
      <c r="E181" s="64"/>
      <c r="F181" s="63"/>
      <c r="G181" s="63"/>
      <c r="H181" s="64"/>
      <c r="I181" s="64"/>
      <c r="J181" s="64"/>
      <c r="K181" s="64"/>
      <c r="L181" s="64"/>
      <c r="M181" s="64"/>
      <c r="N181" s="64"/>
      <c r="O181" s="64"/>
      <c r="P181" s="64"/>
      <c r="Q181" s="64"/>
      <c r="R181" s="64"/>
      <c r="S181" s="64"/>
      <c r="T181" s="64"/>
      <c r="U181" s="64"/>
      <c r="V181" s="64"/>
      <c r="W181" s="64"/>
      <c r="X181" s="64"/>
      <c r="Y181" s="64"/>
      <c r="Z181" s="64"/>
    </row>
    <row r="182" ht="12.75" customHeight="1">
      <c r="A182" s="108"/>
      <c r="B182" s="64"/>
      <c r="C182" s="64"/>
      <c r="D182" s="64"/>
      <c r="E182" s="64"/>
      <c r="F182" s="63"/>
      <c r="G182" s="63"/>
      <c r="H182" s="64"/>
      <c r="I182" s="64"/>
      <c r="J182" s="64"/>
      <c r="K182" s="64"/>
      <c r="L182" s="64"/>
      <c r="M182" s="64"/>
      <c r="N182" s="64"/>
      <c r="O182" s="64"/>
      <c r="P182" s="64"/>
      <c r="Q182" s="64"/>
      <c r="R182" s="64"/>
      <c r="S182" s="64"/>
      <c r="T182" s="64"/>
      <c r="U182" s="64"/>
      <c r="V182" s="64"/>
      <c r="W182" s="64"/>
      <c r="X182" s="64"/>
      <c r="Y182" s="64"/>
      <c r="Z182" s="64"/>
    </row>
    <row r="183" ht="12.75" customHeight="1">
      <c r="A183" s="108"/>
      <c r="B183" s="64"/>
      <c r="C183" s="64"/>
      <c r="D183" s="64"/>
      <c r="E183" s="64"/>
      <c r="F183" s="63"/>
      <c r="G183" s="63"/>
      <c r="H183" s="64"/>
      <c r="I183" s="64"/>
      <c r="J183" s="64"/>
      <c r="K183" s="64"/>
      <c r="L183" s="64"/>
      <c r="M183" s="64"/>
      <c r="N183" s="64"/>
      <c r="O183" s="64"/>
      <c r="P183" s="64"/>
      <c r="Q183" s="64"/>
      <c r="R183" s="64"/>
      <c r="S183" s="64"/>
      <c r="T183" s="64"/>
      <c r="U183" s="64"/>
      <c r="V183" s="64"/>
      <c r="W183" s="64"/>
      <c r="X183" s="64"/>
      <c r="Y183" s="64"/>
      <c r="Z183" s="64"/>
    </row>
    <row r="184" ht="12.75" customHeight="1">
      <c r="A184" s="108"/>
      <c r="B184" s="64"/>
      <c r="C184" s="64"/>
      <c r="D184" s="64"/>
      <c r="E184" s="64"/>
      <c r="F184" s="63"/>
      <c r="G184" s="63"/>
      <c r="H184" s="64"/>
      <c r="I184" s="64"/>
      <c r="J184" s="64"/>
      <c r="K184" s="64"/>
      <c r="L184" s="64"/>
      <c r="M184" s="64"/>
      <c r="N184" s="64"/>
      <c r="O184" s="64"/>
      <c r="P184" s="64"/>
      <c r="Q184" s="64"/>
      <c r="R184" s="64"/>
      <c r="S184" s="64"/>
      <c r="T184" s="64"/>
      <c r="U184" s="64"/>
      <c r="V184" s="64"/>
      <c r="W184" s="64"/>
      <c r="X184" s="64"/>
      <c r="Y184" s="64"/>
      <c r="Z184" s="64"/>
    </row>
    <row r="185" ht="12.75" customHeight="1">
      <c r="A185" s="108"/>
      <c r="B185" s="64"/>
      <c r="C185" s="64"/>
      <c r="D185" s="64"/>
      <c r="E185" s="64"/>
      <c r="F185" s="63"/>
      <c r="G185" s="63"/>
      <c r="H185" s="64"/>
      <c r="I185" s="64"/>
      <c r="J185" s="64"/>
      <c r="K185" s="64"/>
      <c r="L185" s="64"/>
      <c r="M185" s="64"/>
      <c r="N185" s="64"/>
      <c r="O185" s="64"/>
      <c r="P185" s="64"/>
      <c r="Q185" s="64"/>
      <c r="R185" s="64"/>
      <c r="S185" s="64"/>
      <c r="T185" s="64"/>
      <c r="U185" s="64"/>
      <c r="V185" s="64"/>
      <c r="W185" s="64"/>
      <c r="X185" s="64"/>
      <c r="Y185" s="64"/>
      <c r="Z185" s="64"/>
    </row>
    <row r="186" ht="12.75" customHeight="1">
      <c r="A186" s="108"/>
      <c r="B186" s="64"/>
      <c r="C186" s="64"/>
      <c r="D186" s="64"/>
      <c r="E186" s="64"/>
      <c r="F186" s="63"/>
      <c r="G186" s="63"/>
      <c r="H186" s="64"/>
      <c r="I186" s="64"/>
      <c r="J186" s="64"/>
      <c r="K186" s="64"/>
      <c r="L186" s="64"/>
      <c r="M186" s="64"/>
      <c r="N186" s="64"/>
      <c r="O186" s="64"/>
      <c r="P186" s="64"/>
      <c r="Q186" s="64"/>
      <c r="R186" s="64"/>
      <c r="S186" s="64"/>
      <c r="T186" s="64"/>
      <c r="U186" s="64"/>
      <c r="V186" s="64"/>
      <c r="W186" s="64"/>
      <c r="X186" s="64"/>
      <c r="Y186" s="64"/>
      <c r="Z186" s="64"/>
    </row>
    <row r="187" ht="12.75" customHeight="1">
      <c r="A187" s="108"/>
      <c r="B187" s="64"/>
      <c r="C187" s="64"/>
      <c r="D187" s="64"/>
      <c r="E187" s="64"/>
      <c r="F187" s="63"/>
      <c r="G187" s="63"/>
      <c r="H187" s="64"/>
      <c r="I187" s="64"/>
      <c r="J187" s="64"/>
      <c r="K187" s="64"/>
      <c r="L187" s="64"/>
      <c r="M187" s="64"/>
      <c r="N187" s="64"/>
      <c r="O187" s="64"/>
      <c r="P187" s="64"/>
      <c r="Q187" s="64"/>
      <c r="R187" s="64"/>
      <c r="S187" s="64"/>
      <c r="T187" s="64"/>
      <c r="U187" s="64"/>
      <c r="V187" s="64"/>
      <c r="W187" s="64"/>
      <c r="X187" s="64"/>
      <c r="Y187" s="64"/>
      <c r="Z187" s="64"/>
    </row>
    <row r="188" ht="12.75" customHeight="1">
      <c r="A188" s="108"/>
      <c r="B188" s="64"/>
      <c r="C188" s="64"/>
      <c r="D188" s="64"/>
      <c r="E188" s="64"/>
      <c r="F188" s="63"/>
      <c r="G188" s="63"/>
      <c r="H188" s="64"/>
      <c r="I188" s="64"/>
      <c r="J188" s="64"/>
      <c r="K188" s="64"/>
      <c r="L188" s="64"/>
      <c r="M188" s="64"/>
      <c r="N188" s="64"/>
      <c r="O188" s="64"/>
      <c r="P188" s="64"/>
      <c r="Q188" s="64"/>
      <c r="R188" s="64"/>
      <c r="S188" s="64"/>
      <c r="T188" s="64"/>
      <c r="U188" s="64"/>
      <c r="V188" s="64"/>
      <c r="W188" s="64"/>
      <c r="X188" s="64"/>
      <c r="Y188" s="64"/>
      <c r="Z188" s="64"/>
    </row>
    <row r="189" ht="12.75" customHeight="1">
      <c r="A189" s="108"/>
      <c r="B189" s="64"/>
      <c r="C189" s="64"/>
      <c r="D189" s="64"/>
      <c r="E189" s="64"/>
      <c r="F189" s="63"/>
      <c r="G189" s="63"/>
      <c r="H189" s="64"/>
      <c r="I189" s="64"/>
      <c r="J189" s="64"/>
      <c r="K189" s="64"/>
      <c r="L189" s="64"/>
      <c r="M189" s="64"/>
      <c r="N189" s="64"/>
      <c r="O189" s="64"/>
      <c r="P189" s="64"/>
      <c r="Q189" s="64"/>
      <c r="R189" s="64"/>
      <c r="S189" s="64"/>
      <c r="T189" s="64"/>
      <c r="U189" s="64"/>
      <c r="V189" s="64"/>
      <c r="W189" s="64"/>
      <c r="X189" s="64"/>
      <c r="Y189" s="64"/>
      <c r="Z189" s="64"/>
    </row>
    <row r="190" ht="12.75" customHeight="1">
      <c r="A190" s="108"/>
      <c r="B190" s="64"/>
      <c r="C190" s="64"/>
      <c r="D190" s="64"/>
      <c r="E190" s="64"/>
      <c r="F190" s="63"/>
      <c r="G190" s="63"/>
      <c r="H190" s="64"/>
      <c r="I190" s="64"/>
      <c r="J190" s="64"/>
      <c r="K190" s="64"/>
      <c r="L190" s="64"/>
      <c r="M190" s="64"/>
      <c r="N190" s="64"/>
      <c r="O190" s="64"/>
      <c r="P190" s="64"/>
      <c r="Q190" s="64"/>
      <c r="R190" s="64"/>
      <c r="S190" s="64"/>
      <c r="T190" s="64"/>
      <c r="U190" s="64"/>
      <c r="V190" s="64"/>
      <c r="W190" s="64"/>
      <c r="X190" s="64"/>
      <c r="Y190" s="64"/>
      <c r="Z190" s="64"/>
    </row>
    <row r="191" ht="12.75" customHeight="1">
      <c r="A191" s="108"/>
      <c r="B191" s="64"/>
      <c r="C191" s="64"/>
      <c r="D191" s="64"/>
      <c r="E191" s="64"/>
      <c r="F191" s="63"/>
      <c r="G191" s="63"/>
      <c r="H191" s="64"/>
      <c r="I191" s="64"/>
      <c r="J191" s="64"/>
      <c r="K191" s="64"/>
      <c r="L191" s="64"/>
      <c r="M191" s="64"/>
      <c r="N191" s="64"/>
      <c r="O191" s="64"/>
      <c r="P191" s="64"/>
      <c r="Q191" s="64"/>
      <c r="R191" s="64"/>
      <c r="S191" s="64"/>
      <c r="T191" s="64"/>
      <c r="U191" s="64"/>
      <c r="V191" s="64"/>
      <c r="W191" s="64"/>
      <c r="X191" s="64"/>
      <c r="Y191" s="64"/>
      <c r="Z191" s="64"/>
    </row>
    <row r="192" ht="12.75" customHeight="1">
      <c r="A192" s="108"/>
      <c r="B192" s="64"/>
      <c r="C192" s="64"/>
      <c r="D192" s="64"/>
      <c r="E192" s="64"/>
      <c r="F192" s="63"/>
      <c r="G192" s="63"/>
      <c r="H192" s="64"/>
      <c r="I192" s="64"/>
      <c r="J192" s="64"/>
      <c r="K192" s="64"/>
      <c r="L192" s="64"/>
      <c r="M192" s="64"/>
      <c r="N192" s="64"/>
      <c r="O192" s="64"/>
      <c r="P192" s="64"/>
      <c r="Q192" s="64"/>
      <c r="R192" s="64"/>
      <c r="S192" s="64"/>
      <c r="T192" s="64"/>
      <c r="U192" s="64"/>
      <c r="V192" s="64"/>
      <c r="W192" s="64"/>
      <c r="X192" s="64"/>
      <c r="Y192" s="64"/>
      <c r="Z192" s="64"/>
    </row>
    <row r="193" ht="12.75" customHeight="1">
      <c r="A193" s="108"/>
      <c r="B193" s="64"/>
      <c r="C193" s="64"/>
      <c r="D193" s="64"/>
      <c r="E193" s="64"/>
      <c r="F193" s="63"/>
      <c r="G193" s="63"/>
      <c r="H193" s="64"/>
      <c r="I193" s="64"/>
      <c r="J193" s="64"/>
      <c r="K193" s="64"/>
      <c r="L193" s="64"/>
      <c r="M193" s="64"/>
      <c r="N193" s="64"/>
      <c r="O193" s="64"/>
      <c r="P193" s="64"/>
      <c r="Q193" s="64"/>
      <c r="R193" s="64"/>
      <c r="S193" s="64"/>
      <c r="T193" s="64"/>
      <c r="U193" s="64"/>
      <c r="V193" s="64"/>
      <c r="W193" s="64"/>
      <c r="X193" s="64"/>
      <c r="Y193" s="64"/>
      <c r="Z193" s="64"/>
    </row>
    <row r="194" ht="12.75" customHeight="1">
      <c r="A194" s="108"/>
      <c r="B194" s="64"/>
      <c r="C194" s="64"/>
      <c r="D194" s="64"/>
      <c r="E194" s="64"/>
      <c r="F194" s="63"/>
      <c r="G194" s="63"/>
      <c r="H194" s="64"/>
      <c r="I194" s="64"/>
      <c r="J194" s="64"/>
      <c r="K194" s="64"/>
      <c r="L194" s="64"/>
      <c r="M194" s="64"/>
      <c r="N194" s="64"/>
      <c r="O194" s="64"/>
      <c r="P194" s="64"/>
      <c r="Q194" s="64"/>
      <c r="R194" s="64"/>
      <c r="S194" s="64"/>
      <c r="T194" s="64"/>
      <c r="U194" s="64"/>
      <c r="V194" s="64"/>
      <c r="W194" s="64"/>
      <c r="X194" s="64"/>
      <c r="Y194" s="64"/>
      <c r="Z194" s="64"/>
    </row>
    <row r="195" ht="12.75" customHeight="1">
      <c r="A195" s="108"/>
      <c r="B195" s="64"/>
      <c r="C195" s="64"/>
      <c r="D195" s="64"/>
      <c r="E195" s="64"/>
      <c r="F195" s="63"/>
      <c r="G195" s="63"/>
      <c r="H195" s="64"/>
      <c r="I195" s="64"/>
      <c r="J195" s="64"/>
      <c r="K195" s="64"/>
      <c r="L195" s="64"/>
      <c r="M195" s="64"/>
      <c r="N195" s="64"/>
      <c r="O195" s="64"/>
      <c r="P195" s="64"/>
      <c r="Q195" s="64"/>
      <c r="R195" s="64"/>
      <c r="S195" s="64"/>
      <c r="T195" s="64"/>
      <c r="U195" s="64"/>
      <c r="V195" s="64"/>
      <c r="W195" s="64"/>
      <c r="X195" s="64"/>
      <c r="Y195" s="64"/>
      <c r="Z195" s="64"/>
    </row>
    <row r="196" ht="12.75" customHeight="1">
      <c r="A196" s="108"/>
      <c r="B196" s="64"/>
      <c r="C196" s="64"/>
      <c r="D196" s="64"/>
      <c r="E196" s="64"/>
      <c r="F196" s="63"/>
      <c r="G196" s="63"/>
      <c r="H196" s="64"/>
      <c r="I196" s="64"/>
      <c r="J196" s="64"/>
      <c r="K196" s="64"/>
      <c r="L196" s="64"/>
      <c r="M196" s="64"/>
      <c r="N196" s="64"/>
      <c r="O196" s="64"/>
      <c r="P196" s="64"/>
      <c r="Q196" s="64"/>
      <c r="R196" s="64"/>
      <c r="S196" s="64"/>
      <c r="T196" s="64"/>
      <c r="U196" s="64"/>
      <c r="V196" s="64"/>
      <c r="W196" s="64"/>
      <c r="X196" s="64"/>
      <c r="Y196" s="64"/>
      <c r="Z196" s="64"/>
    </row>
    <row r="197" ht="12.75" customHeight="1">
      <c r="A197" s="108"/>
      <c r="B197" s="64"/>
      <c r="C197" s="64"/>
      <c r="D197" s="64"/>
      <c r="E197" s="64"/>
      <c r="F197" s="63"/>
      <c r="G197" s="63"/>
      <c r="H197" s="64"/>
      <c r="I197" s="64"/>
      <c r="J197" s="64"/>
      <c r="K197" s="64"/>
      <c r="L197" s="64"/>
      <c r="M197" s="64"/>
      <c r="N197" s="64"/>
      <c r="O197" s="64"/>
      <c r="P197" s="64"/>
      <c r="Q197" s="64"/>
      <c r="R197" s="64"/>
      <c r="S197" s="64"/>
      <c r="T197" s="64"/>
      <c r="U197" s="64"/>
      <c r="V197" s="64"/>
      <c r="W197" s="64"/>
      <c r="X197" s="64"/>
      <c r="Y197" s="64"/>
      <c r="Z197" s="64"/>
    </row>
    <row r="198" ht="12.75" customHeight="1">
      <c r="A198" s="108"/>
      <c r="B198" s="64"/>
      <c r="C198" s="64"/>
      <c r="D198" s="64"/>
      <c r="E198" s="64"/>
      <c r="F198" s="63"/>
      <c r="G198" s="63"/>
      <c r="H198" s="64"/>
      <c r="I198" s="64"/>
      <c r="J198" s="64"/>
      <c r="K198" s="64"/>
      <c r="L198" s="64"/>
      <c r="M198" s="64"/>
      <c r="N198" s="64"/>
      <c r="O198" s="64"/>
      <c r="P198" s="64"/>
      <c r="Q198" s="64"/>
      <c r="R198" s="64"/>
      <c r="S198" s="64"/>
      <c r="T198" s="64"/>
      <c r="U198" s="64"/>
      <c r="V198" s="64"/>
      <c r="W198" s="64"/>
      <c r="X198" s="64"/>
      <c r="Y198" s="64"/>
      <c r="Z198" s="64"/>
    </row>
    <row r="199" ht="12.75" customHeight="1">
      <c r="A199" s="108"/>
      <c r="B199" s="64"/>
      <c r="C199" s="64"/>
      <c r="D199" s="64"/>
      <c r="E199" s="64"/>
      <c r="F199" s="63"/>
      <c r="G199" s="63"/>
      <c r="H199" s="64"/>
      <c r="I199" s="64"/>
      <c r="J199" s="64"/>
      <c r="K199" s="64"/>
      <c r="L199" s="64"/>
      <c r="M199" s="64"/>
      <c r="N199" s="64"/>
      <c r="O199" s="64"/>
      <c r="P199" s="64"/>
      <c r="Q199" s="64"/>
      <c r="R199" s="64"/>
      <c r="S199" s="64"/>
      <c r="T199" s="64"/>
      <c r="U199" s="64"/>
      <c r="V199" s="64"/>
      <c r="W199" s="64"/>
      <c r="X199" s="64"/>
      <c r="Y199" s="64"/>
      <c r="Z199" s="64"/>
    </row>
    <row r="200" ht="12.75" customHeight="1">
      <c r="A200" s="108"/>
      <c r="B200" s="64"/>
      <c r="C200" s="64"/>
      <c r="D200" s="64"/>
      <c r="E200" s="64"/>
      <c r="F200" s="63"/>
      <c r="G200" s="63"/>
      <c r="H200" s="64"/>
      <c r="I200" s="64"/>
      <c r="J200" s="64"/>
      <c r="K200" s="64"/>
      <c r="L200" s="64"/>
      <c r="M200" s="64"/>
      <c r="N200" s="64"/>
      <c r="O200" s="64"/>
      <c r="P200" s="64"/>
      <c r="Q200" s="64"/>
      <c r="R200" s="64"/>
      <c r="S200" s="64"/>
      <c r="T200" s="64"/>
      <c r="U200" s="64"/>
      <c r="V200" s="64"/>
      <c r="W200" s="64"/>
      <c r="X200" s="64"/>
      <c r="Y200" s="64"/>
      <c r="Z200" s="64"/>
    </row>
    <row r="201" ht="12.75" customHeight="1">
      <c r="A201" s="108"/>
      <c r="B201" s="64"/>
      <c r="C201" s="64"/>
      <c r="D201" s="64"/>
      <c r="E201" s="64"/>
      <c r="F201" s="63"/>
      <c r="G201" s="63"/>
      <c r="H201" s="64"/>
      <c r="I201" s="64"/>
      <c r="J201" s="64"/>
      <c r="K201" s="64"/>
      <c r="L201" s="64"/>
      <c r="M201" s="64"/>
      <c r="N201" s="64"/>
      <c r="O201" s="64"/>
      <c r="P201" s="64"/>
      <c r="Q201" s="64"/>
      <c r="R201" s="64"/>
      <c r="S201" s="64"/>
      <c r="T201" s="64"/>
      <c r="U201" s="64"/>
      <c r="V201" s="64"/>
      <c r="W201" s="64"/>
      <c r="X201" s="64"/>
      <c r="Y201" s="64"/>
      <c r="Z201" s="64"/>
    </row>
    <row r="202" ht="12.75" customHeight="1">
      <c r="A202" s="108"/>
      <c r="B202" s="64"/>
      <c r="C202" s="64"/>
      <c r="D202" s="64"/>
      <c r="E202" s="64"/>
      <c r="F202" s="63"/>
      <c r="G202" s="63"/>
      <c r="H202" s="64"/>
      <c r="I202" s="64"/>
      <c r="J202" s="64"/>
      <c r="K202" s="64"/>
      <c r="L202" s="64"/>
      <c r="M202" s="64"/>
      <c r="N202" s="64"/>
      <c r="O202" s="64"/>
      <c r="P202" s="64"/>
      <c r="Q202" s="64"/>
      <c r="R202" s="64"/>
      <c r="S202" s="64"/>
      <c r="T202" s="64"/>
      <c r="U202" s="64"/>
      <c r="V202" s="64"/>
      <c r="W202" s="64"/>
      <c r="X202" s="64"/>
      <c r="Y202" s="64"/>
      <c r="Z202" s="64"/>
    </row>
    <row r="203" ht="12.75" customHeight="1">
      <c r="A203" s="108"/>
      <c r="B203" s="64"/>
      <c r="C203" s="64"/>
      <c r="D203" s="64"/>
      <c r="E203" s="64"/>
      <c r="F203" s="63"/>
      <c r="G203" s="63"/>
      <c r="H203" s="64"/>
      <c r="I203" s="64"/>
      <c r="J203" s="64"/>
      <c r="K203" s="64"/>
      <c r="L203" s="64"/>
      <c r="M203" s="64"/>
      <c r="N203" s="64"/>
      <c r="O203" s="64"/>
      <c r="P203" s="64"/>
      <c r="Q203" s="64"/>
      <c r="R203" s="64"/>
      <c r="S203" s="64"/>
      <c r="T203" s="64"/>
      <c r="U203" s="64"/>
      <c r="V203" s="64"/>
      <c r="W203" s="64"/>
      <c r="X203" s="64"/>
      <c r="Y203" s="64"/>
      <c r="Z203" s="64"/>
    </row>
    <row r="204" ht="12.75" customHeight="1">
      <c r="A204" s="108"/>
      <c r="B204" s="64"/>
      <c r="C204" s="64"/>
      <c r="D204" s="64"/>
      <c r="E204" s="64"/>
      <c r="F204" s="63"/>
      <c r="G204" s="63"/>
      <c r="H204" s="64"/>
      <c r="I204" s="64"/>
      <c r="J204" s="64"/>
      <c r="K204" s="64"/>
      <c r="L204" s="64"/>
      <c r="M204" s="64"/>
      <c r="N204" s="64"/>
      <c r="O204" s="64"/>
      <c r="P204" s="64"/>
      <c r="Q204" s="64"/>
      <c r="R204" s="64"/>
      <c r="S204" s="64"/>
      <c r="T204" s="64"/>
      <c r="U204" s="64"/>
      <c r="V204" s="64"/>
      <c r="W204" s="64"/>
      <c r="X204" s="64"/>
      <c r="Y204" s="64"/>
      <c r="Z204" s="64"/>
    </row>
    <row r="205" ht="12.75" customHeight="1">
      <c r="A205" s="108"/>
      <c r="B205" s="64"/>
      <c r="C205" s="64"/>
      <c r="D205" s="64"/>
      <c r="E205" s="64"/>
      <c r="F205" s="63"/>
      <c r="G205" s="63"/>
      <c r="H205" s="64"/>
      <c r="I205" s="64"/>
      <c r="J205" s="64"/>
      <c r="K205" s="64"/>
      <c r="L205" s="64"/>
      <c r="M205" s="64"/>
      <c r="N205" s="64"/>
      <c r="O205" s="64"/>
      <c r="P205" s="64"/>
      <c r="Q205" s="64"/>
      <c r="R205" s="64"/>
      <c r="S205" s="64"/>
      <c r="T205" s="64"/>
      <c r="U205" s="64"/>
      <c r="V205" s="64"/>
      <c r="W205" s="64"/>
      <c r="X205" s="64"/>
      <c r="Y205" s="64"/>
      <c r="Z205" s="64"/>
    </row>
    <row r="206" ht="12.75" customHeight="1">
      <c r="A206" s="108"/>
      <c r="B206" s="64"/>
      <c r="C206" s="64"/>
      <c r="D206" s="64"/>
      <c r="E206" s="64"/>
      <c r="F206" s="63"/>
      <c r="G206" s="63"/>
      <c r="H206" s="64"/>
      <c r="I206" s="64"/>
      <c r="J206" s="64"/>
      <c r="K206" s="64"/>
      <c r="L206" s="64"/>
      <c r="M206" s="64"/>
      <c r="N206" s="64"/>
      <c r="O206" s="64"/>
      <c r="P206" s="64"/>
      <c r="Q206" s="64"/>
      <c r="R206" s="64"/>
      <c r="S206" s="64"/>
      <c r="T206" s="64"/>
      <c r="U206" s="64"/>
      <c r="V206" s="64"/>
      <c r="W206" s="64"/>
      <c r="X206" s="64"/>
      <c r="Y206" s="64"/>
      <c r="Z206" s="64"/>
    </row>
    <row r="207" ht="12.75" customHeight="1">
      <c r="A207" s="108"/>
      <c r="B207" s="64"/>
      <c r="C207" s="64"/>
      <c r="D207" s="64"/>
      <c r="E207" s="64"/>
      <c r="F207" s="63"/>
      <c r="G207" s="63"/>
      <c r="H207" s="64"/>
      <c r="I207" s="64"/>
      <c r="J207" s="64"/>
      <c r="K207" s="64"/>
      <c r="L207" s="64"/>
      <c r="M207" s="64"/>
      <c r="N207" s="64"/>
      <c r="O207" s="64"/>
      <c r="P207" s="64"/>
      <c r="Q207" s="64"/>
      <c r="R207" s="64"/>
      <c r="S207" s="64"/>
      <c r="T207" s="64"/>
      <c r="U207" s="64"/>
      <c r="V207" s="64"/>
      <c r="W207" s="64"/>
      <c r="X207" s="64"/>
      <c r="Y207" s="64"/>
      <c r="Z207" s="64"/>
    </row>
    <row r="208" ht="12.75" customHeight="1">
      <c r="A208" s="108"/>
      <c r="B208" s="64"/>
      <c r="C208" s="64"/>
      <c r="D208" s="64"/>
      <c r="E208" s="64"/>
      <c r="F208" s="63"/>
      <c r="G208" s="63"/>
      <c r="H208" s="64"/>
      <c r="I208" s="64"/>
      <c r="J208" s="64"/>
      <c r="K208" s="64"/>
      <c r="L208" s="64"/>
      <c r="M208" s="64"/>
      <c r="N208" s="64"/>
      <c r="O208" s="64"/>
      <c r="P208" s="64"/>
      <c r="Q208" s="64"/>
      <c r="R208" s="64"/>
      <c r="S208" s="64"/>
      <c r="T208" s="64"/>
      <c r="U208" s="64"/>
      <c r="V208" s="64"/>
      <c r="W208" s="64"/>
      <c r="X208" s="64"/>
      <c r="Y208" s="64"/>
      <c r="Z208" s="64"/>
    </row>
    <row r="209" ht="12.75" customHeight="1">
      <c r="A209" s="108"/>
      <c r="B209" s="64"/>
      <c r="C209" s="64"/>
      <c r="D209" s="64"/>
      <c r="E209" s="64"/>
      <c r="F209" s="63"/>
      <c r="G209" s="63"/>
      <c r="H209" s="64"/>
      <c r="I209" s="64"/>
      <c r="J209" s="64"/>
      <c r="K209" s="64"/>
      <c r="L209" s="64"/>
      <c r="M209" s="64"/>
      <c r="N209" s="64"/>
      <c r="O209" s="64"/>
      <c r="P209" s="64"/>
      <c r="Q209" s="64"/>
      <c r="R209" s="64"/>
      <c r="S209" s="64"/>
      <c r="T209" s="64"/>
      <c r="U209" s="64"/>
      <c r="V209" s="64"/>
      <c r="W209" s="64"/>
      <c r="X209" s="64"/>
      <c r="Y209" s="64"/>
      <c r="Z209" s="64"/>
    </row>
    <row r="210" ht="12.75" customHeight="1">
      <c r="A210" s="108"/>
      <c r="B210" s="64"/>
      <c r="C210" s="64"/>
      <c r="D210" s="64"/>
      <c r="E210" s="64"/>
      <c r="F210" s="63"/>
      <c r="G210" s="63"/>
      <c r="H210" s="64"/>
      <c r="I210" s="64"/>
      <c r="J210" s="64"/>
      <c r="K210" s="64"/>
      <c r="L210" s="64"/>
      <c r="M210" s="64"/>
      <c r="N210" s="64"/>
      <c r="O210" s="64"/>
      <c r="P210" s="64"/>
      <c r="Q210" s="64"/>
      <c r="R210" s="64"/>
      <c r="S210" s="64"/>
      <c r="T210" s="64"/>
      <c r="U210" s="64"/>
      <c r="V210" s="64"/>
      <c r="W210" s="64"/>
      <c r="X210" s="64"/>
      <c r="Y210" s="64"/>
      <c r="Z210" s="64"/>
    </row>
    <row r="211" ht="12.75" customHeight="1">
      <c r="A211" s="108"/>
      <c r="B211" s="64"/>
      <c r="C211" s="64"/>
      <c r="D211" s="64"/>
      <c r="E211" s="64"/>
      <c r="F211" s="63"/>
      <c r="G211" s="63"/>
      <c r="H211" s="64"/>
      <c r="I211" s="64"/>
      <c r="J211" s="64"/>
      <c r="K211" s="64"/>
      <c r="L211" s="64"/>
      <c r="M211" s="64"/>
      <c r="N211" s="64"/>
      <c r="O211" s="64"/>
      <c r="P211" s="64"/>
      <c r="Q211" s="64"/>
      <c r="R211" s="64"/>
      <c r="S211" s="64"/>
      <c r="T211" s="64"/>
      <c r="U211" s="64"/>
      <c r="V211" s="64"/>
      <c r="W211" s="64"/>
      <c r="X211" s="64"/>
      <c r="Y211" s="64"/>
      <c r="Z211" s="64"/>
    </row>
    <row r="212" ht="12.75" customHeight="1">
      <c r="A212" s="108"/>
      <c r="B212" s="64"/>
      <c r="C212" s="64"/>
      <c r="D212" s="64"/>
      <c r="E212" s="64"/>
      <c r="F212" s="63"/>
      <c r="G212" s="63"/>
      <c r="H212" s="64"/>
      <c r="I212" s="64"/>
      <c r="J212" s="64"/>
      <c r="K212" s="64"/>
      <c r="L212" s="64"/>
      <c r="M212" s="64"/>
      <c r="N212" s="64"/>
      <c r="O212" s="64"/>
      <c r="P212" s="64"/>
      <c r="Q212" s="64"/>
      <c r="R212" s="64"/>
      <c r="S212" s="64"/>
      <c r="T212" s="64"/>
      <c r="U212" s="64"/>
      <c r="V212" s="64"/>
      <c r="W212" s="64"/>
      <c r="X212" s="64"/>
      <c r="Y212" s="64"/>
      <c r="Z212" s="64"/>
    </row>
    <row r="213" ht="12.75" customHeight="1">
      <c r="A213" s="108"/>
      <c r="B213" s="64"/>
      <c r="C213" s="64"/>
      <c r="D213" s="64"/>
      <c r="E213" s="64"/>
      <c r="F213" s="63"/>
      <c r="G213" s="63"/>
      <c r="H213" s="64"/>
      <c r="I213" s="64"/>
      <c r="J213" s="64"/>
      <c r="K213" s="64"/>
      <c r="L213" s="64"/>
      <c r="M213" s="64"/>
      <c r="N213" s="64"/>
      <c r="O213" s="64"/>
      <c r="P213" s="64"/>
      <c r="Q213" s="64"/>
      <c r="R213" s="64"/>
      <c r="S213" s="64"/>
      <c r="T213" s="64"/>
      <c r="U213" s="64"/>
      <c r="V213" s="64"/>
      <c r="W213" s="64"/>
      <c r="X213" s="64"/>
      <c r="Y213" s="64"/>
      <c r="Z213" s="64"/>
    </row>
    <row r="214" ht="12.75" customHeight="1">
      <c r="A214" s="108"/>
      <c r="B214" s="64"/>
      <c r="C214" s="64"/>
      <c r="D214" s="64"/>
      <c r="E214" s="64"/>
      <c r="F214" s="63"/>
      <c r="G214" s="63"/>
      <c r="H214" s="64"/>
      <c r="I214" s="64"/>
      <c r="J214" s="64"/>
      <c r="K214" s="64"/>
      <c r="L214" s="64"/>
      <c r="M214" s="64"/>
      <c r="N214" s="64"/>
      <c r="O214" s="64"/>
      <c r="P214" s="64"/>
      <c r="Q214" s="64"/>
      <c r="R214" s="64"/>
      <c r="S214" s="64"/>
      <c r="T214" s="64"/>
      <c r="U214" s="64"/>
      <c r="V214" s="64"/>
      <c r="W214" s="64"/>
      <c r="X214" s="64"/>
      <c r="Y214" s="64"/>
      <c r="Z214" s="64"/>
    </row>
    <row r="215" ht="12.75" customHeight="1">
      <c r="A215" s="108"/>
      <c r="B215" s="64"/>
      <c r="C215" s="64"/>
      <c r="D215" s="64"/>
      <c r="E215" s="64"/>
      <c r="F215" s="63"/>
      <c r="G215" s="63"/>
      <c r="H215" s="64"/>
      <c r="I215" s="64"/>
      <c r="J215" s="64"/>
      <c r="K215" s="64"/>
      <c r="L215" s="64"/>
      <c r="M215" s="64"/>
      <c r="N215" s="64"/>
      <c r="O215" s="64"/>
      <c r="P215" s="64"/>
      <c r="Q215" s="64"/>
      <c r="R215" s="64"/>
      <c r="S215" s="64"/>
      <c r="T215" s="64"/>
      <c r="U215" s="64"/>
      <c r="V215" s="64"/>
      <c r="W215" s="64"/>
      <c r="X215" s="64"/>
      <c r="Y215" s="64"/>
      <c r="Z215" s="64"/>
    </row>
    <row r="216" ht="12.75" customHeight="1">
      <c r="A216" s="108"/>
      <c r="B216" s="64"/>
      <c r="C216" s="64"/>
      <c r="D216" s="64"/>
      <c r="E216" s="64"/>
      <c r="F216" s="63"/>
      <c r="G216" s="63"/>
      <c r="H216" s="64"/>
      <c r="I216" s="64"/>
      <c r="J216" s="64"/>
      <c r="K216" s="64"/>
      <c r="L216" s="64"/>
      <c r="M216" s="64"/>
      <c r="N216" s="64"/>
      <c r="O216" s="64"/>
      <c r="P216" s="64"/>
      <c r="Q216" s="64"/>
      <c r="R216" s="64"/>
      <c r="S216" s="64"/>
      <c r="T216" s="64"/>
      <c r="U216" s="64"/>
      <c r="V216" s="64"/>
      <c r="W216" s="64"/>
      <c r="X216" s="64"/>
      <c r="Y216" s="64"/>
      <c r="Z216" s="64"/>
    </row>
    <row r="217" ht="12.75" customHeight="1">
      <c r="A217" s="108"/>
      <c r="B217" s="64"/>
      <c r="C217" s="64"/>
      <c r="D217" s="64"/>
      <c r="E217" s="64"/>
      <c r="F217" s="63"/>
      <c r="G217" s="63"/>
      <c r="H217" s="64"/>
      <c r="I217" s="64"/>
      <c r="J217" s="64"/>
      <c r="K217" s="64"/>
      <c r="L217" s="64"/>
      <c r="M217" s="64"/>
      <c r="N217" s="64"/>
      <c r="O217" s="64"/>
      <c r="P217" s="64"/>
      <c r="Q217" s="64"/>
      <c r="R217" s="64"/>
      <c r="S217" s="64"/>
      <c r="T217" s="64"/>
      <c r="U217" s="64"/>
      <c r="V217" s="64"/>
      <c r="W217" s="64"/>
      <c r="X217" s="64"/>
      <c r="Y217" s="64"/>
      <c r="Z217" s="64"/>
    </row>
    <row r="218" ht="12.75" customHeight="1">
      <c r="A218" s="108"/>
      <c r="B218" s="64"/>
      <c r="C218" s="64"/>
      <c r="D218" s="64"/>
      <c r="E218" s="64"/>
      <c r="F218" s="63"/>
      <c r="G218" s="63"/>
      <c r="H218" s="64"/>
      <c r="I218" s="64"/>
      <c r="J218" s="64"/>
      <c r="K218" s="64"/>
      <c r="L218" s="64"/>
      <c r="M218" s="64"/>
      <c r="N218" s="64"/>
      <c r="O218" s="64"/>
      <c r="P218" s="64"/>
      <c r="Q218" s="64"/>
      <c r="R218" s="64"/>
      <c r="S218" s="64"/>
      <c r="T218" s="64"/>
      <c r="U218" s="64"/>
      <c r="V218" s="64"/>
      <c r="W218" s="64"/>
      <c r="X218" s="64"/>
      <c r="Y218" s="64"/>
      <c r="Z218" s="64"/>
    </row>
    <row r="219" ht="12.75" customHeight="1">
      <c r="A219" s="108"/>
      <c r="B219" s="64"/>
      <c r="C219" s="64"/>
      <c r="D219" s="64"/>
      <c r="E219" s="64"/>
      <c r="F219" s="63"/>
      <c r="G219" s="63"/>
      <c r="H219" s="64"/>
      <c r="I219" s="64"/>
      <c r="J219" s="64"/>
      <c r="K219" s="64"/>
      <c r="L219" s="64"/>
      <c r="M219" s="64"/>
      <c r="N219" s="64"/>
      <c r="O219" s="64"/>
      <c r="P219" s="64"/>
      <c r="Q219" s="64"/>
      <c r="R219" s="64"/>
      <c r="S219" s="64"/>
      <c r="T219" s="64"/>
      <c r="U219" s="64"/>
      <c r="V219" s="64"/>
      <c r="W219" s="64"/>
      <c r="X219" s="64"/>
      <c r="Y219" s="64"/>
      <c r="Z219" s="64"/>
    </row>
    <row r="220" ht="12.75" customHeight="1">
      <c r="A220" s="108"/>
      <c r="B220" s="64"/>
      <c r="C220" s="64"/>
      <c r="D220" s="64"/>
      <c r="E220" s="64"/>
      <c r="F220" s="63"/>
      <c r="G220" s="63"/>
      <c r="H220" s="64"/>
      <c r="I220" s="64"/>
      <c r="J220" s="64"/>
      <c r="K220" s="64"/>
      <c r="L220" s="64"/>
      <c r="M220" s="64"/>
      <c r="N220" s="64"/>
      <c r="O220" s="64"/>
      <c r="P220" s="64"/>
      <c r="Q220" s="64"/>
      <c r="R220" s="64"/>
      <c r="S220" s="64"/>
      <c r="T220" s="64"/>
      <c r="U220" s="64"/>
      <c r="V220" s="64"/>
      <c r="W220" s="64"/>
      <c r="X220" s="64"/>
      <c r="Y220" s="64"/>
      <c r="Z220" s="64"/>
    </row>
    <row r="221" ht="12.75" customHeight="1">
      <c r="A221" s="108"/>
      <c r="B221" s="64"/>
      <c r="C221" s="64"/>
      <c r="D221" s="64"/>
      <c r="E221" s="64"/>
      <c r="F221" s="63"/>
      <c r="G221" s="63"/>
      <c r="H221" s="64"/>
      <c r="I221" s="64"/>
      <c r="J221" s="64"/>
      <c r="K221" s="64"/>
      <c r="L221" s="64"/>
      <c r="M221" s="64"/>
      <c r="N221" s="64"/>
      <c r="O221" s="64"/>
      <c r="P221" s="64"/>
      <c r="Q221" s="64"/>
      <c r="R221" s="64"/>
      <c r="S221" s="64"/>
      <c r="T221" s="64"/>
      <c r="U221" s="64"/>
      <c r="V221" s="64"/>
      <c r="W221" s="64"/>
      <c r="X221" s="64"/>
      <c r="Y221" s="64"/>
      <c r="Z221" s="64"/>
    </row>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mergeCells count="10">
    <mergeCell ref="C19:D19"/>
    <mergeCell ref="C20:D20"/>
    <mergeCell ref="C21:D21"/>
    <mergeCell ref="C12:D12"/>
    <mergeCell ref="C13:D13"/>
    <mergeCell ref="C14:D14"/>
    <mergeCell ref="C15:D15"/>
    <mergeCell ref="C16:D16"/>
    <mergeCell ref="C17:D17"/>
    <mergeCell ref="C18:D18"/>
  </mergeCells>
  <conditionalFormatting sqref="C6:D6 C8:D8">
    <cfRule type="expression" dxfId="0" priority="1">
      <formula>$A6&lt;&gt;""</formula>
    </cfRule>
  </conditionalFormatting>
  <conditionalFormatting sqref="C6:D6 C8:D8">
    <cfRule type="expression" dxfId="1" priority="2">
      <formula>$A6=""</formula>
    </cfRule>
  </conditionalFormatting>
  <dataValidations>
    <dataValidation type="decimal" allowBlank="1" showErrorMessage="1" sqref="F13:F20">
      <formula1>0.0</formula1>
      <formula2>50.0</formula2>
    </dataValidation>
  </dataValidations>
  <printOptions/>
  <pageMargins bottom="0.75" footer="0.0" header="0.0" left="0.7" right="0.7" top="0.75"/>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4A3B8"/>
    <pageSetUpPr/>
  </sheetPr>
  <sheetViews>
    <sheetView showGridLines="0" workbookViewId="0"/>
  </sheetViews>
  <sheetFormatPr customHeight="1" defaultColWidth="12.63" defaultRowHeight="15.0"/>
  <cols>
    <col customWidth="1" min="1" max="1" width="15.63"/>
    <col customWidth="1" min="2" max="2" width="46.13"/>
    <col customWidth="1" min="3" max="3" width="27.63"/>
    <col customWidth="1" min="4" max="4" width="15.0"/>
    <col customWidth="1" min="5" max="5" width="25.13"/>
    <col customWidth="1" min="6" max="6" width="17.88"/>
    <col customWidth="1" min="7" max="7" width="15.0"/>
    <col customWidth="1" min="8" max="26" width="9.13"/>
  </cols>
  <sheetData>
    <row r="1" ht="12.75" customHeight="1">
      <c r="A1" s="105" t="s">
        <v>260</v>
      </c>
      <c r="B1" s="77" t="s">
        <v>118</v>
      </c>
      <c r="C1" s="78"/>
      <c r="D1" s="78"/>
      <c r="E1" s="64"/>
      <c r="F1" s="63"/>
      <c r="G1" s="63"/>
      <c r="H1" s="64"/>
      <c r="I1" s="64"/>
      <c r="J1" s="64"/>
      <c r="K1" s="64"/>
      <c r="L1" s="64"/>
      <c r="M1" s="64"/>
      <c r="N1" s="64"/>
      <c r="O1" s="64"/>
      <c r="P1" s="64"/>
      <c r="Q1" s="64"/>
      <c r="R1" s="64"/>
      <c r="S1" s="64"/>
      <c r="T1" s="64"/>
      <c r="U1" s="64"/>
      <c r="V1" s="64"/>
      <c r="W1" s="64"/>
      <c r="X1" s="64"/>
      <c r="Y1" s="64"/>
      <c r="Z1" s="64"/>
    </row>
    <row r="2" ht="12.75" customHeight="1">
      <c r="A2" s="110" t="s">
        <v>5</v>
      </c>
      <c r="B2" s="62" t="str">
        <f t="array" ref="B2">IFERROR(INDEX(Sessions!$C$2:$C$173,MATCH($B$1,Sessions!$B$2:$B$173,0))&amp;"","")</f>
        <v>Intelligent Communication Networks and Computing</v>
      </c>
      <c r="C2" s="64"/>
      <c r="D2" s="64"/>
      <c r="E2" s="64"/>
      <c r="F2" s="63"/>
      <c r="G2" s="63"/>
      <c r="H2" s="64"/>
      <c r="I2" s="64"/>
      <c r="J2" s="64"/>
      <c r="K2" s="64"/>
      <c r="L2" s="64"/>
      <c r="M2" s="64"/>
      <c r="N2" s="64"/>
      <c r="O2" s="64"/>
      <c r="P2" s="64"/>
      <c r="Q2" s="64"/>
      <c r="R2" s="64"/>
      <c r="S2" s="64"/>
      <c r="T2" s="64"/>
      <c r="U2" s="64"/>
      <c r="V2" s="64"/>
      <c r="W2" s="64"/>
      <c r="X2" s="64"/>
      <c r="Y2" s="64"/>
      <c r="Z2" s="64"/>
    </row>
    <row r="3" ht="12.75" customHeight="1">
      <c r="A3" s="112" t="s">
        <v>704</v>
      </c>
      <c r="B3" s="86" t="str">
        <f>IF(LEFT($B$1,2)="T1",Schedule!$A$4&amp;", "&amp;Schedule!$A$10,IF(LEFT($B$1,2)="T2",Schedule!$A$4&amp;", "&amp;Schedule!$A$12,IF(LEFT($B$1,2)="T3",Schedule!$A$4&amp;", "&amp;#REF!,IF(LEFT($B$1,2)="T4",Schedule!$A$16&amp;", "&amp;Schedule!$A$18,IF($B$1="Keynote 1",Schedule!$A$4&amp;", "&amp;Schedule!$A$8,IF($B$1="Keynote 2",Schedule!$A$4&amp;", "&amp;Schedule!$A$13,IF($B$1="Keynote 3",Schedule!$A$16&amp;", "&amp;Schedule!$A$19,IF($B$1="IEEE Workshop",Schedule!$A$16&amp;", "&amp;#REF!,""))))))))</f>
        <v>Day 2, 11:00-13:00</v>
      </c>
      <c r="C3" s="80"/>
      <c r="D3" s="80"/>
      <c r="E3" s="64"/>
      <c r="F3" s="63"/>
      <c r="G3" s="63"/>
      <c r="H3" s="64"/>
      <c r="I3" s="64"/>
      <c r="J3" s="64"/>
      <c r="K3" s="64"/>
      <c r="L3" s="64"/>
      <c r="M3" s="64"/>
      <c r="N3" s="64"/>
      <c r="O3" s="64"/>
      <c r="P3" s="64"/>
      <c r="Q3" s="64"/>
      <c r="R3" s="64"/>
      <c r="S3" s="64"/>
      <c r="T3" s="64"/>
      <c r="U3" s="64"/>
      <c r="V3" s="64"/>
      <c r="W3" s="64"/>
      <c r="X3" s="64"/>
      <c r="Y3" s="64"/>
      <c r="Z3" s="64"/>
    </row>
    <row r="4" ht="12.75" customHeight="1">
      <c r="A4" s="112" t="s">
        <v>11</v>
      </c>
      <c r="B4" s="126" t="str">
        <f t="array" ref="B4">IFERROR(INDEX(Sessions!$D$2:$D$173,MATCH($B$1,Sessions!$B$2:$B$173,0))&amp;"","")</f>
        <v>https://bdren.zoom.us/j/3426823862?pwd=qdTx7T0wafu1iseMaIbFJzZkwB20Gq.1&amp;omn=9670458221</v>
      </c>
      <c r="C4" s="80"/>
      <c r="D4" s="80"/>
      <c r="E4" s="64"/>
      <c r="F4" s="63"/>
      <c r="G4" s="63"/>
      <c r="H4" s="64"/>
      <c r="I4" s="64"/>
      <c r="J4" s="64"/>
      <c r="K4" s="64"/>
      <c r="L4" s="64"/>
      <c r="M4" s="64"/>
      <c r="N4" s="64"/>
      <c r="O4" s="64"/>
      <c r="P4" s="64"/>
      <c r="Q4" s="64"/>
      <c r="R4" s="64"/>
      <c r="S4" s="64"/>
      <c r="T4" s="64"/>
      <c r="U4" s="64"/>
      <c r="V4" s="64"/>
      <c r="W4" s="64"/>
      <c r="X4" s="64"/>
      <c r="Y4" s="64"/>
      <c r="Z4" s="64"/>
    </row>
    <row r="5" ht="12.75" customHeight="1">
      <c r="A5" s="114" t="s">
        <v>725</v>
      </c>
      <c r="B5" s="86" t="str">
        <f t="array" ref="B5">IFERROR(INDEX(Chairs!$J$2:$J$359,MATCH(1,INDEX((Chairs!$K$2:$K$359=$B$1)*(Chairs!$N$2:$N$359=1),0),0)),"")</f>
        <v>Prof. Dr. Ahmed Al Mansur</v>
      </c>
      <c r="C5" s="86" t="str">
        <f t="array" ref="C5">IFERROR(INDEX(Chairs!$L$2:$L$359,MATCH(1,INDEX((Chairs!$K$2:$K$359=$B$1)*(Chairs!$N$2:$N$359=1),0),0))&amp;"","")</f>
        <v>mansur.eee@bubt.edu.bd</v>
      </c>
      <c r="D5" s="86" t="str">
        <f t="array" ref="D5">IFERROR(INDEX(Chairs!$M$2:$M$359,MATCH(1,INDEX((Chairs!$K$2:$K$359=$B$1)*(Chairs!$N$2:$N$359=1),0),0))&amp;"","")</f>
        <v>01715020314</v>
      </c>
      <c r="E5" s="64"/>
      <c r="F5" s="63"/>
      <c r="G5" s="63"/>
      <c r="H5" s="64"/>
      <c r="I5" s="64"/>
      <c r="J5" s="64"/>
      <c r="K5" s="64"/>
      <c r="L5" s="64"/>
      <c r="M5" s="64"/>
      <c r="N5" s="64"/>
      <c r="O5" s="64"/>
      <c r="P5" s="64"/>
      <c r="Q5" s="64"/>
      <c r="R5" s="64"/>
      <c r="S5" s="64"/>
      <c r="T5" s="64"/>
      <c r="U5" s="64"/>
      <c r="V5" s="64"/>
      <c r="W5" s="64"/>
      <c r="X5" s="64"/>
      <c r="Y5" s="64"/>
      <c r="Z5" s="64"/>
    </row>
    <row r="6" ht="12.75" customHeight="1">
      <c r="A6" s="114" t="s">
        <v>726</v>
      </c>
      <c r="B6" s="118" t="s">
        <v>729</v>
      </c>
      <c r="C6" s="8" t="s">
        <v>307</v>
      </c>
      <c r="D6" s="59" t="s">
        <v>308</v>
      </c>
      <c r="E6" s="64"/>
      <c r="F6" s="63"/>
      <c r="G6" s="63"/>
      <c r="H6" s="64"/>
      <c r="I6" s="64"/>
      <c r="J6" s="64"/>
      <c r="K6" s="64"/>
      <c r="L6" s="64"/>
      <c r="M6" s="64"/>
      <c r="N6" s="64"/>
      <c r="O6" s="64"/>
      <c r="P6" s="64"/>
      <c r="Q6" s="64"/>
      <c r="R6" s="64"/>
      <c r="S6" s="64"/>
      <c r="T6" s="64"/>
      <c r="U6" s="64"/>
      <c r="V6" s="64"/>
      <c r="W6" s="64"/>
      <c r="X6" s="64"/>
      <c r="Y6" s="64"/>
      <c r="Z6" s="64"/>
    </row>
    <row r="7" ht="12.75" customHeight="1">
      <c r="A7" s="112" t="s">
        <v>709</v>
      </c>
      <c r="B7" s="86" t="str">
        <f t="array" ref="B7">IFERROR(INDEX('Senior Faculty'!$J$2:$J$401,MATCH(1,INDEX(('Senior Faculty'!$K$2:$K$401=$B$1)*('Senior Faculty'!$N$2:$N$401=1),0),0)),"")</f>
        <v>Ifat Al Baqee, PhD</v>
      </c>
      <c r="C7" s="86" t="str">
        <f t="array" ref="C7">IFERROR(INDEX('Senior Faculty'!$L$2:$L$401,MATCH(1,INDEX(('Senior Faculty'!$K$2:$K$401=$B$1)*('Senior Faculty'!$N$2:$N$401=1),0),0))&amp;"","")</f>
        <v>ifat.albaqee@ulab.edu.bd</v>
      </c>
      <c r="D7" s="86" t="str">
        <f t="array" ref="D7">IFERROR(INDEX('Senior Faculty'!$M$2:$M$401,MATCH(1,INDEX(('Senior Faculty'!$K$2:$K$401=$B$1)*('Senior Faculty'!$N$2:$N$401=1),0),0))&amp;"","")</f>
        <v>01715135140</v>
      </c>
      <c r="E7" s="64"/>
      <c r="F7" s="63"/>
      <c r="G7" s="63"/>
      <c r="H7" s="64"/>
      <c r="I7" s="64"/>
      <c r="J7" s="64"/>
      <c r="K7" s="64"/>
      <c r="L7" s="64"/>
      <c r="M7" s="64"/>
      <c r="N7" s="64"/>
      <c r="O7" s="64"/>
      <c r="P7" s="64"/>
      <c r="Q7" s="64"/>
      <c r="R7" s="64"/>
      <c r="S7" s="64"/>
      <c r="T7" s="64"/>
      <c r="U7" s="64"/>
      <c r="V7" s="64"/>
      <c r="W7" s="64"/>
      <c r="X7" s="64"/>
      <c r="Y7" s="64"/>
      <c r="Z7" s="64"/>
    </row>
    <row r="8" ht="12.75" customHeight="1">
      <c r="A8" s="112" t="s">
        <v>713</v>
      </c>
      <c r="B8" s="118" t="s">
        <v>733</v>
      </c>
      <c r="C8" s="8" t="s">
        <v>262</v>
      </c>
      <c r="D8" s="127" t="s">
        <v>263</v>
      </c>
      <c r="E8" s="64"/>
      <c r="F8" s="63"/>
      <c r="G8" s="63"/>
      <c r="H8" s="64"/>
      <c r="I8" s="64"/>
      <c r="J8" s="64"/>
      <c r="K8" s="64"/>
      <c r="L8" s="64"/>
      <c r="M8" s="64"/>
      <c r="N8" s="64"/>
      <c r="O8" s="64"/>
      <c r="P8" s="64"/>
      <c r="Q8" s="64"/>
      <c r="R8" s="64"/>
      <c r="S8" s="64"/>
      <c r="T8" s="64"/>
      <c r="U8" s="64"/>
      <c r="V8" s="64"/>
      <c r="W8" s="64"/>
      <c r="X8" s="64"/>
      <c r="Y8" s="64"/>
      <c r="Z8" s="64"/>
    </row>
    <row r="9" ht="12.75" customHeight="1">
      <c r="A9" s="119" t="s">
        <v>714</v>
      </c>
      <c r="B9" s="95" t="str">
        <f t="array" ref="B9">IFERROR(INDEX('Junior Faculty'!$J$2:$J$401,MATCH(1,INDEX(('Junior Faculty'!$K$2:$K$401=$B$1)*('Junior Faculty'!$N$2:$N$401=2),0),0)),"")</f>
        <v/>
      </c>
      <c r="C9" s="95" t="str">
        <f t="array" ref="C9">IFERROR(INDEX('Junior Faculty'!$L$2:$L$401,MATCH(1,INDEX(('Junior Faculty'!$K$2:$K$401=$B$1)*('Junior Faculty'!$N$2:$N$401=2),0),0))&amp;"","")</f>
        <v/>
      </c>
      <c r="D9" s="95" t="str">
        <f t="array" ref="D9">IFERROR(INDEX('Junior Faculty'!$M$2:$M$401,MATCH(1,INDEX(('Junior Faculty'!$K$2:$K$401=$B$1)*('Junior Faculty'!$N$2:$N$401=2),0),0))&amp;"","")</f>
        <v/>
      </c>
      <c r="E9" s="64"/>
      <c r="F9" s="63"/>
      <c r="G9" s="63"/>
      <c r="H9" s="64"/>
      <c r="I9" s="64"/>
      <c r="J9" s="64"/>
      <c r="K9" s="64"/>
      <c r="L9" s="64"/>
      <c r="M9" s="64"/>
      <c r="N9" s="64"/>
      <c r="O9" s="64"/>
      <c r="P9" s="64"/>
      <c r="Q9" s="64"/>
      <c r="R9" s="64"/>
      <c r="S9" s="64"/>
      <c r="T9" s="64"/>
      <c r="U9" s="64"/>
      <c r="V9" s="64"/>
      <c r="W9" s="64"/>
      <c r="X9" s="64"/>
      <c r="Y9" s="64"/>
      <c r="Z9" s="64"/>
    </row>
    <row r="10" ht="12.75" customHeight="1">
      <c r="A10" s="108"/>
      <c r="B10" s="64"/>
      <c r="C10" s="64"/>
      <c r="D10" s="64"/>
      <c r="E10" s="64"/>
      <c r="F10" s="63"/>
      <c r="G10" s="63"/>
      <c r="H10" s="64"/>
      <c r="I10" s="64"/>
      <c r="J10" s="64"/>
      <c r="K10" s="64"/>
      <c r="L10" s="64"/>
      <c r="M10" s="64"/>
      <c r="N10" s="64"/>
      <c r="O10" s="64"/>
      <c r="P10" s="64"/>
      <c r="Q10" s="64"/>
      <c r="R10" s="64"/>
      <c r="S10" s="64"/>
      <c r="T10" s="64"/>
      <c r="U10" s="64"/>
      <c r="V10" s="64"/>
      <c r="W10" s="64"/>
      <c r="X10" s="64"/>
      <c r="Y10" s="64"/>
      <c r="Z10" s="64"/>
    </row>
    <row r="11" ht="12.75" customHeight="1">
      <c r="A11" s="121" t="s">
        <v>727</v>
      </c>
      <c r="B11" s="86"/>
      <c r="C11" s="86"/>
      <c r="D11" s="86"/>
      <c r="E11" s="64"/>
      <c r="F11" s="63"/>
      <c r="G11" s="63"/>
      <c r="H11" s="64"/>
      <c r="I11" s="64"/>
      <c r="J11" s="64"/>
      <c r="K11" s="64"/>
      <c r="L11" s="64"/>
      <c r="M11" s="64"/>
      <c r="N11" s="64"/>
      <c r="O11" s="64"/>
      <c r="P11" s="64"/>
      <c r="Q11" s="64"/>
      <c r="R11" s="64"/>
      <c r="S11" s="64"/>
      <c r="T11" s="64"/>
      <c r="U11" s="64"/>
      <c r="V11" s="64"/>
      <c r="W11" s="64"/>
      <c r="X11" s="64"/>
      <c r="Y11" s="64"/>
      <c r="Z11" s="64"/>
    </row>
    <row r="12" ht="15.0" customHeight="1">
      <c r="A12" s="122" t="s">
        <v>174</v>
      </c>
      <c r="B12" s="122" t="s">
        <v>256</v>
      </c>
      <c r="C12" s="123" t="s">
        <v>257</v>
      </c>
      <c r="D12" s="124"/>
      <c r="E12" s="61" t="s">
        <v>258</v>
      </c>
      <c r="F12" s="60" t="s">
        <v>265</v>
      </c>
      <c r="G12" s="64"/>
      <c r="H12" s="64"/>
      <c r="I12" s="64"/>
      <c r="J12" s="64"/>
      <c r="K12" s="64"/>
      <c r="L12" s="64"/>
      <c r="M12" s="64"/>
      <c r="N12" s="64"/>
      <c r="O12" s="64"/>
      <c r="P12" s="64"/>
      <c r="Q12" s="64"/>
      <c r="R12" s="64"/>
      <c r="S12" s="64"/>
      <c r="T12" s="64"/>
      <c r="U12" s="64"/>
      <c r="V12" s="64"/>
      <c r="W12" s="64"/>
      <c r="X12" s="64"/>
      <c r="Y12" s="64"/>
      <c r="Z12" s="64"/>
    </row>
    <row r="13" ht="12.75" customHeight="1">
      <c r="A13" s="113">
        <f t="array" ref="A13">IFERROR(INDEX(Papers!$A$2:$A$201,MATCH(1,INDEX((Papers!$G$2:$G$201=$B$1)*(Papers!$I$2:$I$201=1),0),0)),"")</f>
        <v>310</v>
      </c>
      <c r="B13" s="113" t="str">
        <f t="array" ref="B13">IFERROR(INDEX(Papers!$C$2:$C$201,MATCH(1,INDEX((Papers!$G$2:$G$201=$B$1)*(Papers!$I$2:$I$201=1),0),0)),"")</f>
        <v>Predicting the Effect of Drugs on Neonatal using Machine Learning and Explainable AI</v>
      </c>
      <c r="C13" s="113" t="str">
        <f t="array" ref="C13">IFERROR(INDEX(Papers!$D$2:$D$201,MATCH(1,INDEX((Papers!$G$2:$G$201=$B$1)*(Papers!$I$2:$I$201=1),0),0)),"")</f>
        <v>Md. Zehadul Islam (Green University of Bangladesh); Md. Abdullah Al Moin (Green University of Bangladesh); Md. Abu Hurayra (Green University of Bangladesh); Md. Solaiman Mia (Green University of Bangladesh)*</v>
      </c>
      <c r="D13" s="125"/>
      <c r="E13" s="86" t="str">
        <f t="array" ref="E13">IFERROR(INDEX(Papers!$E$2:$E$201,MATCH(1,INDEX((Papers!$G$2:$G$201=$B$1)*(Papers!$I$2:$I$201=1),0),0)),"")</f>
        <v>zehadul.ace@gmail.com; abdullah.al.moin.cse@gmail.com; hurayra.55.nox@gmail.com; solaiman@cse.green.edu.bd</v>
      </c>
      <c r="F13" s="67"/>
      <c r="G13" s="64"/>
      <c r="H13" s="64"/>
      <c r="I13" s="64"/>
      <c r="J13" s="64"/>
      <c r="K13" s="64"/>
      <c r="L13" s="64"/>
      <c r="M13" s="64"/>
      <c r="N13" s="64"/>
      <c r="O13" s="64"/>
      <c r="P13" s="64"/>
      <c r="Q13" s="64"/>
      <c r="R13" s="64"/>
      <c r="S13" s="64"/>
      <c r="T13" s="64"/>
      <c r="U13" s="64"/>
      <c r="V13" s="64"/>
      <c r="W13" s="64"/>
      <c r="X13" s="64"/>
      <c r="Y13" s="64"/>
      <c r="Z13" s="64"/>
    </row>
    <row r="14" ht="12.75" customHeight="1">
      <c r="A14" s="113">
        <f t="array" ref="A14">IFERROR(INDEX(Papers!$A$2:$A$201,MATCH(1,INDEX((Papers!$G$2:$G$201=$B$1)*(Papers!$I$2:$I$201=2),0),0)),"")</f>
        <v>327</v>
      </c>
      <c r="B14" s="113" t="str">
        <f t="array" ref="B14">IFERROR(INDEX(Papers!$C$2:$C$201,MATCH(1,INDEX((Papers!$G$2:$G$201=$B$1)*(Papers!$I$2:$I$201=2),0),0)),"")</f>
        <v>Explainable Machine Learning and Causal Analysis for Obesity Prediction Using Knowledge Graphs</v>
      </c>
      <c r="C14" s="113" t="str">
        <f t="array" ref="C14">IFERROR(INDEX(Papers!$D$2:$D$201,MATCH(1,INDEX((Papers!$G$2:$G$201=$B$1)*(Papers!$I$2:$I$201=2),0),0)),"")</f>
        <v>Tashida Yeasmin (Atish Dipankar University of Science &amp; Technology)*</v>
      </c>
      <c r="D14" s="125"/>
      <c r="E14" s="86" t="str">
        <f t="array" ref="E14">IFERROR(INDEX(Papers!$E$2:$E$201,MATCH(1,INDEX((Papers!$G$2:$G$201=$B$1)*(Papers!$I$2:$I$201=2),0),0)),"")</f>
        <v>tashida@adust.edu.bd</v>
      </c>
      <c r="F14" s="67"/>
      <c r="G14" s="64"/>
      <c r="H14" s="64"/>
      <c r="I14" s="64"/>
      <c r="J14" s="64"/>
      <c r="K14" s="64"/>
      <c r="L14" s="64"/>
      <c r="M14" s="64"/>
      <c r="N14" s="64"/>
      <c r="O14" s="64"/>
      <c r="P14" s="64"/>
      <c r="Q14" s="64"/>
      <c r="R14" s="64"/>
      <c r="S14" s="64"/>
      <c r="T14" s="64"/>
      <c r="U14" s="64"/>
      <c r="V14" s="64"/>
      <c r="W14" s="64"/>
      <c r="X14" s="64"/>
      <c r="Y14" s="64"/>
      <c r="Z14" s="64"/>
    </row>
    <row r="15" ht="12.75" customHeight="1">
      <c r="A15" s="113">
        <f t="array" ref="A15">IFERROR(INDEX(Papers!$A$2:$A$201,MATCH(1,INDEX((Papers!$G$2:$G$201=$B$1)*(Papers!$I$2:$I$201=3),0),0)),"")</f>
        <v>323</v>
      </c>
      <c r="B15" s="113" t="str">
        <f t="array" ref="B15">IFERROR(INDEX(Papers!$C$2:$C$201,MATCH(1,INDEX((Papers!$G$2:$G$201=$B$1)*(Papers!$I$2:$I$201=3),0),0)),"")</f>
        <v>Computer Vision and Kalman Filtering for Driverless Vehicle Steering Angle Computation</v>
      </c>
      <c r="C15" s="113" t="str">
        <f t="array" ref="C15">IFERROR(INDEX(Papers!$D$2:$D$201,MATCH(1,INDEX((Papers!$G$2:$G$201=$B$1)*(Papers!$I$2:$I$201=3),0),0)),"")</f>
        <v>Abdullah Al Niloy (Canadian University of Bangladesh)*; Md Sabbir Hossain (Canadian University of Bangladesh); Md. Akhtaruzzaman (Canadian University of Bangladesh); Md. Ziad Hosain (Canadian University of Bangladesh); Md. Mahmudul Hasan (Canadian University of Bangladesh); Md. Siddik (Independent University)</v>
      </c>
      <c r="D15" s="125"/>
      <c r="E15" s="86" t="str">
        <f t="array" ref="E15">IFERROR(INDEX(Papers!$E$2:$E$201,MATCH(1,INDEX((Papers!$G$2:$G$201=$B$1)*(Papers!$I$2:$I$201=3),0),0)),"")</f>
        <v>abdullah0186373@gmail.com; sabbirhossain756389@gmail.com; mdakhtaruzzamanhridoy@gmail.com; ziad.hosain@gmail.com; mahmudulhasan14222@gmail.com; jahidsiddik85@gmail.com</v>
      </c>
      <c r="F15" s="67"/>
      <c r="G15" s="64"/>
      <c r="H15" s="64"/>
      <c r="I15" s="64"/>
      <c r="J15" s="64"/>
      <c r="K15" s="64"/>
      <c r="L15" s="64"/>
      <c r="M15" s="64"/>
      <c r="N15" s="64"/>
      <c r="O15" s="64"/>
      <c r="P15" s="64"/>
      <c r="Q15" s="64"/>
      <c r="R15" s="64"/>
      <c r="S15" s="64"/>
      <c r="T15" s="64"/>
      <c r="U15" s="64"/>
      <c r="V15" s="64"/>
      <c r="W15" s="64"/>
      <c r="X15" s="64"/>
      <c r="Y15" s="64"/>
      <c r="Z15" s="64"/>
    </row>
    <row r="16" ht="12.75" customHeight="1">
      <c r="A16" s="113">
        <f t="array" ref="A16">IFERROR(INDEX(Papers!$A$2:$A$201,MATCH(1,INDEX((Papers!$G$2:$G$201=$B$1)*(Papers!$I$2:$I$201=4),0),0)),"")</f>
        <v>341</v>
      </c>
      <c r="B16" s="113" t="str">
        <f t="array" ref="B16">IFERROR(INDEX(Papers!$C$2:$C$201,MATCH(1,INDEX((Papers!$G$2:$G$201=$B$1)*(Papers!$I$2:$I$201=4),0),0)),"")</f>
        <v>An Integrated Dual-Module Cyber Physical System for Motorcycle Safety: Utilizing Pre-Ride Safety, Crash Detection and Swift Response with Mobile Application Companion</v>
      </c>
      <c r="C16" s="113" t="str">
        <f t="array" ref="C16">IFERROR(INDEX(Papers!$D$2:$D$201,MATCH(1,INDEX((Papers!$G$2:$G$201=$B$1)*(Papers!$I$2:$I$201=4),0),0)),"")</f>
        <v>Md Hasan (BUET)*; Erom Hasan Niha (BUET); Md. Amir Hamza (BUET); Ayon Kumer Dea (BUET)</v>
      </c>
      <c r="D16" s="125"/>
      <c r="E16" s="86" t="str">
        <f t="array" ref="E16">IFERROR(INDEX(Papers!$E$2:$E$201,MATCH(1,INDEX((Papers!$G$2:$G$201=$B$1)*(Papers!$I$2:$I$201=4),0),0)),"")</f>
        <v>2006146@eee.buet.ac.bd; 2006144@eee.buet.ac.bd; 2006145@eee.buet.ac.bd; 2006147@eee.buet.ac.bd</v>
      </c>
      <c r="F16" s="67"/>
      <c r="G16" s="64"/>
      <c r="H16" s="64"/>
      <c r="I16" s="64"/>
      <c r="J16" s="64"/>
      <c r="K16" s="64"/>
      <c r="L16" s="64"/>
      <c r="M16" s="64"/>
      <c r="N16" s="64"/>
      <c r="O16" s="64"/>
      <c r="P16" s="64"/>
      <c r="Q16" s="64"/>
      <c r="R16" s="64"/>
      <c r="S16" s="64"/>
      <c r="T16" s="64"/>
      <c r="U16" s="64"/>
      <c r="V16" s="64"/>
      <c r="W16" s="64"/>
      <c r="X16" s="64"/>
      <c r="Y16" s="64"/>
      <c r="Z16" s="64"/>
    </row>
    <row r="17" ht="12.75" customHeight="1">
      <c r="A17" s="113">
        <f t="array" ref="A17">IFERROR(INDEX(Papers!$A$2:$A$201,MATCH(1,INDEX((Papers!$G$2:$G$201=$B$1)*(Papers!$I$2:$I$201=5),0),0)),"")</f>
        <v>175</v>
      </c>
      <c r="B17" s="113" t="str">
        <f t="array" ref="B17">IFERROR(INDEX(Papers!$C$2:$C$201,MATCH(1,INDEX((Papers!$G$2:$G$201=$B$1)*(Papers!$I$2:$I$201=5),0),0)),"")</f>
        <v>Isolation-Wall Integrated Graphene THz MIMO Antenna with Wideband and High-Diversity Performance for 6G Applications</v>
      </c>
      <c r="C17" s="113" t="str">
        <f t="array" ref="C17">IFERROR(INDEX(Papers!$D$2:$D$201,MATCH(1,INDEX((Papers!$G$2:$G$201=$B$1)*(Papers!$I$2:$I$201=5),0),0)),"")</f>
        <v>Tanvir Ahmed Fahim (Bangladesh Army International University of Science and Technology, Cumilla)*; Md. Abdullah-Al- Mamun (Bangladesh Army International University of Science and Technology, Cumilla); Md. Gulam  Mustafa (Bangladesh Army International University of Science and Technology, Cumilla); Joton Kumar Dea (Bangladesh Army International University of Science and Technology, Cumilla); Md. Ashraful Haque  (University of Liberal Arts Bangladesh, Dhaka)</v>
      </c>
      <c r="D17" s="125"/>
      <c r="E17" s="86" t="str">
        <f t="array" ref="E17">IFERROR(INDEX(Papers!$E$2:$E$201,MATCH(1,INDEX((Papers!$G$2:$G$201=$B$1)*(Papers!$I$2:$I$201=5),0),0)),"")</f>
        <v>www.fahim116@gmail.com; mamunal59@gmail.com; mustafaredwan1996@gmail.com; jotonkumardea@gmail.com; limon.ashraf@gmail.com</v>
      </c>
      <c r="F17" s="67"/>
      <c r="G17" s="64"/>
      <c r="H17" s="64"/>
      <c r="I17" s="64"/>
      <c r="J17" s="64"/>
      <c r="K17" s="64"/>
      <c r="L17" s="64"/>
      <c r="M17" s="64"/>
      <c r="N17" s="64"/>
      <c r="O17" s="64"/>
      <c r="P17" s="64"/>
      <c r="Q17" s="64"/>
      <c r="R17" s="64"/>
      <c r="S17" s="64"/>
      <c r="T17" s="64"/>
      <c r="U17" s="64"/>
      <c r="V17" s="64"/>
      <c r="W17" s="64"/>
      <c r="X17" s="64"/>
      <c r="Y17" s="64"/>
      <c r="Z17" s="64"/>
    </row>
    <row r="18" ht="12.75" customHeight="1">
      <c r="A18" s="113">
        <f t="array" ref="A18">IFERROR(INDEX(Papers!$A$2:$A$201,MATCH(1,INDEX((Papers!$G$2:$G$201=$B$1)*(Papers!$I$2:$I$201=6),0),0)),"")</f>
        <v>228</v>
      </c>
      <c r="B18" s="113" t="str">
        <f t="array" ref="B18">IFERROR(INDEX(Papers!$C$2:$C$201,MATCH(1,INDEX((Papers!$G$2:$G$201=$B$1)*(Papers!$I$2:$I$201=6),0),0)),"")</f>
        <v>Side-Fed Circular Slotted BD Flag-Shaped Antenna with DGS for Sub-6 GHz IoT and Smart Wireless Applications</v>
      </c>
      <c r="C18" s="113" t="str">
        <f t="array" ref="C18">IFERROR(INDEX(Papers!$D$2:$D$201,MATCH(1,INDEX((Papers!$G$2:$G$201=$B$1)*(Papers!$I$2:$I$201=6),0),0)),"")</f>
        <v>Md Sohel   Pervez (Pabna University of Science and Technology); Naymaa  Rashid (Pabna University of Science and Technology); Md. Ashraful  Haque  (University of Liberal Arts Bangladesh); Sajeeb Chandra Das (TH Cologne University of Applied Sciences); Tithi Rani (Rajshahi University of Science and Technology); Liton Chandra  Paul (Pabna University of Science and Technology)*</v>
      </c>
      <c r="D18" s="125"/>
      <c r="E18" s="86" t="str">
        <f t="array" ref="E18">IFERROR(INDEX(Papers!$E$2:$E$201,MATCH(1,INDEX((Papers!$G$2:$G$201=$B$1)*(Papers!$I$2:$I$201=6),0),0)),"")</f>
        <v>sohel.pervezpust@gmail.com; naymaa.rashid.mrittika@gmail.com; limon.ashraf@gmail.com; sajeebchandradas@gmail.com; tithi.saha.134040@gmail.com; litonpaulete@gmail.com</v>
      </c>
      <c r="F18" s="67"/>
      <c r="G18" s="64"/>
      <c r="H18" s="64"/>
      <c r="I18" s="64"/>
      <c r="J18" s="64"/>
      <c r="K18" s="64"/>
      <c r="L18" s="64"/>
      <c r="M18" s="64"/>
      <c r="N18" s="64"/>
      <c r="O18" s="64"/>
      <c r="P18" s="64"/>
      <c r="Q18" s="64"/>
      <c r="R18" s="64"/>
      <c r="S18" s="64"/>
      <c r="T18" s="64"/>
      <c r="U18" s="64"/>
      <c r="V18" s="64"/>
      <c r="W18" s="64"/>
      <c r="X18" s="64"/>
      <c r="Y18" s="64"/>
      <c r="Z18" s="64"/>
    </row>
    <row r="19" ht="12.75" customHeight="1">
      <c r="A19" s="113">
        <f t="array" ref="A19">IFERROR(INDEX(Papers!$A$2:$A$201,MATCH(1,INDEX((Papers!$G$2:$G$201=$B$1)*(Papers!$I$2:$I$201=7),0),0)),"")</f>
        <v>295</v>
      </c>
      <c r="B19" s="113" t="str">
        <f t="array" ref="B19">IFERROR(INDEX(Papers!$C$2:$C$201,MATCH(1,INDEX((Papers!$G$2:$G$201=$B$1)*(Papers!$I$2:$I$201=7),0),0)),"")</f>
        <v>A Dual-Focus UX Prioritization Framework for Educational Games Using Sentiment Analysis</v>
      </c>
      <c r="C19" s="113" t="str">
        <f t="array" ref="C19">IFERROR(INDEX(Papers!$D$2:$D$201,MATCH(1,INDEX((Papers!$G$2:$G$201=$B$1)*(Papers!$I$2:$I$201=7),0),0)),"")</f>
        <v>Mohammed Ashikur Rahman (Southeast Universuty)*; Md Kowsar Ahmed (University Malaya)</v>
      </c>
      <c r="D19" s="125"/>
      <c r="E19" s="86" t="str">
        <f t="array" ref="E19">IFERROR(INDEX(Papers!$E$2:$E$201,MATCH(1,INDEX((Papers!$G$2:$G$201=$B$1)*(Papers!$I$2:$I$201=7),0),0)),"")</f>
        <v>ashikur.rahman@seu.edu.bd; kowsar2311@gmail.com</v>
      </c>
      <c r="F19" s="67"/>
      <c r="G19" s="64"/>
      <c r="H19" s="64"/>
      <c r="I19" s="64"/>
      <c r="J19" s="64"/>
      <c r="K19" s="64"/>
      <c r="L19" s="64"/>
      <c r="M19" s="64"/>
      <c r="N19" s="64"/>
      <c r="O19" s="64"/>
      <c r="P19" s="64"/>
      <c r="Q19" s="64"/>
      <c r="R19" s="64"/>
      <c r="S19" s="64"/>
      <c r="T19" s="64"/>
      <c r="U19" s="64"/>
      <c r="V19" s="64"/>
      <c r="W19" s="64"/>
      <c r="X19" s="64"/>
      <c r="Y19" s="64"/>
      <c r="Z19" s="64"/>
    </row>
    <row r="20" ht="12.75" customHeight="1">
      <c r="A20" s="113" t="str">
        <f t="array" ref="A20">IFERROR(INDEX(Papers!$A$2:$A$201,MATCH(1,INDEX((Papers!$G$2:$G$201=$B$1)*(Papers!$I$2:$I$201=8),0),0)),"")</f>
        <v/>
      </c>
      <c r="B20" s="113" t="str">
        <f t="array" ref="B20">IFERROR(INDEX(Papers!$C$2:$C$201,MATCH(1,INDEX((Papers!$G$2:$G$201=$B$1)*(Papers!$I$2:$I$201=8),0),0)),"")</f>
        <v/>
      </c>
      <c r="C20" s="113" t="str">
        <f t="array" ref="C20">IFERROR(INDEX(Papers!$D$2:$D$201,MATCH(1,INDEX((Papers!$G$2:$G$201=$B$1)*(Papers!$I$2:$I$201=8),0),0)),"")</f>
        <v/>
      </c>
      <c r="D20" s="125"/>
      <c r="E20" s="86" t="str">
        <f t="array" ref="E20">IFERROR(INDEX(Papers!$E$2:$E$201,MATCH(1,INDEX((Papers!$G$2:$G$201=$B$1)*(Papers!$I$2:$I$201=8),0),0)),"")</f>
        <v/>
      </c>
      <c r="F20" s="67"/>
      <c r="G20" s="64"/>
      <c r="H20" s="64"/>
      <c r="I20" s="64"/>
      <c r="J20" s="64"/>
      <c r="K20" s="64"/>
      <c r="L20" s="64"/>
      <c r="M20" s="64"/>
      <c r="N20" s="64"/>
      <c r="O20" s="64"/>
      <c r="P20" s="64"/>
      <c r="Q20" s="64"/>
      <c r="R20" s="64"/>
      <c r="S20" s="64"/>
      <c r="T20" s="64"/>
      <c r="U20" s="64"/>
      <c r="V20" s="64"/>
      <c r="W20" s="64"/>
      <c r="X20" s="64"/>
      <c r="Y20" s="64"/>
      <c r="Z20" s="64"/>
    </row>
    <row r="21" ht="12.75" customHeight="1">
      <c r="A21" s="108"/>
      <c r="B21" s="64"/>
      <c r="C21" s="64"/>
      <c r="E21" s="64"/>
      <c r="F21" s="63"/>
      <c r="G21" s="64"/>
      <c r="H21" s="64"/>
      <c r="I21" s="64"/>
      <c r="J21" s="64"/>
      <c r="K21" s="64"/>
      <c r="L21" s="64"/>
      <c r="M21" s="64"/>
      <c r="N21" s="64"/>
      <c r="O21" s="64"/>
      <c r="P21" s="64"/>
      <c r="Q21" s="64"/>
      <c r="R21" s="64"/>
      <c r="S21" s="64"/>
      <c r="T21" s="64"/>
      <c r="U21" s="64"/>
      <c r="V21" s="64"/>
      <c r="W21" s="64"/>
      <c r="X21" s="64"/>
      <c r="Y21" s="64"/>
      <c r="Z21" s="64"/>
    </row>
    <row r="22" ht="12.75" customHeight="1">
      <c r="A22" s="108"/>
      <c r="B22" s="64"/>
      <c r="C22" s="64"/>
      <c r="D22" s="64"/>
      <c r="E22" s="64"/>
      <c r="F22" s="63"/>
      <c r="G22" s="63"/>
      <c r="H22" s="64"/>
      <c r="I22" s="64"/>
      <c r="J22" s="64"/>
      <c r="K22" s="64"/>
      <c r="L22" s="64"/>
      <c r="M22" s="64"/>
      <c r="N22" s="64"/>
      <c r="O22" s="64"/>
      <c r="P22" s="64"/>
      <c r="Q22" s="64"/>
      <c r="R22" s="64"/>
      <c r="S22" s="64"/>
      <c r="T22" s="64"/>
      <c r="U22" s="64"/>
      <c r="V22" s="64"/>
      <c r="W22" s="64"/>
      <c r="X22" s="64"/>
      <c r="Y22" s="64"/>
      <c r="Z22" s="64"/>
    </row>
    <row r="23" ht="12.75" customHeight="1">
      <c r="A23" s="108"/>
      <c r="B23" s="64"/>
      <c r="C23" s="64"/>
      <c r="D23" s="64"/>
      <c r="E23" s="64"/>
      <c r="F23" s="63"/>
      <c r="G23" s="63"/>
      <c r="H23" s="64"/>
      <c r="I23" s="64"/>
      <c r="J23" s="64"/>
      <c r="K23" s="64"/>
      <c r="L23" s="64"/>
      <c r="M23" s="64"/>
      <c r="N23" s="64"/>
      <c r="O23" s="64"/>
      <c r="P23" s="64"/>
      <c r="Q23" s="64"/>
      <c r="R23" s="64"/>
      <c r="S23" s="64"/>
      <c r="T23" s="64"/>
      <c r="U23" s="64"/>
      <c r="V23" s="64"/>
      <c r="W23" s="64"/>
      <c r="X23" s="64"/>
      <c r="Y23" s="64"/>
      <c r="Z23" s="64"/>
    </row>
    <row r="24" ht="12.75" customHeight="1">
      <c r="A24" s="108"/>
      <c r="B24" s="64"/>
      <c r="C24" s="64"/>
      <c r="D24" s="64"/>
      <c r="E24" s="64"/>
      <c r="F24" s="63"/>
      <c r="G24" s="63"/>
      <c r="H24" s="64"/>
      <c r="I24" s="64"/>
      <c r="J24" s="64"/>
      <c r="K24" s="64"/>
      <c r="L24" s="64"/>
      <c r="M24" s="64"/>
      <c r="N24" s="64"/>
      <c r="O24" s="64"/>
      <c r="P24" s="64"/>
      <c r="Q24" s="64"/>
      <c r="R24" s="64"/>
      <c r="S24" s="64"/>
      <c r="T24" s="64"/>
      <c r="U24" s="64"/>
      <c r="V24" s="64"/>
      <c r="W24" s="64"/>
      <c r="X24" s="64"/>
      <c r="Y24" s="64"/>
      <c r="Z24" s="64"/>
    </row>
    <row r="25" ht="12.75" customHeight="1">
      <c r="A25" s="108"/>
      <c r="B25" s="64"/>
      <c r="C25" s="64"/>
      <c r="D25" s="64"/>
      <c r="E25" s="64"/>
      <c r="F25" s="63"/>
      <c r="G25" s="63"/>
      <c r="H25" s="64"/>
      <c r="I25" s="64"/>
      <c r="J25" s="64"/>
      <c r="K25" s="64"/>
      <c r="L25" s="64"/>
      <c r="M25" s="64"/>
      <c r="N25" s="64"/>
      <c r="O25" s="64"/>
      <c r="P25" s="64"/>
      <c r="Q25" s="64"/>
      <c r="R25" s="64"/>
      <c r="S25" s="64"/>
      <c r="T25" s="64"/>
      <c r="U25" s="64"/>
      <c r="V25" s="64"/>
      <c r="W25" s="64"/>
      <c r="X25" s="64"/>
      <c r="Y25" s="64"/>
      <c r="Z25" s="64"/>
    </row>
    <row r="26" ht="12.75" customHeight="1">
      <c r="A26" s="108"/>
      <c r="B26" s="64"/>
      <c r="C26" s="64"/>
      <c r="D26" s="64"/>
      <c r="E26" s="64"/>
      <c r="F26" s="63"/>
      <c r="G26" s="63"/>
      <c r="H26" s="64"/>
      <c r="I26" s="64"/>
      <c r="J26" s="64"/>
      <c r="K26" s="64"/>
      <c r="L26" s="64"/>
      <c r="M26" s="64"/>
      <c r="N26" s="64"/>
      <c r="O26" s="64"/>
      <c r="P26" s="64"/>
      <c r="Q26" s="64"/>
      <c r="R26" s="64"/>
      <c r="S26" s="64"/>
      <c r="T26" s="64"/>
      <c r="U26" s="64"/>
      <c r="V26" s="64"/>
      <c r="W26" s="64"/>
      <c r="X26" s="64"/>
      <c r="Y26" s="64"/>
      <c r="Z26" s="64"/>
    </row>
    <row r="27" ht="12.75" customHeight="1">
      <c r="A27" s="108"/>
      <c r="B27" s="64"/>
      <c r="C27" s="64"/>
      <c r="D27" s="64"/>
      <c r="E27" s="64"/>
      <c r="F27" s="63"/>
      <c r="G27" s="63"/>
      <c r="H27" s="64"/>
      <c r="I27" s="64"/>
      <c r="J27" s="64"/>
      <c r="K27" s="64"/>
      <c r="L27" s="64"/>
      <c r="M27" s="64"/>
      <c r="N27" s="64"/>
      <c r="O27" s="64"/>
      <c r="P27" s="64"/>
      <c r="Q27" s="64"/>
      <c r="R27" s="64"/>
      <c r="S27" s="64"/>
      <c r="T27" s="64"/>
      <c r="U27" s="64"/>
      <c r="V27" s="64"/>
      <c r="W27" s="64"/>
      <c r="X27" s="64"/>
      <c r="Y27" s="64"/>
      <c r="Z27" s="64"/>
    </row>
    <row r="28" ht="12.75" customHeight="1">
      <c r="A28" s="108"/>
      <c r="B28" s="64"/>
      <c r="C28" s="64"/>
      <c r="D28" s="64"/>
      <c r="E28" s="64"/>
      <c r="F28" s="63"/>
      <c r="G28" s="63"/>
      <c r="H28" s="64"/>
      <c r="I28" s="64"/>
      <c r="J28" s="64"/>
      <c r="K28" s="64"/>
      <c r="L28" s="64"/>
      <c r="M28" s="64"/>
      <c r="N28" s="64"/>
      <c r="O28" s="64"/>
      <c r="P28" s="64"/>
      <c r="Q28" s="64"/>
      <c r="R28" s="64"/>
      <c r="S28" s="64"/>
      <c r="T28" s="64"/>
      <c r="U28" s="64"/>
      <c r="V28" s="64"/>
      <c r="W28" s="64"/>
      <c r="X28" s="64"/>
      <c r="Y28" s="64"/>
      <c r="Z28" s="64"/>
    </row>
    <row r="29" ht="12.75" customHeight="1">
      <c r="A29" s="108"/>
      <c r="B29" s="64"/>
      <c r="C29" s="64"/>
      <c r="D29" s="64"/>
      <c r="E29" s="64"/>
      <c r="F29" s="63"/>
      <c r="G29" s="63"/>
      <c r="H29" s="64"/>
      <c r="I29" s="64"/>
      <c r="J29" s="64"/>
      <c r="K29" s="64"/>
      <c r="L29" s="64"/>
      <c r="M29" s="64"/>
      <c r="N29" s="64"/>
      <c r="O29" s="64"/>
      <c r="P29" s="64"/>
      <c r="Q29" s="64"/>
      <c r="R29" s="64"/>
      <c r="S29" s="64"/>
      <c r="T29" s="64"/>
      <c r="U29" s="64"/>
      <c r="V29" s="64"/>
      <c r="W29" s="64"/>
      <c r="X29" s="64"/>
      <c r="Y29" s="64"/>
      <c r="Z29" s="64"/>
    </row>
    <row r="30" ht="12.75" customHeight="1">
      <c r="A30" s="108"/>
      <c r="B30" s="64"/>
      <c r="C30" s="64"/>
      <c r="D30" s="64"/>
      <c r="E30" s="64"/>
      <c r="F30" s="63"/>
      <c r="G30" s="63"/>
      <c r="H30" s="64"/>
      <c r="I30" s="64"/>
      <c r="J30" s="64"/>
      <c r="K30" s="64"/>
      <c r="L30" s="64"/>
      <c r="M30" s="64"/>
      <c r="N30" s="64"/>
      <c r="O30" s="64"/>
      <c r="P30" s="64"/>
      <c r="Q30" s="64"/>
      <c r="R30" s="64"/>
      <c r="S30" s="64"/>
      <c r="T30" s="64"/>
      <c r="U30" s="64"/>
      <c r="V30" s="64"/>
      <c r="W30" s="64"/>
      <c r="X30" s="64"/>
      <c r="Y30" s="64"/>
      <c r="Z30" s="64"/>
    </row>
    <row r="31" ht="12.75" customHeight="1">
      <c r="A31" s="108"/>
      <c r="B31" s="64"/>
      <c r="C31" s="64"/>
      <c r="D31" s="64"/>
      <c r="E31" s="64"/>
      <c r="F31" s="63"/>
      <c r="G31" s="63"/>
      <c r="H31" s="64"/>
      <c r="I31" s="64"/>
      <c r="J31" s="64"/>
      <c r="K31" s="64"/>
      <c r="L31" s="64"/>
      <c r="M31" s="64"/>
      <c r="N31" s="64"/>
      <c r="O31" s="64"/>
      <c r="P31" s="64"/>
      <c r="Q31" s="64"/>
      <c r="R31" s="64"/>
      <c r="S31" s="64"/>
      <c r="T31" s="64"/>
      <c r="U31" s="64"/>
      <c r="V31" s="64"/>
      <c r="W31" s="64"/>
      <c r="X31" s="64"/>
      <c r="Y31" s="64"/>
      <c r="Z31" s="64"/>
    </row>
    <row r="32" ht="12.75" customHeight="1">
      <c r="A32" s="108"/>
      <c r="B32" s="64"/>
      <c r="C32" s="64"/>
      <c r="D32" s="64"/>
      <c r="E32" s="64"/>
      <c r="F32" s="63"/>
      <c r="G32" s="63"/>
      <c r="H32" s="64"/>
      <c r="I32" s="64"/>
      <c r="J32" s="64"/>
      <c r="K32" s="64"/>
      <c r="L32" s="64"/>
      <c r="M32" s="64"/>
      <c r="N32" s="64"/>
      <c r="O32" s="64"/>
      <c r="P32" s="64"/>
      <c r="Q32" s="64"/>
      <c r="R32" s="64"/>
      <c r="S32" s="64"/>
      <c r="T32" s="64"/>
      <c r="U32" s="64"/>
      <c r="V32" s="64"/>
      <c r="W32" s="64"/>
      <c r="X32" s="64"/>
      <c r="Y32" s="64"/>
      <c r="Z32" s="64"/>
    </row>
    <row r="33" ht="12.75" customHeight="1">
      <c r="A33" s="108"/>
      <c r="B33" s="64"/>
      <c r="C33" s="64"/>
      <c r="D33" s="64"/>
      <c r="E33" s="64"/>
      <c r="F33" s="63"/>
      <c r="G33" s="63"/>
      <c r="H33" s="64"/>
      <c r="I33" s="64"/>
      <c r="J33" s="64"/>
      <c r="K33" s="64"/>
      <c r="L33" s="64"/>
      <c r="M33" s="64"/>
      <c r="N33" s="64"/>
      <c r="O33" s="64"/>
      <c r="P33" s="64"/>
      <c r="Q33" s="64"/>
      <c r="R33" s="64"/>
      <c r="S33" s="64"/>
      <c r="T33" s="64"/>
      <c r="U33" s="64"/>
      <c r="V33" s="64"/>
      <c r="W33" s="64"/>
      <c r="X33" s="64"/>
      <c r="Y33" s="64"/>
      <c r="Z33" s="64"/>
    </row>
    <row r="34" ht="12.75" customHeight="1">
      <c r="A34" s="108"/>
      <c r="B34" s="64"/>
      <c r="C34" s="64"/>
      <c r="D34" s="64"/>
      <c r="E34" s="64"/>
      <c r="F34" s="63"/>
      <c r="G34" s="63"/>
      <c r="H34" s="64"/>
      <c r="I34" s="64"/>
      <c r="J34" s="64"/>
      <c r="K34" s="64"/>
      <c r="L34" s="64"/>
      <c r="M34" s="64"/>
      <c r="N34" s="64"/>
      <c r="O34" s="64"/>
      <c r="P34" s="64"/>
      <c r="Q34" s="64"/>
      <c r="R34" s="64"/>
      <c r="S34" s="64"/>
      <c r="T34" s="64"/>
      <c r="U34" s="64"/>
      <c r="V34" s="64"/>
      <c r="W34" s="64"/>
      <c r="X34" s="64"/>
      <c r="Y34" s="64"/>
      <c r="Z34" s="64"/>
    </row>
    <row r="35" ht="12.75" customHeight="1">
      <c r="A35" s="108"/>
      <c r="B35" s="64"/>
      <c r="C35" s="64"/>
      <c r="D35" s="64"/>
      <c r="E35" s="64"/>
      <c r="F35" s="63"/>
      <c r="G35" s="63"/>
      <c r="H35" s="64"/>
      <c r="I35" s="64"/>
      <c r="J35" s="64"/>
      <c r="K35" s="64"/>
      <c r="L35" s="64"/>
      <c r="M35" s="64"/>
      <c r="N35" s="64"/>
      <c r="O35" s="64"/>
      <c r="P35" s="64"/>
      <c r="Q35" s="64"/>
      <c r="R35" s="64"/>
      <c r="S35" s="64"/>
      <c r="T35" s="64"/>
      <c r="U35" s="64"/>
      <c r="V35" s="64"/>
      <c r="W35" s="64"/>
      <c r="X35" s="64"/>
      <c r="Y35" s="64"/>
      <c r="Z35" s="64"/>
    </row>
    <row r="36" ht="12.75" customHeight="1">
      <c r="A36" s="108"/>
      <c r="B36" s="64"/>
      <c r="C36" s="64"/>
      <c r="D36" s="64"/>
      <c r="E36" s="64"/>
      <c r="F36" s="63"/>
      <c r="G36" s="63"/>
      <c r="H36" s="64"/>
      <c r="I36" s="64"/>
      <c r="J36" s="64"/>
      <c r="K36" s="64"/>
      <c r="L36" s="64"/>
      <c r="M36" s="64"/>
      <c r="N36" s="64"/>
      <c r="O36" s="64"/>
      <c r="P36" s="64"/>
      <c r="Q36" s="64"/>
      <c r="R36" s="64"/>
      <c r="S36" s="64"/>
      <c r="T36" s="64"/>
      <c r="U36" s="64"/>
      <c r="V36" s="64"/>
      <c r="W36" s="64"/>
      <c r="X36" s="64"/>
      <c r="Y36" s="64"/>
      <c r="Z36" s="64"/>
    </row>
    <row r="37" ht="12.75" customHeight="1">
      <c r="A37" s="108"/>
      <c r="B37" s="64"/>
      <c r="C37" s="64"/>
      <c r="D37" s="64"/>
      <c r="E37" s="64"/>
      <c r="F37" s="63"/>
      <c r="G37" s="63"/>
      <c r="H37" s="64"/>
      <c r="I37" s="64"/>
      <c r="J37" s="64"/>
      <c r="K37" s="64"/>
      <c r="L37" s="64"/>
      <c r="M37" s="64"/>
      <c r="N37" s="64"/>
      <c r="O37" s="64"/>
      <c r="P37" s="64"/>
      <c r="Q37" s="64"/>
      <c r="R37" s="64"/>
      <c r="S37" s="64"/>
      <c r="T37" s="64"/>
      <c r="U37" s="64"/>
      <c r="V37" s="64"/>
      <c r="W37" s="64"/>
      <c r="X37" s="64"/>
      <c r="Y37" s="64"/>
      <c r="Z37" s="64"/>
    </row>
    <row r="38" ht="12.75" customHeight="1">
      <c r="A38" s="108"/>
      <c r="B38" s="64"/>
      <c r="C38" s="64"/>
      <c r="D38" s="64"/>
      <c r="E38" s="64"/>
      <c r="F38" s="63"/>
      <c r="G38" s="63"/>
      <c r="H38" s="64"/>
      <c r="I38" s="64"/>
      <c r="J38" s="64"/>
      <c r="K38" s="64"/>
      <c r="L38" s="64"/>
      <c r="M38" s="64"/>
      <c r="N38" s="64"/>
      <c r="O38" s="64"/>
      <c r="P38" s="64"/>
      <c r="Q38" s="64"/>
      <c r="R38" s="64"/>
      <c r="S38" s="64"/>
      <c r="T38" s="64"/>
      <c r="U38" s="64"/>
      <c r="V38" s="64"/>
      <c r="W38" s="64"/>
      <c r="X38" s="64"/>
      <c r="Y38" s="64"/>
      <c r="Z38" s="64"/>
    </row>
    <row r="39" ht="12.75" customHeight="1">
      <c r="A39" s="108"/>
      <c r="B39" s="64"/>
      <c r="C39" s="64"/>
      <c r="D39" s="64"/>
      <c r="E39" s="64"/>
      <c r="F39" s="63"/>
      <c r="G39" s="63"/>
      <c r="H39" s="64"/>
      <c r="I39" s="64"/>
      <c r="J39" s="64"/>
      <c r="K39" s="64"/>
      <c r="L39" s="64"/>
      <c r="M39" s="64"/>
      <c r="N39" s="64"/>
      <c r="O39" s="64"/>
      <c r="P39" s="64"/>
      <c r="Q39" s="64"/>
      <c r="R39" s="64"/>
      <c r="S39" s="64"/>
      <c r="T39" s="64"/>
      <c r="U39" s="64"/>
      <c r="V39" s="64"/>
      <c r="W39" s="64"/>
      <c r="X39" s="64"/>
      <c r="Y39" s="64"/>
      <c r="Z39" s="64"/>
    </row>
    <row r="40" ht="12.75" customHeight="1">
      <c r="A40" s="108"/>
      <c r="B40" s="64"/>
      <c r="C40" s="64"/>
      <c r="D40" s="64"/>
      <c r="E40" s="64"/>
      <c r="F40" s="63"/>
      <c r="G40" s="63"/>
      <c r="H40" s="64"/>
      <c r="I40" s="64"/>
      <c r="J40" s="64"/>
      <c r="K40" s="64"/>
      <c r="L40" s="64"/>
      <c r="M40" s="64"/>
      <c r="N40" s="64"/>
      <c r="O40" s="64"/>
      <c r="P40" s="64"/>
      <c r="Q40" s="64"/>
      <c r="R40" s="64"/>
      <c r="S40" s="64"/>
      <c r="T40" s="64"/>
      <c r="U40" s="64"/>
      <c r="V40" s="64"/>
      <c r="W40" s="64"/>
      <c r="X40" s="64"/>
      <c r="Y40" s="64"/>
      <c r="Z40" s="64"/>
    </row>
    <row r="41" ht="12.75" customHeight="1">
      <c r="A41" s="108"/>
      <c r="B41" s="64"/>
      <c r="C41" s="64"/>
      <c r="D41" s="64"/>
      <c r="E41" s="64"/>
      <c r="F41" s="63"/>
      <c r="G41" s="63"/>
      <c r="H41" s="64"/>
      <c r="I41" s="64"/>
      <c r="J41" s="64"/>
      <c r="K41" s="64"/>
      <c r="L41" s="64"/>
      <c r="M41" s="64"/>
      <c r="N41" s="64"/>
      <c r="O41" s="64"/>
      <c r="P41" s="64"/>
      <c r="Q41" s="64"/>
      <c r="R41" s="64"/>
      <c r="S41" s="64"/>
      <c r="T41" s="64"/>
      <c r="U41" s="64"/>
      <c r="V41" s="64"/>
      <c r="W41" s="64"/>
      <c r="X41" s="64"/>
      <c r="Y41" s="64"/>
      <c r="Z41" s="64"/>
    </row>
    <row r="42" ht="12.75" customHeight="1">
      <c r="A42" s="108"/>
      <c r="B42" s="64"/>
      <c r="C42" s="64"/>
      <c r="D42" s="64"/>
      <c r="E42" s="64"/>
      <c r="F42" s="63"/>
      <c r="G42" s="63"/>
      <c r="H42" s="64"/>
      <c r="I42" s="64"/>
      <c r="J42" s="64"/>
      <c r="K42" s="64"/>
      <c r="L42" s="64"/>
      <c r="M42" s="64"/>
      <c r="N42" s="64"/>
      <c r="O42" s="64"/>
      <c r="P42" s="64"/>
      <c r="Q42" s="64"/>
      <c r="R42" s="64"/>
      <c r="S42" s="64"/>
      <c r="T42" s="64"/>
      <c r="U42" s="64"/>
      <c r="V42" s="64"/>
      <c r="W42" s="64"/>
      <c r="X42" s="64"/>
      <c r="Y42" s="64"/>
      <c r="Z42" s="64"/>
    </row>
    <row r="43" ht="12.75" customHeight="1">
      <c r="A43" s="108"/>
      <c r="B43" s="64"/>
      <c r="C43" s="64"/>
      <c r="D43" s="64"/>
      <c r="E43" s="64"/>
      <c r="F43" s="63"/>
      <c r="G43" s="63"/>
      <c r="H43" s="64"/>
      <c r="I43" s="64"/>
      <c r="J43" s="64"/>
      <c r="K43" s="64"/>
      <c r="L43" s="64"/>
      <c r="M43" s="64"/>
      <c r="N43" s="64"/>
      <c r="O43" s="64"/>
      <c r="P43" s="64"/>
      <c r="Q43" s="64"/>
      <c r="R43" s="64"/>
      <c r="S43" s="64"/>
      <c r="T43" s="64"/>
      <c r="U43" s="64"/>
      <c r="V43" s="64"/>
      <c r="W43" s="64"/>
      <c r="X43" s="64"/>
      <c r="Y43" s="64"/>
      <c r="Z43" s="64"/>
    </row>
    <row r="44" ht="12.75" customHeight="1">
      <c r="A44" s="108"/>
      <c r="B44" s="64"/>
      <c r="C44" s="64"/>
      <c r="D44" s="64"/>
      <c r="E44" s="64"/>
      <c r="F44" s="63"/>
      <c r="G44" s="63"/>
      <c r="H44" s="64"/>
      <c r="I44" s="64"/>
      <c r="J44" s="64"/>
      <c r="K44" s="64"/>
      <c r="L44" s="64"/>
      <c r="M44" s="64"/>
      <c r="N44" s="64"/>
      <c r="O44" s="64"/>
      <c r="P44" s="64"/>
      <c r="Q44" s="64"/>
      <c r="R44" s="64"/>
      <c r="S44" s="64"/>
      <c r="T44" s="64"/>
      <c r="U44" s="64"/>
      <c r="V44" s="64"/>
      <c r="W44" s="64"/>
      <c r="X44" s="64"/>
      <c r="Y44" s="64"/>
      <c r="Z44" s="64"/>
    </row>
    <row r="45" ht="12.75" customHeight="1">
      <c r="A45" s="108"/>
      <c r="B45" s="64"/>
      <c r="C45" s="64"/>
      <c r="D45" s="64"/>
      <c r="E45" s="64"/>
      <c r="F45" s="63"/>
      <c r="G45" s="63"/>
      <c r="H45" s="64"/>
      <c r="I45" s="64"/>
      <c r="J45" s="64"/>
      <c r="K45" s="64"/>
      <c r="L45" s="64"/>
      <c r="M45" s="64"/>
      <c r="N45" s="64"/>
      <c r="O45" s="64"/>
      <c r="P45" s="64"/>
      <c r="Q45" s="64"/>
      <c r="R45" s="64"/>
      <c r="S45" s="64"/>
      <c r="T45" s="64"/>
      <c r="U45" s="64"/>
      <c r="V45" s="64"/>
      <c r="W45" s="64"/>
      <c r="X45" s="64"/>
      <c r="Y45" s="64"/>
      <c r="Z45" s="64"/>
    </row>
    <row r="46" ht="12.75" customHeight="1">
      <c r="A46" s="108"/>
      <c r="B46" s="64"/>
      <c r="C46" s="64"/>
      <c r="D46" s="64"/>
      <c r="E46" s="64"/>
      <c r="F46" s="63"/>
      <c r="G46" s="63"/>
      <c r="H46" s="64"/>
      <c r="I46" s="64"/>
      <c r="J46" s="64"/>
      <c r="K46" s="64"/>
      <c r="L46" s="64"/>
      <c r="M46" s="64"/>
      <c r="N46" s="64"/>
      <c r="O46" s="64"/>
      <c r="P46" s="64"/>
      <c r="Q46" s="64"/>
      <c r="R46" s="64"/>
      <c r="S46" s="64"/>
      <c r="T46" s="64"/>
      <c r="U46" s="64"/>
      <c r="V46" s="64"/>
      <c r="W46" s="64"/>
      <c r="X46" s="64"/>
      <c r="Y46" s="64"/>
      <c r="Z46" s="64"/>
    </row>
    <row r="47" ht="12.75" customHeight="1">
      <c r="A47" s="108"/>
      <c r="B47" s="64"/>
      <c r="C47" s="64"/>
      <c r="D47" s="64"/>
      <c r="E47" s="64"/>
      <c r="F47" s="63"/>
      <c r="G47" s="63"/>
      <c r="H47" s="64"/>
      <c r="I47" s="64"/>
      <c r="J47" s="64"/>
      <c r="K47" s="64"/>
      <c r="L47" s="64"/>
      <c r="M47" s="64"/>
      <c r="N47" s="64"/>
      <c r="O47" s="64"/>
      <c r="P47" s="64"/>
      <c r="Q47" s="64"/>
      <c r="R47" s="64"/>
      <c r="S47" s="64"/>
      <c r="T47" s="64"/>
      <c r="U47" s="64"/>
      <c r="V47" s="64"/>
      <c r="W47" s="64"/>
      <c r="X47" s="64"/>
      <c r="Y47" s="64"/>
      <c r="Z47" s="64"/>
    </row>
    <row r="48" ht="12.75" customHeight="1">
      <c r="A48" s="108"/>
      <c r="B48" s="64"/>
      <c r="C48" s="64"/>
      <c r="D48" s="64"/>
      <c r="E48" s="64"/>
      <c r="F48" s="63"/>
      <c r="G48" s="63"/>
      <c r="H48" s="64"/>
      <c r="I48" s="64"/>
      <c r="J48" s="64"/>
      <c r="K48" s="64"/>
      <c r="L48" s="64"/>
      <c r="M48" s="64"/>
      <c r="N48" s="64"/>
      <c r="O48" s="64"/>
      <c r="P48" s="64"/>
      <c r="Q48" s="64"/>
      <c r="R48" s="64"/>
      <c r="S48" s="64"/>
      <c r="T48" s="64"/>
      <c r="U48" s="64"/>
      <c r="V48" s="64"/>
      <c r="W48" s="64"/>
      <c r="X48" s="64"/>
      <c r="Y48" s="64"/>
      <c r="Z48" s="64"/>
    </row>
    <row r="49" ht="12.75" customHeight="1">
      <c r="A49" s="108"/>
      <c r="B49" s="64"/>
      <c r="C49" s="64"/>
      <c r="D49" s="64"/>
      <c r="E49" s="64"/>
      <c r="F49" s="63"/>
      <c r="G49" s="63"/>
      <c r="H49" s="64"/>
      <c r="I49" s="64"/>
      <c r="J49" s="64"/>
      <c r="K49" s="64"/>
      <c r="L49" s="64"/>
      <c r="M49" s="64"/>
      <c r="N49" s="64"/>
      <c r="O49" s="64"/>
      <c r="P49" s="64"/>
      <c r="Q49" s="64"/>
      <c r="R49" s="64"/>
      <c r="S49" s="64"/>
      <c r="T49" s="64"/>
      <c r="U49" s="64"/>
      <c r="V49" s="64"/>
      <c r="W49" s="64"/>
      <c r="X49" s="64"/>
      <c r="Y49" s="64"/>
      <c r="Z49" s="64"/>
    </row>
    <row r="50" ht="12.75" customHeight="1">
      <c r="A50" s="108"/>
      <c r="B50" s="64"/>
      <c r="C50" s="64"/>
      <c r="D50" s="64"/>
      <c r="E50" s="64"/>
      <c r="F50" s="63"/>
      <c r="G50" s="63"/>
      <c r="H50" s="64"/>
      <c r="I50" s="64"/>
      <c r="J50" s="64"/>
      <c r="K50" s="64"/>
      <c r="L50" s="64"/>
      <c r="M50" s="64"/>
      <c r="N50" s="64"/>
      <c r="O50" s="64"/>
      <c r="P50" s="64"/>
      <c r="Q50" s="64"/>
      <c r="R50" s="64"/>
      <c r="S50" s="64"/>
      <c r="T50" s="64"/>
      <c r="U50" s="64"/>
      <c r="V50" s="64"/>
      <c r="W50" s="64"/>
      <c r="X50" s="64"/>
      <c r="Y50" s="64"/>
      <c r="Z50" s="64"/>
    </row>
    <row r="51" ht="12.75" customHeight="1">
      <c r="A51" s="108"/>
      <c r="B51" s="64"/>
      <c r="C51" s="64"/>
      <c r="D51" s="64"/>
      <c r="E51" s="64"/>
      <c r="F51" s="63"/>
      <c r="G51" s="63"/>
      <c r="H51" s="64"/>
      <c r="I51" s="64"/>
      <c r="J51" s="64"/>
      <c r="K51" s="64"/>
      <c r="L51" s="64"/>
      <c r="M51" s="64"/>
      <c r="N51" s="64"/>
      <c r="O51" s="64"/>
      <c r="P51" s="64"/>
      <c r="Q51" s="64"/>
      <c r="R51" s="64"/>
      <c r="S51" s="64"/>
      <c r="T51" s="64"/>
      <c r="U51" s="64"/>
      <c r="V51" s="64"/>
      <c r="W51" s="64"/>
      <c r="X51" s="64"/>
      <c r="Y51" s="64"/>
      <c r="Z51" s="64"/>
    </row>
    <row r="52" ht="12.75" customHeight="1">
      <c r="A52" s="108"/>
      <c r="B52" s="64"/>
      <c r="C52" s="64"/>
      <c r="D52" s="64"/>
      <c r="E52" s="64"/>
      <c r="F52" s="63"/>
      <c r="G52" s="63"/>
      <c r="H52" s="64"/>
      <c r="I52" s="64"/>
      <c r="J52" s="64"/>
      <c r="K52" s="64"/>
      <c r="L52" s="64"/>
      <c r="M52" s="64"/>
      <c r="N52" s="64"/>
      <c r="O52" s="64"/>
      <c r="P52" s="64"/>
      <c r="Q52" s="64"/>
      <c r="R52" s="64"/>
      <c r="S52" s="64"/>
      <c r="T52" s="64"/>
      <c r="U52" s="64"/>
      <c r="V52" s="64"/>
      <c r="W52" s="64"/>
      <c r="X52" s="64"/>
      <c r="Y52" s="64"/>
      <c r="Z52" s="64"/>
    </row>
    <row r="53" ht="12.75" customHeight="1">
      <c r="A53" s="108"/>
      <c r="B53" s="64"/>
      <c r="C53" s="64"/>
      <c r="D53" s="64"/>
      <c r="E53" s="64"/>
      <c r="F53" s="63"/>
      <c r="G53" s="63"/>
      <c r="H53" s="64"/>
      <c r="I53" s="64"/>
      <c r="J53" s="64"/>
      <c r="K53" s="64"/>
      <c r="L53" s="64"/>
      <c r="M53" s="64"/>
      <c r="N53" s="64"/>
      <c r="O53" s="64"/>
      <c r="P53" s="64"/>
      <c r="Q53" s="64"/>
      <c r="R53" s="64"/>
      <c r="S53" s="64"/>
      <c r="T53" s="64"/>
      <c r="U53" s="64"/>
      <c r="V53" s="64"/>
      <c r="W53" s="64"/>
      <c r="X53" s="64"/>
      <c r="Y53" s="64"/>
      <c r="Z53" s="64"/>
    </row>
    <row r="54" ht="12.75" customHeight="1">
      <c r="A54" s="108"/>
      <c r="B54" s="64"/>
      <c r="C54" s="64"/>
      <c r="D54" s="64"/>
      <c r="E54" s="64"/>
      <c r="F54" s="63"/>
      <c r="G54" s="63"/>
      <c r="H54" s="64"/>
      <c r="I54" s="64"/>
      <c r="J54" s="64"/>
      <c r="K54" s="64"/>
      <c r="L54" s="64"/>
      <c r="M54" s="64"/>
      <c r="N54" s="64"/>
      <c r="O54" s="64"/>
      <c r="P54" s="64"/>
      <c r="Q54" s="64"/>
      <c r="R54" s="64"/>
      <c r="S54" s="64"/>
      <c r="T54" s="64"/>
      <c r="U54" s="64"/>
      <c r="V54" s="64"/>
      <c r="W54" s="64"/>
      <c r="X54" s="64"/>
      <c r="Y54" s="64"/>
      <c r="Z54" s="64"/>
    </row>
    <row r="55" ht="12.75" customHeight="1">
      <c r="A55" s="108"/>
      <c r="B55" s="64"/>
      <c r="C55" s="64"/>
      <c r="D55" s="64"/>
      <c r="E55" s="64"/>
      <c r="F55" s="63"/>
      <c r="G55" s="63"/>
      <c r="H55" s="64"/>
      <c r="I55" s="64"/>
      <c r="J55" s="64"/>
      <c r="K55" s="64"/>
      <c r="L55" s="64"/>
      <c r="M55" s="64"/>
      <c r="N55" s="64"/>
      <c r="O55" s="64"/>
      <c r="P55" s="64"/>
      <c r="Q55" s="64"/>
      <c r="R55" s="64"/>
      <c r="S55" s="64"/>
      <c r="T55" s="64"/>
      <c r="U55" s="64"/>
      <c r="V55" s="64"/>
      <c r="W55" s="64"/>
      <c r="X55" s="64"/>
      <c r="Y55" s="64"/>
      <c r="Z55" s="64"/>
    </row>
    <row r="56" ht="12.75" customHeight="1">
      <c r="A56" s="108"/>
      <c r="B56" s="64"/>
      <c r="C56" s="64"/>
      <c r="D56" s="64"/>
      <c r="E56" s="64"/>
      <c r="F56" s="63"/>
      <c r="G56" s="63"/>
      <c r="H56" s="64"/>
      <c r="I56" s="64"/>
      <c r="J56" s="64"/>
      <c r="K56" s="64"/>
      <c r="L56" s="64"/>
      <c r="M56" s="64"/>
      <c r="N56" s="64"/>
      <c r="O56" s="64"/>
      <c r="P56" s="64"/>
      <c r="Q56" s="64"/>
      <c r="R56" s="64"/>
      <c r="S56" s="64"/>
      <c r="T56" s="64"/>
      <c r="U56" s="64"/>
      <c r="V56" s="64"/>
      <c r="W56" s="64"/>
      <c r="X56" s="64"/>
      <c r="Y56" s="64"/>
      <c r="Z56" s="64"/>
    </row>
    <row r="57" ht="12.75" customHeight="1">
      <c r="A57" s="108"/>
      <c r="B57" s="64"/>
      <c r="C57" s="64"/>
      <c r="D57" s="64"/>
      <c r="E57" s="64"/>
      <c r="F57" s="63"/>
      <c r="G57" s="63"/>
      <c r="H57" s="64"/>
      <c r="I57" s="64"/>
      <c r="J57" s="64"/>
      <c r="K57" s="64"/>
      <c r="L57" s="64"/>
      <c r="M57" s="64"/>
      <c r="N57" s="64"/>
      <c r="O57" s="64"/>
      <c r="P57" s="64"/>
      <c r="Q57" s="64"/>
      <c r="R57" s="64"/>
      <c r="S57" s="64"/>
      <c r="T57" s="64"/>
      <c r="U57" s="64"/>
      <c r="V57" s="64"/>
      <c r="W57" s="64"/>
      <c r="X57" s="64"/>
      <c r="Y57" s="64"/>
      <c r="Z57" s="64"/>
    </row>
    <row r="58" ht="12.75" customHeight="1">
      <c r="A58" s="108"/>
      <c r="B58" s="64"/>
      <c r="C58" s="64"/>
      <c r="D58" s="64"/>
      <c r="E58" s="64"/>
      <c r="F58" s="63"/>
      <c r="G58" s="63"/>
      <c r="H58" s="64"/>
      <c r="I58" s="64"/>
      <c r="J58" s="64"/>
      <c r="K58" s="64"/>
      <c r="L58" s="64"/>
      <c r="M58" s="64"/>
      <c r="N58" s="64"/>
      <c r="O58" s="64"/>
      <c r="P58" s="64"/>
      <c r="Q58" s="64"/>
      <c r="R58" s="64"/>
      <c r="S58" s="64"/>
      <c r="T58" s="64"/>
      <c r="U58" s="64"/>
      <c r="V58" s="64"/>
      <c r="W58" s="64"/>
      <c r="X58" s="64"/>
      <c r="Y58" s="64"/>
      <c r="Z58" s="64"/>
    </row>
    <row r="59" ht="12.75" customHeight="1">
      <c r="A59" s="108"/>
      <c r="B59" s="64"/>
      <c r="C59" s="64"/>
      <c r="D59" s="64"/>
      <c r="E59" s="64"/>
      <c r="F59" s="63"/>
      <c r="G59" s="63"/>
      <c r="H59" s="64"/>
      <c r="I59" s="64"/>
      <c r="J59" s="64"/>
      <c r="K59" s="64"/>
      <c r="L59" s="64"/>
      <c r="M59" s="64"/>
      <c r="N59" s="64"/>
      <c r="O59" s="64"/>
      <c r="P59" s="64"/>
      <c r="Q59" s="64"/>
      <c r="R59" s="64"/>
      <c r="S59" s="64"/>
      <c r="T59" s="64"/>
      <c r="U59" s="64"/>
      <c r="V59" s="64"/>
      <c r="W59" s="64"/>
      <c r="X59" s="64"/>
      <c r="Y59" s="64"/>
      <c r="Z59" s="64"/>
    </row>
    <row r="60" ht="12.75" customHeight="1">
      <c r="A60" s="108"/>
      <c r="B60" s="64"/>
      <c r="C60" s="64"/>
      <c r="D60" s="64"/>
      <c r="E60" s="64"/>
      <c r="F60" s="63"/>
      <c r="G60" s="63"/>
      <c r="H60" s="64"/>
      <c r="I60" s="64"/>
      <c r="J60" s="64"/>
      <c r="K60" s="64"/>
      <c r="L60" s="64"/>
      <c r="M60" s="64"/>
      <c r="N60" s="64"/>
      <c r="O60" s="64"/>
      <c r="P60" s="64"/>
      <c r="Q60" s="64"/>
      <c r="R60" s="64"/>
      <c r="S60" s="64"/>
      <c r="T60" s="64"/>
      <c r="U60" s="64"/>
      <c r="V60" s="64"/>
      <c r="W60" s="64"/>
      <c r="X60" s="64"/>
      <c r="Y60" s="64"/>
      <c r="Z60" s="64"/>
    </row>
    <row r="61" ht="12.75" customHeight="1">
      <c r="A61" s="108"/>
      <c r="B61" s="64"/>
      <c r="C61" s="64"/>
      <c r="D61" s="64"/>
      <c r="E61" s="64"/>
      <c r="F61" s="63"/>
      <c r="G61" s="63"/>
      <c r="H61" s="64"/>
      <c r="I61" s="64"/>
      <c r="J61" s="64"/>
      <c r="K61" s="64"/>
      <c r="L61" s="64"/>
      <c r="M61" s="64"/>
      <c r="N61" s="64"/>
      <c r="O61" s="64"/>
      <c r="P61" s="64"/>
      <c r="Q61" s="64"/>
      <c r="R61" s="64"/>
      <c r="S61" s="64"/>
      <c r="T61" s="64"/>
      <c r="U61" s="64"/>
      <c r="V61" s="64"/>
      <c r="W61" s="64"/>
      <c r="X61" s="64"/>
      <c r="Y61" s="64"/>
      <c r="Z61" s="64"/>
    </row>
    <row r="62" ht="12.75" customHeight="1">
      <c r="A62" s="108"/>
      <c r="B62" s="64"/>
      <c r="C62" s="64"/>
      <c r="D62" s="64"/>
      <c r="E62" s="64"/>
      <c r="F62" s="63"/>
      <c r="G62" s="63"/>
      <c r="H62" s="64"/>
      <c r="I62" s="64"/>
      <c r="J62" s="64"/>
      <c r="K62" s="64"/>
      <c r="L62" s="64"/>
      <c r="M62" s="64"/>
      <c r="N62" s="64"/>
      <c r="O62" s="64"/>
      <c r="P62" s="64"/>
      <c r="Q62" s="64"/>
      <c r="R62" s="64"/>
      <c r="S62" s="64"/>
      <c r="T62" s="64"/>
      <c r="U62" s="64"/>
      <c r="V62" s="64"/>
      <c r="W62" s="64"/>
      <c r="X62" s="64"/>
      <c r="Y62" s="64"/>
      <c r="Z62" s="64"/>
    </row>
    <row r="63" ht="12.75" customHeight="1">
      <c r="A63" s="108"/>
      <c r="B63" s="64"/>
      <c r="C63" s="64"/>
      <c r="D63" s="64"/>
      <c r="E63" s="64"/>
      <c r="F63" s="63"/>
      <c r="G63" s="63"/>
      <c r="H63" s="64"/>
      <c r="I63" s="64"/>
      <c r="J63" s="64"/>
      <c r="K63" s="64"/>
      <c r="L63" s="64"/>
      <c r="M63" s="64"/>
      <c r="N63" s="64"/>
      <c r="O63" s="64"/>
      <c r="P63" s="64"/>
      <c r="Q63" s="64"/>
      <c r="R63" s="64"/>
      <c r="S63" s="64"/>
      <c r="T63" s="64"/>
      <c r="U63" s="64"/>
      <c r="V63" s="64"/>
      <c r="W63" s="64"/>
      <c r="X63" s="64"/>
      <c r="Y63" s="64"/>
      <c r="Z63" s="64"/>
    </row>
    <row r="64" ht="12.75" customHeight="1">
      <c r="A64" s="108"/>
      <c r="B64" s="64"/>
      <c r="C64" s="64"/>
      <c r="D64" s="64"/>
      <c r="E64" s="64"/>
      <c r="F64" s="63"/>
      <c r="G64" s="63"/>
      <c r="H64" s="64"/>
      <c r="I64" s="64"/>
      <c r="J64" s="64"/>
      <c r="K64" s="64"/>
      <c r="L64" s="64"/>
      <c r="M64" s="64"/>
      <c r="N64" s="64"/>
      <c r="O64" s="64"/>
      <c r="P64" s="64"/>
      <c r="Q64" s="64"/>
      <c r="R64" s="64"/>
      <c r="S64" s="64"/>
      <c r="T64" s="64"/>
      <c r="U64" s="64"/>
      <c r="V64" s="64"/>
      <c r="W64" s="64"/>
      <c r="X64" s="64"/>
      <c r="Y64" s="64"/>
      <c r="Z64" s="64"/>
    </row>
    <row r="65" ht="12.75" customHeight="1">
      <c r="A65" s="108"/>
      <c r="B65" s="64"/>
      <c r="C65" s="64"/>
      <c r="D65" s="64"/>
      <c r="E65" s="64"/>
      <c r="F65" s="63"/>
      <c r="G65" s="63"/>
      <c r="H65" s="64"/>
      <c r="I65" s="64"/>
      <c r="J65" s="64"/>
      <c r="K65" s="64"/>
      <c r="L65" s="64"/>
      <c r="M65" s="64"/>
      <c r="N65" s="64"/>
      <c r="O65" s="64"/>
      <c r="P65" s="64"/>
      <c r="Q65" s="64"/>
      <c r="R65" s="64"/>
      <c r="S65" s="64"/>
      <c r="T65" s="64"/>
      <c r="U65" s="64"/>
      <c r="V65" s="64"/>
      <c r="W65" s="64"/>
      <c r="X65" s="64"/>
      <c r="Y65" s="64"/>
      <c r="Z65" s="64"/>
    </row>
    <row r="66" ht="12.75" customHeight="1">
      <c r="A66" s="108"/>
      <c r="B66" s="64"/>
      <c r="C66" s="64"/>
      <c r="D66" s="64"/>
      <c r="E66" s="64"/>
      <c r="F66" s="63"/>
      <c r="G66" s="63"/>
      <c r="H66" s="64"/>
      <c r="I66" s="64"/>
      <c r="J66" s="64"/>
      <c r="K66" s="64"/>
      <c r="L66" s="64"/>
      <c r="M66" s="64"/>
      <c r="N66" s="64"/>
      <c r="O66" s="64"/>
      <c r="P66" s="64"/>
      <c r="Q66" s="64"/>
      <c r="R66" s="64"/>
      <c r="S66" s="64"/>
      <c r="T66" s="64"/>
      <c r="U66" s="64"/>
      <c r="V66" s="64"/>
      <c r="W66" s="64"/>
      <c r="X66" s="64"/>
      <c r="Y66" s="64"/>
      <c r="Z66" s="64"/>
    </row>
    <row r="67" ht="12.75" customHeight="1">
      <c r="A67" s="108"/>
      <c r="B67" s="64"/>
      <c r="C67" s="64"/>
      <c r="D67" s="64"/>
      <c r="E67" s="64"/>
      <c r="F67" s="63"/>
      <c r="G67" s="63"/>
      <c r="H67" s="64"/>
      <c r="I67" s="64"/>
      <c r="J67" s="64"/>
      <c r="K67" s="64"/>
      <c r="L67" s="64"/>
      <c r="M67" s="64"/>
      <c r="N67" s="64"/>
      <c r="O67" s="64"/>
      <c r="P67" s="64"/>
      <c r="Q67" s="64"/>
      <c r="R67" s="64"/>
      <c r="S67" s="64"/>
      <c r="T67" s="64"/>
      <c r="U67" s="64"/>
      <c r="V67" s="64"/>
      <c r="W67" s="64"/>
      <c r="X67" s="64"/>
      <c r="Y67" s="64"/>
      <c r="Z67" s="64"/>
    </row>
    <row r="68" ht="12.75" customHeight="1">
      <c r="A68" s="108"/>
      <c r="B68" s="64"/>
      <c r="C68" s="64"/>
      <c r="D68" s="64"/>
      <c r="E68" s="64"/>
      <c r="F68" s="63"/>
      <c r="G68" s="63"/>
      <c r="H68" s="64"/>
      <c r="I68" s="64"/>
      <c r="J68" s="64"/>
      <c r="K68" s="64"/>
      <c r="L68" s="64"/>
      <c r="M68" s="64"/>
      <c r="N68" s="64"/>
      <c r="O68" s="64"/>
      <c r="P68" s="64"/>
      <c r="Q68" s="64"/>
      <c r="R68" s="64"/>
      <c r="S68" s="64"/>
      <c r="T68" s="64"/>
      <c r="U68" s="64"/>
      <c r="V68" s="64"/>
      <c r="W68" s="64"/>
      <c r="X68" s="64"/>
      <c r="Y68" s="64"/>
      <c r="Z68" s="64"/>
    </row>
    <row r="69" ht="12.75" customHeight="1">
      <c r="A69" s="108"/>
      <c r="B69" s="64"/>
      <c r="C69" s="64"/>
      <c r="D69" s="64"/>
      <c r="E69" s="64"/>
      <c r="F69" s="63"/>
      <c r="G69" s="63"/>
      <c r="H69" s="64"/>
      <c r="I69" s="64"/>
      <c r="J69" s="64"/>
      <c r="K69" s="64"/>
      <c r="L69" s="64"/>
      <c r="M69" s="64"/>
      <c r="N69" s="64"/>
      <c r="O69" s="64"/>
      <c r="P69" s="64"/>
      <c r="Q69" s="64"/>
      <c r="R69" s="64"/>
      <c r="S69" s="64"/>
      <c r="T69" s="64"/>
      <c r="U69" s="64"/>
      <c r="V69" s="64"/>
      <c r="W69" s="64"/>
      <c r="X69" s="64"/>
      <c r="Y69" s="64"/>
      <c r="Z69" s="64"/>
    </row>
    <row r="70" ht="12.75" customHeight="1">
      <c r="A70" s="108"/>
      <c r="B70" s="64"/>
      <c r="C70" s="64"/>
      <c r="D70" s="64"/>
      <c r="E70" s="64"/>
      <c r="F70" s="63"/>
      <c r="G70" s="63"/>
      <c r="H70" s="64"/>
      <c r="I70" s="64"/>
      <c r="J70" s="64"/>
      <c r="K70" s="64"/>
      <c r="L70" s="64"/>
      <c r="M70" s="64"/>
      <c r="N70" s="64"/>
      <c r="O70" s="64"/>
      <c r="P70" s="64"/>
      <c r="Q70" s="64"/>
      <c r="R70" s="64"/>
      <c r="S70" s="64"/>
      <c r="T70" s="64"/>
      <c r="U70" s="64"/>
      <c r="V70" s="64"/>
      <c r="W70" s="64"/>
      <c r="X70" s="64"/>
      <c r="Y70" s="64"/>
      <c r="Z70" s="64"/>
    </row>
    <row r="71" ht="12.75" customHeight="1">
      <c r="A71" s="108"/>
      <c r="B71" s="64"/>
      <c r="C71" s="64"/>
      <c r="D71" s="64"/>
      <c r="E71" s="64"/>
      <c r="F71" s="63"/>
      <c r="G71" s="63"/>
      <c r="H71" s="64"/>
      <c r="I71" s="64"/>
      <c r="J71" s="64"/>
      <c r="K71" s="64"/>
      <c r="L71" s="64"/>
      <c r="M71" s="64"/>
      <c r="N71" s="64"/>
      <c r="O71" s="64"/>
      <c r="P71" s="64"/>
      <c r="Q71" s="64"/>
      <c r="R71" s="64"/>
      <c r="S71" s="64"/>
      <c r="T71" s="64"/>
      <c r="U71" s="64"/>
      <c r="V71" s="64"/>
      <c r="W71" s="64"/>
      <c r="X71" s="64"/>
      <c r="Y71" s="64"/>
      <c r="Z71" s="64"/>
    </row>
    <row r="72" ht="12.75" customHeight="1">
      <c r="A72" s="108"/>
      <c r="B72" s="64"/>
      <c r="C72" s="64"/>
      <c r="D72" s="64"/>
      <c r="E72" s="64"/>
      <c r="F72" s="63"/>
      <c r="G72" s="63"/>
      <c r="H72" s="64"/>
      <c r="I72" s="64"/>
      <c r="J72" s="64"/>
      <c r="K72" s="64"/>
      <c r="L72" s="64"/>
      <c r="M72" s="64"/>
      <c r="N72" s="64"/>
      <c r="O72" s="64"/>
      <c r="P72" s="64"/>
      <c r="Q72" s="64"/>
      <c r="R72" s="64"/>
      <c r="S72" s="64"/>
      <c r="T72" s="64"/>
      <c r="U72" s="64"/>
      <c r="V72" s="64"/>
      <c r="W72" s="64"/>
      <c r="X72" s="64"/>
      <c r="Y72" s="64"/>
      <c r="Z72" s="64"/>
    </row>
    <row r="73" ht="12.75" customHeight="1">
      <c r="A73" s="108"/>
      <c r="B73" s="64"/>
      <c r="C73" s="64"/>
      <c r="D73" s="64"/>
      <c r="E73" s="64"/>
      <c r="F73" s="63"/>
      <c r="G73" s="63"/>
      <c r="H73" s="64"/>
      <c r="I73" s="64"/>
      <c r="J73" s="64"/>
      <c r="K73" s="64"/>
      <c r="L73" s="64"/>
      <c r="M73" s="64"/>
      <c r="N73" s="64"/>
      <c r="O73" s="64"/>
      <c r="P73" s="64"/>
      <c r="Q73" s="64"/>
      <c r="R73" s="64"/>
      <c r="S73" s="64"/>
      <c r="T73" s="64"/>
      <c r="U73" s="64"/>
      <c r="V73" s="64"/>
      <c r="W73" s="64"/>
      <c r="X73" s="64"/>
      <c r="Y73" s="64"/>
      <c r="Z73" s="64"/>
    </row>
    <row r="74" ht="12.75" customHeight="1">
      <c r="A74" s="108"/>
      <c r="B74" s="64"/>
      <c r="C74" s="64"/>
      <c r="D74" s="64"/>
      <c r="E74" s="64"/>
      <c r="F74" s="63"/>
      <c r="G74" s="63"/>
      <c r="H74" s="64"/>
      <c r="I74" s="64"/>
      <c r="J74" s="64"/>
      <c r="K74" s="64"/>
      <c r="L74" s="64"/>
      <c r="M74" s="64"/>
      <c r="N74" s="64"/>
      <c r="O74" s="64"/>
      <c r="P74" s="64"/>
      <c r="Q74" s="64"/>
      <c r="R74" s="64"/>
      <c r="S74" s="64"/>
      <c r="T74" s="64"/>
      <c r="U74" s="64"/>
      <c r="V74" s="64"/>
      <c r="W74" s="64"/>
      <c r="X74" s="64"/>
      <c r="Y74" s="64"/>
      <c r="Z74" s="64"/>
    </row>
    <row r="75" ht="12.75" customHeight="1">
      <c r="A75" s="108"/>
      <c r="B75" s="64"/>
      <c r="C75" s="64"/>
      <c r="D75" s="64"/>
      <c r="E75" s="64"/>
      <c r="F75" s="63"/>
      <c r="G75" s="63"/>
      <c r="H75" s="64"/>
      <c r="I75" s="64"/>
      <c r="J75" s="64"/>
      <c r="K75" s="64"/>
      <c r="L75" s="64"/>
      <c r="M75" s="64"/>
      <c r="N75" s="64"/>
      <c r="O75" s="64"/>
      <c r="P75" s="64"/>
      <c r="Q75" s="64"/>
      <c r="R75" s="64"/>
      <c r="S75" s="64"/>
      <c r="T75" s="64"/>
      <c r="U75" s="64"/>
      <c r="V75" s="64"/>
      <c r="W75" s="64"/>
      <c r="X75" s="64"/>
      <c r="Y75" s="64"/>
      <c r="Z75" s="64"/>
    </row>
    <row r="76" ht="12.75" customHeight="1">
      <c r="A76" s="108"/>
      <c r="B76" s="64"/>
      <c r="C76" s="64"/>
      <c r="D76" s="64"/>
      <c r="E76" s="64"/>
      <c r="F76" s="63"/>
      <c r="G76" s="63"/>
      <c r="H76" s="64"/>
      <c r="I76" s="64"/>
      <c r="J76" s="64"/>
      <c r="K76" s="64"/>
      <c r="L76" s="64"/>
      <c r="M76" s="64"/>
      <c r="N76" s="64"/>
      <c r="O76" s="64"/>
      <c r="P76" s="64"/>
      <c r="Q76" s="64"/>
      <c r="R76" s="64"/>
      <c r="S76" s="64"/>
      <c r="T76" s="64"/>
      <c r="U76" s="64"/>
      <c r="V76" s="64"/>
      <c r="W76" s="64"/>
      <c r="X76" s="64"/>
      <c r="Y76" s="64"/>
      <c r="Z76" s="64"/>
    </row>
    <row r="77" ht="12.75" customHeight="1">
      <c r="A77" s="108"/>
      <c r="B77" s="64"/>
      <c r="C77" s="64"/>
      <c r="D77" s="64"/>
      <c r="E77" s="64"/>
      <c r="F77" s="63"/>
      <c r="G77" s="63"/>
      <c r="H77" s="64"/>
      <c r="I77" s="64"/>
      <c r="J77" s="64"/>
      <c r="K77" s="64"/>
      <c r="L77" s="64"/>
      <c r="M77" s="64"/>
      <c r="N77" s="64"/>
      <c r="O77" s="64"/>
      <c r="P77" s="64"/>
      <c r="Q77" s="64"/>
      <c r="R77" s="64"/>
      <c r="S77" s="64"/>
      <c r="T77" s="64"/>
      <c r="U77" s="64"/>
      <c r="V77" s="64"/>
      <c r="W77" s="64"/>
      <c r="X77" s="64"/>
      <c r="Y77" s="64"/>
      <c r="Z77" s="64"/>
    </row>
    <row r="78" ht="12.75" customHeight="1">
      <c r="A78" s="108"/>
      <c r="B78" s="64"/>
      <c r="C78" s="64"/>
      <c r="D78" s="64"/>
      <c r="E78" s="64"/>
      <c r="F78" s="63"/>
      <c r="G78" s="63"/>
      <c r="H78" s="64"/>
      <c r="I78" s="64"/>
      <c r="J78" s="64"/>
      <c r="K78" s="64"/>
      <c r="L78" s="64"/>
      <c r="M78" s="64"/>
      <c r="N78" s="64"/>
      <c r="O78" s="64"/>
      <c r="P78" s="64"/>
      <c r="Q78" s="64"/>
      <c r="R78" s="64"/>
      <c r="S78" s="64"/>
      <c r="T78" s="64"/>
      <c r="U78" s="64"/>
      <c r="V78" s="64"/>
      <c r="W78" s="64"/>
      <c r="X78" s="64"/>
      <c r="Y78" s="64"/>
      <c r="Z78" s="64"/>
    </row>
    <row r="79" ht="12.75" customHeight="1">
      <c r="A79" s="108"/>
      <c r="B79" s="64"/>
      <c r="C79" s="64"/>
      <c r="D79" s="64"/>
      <c r="E79" s="64"/>
      <c r="F79" s="63"/>
      <c r="G79" s="63"/>
      <c r="H79" s="64"/>
      <c r="I79" s="64"/>
      <c r="J79" s="64"/>
      <c r="K79" s="64"/>
      <c r="L79" s="64"/>
      <c r="M79" s="64"/>
      <c r="N79" s="64"/>
      <c r="O79" s="64"/>
      <c r="P79" s="64"/>
      <c r="Q79" s="64"/>
      <c r="R79" s="64"/>
      <c r="S79" s="64"/>
      <c r="T79" s="64"/>
      <c r="U79" s="64"/>
      <c r="V79" s="64"/>
      <c r="W79" s="64"/>
      <c r="X79" s="64"/>
      <c r="Y79" s="64"/>
      <c r="Z79" s="64"/>
    </row>
    <row r="80" ht="12.75" customHeight="1">
      <c r="A80" s="108"/>
      <c r="B80" s="64"/>
      <c r="C80" s="64"/>
      <c r="D80" s="64"/>
      <c r="E80" s="64"/>
      <c r="F80" s="63"/>
      <c r="G80" s="63"/>
      <c r="H80" s="64"/>
      <c r="I80" s="64"/>
      <c r="J80" s="64"/>
      <c r="K80" s="64"/>
      <c r="L80" s="64"/>
      <c r="M80" s="64"/>
      <c r="N80" s="64"/>
      <c r="O80" s="64"/>
      <c r="P80" s="64"/>
      <c r="Q80" s="64"/>
      <c r="R80" s="64"/>
      <c r="S80" s="64"/>
      <c r="T80" s="64"/>
      <c r="U80" s="64"/>
      <c r="V80" s="64"/>
      <c r="W80" s="64"/>
      <c r="X80" s="64"/>
      <c r="Y80" s="64"/>
      <c r="Z80" s="64"/>
    </row>
    <row r="81" ht="12.75" customHeight="1">
      <c r="A81" s="108"/>
      <c r="B81" s="64"/>
      <c r="C81" s="64"/>
      <c r="D81" s="64"/>
      <c r="E81" s="64"/>
      <c r="F81" s="63"/>
      <c r="G81" s="63"/>
      <c r="H81" s="64"/>
      <c r="I81" s="64"/>
      <c r="J81" s="64"/>
      <c r="K81" s="64"/>
      <c r="L81" s="64"/>
      <c r="M81" s="64"/>
      <c r="N81" s="64"/>
      <c r="O81" s="64"/>
      <c r="P81" s="64"/>
      <c r="Q81" s="64"/>
      <c r="R81" s="64"/>
      <c r="S81" s="64"/>
      <c r="T81" s="64"/>
      <c r="U81" s="64"/>
      <c r="V81" s="64"/>
      <c r="W81" s="64"/>
      <c r="X81" s="64"/>
      <c r="Y81" s="64"/>
      <c r="Z81" s="64"/>
    </row>
    <row r="82" ht="12.75" customHeight="1">
      <c r="A82" s="108"/>
      <c r="B82" s="64"/>
      <c r="C82" s="64"/>
      <c r="D82" s="64"/>
      <c r="E82" s="64"/>
      <c r="F82" s="63"/>
      <c r="G82" s="63"/>
      <c r="H82" s="64"/>
      <c r="I82" s="64"/>
      <c r="J82" s="64"/>
      <c r="K82" s="64"/>
      <c r="L82" s="64"/>
      <c r="M82" s="64"/>
      <c r="N82" s="64"/>
      <c r="O82" s="64"/>
      <c r="P82" s="64"/>
      <c r="Q82" s="64"/>
      <c r="R82" s="64"/>
      <c r="S82" s="64"/>
      <c r="T82" s="64"/>
      <c r="U82" s="64"/>
      <c r="V82" s="64"/>
      <c r="W82" s="64"/>
      <c r="X82" s="64"/>
      <c r="Y82" s="64"/>
      <c r="Z82" s="64"/>
    </row>
    <row r="83" ht="12.75" customHeight="1">
      <c r="A83" s="108"/>
      <c r="B83" s="64"/>
      <c r="C83" s="64"/>
      <c r="D83" s="64"/>
      <c r="E83" s="64"/>
      <c r="F83" s="63"/>
      <c r="G83" s="63"/>
      <c r="H83" s="64"/>
      <c r="I83" s="64"/>
      <c r="J83" s="64"/>
      <c r="K83" s="64"/>
      <c r="L83" s="64"/>
      <c r="M83" s="64"/>
      <c r="N83" s="64"/>
      <c r="O83" s="64"/>
      <c r="P83" s="64"/>
      <c r="Q83" s="64"/>
      <c r="R83" s="64"/>
      <c r="S83" s="64"/>
      <c r="T83" s="64"/>
      <c r="U83" s="64"/>
      <c r="V83" s="64"/>
      <c r="W83" s="64"/>
      <c r="X83" s="64"/>
      <c r="Y83" s="64"/>
      <c r="Z83" s="64"/>
    </row>
    <row r="84" ht="12.75" customHeight="1">
      <c r="A84" s="108"/>
      <c r="B84" s="64"/>
      <c r="C84" s="64"/>
      <c r="D84" s="64"/>
      <c r="E84" s="64"/>
      <c r="F84" s="63"/>
      <c r="G84" s="63"/>
      <c r="H84" s="64"/>
      <c r="I84" s="64"/>
      <c r="J84" s="64"/>
      <c r="K84" s="64"/>
      <c r="L84" s="64"/>
      <c r="M84" s="64"/>
      <c r="N84" s="64"/>
      <c r="O84" s="64"/>
      <c r="P84" s="64"/>
      <c r="Q84" s="64"/>
      <c r="R84" s="64"/>
      <c r="S84" s="64"/>
      <c r="T84" s="64"/>
      <c r="U84" s="64"/>
      <c r="V84" s="64"/>
      <c r="W84" s="64"/>
      <c r="X84" s="64"/>
      <c r="Y84" s="64"/>
      <c r="Z84" s="64"/>
    </row>
    <row r="85" ht="12.75" customHeight="1">
      <c r="A85" s="108"/>
      <c r="B85" s="64"/>
      <c r="C85" s="64"/>
      <c r="D85" s="64"/>
      <c r="E85" s="64"/>
      <c r="F85" s="63"/>
      <c r="G85" s="63"/>
      <c r="H85" s="64"/>
      <c r="I85" s="64"/>
      <c r="J85" s="64"/>
      <c r="K85" s="64"/>
      <c r="L85" s="64"/>
      <c r="M85" s="64"/>
      <c r="N85" s="64"/>
      <c r="O85" s="64"/>
      <c r="P85" s="64"/>
      <c r="Q85" s="64"/>
      <c r="R85" s="64"/>
      <c r="S85" s="64"/>
      <c r="T85" s="64"/>
      <c r="U85" s="64"/>
      <c r="V85" s="64"/>
      <c r="W85" s="64"/>
      <c r="X85" s="64"/>
      <c r="Y85" s="64"/>
      <c r="Z85" s="64"/>
    </row>
    <row r="86" ht="12.75" customHeight="1">
      <c r="A86" s="108"/>
      <c r="B86" s="64"/>
      <c r="C86" s="64"/>
      <c r="D86" s="64"/>
      <c r="E86" s="64"/>
      <c r="F86" s="63"/>
      <c r="G86" s="63"/>
      <c r="H86" s="64"/>
      <c r="I86" s="64"/>
      <c r="J86" s="64"/>
      <c r="K86" s="64"/>
      <c r="L86" s="64"/>
      <c r="M86" s="64"/>
      <c r="N86" s="64"/>
      <c r="O86" s="64"/>
      <c r="P86" s="64"/>
      <c r="Q86" s="64"/>
      <c r="R86" s="64"/>
      <c r="S86" s="64"/>
      <c r="T86" s="64"/>
      <c r="U86" s="64"/>
      <c r="V86" s="64"/>
      <c r="W86" s="64"/>
      <c r="X86" s="64"/>
      <c r="Y86" s="64"/>
      <c r="Z86" s="64"/>
    </row>
    <row r="87" ht="12.75" customHeight="1">
      <c r="A87" s="108"/>
      <c r="B87" s="64"/>
      <c r="C87" s="64"/>
      <c r="D87" s="64"/>
      <c r="E87" s="64"/>
      <c r="F87" s="63"/>
      <c r="G87" s="63"/>
      <c r="H87" s="64"/>
      <c r="I87" s="64"/>
      <c r="J87" s="64"/>
      <c r="K87" s="64"/>
      <c r="L87" s="64"/>
      <c r="M87" s="64"/>
      <c r="N87" s="64"/>
      <c r="O87" s="64"/>
      <c r="P87" s="64"/>
      <c r="Q87" s="64"/>
      <c r="R87" s="64"/>
      <c r="S87" s="64"/>
      <c r="T87" s="64"/>
      <c r="U87" s="64"/>
      <c r="V87" s="64"/>
      <c r="W87" s="64"/>
      <c r="X87" s="64"/>
      <c r="Y87" s="64"/>
      <c r="Z87" s="64"/>
    </row>
    <row r="88" ht="12.75" customHeight="1">
      <c r="A88" s="108"/>
      <c r="B88" s="64"/>
      <c r="C88" s="64"/>
      <c r="D88" s="64"/>
      <c r="E88" s="64"/>
      <c r="F88" s="63"/>
      <c r="G88" s="63"/>
      <c r="H88" s="64"/>
      <c r="I88" s="64"/>
      <c r="J88" s="64"/>
      <c r="K88" s="64"/>
      <c r="L88" s="64"/>
      <c r="M88" s="64"/>
      <c r="N88" s="64"/>
      <c r="O88" s="64"/>
      <c r="P88" s="64"/>
      <c r="Q88" s="64"/>
      <c r="R88" s="64"/>
      <c r="S88" s="64"/>
      <c r="T88" s="64"/>
      <c r="U88" s="64"/>
      <c r="V88" s="64"/>
      <c r="W88" s="64"/>
      <c r="X88" s="64"/>
      <c r="Y88" s="64"/>
      <c r="Z88" s="64"/>
    </row>
    <row r="89" ht="12.75" customHeight="1">
      <c r="A89" s="108"/>
      <c r="B89" s="64"/>
      <c r="C89" s="64"/>
      <c r="D89" s="64"/>
      <c r="E89" s="64"/>
      <c r="F89" s="63"/>
      <c r="G89" s="63"/>
      <c r="H89" s="64"/>
      <c r="I89" s="64"/>
      <c r="J89" s="64"/>
      <c r="K89" s="64"/>
      <c r="L89" s="64"/>
      <c r="M89" s="64"/>
      <c r="N89" s="64"/>
      <c r="O89" s="64"/>
      <c r="P89" s="64"/>
      <c r="Q89" s="64"/>
      <c r="R89" s="64"/>
      <c r="S89" s="64"/>
      <c r="T89" s="64"/>
      <c r="U89" s="64"/>
      <c r="V89" s="64"/>
      <c r="W89" s="64"/>
      <c r="X89" s="64"/>
      <c r="Y89" s="64"/>
      <c r="Z89" s="64"/>
    </row>
    <row r="90" ht="12.75" customHeight="1">
      <c r="A90" s="108"/>
      <c r="B90" s="64"/>
      <c r="C90" s="64"/>
      <c r="D90" s="64"/>
      <c r="E90" s="64"/>
      <c r="F90" s="63"/>
      <c r="G90" s="63"/>
      <c r="H90" s="64"/>
      <c r="I90" s="64"/>
      <c r="J90" s="64"/>
      <c r="K90" s="64"/>
      <c r="L90" s="64"/>
      <c r="M90" s="64"/>
      <c r="N90" s="64"/>
      <c r="O90" s="64"/>
      <c r="P90" s="64"/>
      <c r="Q90" s="64"/>
      <c r="R90" s="64"/>
      <c r="S90" s="64"/>
      <c r="T90" s="64"/>
      <c r="U90" s="64"/>
      <c r="V90" s="64"/>
      <c r="W90" s="64"/>
      <c r="X90" s="64"/>
      <c r="Y90" s="64"/>
      <c r="Z90" s="64"/>
    </row>
    <row r="91" ht="12.75" customHeight="1">
      <c r="A91" s="108"/>
      <c r="B91" s="64"/>
      <c r="C91" s="64"/>
      <c r="D91" s="64"/>
      <c r="E91" s="64"/>
      <c r="F91" s="63"/>
      <c r="G91" s="63"/>
      <c r="H91" s="64"/>
      <c r="I91" s="64"/>
      <c r="J91" s="64"/>
      <c r="K91" s="64"/>
      <c r="L91" s="64"/>
      <c r="M91" s="64"/>
      <c r="N91" s="64"/>
      <c r="O91" s="64"/>
      <c r="P91" s="64"/>
      <c r="Q91" s="64"/>
      <c r="R91" s="64"/>
      <c r="S91" s="64"/>
      <c r="T91" s="64"/>
      <c r="U91" s="64"/>
      <c r="V91" s="64"/>
      <c r="W91" s="64"/>
      <c r="X91" s="64"/>
      <c r="Y91" s="64"/>
      <c r="Z91" s="64"/>
    </row>
    <row r="92" ht="12.75" customHeight="1">
      <c r="A92" s="108"/>
      <c r="B92" s="64"/>
      <c r="C92" s="64"/>
      <c r="D92" s="64"/>
      <c r="E92" s="64"/>
      <c r="F92" s="63"/>
      <c r="G92" s="63"/>
      <c r="H92" s="64"/>
      <c r="I92" s="64"/>
      <c r="J92" s="64"/>
      <c r="K92" s="64"/>
      <c r="L92" s="64"/>
      <c r="M92" s="64"/>
      <c r="N92" s="64"/>
      <c r="O92" s="64"/>
      <c r="P92" s="64"/>
      <c r="Q92" s="64"/>
      <c r="R92" s="64"/>
      <c r="S92" s="64"/>
      <c r="T92" s="64"/>
      <c r="U92" s="64"/>
      <c r="V92" s="64"/>
      <c r="W92" s="64"/>
      <c r="X92" s="64"/>
      <c r="Y92" s="64"/>
      <c r="Z92" s="64"/>
    </row>
    <row r="93" ht="12.75" customHeight="1">
      <c r="A93" s="108"/>
      <c r="B93" s="64"/>
      <c r="C93" s="64"/>
      <c r="D93" s="64"/>
      <c r="E93" s="64"/>
      <c r="F93" s="63"/>
      <c r="G93" s="63"/>
      <c r="H93" s="64"/>
      <c r="I93" s="64"/>
      <c r="J93" s="64"/>
      <c r="K93" s="64"/>
      <c r="L93" s="64"/>
      <c r="M93" s="64"/>
      <c r="N93" s="64"/>
      <c r="O93" s="64"/>
      <c r="P93" s="64"/>
      <c r="Q93" s="64"/>
      <c r="R93" s="64"/>
      <c r="S93" s="64"/>
      <c r="T93" s="64"/>
      <c r="U93" s="64"/>
      <c r="V93" s="64"/>
      <c r="W93" s="64"/>
      <c r="X93" s="64"/>
      <c r="Y93" s="64"/>
      <c r="Z93" s="64"/>
    </row>
    <row r="94" ht="12.75" customHeight="1">
      <c r="A94" s="108"/>
      <c r="B94" s="64"/>
      <c r="C94" s="64"/>
      <c r="D94" s="64"/>
      <c r="E94" s="64"/>
      <c r="F94" s="63"/>
      <c r="G94" s="63"/>
      <c r="H94" s="64"/>
      <c r="I94" s="64"/>
      <c r="J94" s="64"/>
      <c r="K94" s="64"/>
      <c r="L94" s="64"/>
      <c r="M94" s="64"/>
      <c r="N94" s="64"/>
      <c r="O94" s="64"/>
      <c r="P94" s="64"/>
      <c r="Q94" s="64"/>
      <c r="R94" s="64"/>
      <c r="S94" s="64"/>
      <c r="T94" s="64"/>
      <c r="U94" s="64"/>
      <c r="V94" s="64"/>
      <c r="W94" s="64"/>
      <c r="X94" s="64"/>
      <c r="Y94" s="64"/>
      <c r="Z94" s="64"/>
    </row>
    <row r="95" ht="12.75" customHeight="1">
      <c r="A95" s="108"/>
      <c r="B95" s="64"/>
      <c r="C95" s="64"/>
      <c r="D95" s="64"/>
      <c r="E95" s="64"/>
      <c r="F95" s="63"/>
      <c r="G95" s="63"/>
      <c r="H95" s="64"/>
      <c r="I95" s="64"/>
      <c r="J95" s="64"/>
      <c r="K95" s="64"/>
      <c r="L95" s="64"/>
      <c r="M95" s="64"/>
      <c r="N95" s="64"/>
      <c r="O95" s="64"/>
      <c r="P95" s="64"/>
      <c r="Q95" s="64"/>
      <c r="R95" s="64"/>
      <c r="S95" s="64"/>
      <c r="T95" s="64"/>
      <c r="U95" s="64"/>
      <c r="V95" s="64"/>
      <c r="W95" s="64"/>
      <c r="X95" s="64"/>
      <c r="Y95" s="64"/>
      <c r="Z95" s="64"/>
    </row>
    <row r="96" ht="12.75" customHeight="1">
      <c r="A96" s="108"/>
      <c r="B96" s="64"/>
      <c r="C96" s="64"/>
      <c r="D96" s="64"/>
      <c r="E96" s="64"/>
      <c r="F96" s="63"/>
      <c r="G96" s="63"/>
      <c r="H96" s="64"/>
      <c r="I96" s="64"/>
      <c r="J96" s="64"/>
      <c r="K96" s="64"/>
      <c r="L96" s="64"/>
      <c r="M96" s="64"/>
      <c r="N96" s="64"/>
      <c r="O96" s="64"/>
      <c r="P96" s="64"/>
      <c r="Q96" s="64"/>
      <c r="R96" s="64"/>
      <c r="S96" s="64"/>
      <c r="T96" s="64"/>
      <c r="U96" s="64"/>
      <c r="V96" s="64"/>
      <c r="W96" s="64"/>
      <c r="X96" s="64"/>
      <c r="Y96" s="64"/>
      <c r="Z96" s="64"/>
    </row>
    <row r="97" ht="12.75" customHeight="1">
      <c r="A97" s="108"/>
      <c r="B97" s="64"/>
      <c r="C97" s="64"/>
      <c r="D97" s="64"/>
      <c r="E97" s="64"/>
      <c r="F97" s="63"/>
      <c r="G97" s="63"/>
      <c r="H97" s="64"/>
      <c r="I97" s="64"/>
      <c r="J97" s="64"/>
      <c r="K97" s="64"/>
      <c r="L97" s="64"/>
      <c r="M97" s="64"/>
      <c r="N97" s="64"/>
      <c r="O97" s="64"/>
      <c r="P97" s="64"/>
      <c r="Q97" s="64"/>
      <c r="R97" s="64"/>
      <c r="S97" s="64"/>
      <c r="T97" s="64"/>
      <c r="U97" s="64"/>
      <c r="V97" s="64"/>
      <c r="W97" s="64"/>
      <c r="X97" s="64"/>
      <c r="Y97" s="64"/>
      <c r="Z97" s="64"/>
    </row>
    <row r="98" ht="12.75" customHeight="1">
      <c r="A98" s="108"/>
      <c r="B98" s="64"/>
      <c r="C98" s="64"/>
      <c r="D98" s="64"/>
      <c r="E98" s="64"/>
      <c r="F98" s="63"/>
      <c r="G98" s="63"/>
      <c r="H98" s="64"/>
      <c r="I98" s="64"/>
      <c r="J98" s="64"/>
      <c r="K98" s="64"/>
      <c r="L98" s="64"/>
      <c r="M98" s="64"/>
      <c r="N98" s="64"/>
      <c r="O98" s="64"/>
      <c r="P98" s="64"/>
      <c r="Q98" s="64"/>
      <c r="R98" s="64"/>
      <c r="S98" s="64"/>
      <c r="T98" s="64"/>
      <c r="U98" s="64"/>
      <c r="V98" s="64"/>
      <c r="W98" s="64"/>
      <c r="X98" s="64"/>
      <c r="Y98" s="64"/>
      <c r="Z98" s="64"/>
    </row>
    <row r="99" ht="12.75" customHeight="1">
      <c r="A99" s="108"/>
      <c r="B99" s="64"/>
      <c r="C99" s="64"/>
      <c r="D99" s="64"/>
      <c r="E99" s="64"/>
      <c r="F99" s="63"/>
      <c r="G99" s="63"/>
      <c r="H99" s="64"/>
      <c r="I99" s="64"/>
      <c r="J99" s="64"/>
      <c r="K99" s="64"/>
      <c r="L99" s="64"/>
      <c r="M99" s="64"/>
      <c r="N99" s="64"/>
      <c r="O99" s="64"/>
      <c r="P99" s="64"/>
      <c r="Q99" s="64"/>
      <c r="R99" s="64"/>
      <c r="S99" s="64"/>
      <c r="T99" s="64"/>
      <c r="U99" s="64"/>
      <c r="V99" s="64"/>
      <c r="W99" s="64"/>
      <c r="X99" s="64"/>
      <c r="Y99" s="64"/>
      <c r="Z99" s="64"/>
    </row>
    <row r="100" ht="12.75" customHeight="1">
      <c r="A100" s="108"/>
      <c r="B100" s="64"/>
      <c r="C100" s="64"/>
      <c r="D100" s="64"/>
      <c r="E100" s="64"/>
      <c r="F100" s="63"/>
      <c r="G100" s="63"/>
      <c r="H100" s="64"/>
      <c r="I100" s="64"/>
      <c r="J100" s="64"/>
      <c r="K100" s="64"/>
      <c r="L100" s="64"/>
      <c r="M100" s="64"/>
      <c r="N100" s="64"/>
      <c r="O100" s="64"/>
      <c r="P100" s="64"/>
      <c r="Q100" s="64"/>
      <c r="R100" s="64"/>
      <c r="S100" s="64"/>
      <c r="T100" s="64"/>
      <c r="U100" s="64"/>
      <c r="V100" s="64"/>
      <c r="W100" s="64"/>
      <c r="X100" s="64"/>
      <c r="Y100" s="64"/>
      <c r="Z100" s="64"/>
    </row>
    <row r="101" ht="12.75" customHeight="1">
      <c r="A101" s="108"/>
      <c r="B101" s="64"/>
      <c r="C101" s="64"/>
      <c r="D101" s="64"/>
      <c r="E101" s="64"/>
      <c r="F101" s="63"/>
      <c r="G101" s="63"/>
      <c r="H101" s="64"/>
      <c r="I101" s="64"/>
      <c r="J101" s="64"/>
      <c r="K101" s="64"/>
      <c r="L101" s="64"/>
      <c r="M101" s="64"/>
      <c r="N101" s="64"/>
      <c r="O101" s="64"/>
      <c r="P101" s="64"/>
      <c r="Q101" s="64"/>
      <c r="R101" s="64"/>
      <c r="S101" s="64"/>
      <c r="T101" s="64"/>
      <c r="U101" s="64"/>
      <c r="V101" s="64"/>
      <c r="W101" s="64"/>
      <c r="X101" s="64"/>
      <c r="Y101" s="64"/>
      <c r="Z101" s="64"/>
    </row>
    <row r="102" ht="12.75" customHeight="1">
      <c r="A102" s="108"/>
      <c r="B102" s="64"/>
      <c r="C102" s="64"/>
      <c r="D102" s="64"/>
      <c r="E102" s="64"/>
      <c r="F102" s="63"/>
      <c r="G102" s="63"/>
      <c r="H102" s="64"/>
      <c r="I102" s="64"/>
      <c r="J102" s="64"/>
      <c r="K102" s="64"/>
      <c r="L102" s="64"/>
      <c r="M102" s="64"/>
      <c r="N102" s="64"/>
      <c r="O102" s="64"/>
      <c r="P102" s="64"/>
      <c r="Q102" s="64"/>
      <c r="R102" s="64"/>
      <c r="S102" s="64"/>
      <c r="T102" s="64"/>
      <c r="U102" s="64"/>
      <c r="V102" s="64"/>
      <c r="W102" s="64"/>
      <c r="X102" s="64"/>
      <c r="Y102" s="64"/>
      <c r="Z102" s="64"/>
    </row>
    <row r="103" ht="12.75" customHeight="1">
      <c r="A103" s="108"/>
      <c r="B103" s="64"/>
      <c r="C103" s="64"/>
      <c r="D103" s="64"/>
      <c r="E103" s="64"/>
      <c r="F103" s="63"/>
      <c r="G103" s="63"/>
      <c r="H103" s="64"/>
      <c r="I103" s="64"/>
      <c r="J103" s="64"/>
      <c r="K103" s="64"/>
      <c r="L103" s="64"/>
      <c r="M103" s="64"/>
      <c r="N103" s="64"/>
      <c r="O103" s="64"/>
      <c r="P103" s="64"/>
      <c r="Q103" s="64"/>
      <c r="R103" s="64"/>
      <c r="S103" s="64"/>
      <c r="T103" s="64"/>
      <c r="U103" s="64"/>
      <c r="V103" s="64"/>
      <c r="W103" s="64"/>
      <c r="X103" s="64"/>
      <c r="Y103" s="64"/>
      <c r="Z103" s="64"/>
    </row>
    <row r="104" ht="12.75" customHeight="1">
      <c r="A104" s="108"/>
      <c r="B104" s="64"/>
      <c r="C104" s="64"/>
      <c r="D104" s="64"/>
      <c r="E104" s="64"/>
      <c r="F104" s="63"/>
      <c r="G104" s="63"/>
      <c r="H104" s="64"/>
      <c r="I104" s="64"/>
      <c r="J104" s="64"/>
      <c r="K104" s="64"/>
      <c r="L104" s="64"/>
      <c r="M104" s="64"/>
      <c r="N104" s="64"/>
      <c r="O104" s="64"/>
      <c r="P104" s="64"/>
      <c r="Q104" s="64"/>
      <c r="R104" s="64"/>
      <c r="S104" s="64"/>
      <c r="T104" s="64"/>
      <c r="U104" s="64"/>
      <c r="V104" s="64"/>
      <c r="W104" s="64"/>
      <c r="X104" s="64"/>
      <c r="Y104" s="64"/>
      <c r="Z104" s="64"/>
    </row>
    <row r="105" ht="12.75" customHeight="1">
      <c r="A105" s="108"/>
      <c r="B105" s="64"/>
      <c r="C105" s="64"/>
      <c r="D105" s="64"/>
      <c r="E105" s="64"/>
      <c r="F105" s="63"/>
      <c r="G105" s="63"/>
      <c r="H105" s="64"/>
      <c r="I105" s="64"/>
      <c r="J105" s="64"/>
      <c r="K105" s="64"/>
      <c r="L105" s="64"/>
      <c r="M105" s="64"/>
      <c r="N105" s="64"/>
      <c r="O105" s="64"/>
      <c r="P105" s="64"/>
      <c r="Q105" s="64"/>
      <c r="R105" s="64"/>
      <c r="S105" s="64"/>
      <c r="T105" s="64"/>
      <c r="U105" s="64"/>
      <c r="V105" s="64"/>
      <c r="W105" s="64"/>
      <c r="X105" s="64"/>
      <c r="Y105" s="64"/>
      <c r="Z105" s="64"/>
    </row>
    <row r="106" ht="12.75" customHeight="1">
      <c r="A106" s="108"/>
      <c r="B106" s="64"/>
      <c r="C106" s="64"/>
      <c r="D106" s="64"/>
      <c r="E106" s="64"/>
      <c r="F106" s="63"/>
      <c r="G106" s="63"/>
      <c r="H106" s="64"/>
      <c r="I106" s="64"/>
      <c r="J106" s="64"/>
      <c r="K106" s="64"/>
      <c r="L106" s="64"/>
      <c r="M106" s="64"/>
      <c r="N106" s="64"/>
      <c r="O106" s="64"/>
      <c r="P106" s="64"/>
      <c r="Q106" s="64"/>
      <c r="R106" s="64"/>
      <c r="S106" s="64"/>
      <c r="T106" s="64"/>
      <c r="U106" s="64"/>
      <c r="V106" s="64"/>
      <c r="W106" s="64"/>
      <c r="X106" s="64"/>
      <c r="Y106" s="64"/>
      <c r="Z106" s="64"/>
    </row>
    <row r="107" ht="12.75" customHeight="1">
      <c r="A107" s="108"/>
      <c r="B107" s="64"/>
      <c r="C107" s="64"/>
      <c r="D107" s="64"/>
      <c r="E107" s="64"/>
      <c r="F107" s="63"/>
      <c r="G107" s="63"/>
      <c r="H107" s="64"/>
      <c r="I107" s="64"/>
      <c r="J107" s="64"/>
      <c r="K107" s="64"/>
      <c r="L107" s="64"/>
      <c r="M107" s="64"/>
      <c r="N107" s="64"/>
      <c r="O107" s="64"/>
      <c r="P107" s="64"/>
      <c r="Q107" s="64"/>
      <c r="R107" s="64"/>
      <c r="S107" s="64"/>
      <c r="T107" s="64"/>
      <c r="U107" s="64"/>
      <c r="V107" s="64"/>
      <c r="W107" s="64"/>
      <c r="X107" s="64"/>
      <c r="Y107" s="64"/>
      <c r="Z107" s="64"/>
    </row>
    <row r="108" ht="12.75" customHeight="1">
      <c r="A108" s="108"/>
      <c r="B108" s="64"/>
      <c r="C108" s="64"/>
      <c r="D108" s="64"/>
      <c r="E108" s="64"/>
      <c r="F108" s="63"/>
      <c r="G108" s="63"/>
      <c r="H108" s="64"/>
      <c r="I108" s="64"/>
      <c r="J108" s="64"/>
      <c r="K108" s="64"/>
      <c r="L108" s="64"/>
      <c r="M108" s="64"/>
      <c r="N108" s="64"/>
      <c r="O108" s="64"/>
      <c r="P108" s="64"/>
      <c r="Q108" s="64"/>
      <c r="R108" s="64"/>
      <c r="S108" s="64"/>
      <c r="T108" s="64"/>
      <c r="U108" s="64"/>
      <c r="V108" s="64"/>
      <c r="W108" s="64"/>
      <c r="X108" s="64"/>
      <c r="Y108" s="64"/>
      <c r="Z108" s="64"/>
    </row>
    <row r="109" ht="12.75" customHeight="1">
      <c r="A109" s="108"/>
      <c r="B109" s="64"/>
      <c r="C109" s="64"/>
      <c r="D109" s="64"/>
      <c r="E109" s="64"/>
      <c r="F109" s="63"/>
      <c r="G109" s="63"/>
      <c r="H109" s="64"/>
      <c r="I109" s="64"/>
      <c r="J109" s="64"/>
      <c r="K109" s="64"/>
      <c r="L109" s="64"/>
      <c r="M109" s="64"/>
      <c r="N109" s="64"/>
      <c r="O109" s="64"/>
      <c r="P109" s="64"/>
      <c r="Q109" s="64"/>
      <c r="R109" s="64"/>
      <c r="S109" s="64"/>
      <c r="T109" s="64"/>
      <c r="U109" s="64"/>
      <c r="V109" s="64"/>
      <c r="W109" s="64"/>
      <c r="X109" s="64"/>
      <c r="Y109" s="64"/>
      <c r="Z109" s="64"/>
    </row>
    <row r="110" ht="12.75" customHeight="1">
      <c r="A110" s="108"/>
      <c r="B110" s="64"/>
      <c r="C110" s="64"/>
      <c r="D110" s="64"/>
      <c r="E110" s="64"/>
      <c r="F110" s="63"/>
      <c r="G110" s="63"/>
      <c r="H110" s="64"/>
      <c r="I110" s="64"/>
      <c r="J110" s="64"/>
      <c r="K110" s="64"/>
      <c r="L110" s="64"/>
      <c r="M110" s="64"/>
      <c r="N110" s="64"/>
      <c r="O110" s="64"/>
      <c r="P110" s="64"/>
      <c r="Q110" s="64"/>
      <c r="R110" s="64"/>
      <c r="S110" s="64"/>
      <c r="T110" s="64"/>
      <c r="U110" s="64"/>
      <c r="V110" s="64"/>
      <c r="W110" s="64"/>
      <c r="X110" s="64"/>
      <c r="Y110" s="64"/>
      <c r="Z110" s="64"/>
    </row>
    <row r="111" ht="12.75" customHeight="1">
      <c r="A111" s="108"/>
      <c r="B111" s="64"/>
      <c r="C111" s="64"/>
      <c r="D111" s="64"/>
      <c r="E111" s="64"/>
      <c r="F111" s="63"/>
      <c r="G111" s="63"/>
      <c r="H111" s="64"/>
      <c r="I111" s="64"/>
      <c r="J111" s="64"/>
      <c r="K111" s="64"/>
      <c r="L111" s="64"/>
      <c r="M111" s="64"/>
      <c r="N111" s="64"/>
      <c r="O111" s="64"/>
      <c r="P111" s="64"/>
      <c r="Q111" s="64"/>
      <c r="R111" s="64"/>
      <c r="S111" s="64"/>
      <c r="T111" s="64"/>
      <c r="U111" s="64"/>
      <c r="V111" s="64"/>
      <c r="W111" s="64"/>
      <c r="X111" s="64"/>
      <c r="Y111" s="64"/>
      <c r="Z111" s="64"/>
    </row>
    <row r="112" ht="12.75" customHeight="1">
      <c r="A112" s="108"/>
      <c r="B112" s="64"/>
      <c r="C112" s="64"/>
      <c r="D112" s="64"/>
      <c r="E112" s="64"/>
      <c r="F112" s="63"/>
      <c r="G112" s="63"/>
      <c r="H112" s="64"/>
      <c r="I112" s="64"/>
      <c r="J112" s="64"/>
      <c r="K112" s="64"/>
      <c r="L112" s="64"/>
      <c r="M112" s="64"/>
      <c r="N112" s="64"/>
      <c r="O112" s="64"/>
      <c r="P112" s="64"/>
      <c r="Q112" s="64"/>
      <c r="R112" s="64"/>
      <c r="S112" s="64"/>
      <c r="T112" s="64"/>
      <c r="U112" s="64"/>
      <c r="V112" s="64"/>
      <c r="W112" s="64"/>
      <c r="X112" s="64"/>
      <c r="Y112" s="64"/>
      <c r="Z112" s="64"/>
    </row>
    <row r="113" ht="12.75" customHeight="1">
      <c r="A113" s="108"/>
      <c r="B113" s="64"/>
      <c r="C113" s="64"/>
      <c r="D113" s="64"/>
      <c r="E113" s="64"/>
      <c r="F113" s="63"/>
      <c r="G113" s="63"/>
      <c r="H113" s="64"/>
      <c r="I113" s="64"/>
      <c r="J113" s="64"/>
      <c r="K113" s="64"/>
      <c r="L113" s="64"/>
      <c r="M113" s="64"/>
      <c r="N113" s="64"/>
      <c r="O113" s="64"/>
      <c r="P113" s="64"/>
      <c r="Q113" s="64"/>
      <c r="R113" s="64"/>
      <c r="S113" s="64"/>
      <c r="T113" s="64"/>
      <c r="U113" s="64"/>
      <c r="V113" s="64"/>
      <c r="W113" s="64"/>
      <c r="X113" s="64"/>
      <c r="Y113" s="64"/>
      <c r="Z113" s="64"/>
    </row>
    <row r="114" ht="12.75" customHeight="1">
      <c r="A114" s="108"/>
      <c r="B114" s="64"/>
      <c r="C114" s="64"/>
      <c r="D114" s="64"/>
      <c r="E114" s="64"/>
      <c r="F114" s="63"/>
      <c r="G114" s="63"/>
      <c r="H114" s="64"/>
      <c r="I114" s="64"/>
      <c r="J114" s="64"/>
      <c r="K114" s="64"/>
      <c r="L114" s="64"/>
      <c r="M114" s="64"/>
      <c r="N114" s="64"/>
      <c r="O114" s="64"/>
      <c r="P114" s="64"/>
      <c r="Q114" s="64"/>
      <c r="R114" s="64"/>
      <c r="S114" s="64"/>
      <c r="T114" s="64"/>
      <c r="U114" s="64"/>
      <c r="V114" s="64"/>
      <c r="W114" s="64"/>
      <c r="X114" s="64"/>
      <c r="Y114" s="64"/>
      <c r="Z114" s="64"/>
    </row>
    <row r="115" ht="12.75" customHeight="1">
      <c r="A115" s="108"/>
      <c r="B115" s="64"/>
      <c r="C115" s="64"/>
      <c r="D115" s="64"/>
      <c r="E115" s="64"/>
      <c r="F115" s="63"/>
      <c r="G115" s="63"/>
      <c r="H115" s="64"/>
      <c r="I115" s="64"/>
      <c r="J115" s="64"/>
      <c r="K115" s="64"/>
      <c r="L115" s="64"/>
      <c r="M115" s="64"/>
      <c r="N115" s="64"/>
      <c r="O115" s="64"/>
      <c r="P115" s="64"/>
      <c r="Q115" s="64"/>
      <c r="R115" s="64"/>
      <c r="S115" s="64"/>
      <c r="T115" s="64"/>
      <c r="U115" s="64"/>
      <c r="V115" s="64"/>
      <c r="W115" s="64"/>
      <c r="X115" s="64"/>
      <c r="Y115" s="64"/>
      <c r="Z115" s="64"/>
    </row>
    <row r="116" ht="12.75" customHeight="1">
      <c r="A116" s="108"/>
      <c r="B116" s="64"/>
      <c r="C116" s="64"/>
      <c r="D116" s="64"/>
      <c r="E116" s="64"/>
      <c r="F116" s="63"/>
      <c r="G116" s="63"/>
      <c r="H116" s="64"/>
      <c r="I116" s="64"/>
      <c r="J116" s="64"/>
      <c r="K116" s="64"/>
      <c r="L116" s="64"/>
      <c r="M116" s="64"/>
      <c r="N116" s="64"/>
      <c r="O116" s="64"/>
      <c r="P116" s="64"/>
      <c r="Q116" s="64"/>
      <c r="R116" s="64"/>
      <c r="S116" s="64"/>
      <c r="T116" s="64"/>
      <c r="U116" s="64"/>
      <c r="V116" s="64"/>
      <c r="W116" s="64"/>
      <c r="X116" s="64"/>
      <c r="Y116" s="64"/>
      <c r="Z116" s="64"/>
    </row>
    <row r="117" ht="12.75" customHeight="1">
      <c r="A117" s="108"/>
      <c r="B117" s="64"/>
      <c r="C117" s="64"/>
      <c r="D117" s="64"/>
      <c r="E117" s="64"/>
      <c r="F117" s="63"/>
      <c r="G117" s="63"/>
      <c r="H117" s="64"/>
      <c r="I117" s="64"/>
      <c r="J117" s="64"/>
      <c r="K117" s="64"/>
      <c r="L117" s="64"/>
      <c r="M117" s="64"/>
      <c r="N117" s="64"/>
      <c r="O117" s="64"/>
      <c r="P117" s="64"/>
      <c r="Q117" s="64"/>
      <c r="R117" s="64"/>
      <c r="S117" s="64"/>
      <c r="T117" s="64"/>
      <c r="U117" s="64"/>
      <c r="V117" s="64"/>
      <c r="W117" s="64"/>
      <c r="X117" s="64"/>
      <c r="Y117" s="64"/>
      <c r="Z117" s="64"/>
    </row>
    <row r="118" ht="12.75" customHeight="1">
      <c r="A118" s="108"/>
      <c r="B118" s="64"/>
      <c r="C118" s="64"/>
      <c r="D118" s="64"/>
      <c r="E118" s="64"/>
      <c r="F118" s="63"/>
      <c r="G118" s="63"/>
      <c r="H118" s="64"/>
      <c r="I118" s="64"/>
      <c r="J118" s="64"/>
      <c r="K118" s="64"/>
      <c r="L118" s="64"/>
      <c r="M118" s="64"/>
      <c r="N118" s="64"/>
      <c r="O118" s="64"/>
      <c r="P118" s="64"/>
      <c r="Q118" s="64"/>
      <c r="R118" s="64"/>
      <c r="S118" s="64"/>
      <c r="T118" s="64"/>
      <c r="U118" s="64"/>
      <c r="V118" s="64"/>
      <c r="W118" s="64"/>
      <c r="X118" s="64"/>
      <c r="Y118" s="64"/>
      <c r="Z118" s="64"/>
    </row>
    <row r="119" ht="12.75" customHeight="1">
      <c r="A119" s="108"/>
      <c r="B119" s="64"/>
      <c r="C119" s="64"/>
      <c r="D119" s="64"/>
      <c r="E119" s="64"/>
      <c r="F119" s="63"/>
      <c r="G119" s="63"/>
      <c r="H119" s="64"/>
      <c r="I119" s="64"/>
      <c r="J119" s="64"/>
      <c r="K119" s="64"/>
      <c r="L119" s="64"/>
      <c r="M119" s="64"/>
      <c r="N119" s="64"/>
      <c r="O119" s="64"/>
      <c r="P119" s="64"/>
      <c r="Q119" s="64"/>
      <c r="R119" s="64"/>
      <c r="S119" s="64"/>
      <c r="T119" s="64"/>
      <c r="U119" s="64"/>
      <c r="V119" s="64"/>
      <c r="W119" s="64"/>
      <c r="X119" s="64"/>
      <c r="Y119" s="64"/>
      <c r="Z119" s="64"/>
    </row>
    <row r="120" ht="12.75" customHeight="1">
      <c r="A120" s="108"/>
      <c r="B120" s="64"/>
      <c r="C120" s="64"/>
      <c r="D120" s="64"/>
      <c r="E120" s="64"/>
      <c r="F120" s="63"/>
      <c r="G120" s="63"/>
      <c r="H120" s="64"/>
      <c r="I120" s="64"/>
      <c r="J120" s="64"/>
      <c r="K120" s="64"/>
      <c r="L120" s="64"/>
      <c r="M120" s="64"/>
      <c r="N120" s="64"/>
      <c r="O120" s="64"/>
      <c r="P120" s="64"/>
      <c r="Q120" s="64"/>
      <c r="R120" s="64"/>
      <c r="S120" s="64"/>
      <c r="T120" s="64"/>
      <c r="U120" s="64"/>
      <c r="V120" s="64"/>
      <c r="W120" s="64"/>
      <c r="X120" s="64"/>
      <c r="Y120" s="64"/>
      <c r="Z120" s="64"/>
    </row>
    <row r="121" ht="12.75" customHeight="1">
      <c r="A121" s="108"/>
      <c r="B121" s="64"/>
      <c r="C121" s="64"/>
      <c r="D121" s="64"/>
      <c r="E121" s="64"/>
      <c r="F121" s="63"/>
      <c r="G121" s="63"/>
      <c r="H121" s="64"/>
      <c r="I121" s="64"/>
      <c r="J121" s="64"/>
      <c r="K121" s="64"/>
      <c r="L121" s="64"/>
      <c r="M121" s="64"/>
      <c r="N121" s="64"/>
      <c r="O121" s="64"/>
      <c r="P121" s="64"/>
      <c r="Q121" s="64"/>
      <c r="R121" s="64"/>
      <c r="S121" s="64"/>
      <c r="T121" s="64"/>
      <c r="U121" s="64"/>
      <c r="V121" s="64"/>
      <c r="W121" s="64"/>
      <c r="X121" s="64"/>
      <c r="Y121" s="64"/>
      <c r="Z121" s="64"/>
    </row>
    <row r="122" ht="12.75" customHeight="1">
      <c r="A122" s="108"/>
      <c r="B122" s="64"/>
      <c r="C122" s="64"/>
      <c r="D122" s="64"/>
      <c r="E122" s="64"/>
      <c r="F122" s="63"/>
      <c r="G122" s="63"/>
      <c r="H122" s="64"/>
      <c r="I122" s="64"/>
      <c r="J122" s="64"/>
      <c r="K122" s="64"/>
      <c r="L122" s="64"/>
      <c r="M122" s="64"/>
      <c r="N122" s="64"/>
      <c r="O122" s="64"/>
      <c r="P122" s="64"/>
      <c r="Q122" s="64"/>
      <c r="R122" s="64"/>
      <c r="S122" s="64"/>
      <c r="T122" s="64"/>
      <c r="U122" s="64"/>
      <c r="V122" s="64"/>
      <c r="W122" s="64"/>
      <c r="X122" s="64"/>
      <c r="Y122" s="64"/>
      <c r="Z122" s="64"/>
    </row>
    <row r="123" ht="12.75" customHeight="1">
      <c r="A123" s="108"/>
      <c r="B123" s="64"/>
      <c r="C123" s="64"/>
      <c r="D123" s="64"/>
      <c r="E123" s="64"/>
      <c r="F123" s="63"/>
      <c r="G123" s="63"/>
      <c r="H123" s="64"/>
      <c r="I123" s="64"/>
      <c r="J123" s="64"/>
      <c r="K123" s="64"/>
      <c r="L123" s="64"/>
      <c r="M123" s="64"/>
      <c r="N123" s="64"/>
      <c r="O123" s="64"/>
      <c r="P123" s="64"/>
      <c r="Q123" s="64"/>
      <c r="R123" s="64"/>
      <c r="S123" s="64"/>
      <c r="T123" s="64"/>
      <c r="U123" s="64"/>
      <c r="V123" s="64"/>
      <c r="W123" s="64"/>
      <c r="X123" s="64"/>
      <c r="Y123" s="64"/>
      <c r="Z123" s="64"/>
    </row>
    <row r="124" ht="12.75" customHeight="1">
      <c r="A124" s="108"/>
      <c r="B124" s="64"/>
      <c r="C124" s="64"/>
      <c r="D124" s="64"/>
      <c r="E124" s="64"/>
      <c r="F124" s="63"/>
      <c r="G124" s="63"/>
      <c r="H124" s="64"/>
      <c r="I124" s="64"/>
      <c r="J124" s="64"/>
      <c r="K124" s="64"/>
      <c r="L124" s="64"/>
      <c r="M124" s="64"/>
      <c r="N124" s="64"/>
      <c r="O124" s="64"/>
      <c r="P124" s="64"/>
      <c r="Q124" s="64"/>
      <c r="R124" s="64"/>
      <c r="S124" s="64"/>
      <c r="T124" s="64"/>
      <c r="U124" s="64"/>
      <c r="V124" s="64"/>
      <c r="W124" s="64"/>
      <c r="X124" s="64"/>
      <c r="Y124" s="64"/>
      <c r="Z124" s="64"/>
    </row>
    <row r="125" ht="12.75" customHeight="1">
      <c r="A125" s="108"/>
      <c r="B125" s="64"/>
      <c r="C125" s="64"/>
      <c r="D125" s="64"/>
      <c r="E125" s="64"/>
      <c r="F125" s="63"/>
      <c r="G125" s="63"/>
      <c r="H125" s="64"/>
      <c r="I125" s="64"/>
      <c r="J125" s="64"/>
      <c r="K125" s="64"/>
      <c r="L125" s="64"/>
      <c r="M125" s="64"/>
      <c r="N125" s="64"/>
      <c r="O125" s="64"/>
      <c r="P125" s="64"/>
      <c r="Q125" s="64"/>
      <c r="R125" s="64"/>
      <c r="S125" s="64"/>
      <c r="T125" s="64"/>
      <c r="U125" s="64"/>
      <c r="V125" s="64"/>
      <c r="W125" s="64"/>
      <c r="X125" s="64"/>
      <c r="Y125" s="64"/>
      <c r="Z125" s="64"/>
    </row>
    <row r="126" ht="12.75" customHeight="1">
      <c r="A126" s="108"/>
      <c r="B126" s="64"/>
      <c r="C126" s="64"/>
      <c r="D126" s="64"/>
      <c r="E126" s="64"/>
      <c r="F126" s="63"/>
      <c r="G126" s="63"/>
      <c r="H126" s="64"/>
      <c r="I126" s="64"/>
      <c r="J126" s="64"/>
      <c r="K126" s="64"/>
      <c r="L126" s="64"/>
      <c r="M126" s="64"/>
      <c r="N126" s="64"/>
      <c r="O126" s="64"/>
      <c r="P126" s="64"/>
      <c r="Q126" s="64"/>
      <c r="R126" s="64"/>
      <c r="S126" s="64"/>
      <c r="T126" s="64"/>
      <c r="U126" s="64"/>
      <c r="V126" s="64"/>
      <c r="W126" s="64"/>
      <c r="X126" s="64"/>
      <c r="Y126" s="64"/>
      <c r="Z126" s="64"/>
    </row>
    <row r="127" ht="12.75" customHeight="1">
      <c r="A127" s="108"/>
      <c r="B127" s="64"/>
      <c r="C127" s="64"/>
      <c r="D127" s="64"/>
      <c r="E127" s="64"/>
      <c r="F127" s="63"/>
      <c r="G127" s="63"/>
      <c r="H127" s="64"/>
      <c r="I127" s="64"/>
      <c r="J127" s="64"/>
      <c r="K127" s="64"/>
      <c r="L127" s="64"/>
      <c r="M127" s="64"/>
      <c r="N127" s="64"/>
      <c r="O127" s="64"/>
      <c r="P127" s="64"/>
      <c r="Q127" s="64"/>
      <c r="R127" s="64"/>
      <c r="S127" s="64"/>
      <c r="T127" s="64"/>
      <c r="U127" s="64"/>
      <c r="V127" s="64"/>
      <c r="W127" s="64"/>
      <c r="X127" s="64"/>
      <c r="Y127" s="64"/>
      <c r="Z127" s="64"/>
    </row>
    <row r="128" ht="12.75" customHeight="1">
      <c r="A128" s="108"/>
      <c r="B128" s="64"/>
      <c r="C128" s="64"/>
      <c r="D128" s="64"/>
      <c r="E128" s="64"/>
      <c r="F128" s="63"/>
      <c r="G128" s="63"/>
      <c r="H128" s="64"/>
      <c r="I128" s="64"/>
      <c r="J128" s="64"/>
      <c r="K128" s="64"/>
      <c r="L128" s="64"/>
      <c r="M128" s="64"/>
      <c r="N128" s="64"/>
      <c r="O128" s="64"/>
      <c r="P128" s="64"/>
      <c r="Q128" s="64"/>
      <c r="R128" s="64"/>
      <c r="S128" s="64"/>
      <c r="T128" s="64"/>
      <c r="U128" s="64"/>
      <c r="V128" s="64"/>
      <c r="W128" s="64"/>
      <c r="X128" s="64"/>
      <c r="Y128" s="64"/>
      <c r="Z128" s="64"/>
    </row>
    <row r="129" ht="12.75" customHeight="1">
      <c r="A129" s="108"/>
      <c r="B129" s="64"/>
      <c r="C129" s="64"/>
      <c r="D129" s="64"/>
      <c r="E129" s="64"/>
      <c r="F129" s="63"/>
      <c r="G129" s="63"/>
      <c r="H129" s="64"/>
      <c r="I129" s="64"/>
      <c r="J129" s="64"/>
      <c r="K129" s="64"/>
      <c r="L129" s="64"/>
      <c r="M129" s="64"/>
      <c r="N129" s="64"/>
      <c r="O129" s="64"/>
      <c r="P129" s="64"/>
      <c r="Q129" s="64"/>
      <c r="R129" s="64"/>
      <c r="S129" s="64"/>
      <c r="T129" s="64"/>
      <c r="U129" s="64"/>
      <c r="V129" s="64"/>
      <c r="W129" s="64"/>
      <c r="X129" s="64"/>
      <c r="Y129" s="64"/>
      <c r="Z129" s="64"/>
    </row>
    <row r="130" ht="12.75" customHeight="1">
      <c r="A130" s="108"/>
      <c r="B130" s="64"/>
      <c r="C130" s="64"/>
      <c r="D130" s="64"/>
      <c r="E130" s="64"/>
      <c r="F130" s="63"/>
      <c r="G130" s="63"/>
      <c r="H130" s="64"/>
      <c r="I130" s="64"/>
      <c r="J130" s="64"/>
      <c r="K130" s="64"/>
      <c r="L130" s="64"/>
      <c r="M130" s="64"/>
      <c r="N130" s="64"/>
      <c r="O130" s="64"/>
      <c r="P130" s="64"/>
      <c r="Q130" s="64"/>
      <c r="R130" s="64"/>
      <c r="S130" s="64"/>
      <c r="T130" s="64"/>
      <c r="U130" s="64"/>
      <c r="V130" s="64"/>
      <c r="W130" s="64"/>
      <c r="X130" s="64"/>
      <c r="Y130" s="64"/>
      <c r="Z130" s="64"/>
    </row>
    <row r="131" ht="12.75" customHeight="1">
      <c r="A131" s="108"/>
      <c r="B131" s="64"/>
      <c r="C131" s="64"/>
      <c r="D131" s="64"/>
      <c r="E131" s="64"/>
      <c r="F131" s="63"/>
      <c r="G131" s="63"/>
      <c r="H131" s="64"/>
      <c r="I131" s="64"/>
      <c r="J131" s="64"/>
      <c r="K131" s="64"/>
      <c r="L131" s="64"/>
      <c r="M131" s="64"/>
      <c r="N131" s="64"/>
      <c r="O131" s="64"/>
      <c r="P131" s="64"/>
      <c r="Q131" s="64"/>
      <c r="R131" s="64"/>
      <c r="S131" s="64"/>
      <c r="T131" s="64"/>
      <c r="U131" s="64"/>
      <c r="V131" s="64"/>
      <c r="W131" s="64"/>
      <c r="X131" s="64"/>
      <c r="Y131" s="64"/>
      <c r="Z131" s="64"/>
    </row>
    <row r="132" ht="12.75" customHeight="1">
      <c r="A132" s="108"/>
      <c r="B132" s="64"/>
      <c r="C132" s="64"/>
      <c r="D132" s="64"/>
      <c r="E132" s="64"/>
      <c r="F132" s="63"/>
      <c r="G132" s="63"/>
      <c r="H132" s="64"/>
      <c r="I132" s="64"/>
      <c r="J132" s="64"/>
      <c r="K132" s="64"/>
      <c r="L132" s="64"/>
      <c r="M132" s="64"/>
      <c r="N132" s="64"/>
      <c r="O132" s="64"/>
      <c r="P132" s="64"/>
      <c r="Q132" s="64"/>
      <c r="R132" s="64"/>
      <c r="S132" s="64"/>
      <c r="T132" s="64"/>
      <c r="U132" s="64"/>
      <c r="V132" s="64"/>
      <c r="W132" s="64"/>
      <c r="X132" s="64"/>
      <c r="Y132" s="64"/>
      <c r="Z132" s="64"/>
    </row>
    <row r="133" ht="12.75" customHeight="1">
      <c r="A133" s="108"/>
      <c r="B133" s="64"/>
      <c r="C133" s="64"/>
      <c r="D133" s="64"/>
      <c r="E133" s="64"/>
      <c r="F133" s="63"/>
      <c r="G133" s="63"/>
      <c r="H133" s="64"/>
      <c r="I133" s="64"/>
      <c r="J133" s="64"/>
      <c r="K133" s="64"/>
      <c r="L133" s="64"/>
      <c r="M133" s="64"/>
      <c r="N133" s="64"/>
      <c r="O133" s="64"/>
      <c r="P133" s="64"/>
      <c r="Q133" s="64"/>
      <c r="R133" s="64"/>
      <c r="S133" s="64"/>
      <c r="T133" s="64"/>
      <c r="U133" s="64"/>
      <c r="V133" s="64"/>
      <c r="W133" s="64"/>
      <c r="X133" s="64"/>
      <c r="Y133" s="64"/>
      <c r="Z133" s="64"/>
    </row>
    <row r="134" ht="12.75" customHeight="1">
      <c r="A134" s="108"/>
      <c r="B134" s="64"/>
      <c r="C134" s="64"/>
      <c r="D134" s="64"/>
      <c r="E134" s="64"/>
      <c r="F134" s="63"/>
      <c r="G134" s="63"/>
      <c r="H134" s="64"/>
      <c r="I134" s="64"/>
      <c r="J134" s="64"/>
      <c r="K134" s="64"/>
      <c r="L134" s="64"/>
      <c r="M134" s="64"/>
      <c r="N134" s="64"/>
      <c r="O134" s="64"/>
      <c r="P134" s="64"/>
      <c r="Q134" s="64"/>
      <c r="R134" s="64"/>
      <c r="S134" s="64"/>
      <c r="T134" s="64"/>
      <c r="U134" s="64"/>
      <c r="V134" s="64"/>
      <c r="W134" s="64"/>
      <c r="X134" s="64"/>
      <c r="Y134" s="64"/>
      <c r="Z134" s="64"/>
    </row>
    <row r="135" ht="12.75" customHeight="1">
      <c r="A135" s="108"/>
      <c r="B135" s="64"/>
      <c r="C135" s="64"/>
      <c r="D135" s="64"/>
      <c r="E135" s="64"/>
      <c r="F135" s="63"/>
      <c r="G135" s="63"/>
      <c r="H135" s="64"/>
      <c r="I135" s="64"/>
      <c r="J135" s="64"/>
      <c r="K135" s="64"/>
      <c r="L135" s="64"/>
      <c r="M135" s="64"/>
      <c r="N135" s="64"/>
      <c r="O135" s="64"/>
      <c r="P135" s="64"/>
      <c r="Q135" s="64"/>
      <c r="R135" s="64"/>
      <c r="S135" s="64"/>
      <c r="T135" s="64"/>
      <c r="U135" s="64"/>
      <c r="V135" s="64"/>
      <c r="W135" s="64"/>
      <c r="X135" s="64"/>
      <c r="Y135" s="64"/>
      <c r="Z135" s="64"/>
    </row>
    <row r="136" ht="12.75" customHeight="1">
      <c r="A136" s="108"/>
      <c r="B136" s="64"/>
      <c r="C136" s="64"/>
      <c r="D136" s="64"/>
      <c r="E136" s="64"/>
      <c r="F136" s="63"/>
      <c r="G136" s="63"/>
      <c r="H136" s="64"/>
      <c r="I136" s="64"/>
      <c r="J136" s="64"/>
      <c r="K136" s="64"/>
      <c r="L136" s="64"/>
      <c r="M136" s="64"/>
      <c r="N136" s="64"/>
      <c r="O136" s="64"/>
      <c r="P136" s="64"/>
      <c r="Q136" s="64"/>
      <c r="R136" s="64"/>
      <c r="S136" s="64"/>
      <c r="T136" s="64"/>
      <c r="U136" s="64"/>
      <c r="V136" s="64"/>
      <c r="W136" s="64"/>
      <c r="X136" s="64"/>
      <c r="Y136" s="64"/>
      <c r="Z136" s="64"/>
    </row>
    <row r="137" ht="12.75" customHeight="1">
      <c r="A137" s="108"/>
      <c r="B137" s="64"/>
      <c r="C137" s="64"/>
      <c r="D137" s="64"/>
      <c r="E137" s="64"/>
      <c r="F137" s="63"/>
      <c r="G137" s="63"/>
      <c r="H137" s="64"/>
      <c r="I137" s="64"/>
      <c r="J137" s="64"/>
      <c r="K137" s="64"/>
      <c r="L137" s="64"/>
      <c r="M137" s="64"/>
      <c r="N137" s="64"/>
      <c r="O137" s="64"/>
      <c r="P137" s="64"/>
      <c r="Q137" s="64"/>
      <c r="R137" s="64"/>
      <c r="S137" s="64"/>
      <c r="T137" s="64"/>
      <c r="U137" s="64"/>
      <c r="V137" s="64"/>
      <c r="W137" s="64"/>
      <c r="X137" s="64"/>
      <c r="Y137" s="64"/>
      <c r="Z137" s="64"/>
    </row>
    <row r="138" ht="12.75" customHeight="1">
      <c r="A138" s="108"/>
      <c r="B138" s="64"/>
      <c r="C138" s="64"/>
      <c r="D138" s="64"/>
      <c r="E138" s="64"/>
      <c r="F138" s="63"/>
      <c r="G138" s="63"/>
      <c r="H138" s="64"/>
      <c r="I138" s="64"/>
      <c r="J138" s="64"/>
      <c r="K138" s="64"/>
      <c r="L138" s="64"/>
      <c r="M138" s="64"/>
      <c r="N138" s="64"/>
      <c r="O138" s="64"/>
      <c r="P138" s="64"/>
      <c r="Q138" s="64"/>
      <c r="R138" s="64"/>
      <c r="S138" s="64"/>
      <c r="T138" s="64"/>
      <c r="U138" s="64"/>
      <c r="V138" s="64"/>
      <c r="W138" s="64"/>
      <c r="X138" s="64"/>
      <c r="Y138" s="64"/>
      <c r="Z138" s="64"/>
    </row>
    <row r="139" ht="12.75" customHeight="1">
      <c r="A139" s="108"/>
      <c r="B139" s="64"/>
      <c r="C139" s="64"/>
      <c r="D139" s="64"/>
      <c r="E139" s="64"/>
      <c r="F139" s="63"/>
      <c r="G139" s="63"/>
      <c r="H139" s="64"/>
      <c r="I139" s="64"/>
      <c r="J139" s="64"/>
      <c r="K139" s="64"/>
      <c r="L139" s="64"/>
      <c r="M139" s="64"/>
      <c r="N139" s="64"/>
      <c r="O139" s="64"/>
      <c r="P139" s="64"/>
      <c r="Q139" s="64"/>
      <c r="R139" s="64"/>
      <c r="S139" s="64"/>
      <c r="T139" s="64"/>
      <c r="U139" s="64"/>
      <c r="V139" s="64"/>
      <c r="W139" s="64"/>
      <c r="X139" s="64"/>
      <c r="Y139" s="64"/>
      <c r="Z139" s="64"/>
    </row>
    <row r="140" ht="12.75" customHeight="1">
      <c r="A140" s="108"/>
      <c r="B140" s="64"/>
      <c r="C140" s="64"/>
      <c r="D140" s="64"/>
      <c r="E140" s="64"/>
      <c r="F140" s="63"/>
      <c r="G140" s="63"/>
      <c r="H140" s="64"/>
      <c r="I140" s="64"/>
      <c r="J140" s="64"/>
      <c r="K140" s="64"/>
      <c r="L140" s="64"/>
      <c r="M140" s="64"/>
      <c r="N140" s="64"/>
      <c r="O140" s="64"/>
      <c r="P140" s="64"/>
      <c r="Q140" s="64"/>
      <c r="R140" s="64"/>
      <c r="S140" s="64"/>
      <c r="T140" s="64"/>
      <c r="U140" s="64"/>
      <c r="V140" s="64"/>
      <c r="W140" s="64"/>
      <c r="X140" s="64"/>
      <c r="Y140" s="64"/>
      <c r="Z140" s="64"/>
    </row>
    <row r="141" ht="12.75" customHeight="1">
      <c r="A141" s="108"/>
      <c r="B141" s="64"/>
      <c r="C141" s="64"/>
      <c r="D141" s="64"/>
      <c r="E141" s="64"/>
      <c r="F141" s="63"/>
      <c r="G141" s="63"/>
      <c r="H141" s="64"/>
      <c r="I141" s="64"/>
      <c r="J141" s="64"/>
      <c r="K141" s="64"/>
      <c r="L141" s="64"/>
      <c r="M141" s="64"/>
      <c r="N141" s="64"/>
      <c r="O141" s="64"/>
      <c r="P141" s="64"/>
      <c r="Q141" s="64"/>
      <c r="R141" s="64"/>
      <c r="S141" s="64"/>
      <c r="T141" s="64"/>
      <c r="U141" s="64"/>
      <c r="V141" s="64"/>
      <c r="W141" s="64"/>
      <c r="X141" s="64"/>
      <c r="Y141" s="64"/>
      <c r="Z141" s="64"/>
    </row>
    <row r="142" ht="12.75" customHeight="1">
      <c r="A142" s="108"/>
      <c r="B142" s="64"/>
      <c r="C142" s="64"/>
      <c r="D142" s="64"/>
      <c r="E142" s="64"/>
      <c r="F142" s="63"/>
      <c r="G142" s="63"/>
      <c r="H142" s="64"/>
      <c r="I142" s="64"/>
      <c r="J142" s="64"/>
      <c r="K142" s="64"/>
      <c r="L142" s="64"/>
      <c r="M142" s="64"/>
      <c r="N142" s="64"/>
      <c r="O142" s="64"/>
      <c r="P142" s="64"/>
      <c r="Q142" s="64"/>
      <c r="R142" s="64"/>
      <c r="S142" s="64"/>
      <c r="T142" s="64"/>
      <c r="U142" s="64"/>
      <c r="V142" s="64"/>
      <c r="W142" s="64"/>
      <c r="X142" s="64"/>
      <c r="Y142" s="64"/>
      <c r="Z142" s="64"/>
    </row>
    <row r="143" ht="12.75" customHeight="1">
      <c r="A143" s="108"/>
      <c r="B143" s="64"/>
      <c r="C143" s="64"/>
      <c r="D143" s="64"/>
      <c r="E143" s="64"/>
      <c r="F143" s="63"/>
      <c r="G143" s="63"/>
      <c r="H143" s="64"/>
      <c r="I143" s="64"/>
      <c r="J143" s="64"/>
      <c r="K143" s="64"/>
      <c r="L143" s="64"/>
      <c r="M143" s="64"/>
      <c r="N143" s="64"/>
      <c r="O143" s="64"/>
      <c r="P143" s="64"/>
      <c r="Q143" s="64"/>
      <c r="R143" s="64"/>
      <c r="S143" s="64"/>
      <c r="T143" s="64"/>
      <c r="U143" s="64"/>
      <c r="V143" s="64"/>
      <c r="W143" s="64"/>
      <c r="X143" s="64"/>
      <c r="Y143" s="64"/>
      <c r="Z143" s="64"/>
    </row>
    <row r="144" ht="12.75" customHeight="1">
      <c r="A144" s="108"/>
      <c r="B144" s="64"/>
      <c r="C144" s="64"/>
      <c r="D144" s="64"/>
      <c r="E144" s="64"/>
      <c r="F144" s="63"/>
      <c r="G144" s="63"/>
      <c r="H144" s="64"/>
      <c r="I144" s="64"/>
      <c r="J144" s="64"/>
      <c r="K144" s="64"/>
      <c r="L144" s="64"/>
      <c r="M144" s="64"/>
      <c r="N144" s="64"/>
      <c r="O144" s="64"/>
      <c r="P144" s="64"/>
      <c r="Q144" s="64"/>
      <c r="R144" s="64"/>
      <c r="S144" s="64"/>
      <c r="T144" s="64"/>
      <c r="U144" s="64"/>
      <c r="V144" s="64"/>
      <c r="W144" s="64"/>
      <c r="X144" s="64"/>
      <c r="Y144" s="64"/>
      <c r="Z144" s="64"/>
    </row>
    <row r="145" ht="12.75" customHeight="1">
      <c r="A145" s="108"/>
      <c r="B145" s="64"/>
      <c r="C145" s="64"/>
      <c r="D145" s="64"/>
      <c r="E145" s="64"/>
      <c r="F145" s="63"/>
      <c r="G145" s="63"/>
      <c r="H145" s="64"/>
      <c r="I145" s="64"/>
      <c r="J145" s="64"/>
      <c r="K145" s="64"/>
      <c r="L145" s="64"/>
      <c r="M145" s="64"/>
      <c r="N145" s="64"/>
      <c r="O145" s="64"/>
      <c r="P145" s="64"/>
      <c r="Q145" s="64"/>
      <c r="R145" s="64"/>
      <c r="S145" s="64"/>
      <c r="T145" s="64"/>
      <c r="U145" s="64"/>
      <c r="V145" s="64"/>
      <c r="W145" s="64"/>
      <c r="X145" s="64"/>
      <c r="Y145" s="64"/>
      <c r="Z145" s="64"/>
    </row>
    <row r="146" ht="12.75" customHeight="1">
      <c r="A146" s="108"/>
      <c r="B146" s="64"/>
      <c r="C146" s="64"/>
      <c r="D146" s="64"/>
      <c r="E146" s="64"/>
      <c r="F146" s="63"/>
      <c r="G146" s="63"/>
      <c r="H146" s="64"/>
      <c r="I146" s="64"/>
      <c r="J146" s="64"/>
      <c r="K146" s="64"/>
      <c r="L146" s="64"/>
      <c r="M146" s="64"/>
      <c r="N146" s="64"/>
      <c r="O146" s="64"/>
      <c r="P146" s="64"/>
      <c r="Q146" s="64"/>
      <c r="R146" s="64"/>
      <c r="S146" s="64"/>
      <c r="T146" s="64"/>
      <c r="U146" s="64"/>
      <c r="V146" s="64"/>
      <c r="W146" s="64"/>
      <c r="X146" s="64"/>
      <c r="Y146" s="64"/>
      <c r="Z146" s="64"/>
    </row>
    <row r="147" ht="12.75" customHeight="1">
      <c r="A147" s="108"/>
      <c r="B147" s="64"/>
      <c r="C147" s="64"/>
      <c r="D147" s="64"/>
      <c r="E147" s="64"/>
      <c r="F147" s="63"/>
      <c r="G147" s="63"/>
      <c r="H147" s="64"/>
      <c r="I147" s="64"/>
      <c r="J147" s="64"/>
      <c r="K147" s="64"/>
      <c r="L147" s="64"/>
      <c r="M147" s="64"/>
      <c r="N147" s="64"/>
      <c r="O147" s="64"/>
      <c r="P147" s="64"/>
      <c r="Q147" s="64"/>
      <c r="R147" s="64"/>
      <c r="S147" s="64"/>
      <c r="T147" s="64"/>
      <c r="U147" s="64"/>
      <c r="V147" s="64"/>
      <c r="W147" s="64"/>
      <c r="X147" s="64"/>
      <c r="Y147" s="64"/>
      <c r="Z147" s="64"/>
    </row>
    <row r="148" ht="12.75" customHeight="1">
      <c r="A148" s="108"/>
      <c r="B148" s="64"/>
      <c r="C148" s="64"/>
      <c r="D148" s="64"/>
      <c r="E148" s="64"/>
      <c r="F148" s="63"/>
      <c r="G148" s="63"/>
      <c r="H148" s="64"/>
      <c r="I148" s="64"/>
      <c r="J148" s="64"/>
      <c r="K148" s="64"/>
      <c r="L148" s="64"/>
      <c r="M148" s="64"/>
      <c r="N148" s="64"/>
      <c r="O148" s="64"/>
      <c r="P148" s="64"/>
      <c r="Q148" s="64"/>
      <c r="R148" s="64"/>
      <c r="S148" s="64"/>
      <c r="T148" s="64"/>
      <c r="U148" s="64"/>
      <c r="V148" s="64"/>
      <c r="W148" s="64"/>
      <c r="X148" s="64"/>
      <c r="Y148" s="64"/>
      <c r="Z148" s="64"/>
    </row>
    <row r="149" ht="12.75" customHeight="1">
      <c r="A149" s="108"/>
      <c r="B149" s="64"/>
      <c r="C149" s="64"/>
      <c r="D149" s="64"/>
      <c r="E149" s="64"/>
      <c r="F149" s="63"/>
      <c r="G149" s="63"/>
      <c r="H149" s="64"/>
      <c r="I149" s="64"/>
      <c r="J149" s="64"/>
      <c r="K149" s="64"/>
      <c r="L149" s="64"/>
      <c r="M149" s="64"/>
      <c r="N149" s="64"/>
      <c r="O149" s="64"/>
      <c r="P149" s="64"/>
      <c r="Q149" s="64"/>
      <c r="R149" s="64"/>
      <c r="S149" s="64"/>
      <c r="T149" s="64"/>
      <c r="U149" s="64"/>
      <c r="V149" s="64"/>
      <c r="W149" s="64"/>
      <c r="X149" s="64"/>
      <c r="Y149" s="64"/>
      <c r="Z149" s="64"/>
    </row>
    <row r="150" ht="12.75" customHeight="1">
      <c r="A150" s="108"/>
      <c r="B150" s="64"/>
      <c r="C150" s="64"/>
      <c r="D150" s="64"/>
      <c r="E150" s="64"/>
      <c r="F150" s="63"/>
      <c r="G150" s="63"/>
      <c r="H150" s="64"/>
      <c r="I150" s="64"/>
      <c r="J150" s="64"/>
      <c r="K150" s="64"/>
      <c r="L150" s="64"/>
      <c r="M150" s="64"/>
      <c r="N150" s="64"/>
      <c r="O150" s="64"/>
      <c r="P150" s="64"/>
      <c r="Q150" s="64"/>
      <c r="R150" s="64"/>
      <c r="S150" s="64"/>
      <c r="T150" s="64"/>
      <c r="U150" s="64"/>
      <c r="V150" s="64"/>
      <c r="W150" s="64"/>
      <c r="X150" s="64"/>
      <c r="Y150" s="64"/>
      <c r="Z150" s="64"/>
    </row>
    <row r="151" ht="12.75" customHeight="1">
      <c r="A151" s="108"/>
      <c r="B151" s="64"/>
      <c r="C151" s="64"/>
      <c r="D151" s="64"/>
      <c r="E151" s="64"/>
      <c r="F151" s="63"/>
      <c r="G151" s="63"/>
      <c r="H151" s="64"/>
      <c r="I151" s="64"/>
      <c r="J151" s="64"/>
      <c r="K151" s="64"/>
      <c r="L151" s="64"/>
      <c r="M151" s="64"/>
      <c r="N151" s="64"/>
      <c r="O151" s="64"/>
      <c r="P151" s="64"/>
      <c r="Q151" s="64"/>
      <c r="R151" s="64"/>
      <c r="S151" s="64"/>
      <c r="T151" s="64"/>
      <c r="U151" s="64"/>
      <c r="V151" s="64"/>
      <c r="W151" s="64"/>
      <c r="X151" s="64"/>
      <c r="Y151" s="64"/>
      <c r="Z151" s="64"/>
    </row>
    <row r="152" ht="12.75" customHeight="1">
      <c r="A152" s="108"/>
      <c r="B152" s="64"/>
      <c r="C152" s="64"/>
      <c r="D152" s="64"/>
      <c r="E152" s="64"/>
      <c r="F152" s="63"/>
      <c r="G152" s="63"/>
      <c r="H152" s="64"/>
      <c r="I152" s="64"/>
      <c r="J152" s="64"/>
      <c r="K152" s="64"/>
      <c r="L152" s="64"/>
      <c r="M152" s="64"/>
      <c r="N152" s="64"/>
      <c r="O152" s="64"/>
      <c r="P152" s="64"/>
      <c r="Q152" s="64"/>
      <c r="R152" s="64"/>
      <c r="S152" s="64"/>
      <c r="T152" s="64"/>
      <c r="U152" s="64"/>
      <c r="V152" s="64"/>
      <c r="W152" s="64"/>
      <c r="X152" s="64"/>
      <c r="Y152" s="64"/>
      <c r="Z152" s="64"/>
    </row>
    <row r="153" ht="12.75" customHeight="1">
      <c r="A153" s="108"/>
      <c r="B153" s="64"/>
      <c r="C153" s="64"/>
      <c r="D153" s="64"/>
      <c r="E153" s="64"/>
      <c r="F153" s="63"/>
      <c r="G153" s="63"/>
      <c r="H153" s="64"/>
      <c r="I153" s="64"/>
      <c r="J153" s="64"/>
      <c r="K153" s="64"/>
      <c r="L153" s="64"/>
      <c r="M153" s="64"/>
      <c r="N153" s="64"/>
      <c r="O153" s="64"/>
      <c r="P153" s="64"/>
      <c r="Q153" s="64"/>
      <c r="R153" s="64"/>
      <c r="S153" s="64"/>
      <c r="T153" s="64"/>
      <c r="U153" s="64"/>
      <c r="V153" s="64"/>
      <c r="W153" s="64"/>
      <c r="X153" s="64"/>
      <c r="Y153" s="64"/>
      <c r="Z153" s="64"/>
    </row>
    <row r="154" ht="12.75" customHeight="1">
      <c r="A154" s="108"/>
      <c r="B154" s="64"/>
      <c r="C154" s="64"/>
      <c r="D154" s="64"/>
      <c r="E154" s="64"/>
      <c r="F154" s="63"/>
      <c r="G154" s="63"/>
      <c r="H154" s="64"/>
      <c r="I154" s="64"/>
      <c r="J154" s="64"/>
      <c r="K154" s="64"/>
      <c r="L154" s="64"/>
      <c r="M154" s="64"/>
      <c r="N154" s="64"/>
      <c r="O154" s="64"/>
      <c r="P154" s="64"/>
      <c r="Q154" s="64"/>
      <c r="R154" s="64"/>
      <c r="S154" s="64"/>
      <c r="T154" s="64"/>
      <c r="U154" s="64"/>
      <c r="V154" s="64"/>
      <c r="W154" s="64"/>
      <c r="X154" s="64"/>
      <c r="Y154" s="64"/>
      <c r="Z154" s="64"/>
    </row>
    <row r="155" ht="12.75" customHeight="1">
      <c r="A155" s="108"/>
      <c r="B155" s="64"/>
      <c r="C155" s="64"/>
      <c r="D155" s="64"/>
      <c r="E155" s="64"/>
      <c r="F155" s="63"/>
      <c r="G155" s="63"/>
      <c r="H155" s="64"/>
      <c r="I155" s="64"/>
      <c r="J155" s="64"/>
      <c r="K155" s="64"/>
      <c r="L155" s="64"/>
      <c r="M155" s="64"/>
      <c r="N155" s="64"/>
      <c r="O155" s="64"/>
      <c r="P155" s="64"/>
      <c r="Q155" s="64"/>
      <c r="R155" s="64"/>
      <c r="S155" s="64"/>
      <c r="T155" s="64"/>
      <c r="U155" s="64"/>
      <c r="V155" s="64"/>
      <c r="W155" s="64"/>
      <c r="X155" s="64"/>
      <c r="Y155" s="64"/>
      <c r="Z155" s="64"/>
    </row>
    <row r="156" ht="12.75" customHeight="1">
      <c r="A156" s="108"/>
      <c r="B156" s="64"/>
      <c r="C156" s="64"/>
      <c r="D156" s="64"/>
      <c r="E156" s="64"/>
      <c r="F156" s="63"/>
      <c r="G156" s="63"/>
      <c r="H156" s="64"/>
      <c r="I156" s="64"/>
      <c r="J156" s="64"/>
      <c r="K156" s="64"/>
      <c r="L156" s="64"/>
      <c r="M156" s="64"/>
      <c r="N156" s="64"/>
      <c r="O156" s="64"/>
      <c r="P156" s="64"/>
      <c r="Q156" s="64"/>
      <c r="R156" s="64"/>
      <c r="S156" s="64"/>
      <c r="T156" s="64"/>
      <c r="U156" s="64"/>
      <c r="V156" s="64"/>
      <c r="W156" s="64"/>
      <c r="X156" s="64"/>
      <c r="Y156" s="64"/>
      <c r="Z156" s="64"/>
    </row>
    <row r="157" ht="12.75" customHeight="1">
      <c r="A157" s="108"/>
      <c r="B157" s="64"/>
      <c r="C157" s="64"/>
      <c r="D157" s="64"/>
      <c r="E157" s="64"/>
      <c r="F157" s="63"/>
      <c r="G157" s="63"/>
      <c r="H157" s="64"/>
      <c r="I157" s="64"/>
      <c r="J157" s="64"/>
      <c r="K157" s="64"/>
      <c r="L157" s="64"/>
      <c r="M157" s="64"/>
      <c r="N157" s="64"/>
      <c r="O157" s="64"/>
      <c r="P157" s="64"/>
      <c r="Q157" s="64"/>
      <c r="R157" s="64"/>
      <c r="S157" s="64"/>
      <c r="T157" s="64"/>
      <c r="U157" s="64"/>
      <c r="V157" s="64"/>
      <c r="W157" s="64"/>
      <c r="X157" s="64"/>
      <c r="Y157" s="64"/>
      <c r="Z157" s="64"/>
    </row>
    <row r="158" ht="12.75" customHeight="1">
      <c r="A158" s="108"/>
      <c r="B158" s="64"/>
      <c r="C158" s="64"/>
      <c r="D158" s="64"/>
      <c r="E158" s="64"/>
      <c r="F158" s="63"/>
      <c r="G158" s="63"/>
      <c r="H158" s="64"/>
      <c r="I158" s="64"/>
      <c r="J158" s="64"/>
      <c r="K158" s="64"/>
      <c r="L158" s="64"/>
      <c r="M158" s="64"/>
      <c r="N158" s="64"/>
      <c r="O158" s="64"/>
      <c r="P158" s="64"/>
      <c r="Q158" s="64"/>
      <c r="R158" s="64"/>
      <c r="S158" s="64"/>
      <c r="T158" s="64"/>
      <c r="U158" s="64"/>
      <c r="V158" s="64"/>
      <c r="W158" s="64"/>
      <c r="X158" s="64"/>
      <c r="Y158" s="64"/>
      <c r="Z158" s="64"/>
    </row>
    <row r="159" ht="12.75" customHeight="1">
      <c r="A159" s="108"/>
      <c r="B159" s="64"/>
      <c r="C159" s="64"/>
      <c r="D159" s="64"/>
      <c r="E159" s="64"/>
      <c r="F159" s="63"/>
      <c r="G159" s="63"/>
      <c r="H159" s="64"/>
      <c r="I159" s="64"/>
      <c r="J159" s="64"/>
      <c r="K159" s="64"/>
      <c r="L159" s="64"/>
      <c r="M159" s="64"/>
      <c r="N159" s="64"/>
      <c r="O159" s="64"/>
      <c r="P159" s="64"/>
      <c r="Q159" s="64"/>
      <c r="R159" s="64"/>
      <c r="S159" s="64"/>
      <c r="T159" s="64"/>
      <c r="U159" s="64"/>
      <c r="V159" s="64"/>
      <c r="W159" s="64"/>
      <c r="X159" s="64"/>
      <c r="Y159" s="64"/>
      <c r="Z159" s="64"/>
    </row>
    <row r="160" ht="12.75" customHeight="1">
      <c r="A160" s="108"/>
      <c r="B160" s="64"/>
      <c r="C160" s="64"/>
      <c r="D160" s="64"/>
      <c r="E160" s="64"/>
      <c r="F160" s="63"/>
      <c r="G160" s="63"/>
      <c r="H160" s="64"/>
      <c r="I160" s="64"/>
      <c r="J160" s="64"/>
      <c r="K160" s="64"/>
      <c r="L160" s="64"/>
      <c r="M160" s="64"/>
      <c r="N160" s="64"/>
      <c r="O160" s="64"/>
      <c r="P160" s="64"/>
      <c r="Q160" s="64"/>
      <c r="R160" s="64"/>
      <c r="S160" s="64"/>
      <c r="T160" s="64"/>
      <c r="U160" s="64"/>
      <c r="V160" s="64"/>
      <c r="W160" s="64"/>
      <c r="X160" s="64"/>
      <c r="Y160" s="64"/>
      <c r="Z160" s="64"/>
    </row>
    <row r="161" ht="12.75" customHeight="1">
      <c r="A161" s="108"/>
      <c r="B161" s="64"/>
      <c r="C161" s="64"/>
      <c r="D161" s="64"/>
      <c r="E161" s="64"/>
      <c r="F161" s="63"/>
      <c r="G161" s="63"/>
      <c r="H161" s="64"/>
      <c r="I161" s="64"/>
      <c r="J161" s="64"/>
      <c r="K161" s="64"/>
      <c r="L161" s="64"/>
      <c r="M161" s="64"/>
      <c r="N161" s="64"/>
      <c r="O161" s="64"/>
      <c r="P161" s="64"/>
      <c r="Q161" s="64"/>
      <c r="R161" s="64"/>
      <c r="S161" s="64"/>
      <c r="T161" s="64"/>
      <c r="U161" s="64"/>
      <c r="V161" s="64"/>
      <c r="W161" s="64"/>
      <c r="X161" s="64"/>
      <c r="Y161" s="64"/>
      <c r="Z161" s="64"/>
    </row>
    <row r="162" ht="12.75" customHeight="1">
      <c r="A162" s="108"/>
      <c r="B162" s="64"/>
      <c r="C162" s="64"/>
      <c r="D162" s="64"/>
      <c r="E162" s="64"/>
      <c r="F162" s="63"/>
      <c r="G162" s="63"/>
      <c r="H162" s="64"/>
      <c r="I162" s="64"/>
      <c r="J162" s="64"/>
      <c r="K162" s="64"/>
      <c r="L162" s="64"/>
      <c r="M162" s="64"/>
      <c r="N162" s="64"/>
      <c r="O162" s="64"/>
      <c r="P162" s="64"/>
      <c r="Q162" s="64"/>
      <c r="R162" s="64"/>
      <c r="S162" s="64"/>
      <c r="T162" s="64"/>
      <c r="U162" s="64"/>
      <c r="V162" s="64"/>
      <c r="W162" s="64"/>
      <c r="X162" s="64"/>
      <c r="Y162" s="64"/>
      <c r="Z162" s="64"/>
    </row>
    <row r="163" ht="12.75" customHeight="1">
      <c r="A163" s="108"/>
      <c r="B163" s="64"/>
      <c r="C163" s="64"/>
      <c r="D163" s="64"/>
      <c r="E163" s="64"/>
      <c r="F163" s="63"/>
      <c r="G163" s="63"/>
      <c r="H163" s="64"/>
      <c r="I163" s="64"/>
      <c r="J163" s="64"/>
      <c r="K163" s="64"/>
      <c r="L163" s="64"/>
      <c r="M163" s="64"/>
      <c r="N163" s="64"/>
      <c r="O163" s="64"/>
      <c r="P163" s="64"/>
      <c r="Q163" s="64"/>
      <c r="R163" s="64"/>
      <c r="S163" s="64"/>
      <c r="T163" s="64"/>
      <c r="U163" s="64"/>
      <c r="V163" s="64"/>
      <c r="W163" s="64"/>
      <c r="X163" s="64"/>
      <c r="Y163" s="64"/>
      <c r="Z163" s="64"/>
    </row>
    <row r="164" ht="12.75" customHeight="1">
      <c r="A164" s="108"/>
      <c r="B164" s="64"/>
      <c r="C164" s="64"/>
      <c r="D164" s="64"/>
      <c r="E164" s="64"/>
      <c r="F164" s="63"/>
      <c r="G164" s="63"/>
      <c r="H164" s="64"/>
      <c r="I164" s="64"/>
      <c r="J164" s="64"/>
      <c r="K164" s="64"/>
      <c r="L164" s="64"/>
      <c r="M164" s="64"/>
      <c r="N164" s="64"/>
      <c r="O164" s="64"/>
      <c r="P164" s="64"/>
      <c r="Q164" s="64"/>
      <c r="R164" s="64"/>
      <c r="S164" s="64"/>
      <c r="T164" s="64"/>
      <c r="U164" s="64"/>
      <c r="V164" s="64"/>
      <c r="W164" s="64"/>
      <c r="X164" s="64"/>
      <c r="Y164" s="64"/>
      <c r="Z164" s="64"/>
    </row>
    <row r="165" ht="12.75" customHeight="1">
      <c r="A165" s="108"/>
      <c r="B165" s="64"/>
      <c r="C165" s="64"/>
      <c r="D165" s="64"/>
      <c r="E165" s="64"/>
      <c r="F165" s="63"/>
      <c r="G165" s="63"/>
      <c r="H165" s="64"/>
      <c r="I165" s="64"/>
      <c r="J165" s="64"/>
      <c r="K165" s="64"/>
      <c r="L165" s="64"/>
      <c r="M165" s="64"/>
      <c r="N165" s="64"/>
      <c r="O165" s="64"/>
      <c r="P165" s="64"/>
      <c r="Q165" s="64"/>
      <c r="R165" s="64"/>
      <c r="S165" s="64"/>
      <c r="T165" s="64"/>
      <c r="U165" s="64"/>
      <c r="V165" s="64"/>
      <c r="W165" s="64"/>
      <c r="X165" s="64"/>
      <c r="Y165" s="64"/>
      <c r="Z165" s="64"/>
    </row>
    <row r="166" ht="12.75" customHeight="1">
      <c r="A166" s="108"/>
      <c r="B166" s="64"/>
      <c r="C166" s="64"/>
      <c r="D166" s="64"/>
      <c r="E166" s="64"/>
      <c r="F166" s="63"/>
      <c r="G166" s="63"/>
      <c r="H166" s="64"/>
      <c r="I166" s="64"/>
      <c r="J166" s="64"/>
      <c r="K166" s="64"/>
      <c r="L166" s="64"/>
      <c r="M166" s="64"/>
      <c r="N166" s="64"/>
      <c r="O166" s="64"/>
      <c r="P166" s="64"/>
      <c r="Q166" s="64"/>
      <c r="R166" s="64"/>
      <c r="S166" s="64"/>
      <c r="T166" s="64"/>
      <c r="U166" s="64"/>
      <c r="V166" s="64"/>
      <c r="W166" s="64"/>
      <c r="X166" s="64"/>
      <c r="Y166" s="64"/>
      <c r="Z166" s="64"/>
    </row>
    <row r="167" ht="12.75" customHeight="1">
      <c r="A167" s="108"/>
      <c r="B167" s="64"/>
      <c r="C167" s="64"/>
      <c r="D167" s="64"/>
      <c r="E167" s="64"/>
      <c r="F167" s="63"/>
      <c r="G167" s="63"/>
      <c r="H167" s="64"/>
      <c r="I167" s="64"/>
      <c r="J167" s="64"/>
      <c r="K167" s="64"/>
      <c r="L167" s="64"/>
      <c r="M167" s="64"/>
      <c r="N167" s="64"/>
      <c r="O167" s="64"/>
      <c r="P167" s="64"/>
      <c r="Q167" s="64"/>
      <c r="R167" s="64"/>
      <c r="S167" s="64"/>
      <c r="T167" s="64"/>
      <c r="U167" s="64"/>
      <c r="V167" s="64"/>
      <c r="W167" s="64"/>
      <c r="X167" s="64"/>
      <c r="Y167" s="64"/>
      <c r="Z167" s="64"/>
    </row>
    <row r="168" ht="12.75" customHeight="1">
      <c r="A168" s="108"/>
      <c r="B168" s="64"/>
      <c r="C168" s="64"/>
      <c r="D168" s="64"/>
      <c r="E168" s="64"/>
      <c r="F168" s="63"/>
      <c r="G168" s="63"/>
      <c r="H168" s="64"/>
      <c r="I168" s="64"/>
      <c r="J168" s="64"/>
      <c r="K168" s="64"/>
      <c r="L168" s="64"/>
      <c r="M168" s="64"/>
      <c r="N168" s="64"/>
      <c r="O168" s="64"/>
      <c r="P168" s="64"/>
      <c r="Q168" s="64"/>
      <c r="R168" s="64"/>
      <c r="S168" s="64"/>
      <c r="T168" s="64"/>
      <c r="U168" s="64"/>
      <c r="V168" s="64"/>
      <c r="W168" s="64"/>
      <c r="X168" s="64"/>
      <c r="Y168" s="64"/>
      <c r="Z168" s="64"/>
    </row>
    <row r="169" ht="12.75" customHeight="1">
      <c r="A169" s="108"/>
      <c r="B169" s="64"/>
      <c r="C169" s="64"/>
      <c r="D169" s="64"/>
      <c r="E169" s="64"/>
      <c r="F169" s="63"/>
      <c r="G169" s="63"/>
      <c r="H169" s="64"/>
      <c r="I169" s="64"/>
      <c r="J169" s="64"/>
      <c r="K169" s="64"/>
      <c r="L169" s="64"/>
      <c r="M169" s="64"/>
      <c r="N169" s="64"/>
      <c r="O169" s="64"/>
      <c r="P169" s="64"/>
      <c r="Q169" s="64"/>
      <c r="R169" s="64"/>
      <c r="S169" s="64"/>
      <c r="T169" s="64"/>
      <c r="U169" s="64"/>
      <c r="V169" s="64"/>
      <c r="W169" s="64"/>
      <c r="X169" s="64"/>
      <c r="Y169" s="64"/>
      <c r="Z169" s="64"/>
    </row>
    <row r="170" ht="12.75" customHeight="1">
      <c r="A170" s="108"/>
      <c r="B170" s="64"/>
      <c r="C170" s="64"/>
      <c r="D170" s="64"/>
      <c r="E170" s="64"/>
      <c r="F170" s="63"/>
      <c r="G170" s="63"/>
      <c r="H170" s="64"/>
      <c r="I170" s="64"/>
      <c r="J170" s="64"/>
      <c r="K170" s="64"/>
      <c r="L170" s="64"/>
      <c r="M170" s="64"/>
      <c r="N170" s="64"/>
      <c r="O170" s="64"/>
      <c r="P170" s="64"/>
      <c r="Q170" s="64"/>
      <c r="R170" s="64"/>
      <c r="S170" s="64"/>
      <c r="T170" s="64"/>
      <c r="U170" s="64"/>
      <c r="V170" s="64"/>
      <c r="W170" s="64"/>
      <c r="X170" s="64"/>
      <c r="Y170" s="64"/>
      <c r="Z170" s="64"/>
    </row>
    <row r="171" ht="12.75" customHeight="1">
      <c r="A171" s="108"/>
      <c r="B171" s="64"/>
      <c r="C171" s="64"/>
      <c r="D171" s="64"/>
      <c r="E171" s="64"/>
      <c r="F171" s="63"/>
      <c r="G171" s="63"/>
      <c r="H171" s="64"/>
      <c r="I171" s="64"/>
      <c r="J171" s="64"/>
      <c r="K171" s="64"/>
      <c r="L171" s="64"/>
      <c r="M171" s="64"/>
      <c r="N171" s="64"/>
      <c r="O171" s="64"/>
      <c r="P171" s="64"/>
      <c r="Q171" s="64"/>
      <c r="R171" s="64"/>
      <c r="S171" s="64"/>
      <c r="T171" s="64"/>
      <c r="U171" s="64"/>
      <c r="V171" s="64"/>
      <c r="W171" s="64"/>
      <c r="X171" s="64"/>
      <c r="Y171" s="64"/>
      <c r="Z171" s="64"/>
    </row>
    <row r="172" ht="12.75" customHeight="1">
      <c r="A172" s="108"/>
      <c r="B172" s="64"/>
      <c r="C172" s="64"/>
      <c r="D172" s="64"/>
      <c r="E172" s="64"/>
      <c r="F172" s="63"/>
      <c r="G172" s="63"/>
      <c r="H172" s="64"/>
      <c r="I172" s="64"/>
      <c r="J172" s="64"/>
      <c r="K172" s="64"/>
      <c r="L172" s="64"/>
      <c r="M172" s="64"/>
      <c r="N172" s="64"/>
      <c r="O172" s="64"/>
      <c r="P172" s="64"/>
      <c r="Q172" s="64"/>
      <c r="R172" s="64"/>
      <c r="S172" s="64"/>
      <c r="T172" s="64"/>
      <c r="U172" s="64"/>
      <c r="V172" s="64"/>
      <c r="W172" s="64"/>
      <c r="X172" s="64"/>
      <c r="Y172" s="64"/>
      <c r="Z172" s="64"/>
    </row>
    <row r="173" ht="12.75" customHeight="1">
      <c r="A173" s="108"/>
      <c r="B173" s="64"/>
      <c r="C173" s="64"/>
      <c r="D173" s="64"/>
      <c r="E173" s="64"/>
      <c r="F173" s="63"/>
      <c r="G173" s="63"/>
      <c r="H173" s="64"/>
      <c r="I173" s="64"/>
      <c r="J173" s="64"/>
      <c r="K173" s="64"/>
      <c r="L173" s="64"/>
      <c r="M173" s="64"/>
      <c r="N173" s="64"/>
      <c r="O173" s="64"/>
      <c r="P173" s="64"/>
      <c r="Q173" s="64"/>
      <c r="R173" s="64"/>
      <c r="S173" s="64"/>
      <c r="T173" s="64"/>
      <c r="U173" s="64"/>
      <c r="V173" s="64"/>
      <c r="W173" s="64"/>
      <c r="X173" s="64"/>
      <c r="Y173" s="64"/>
      <c r="Z173" s="64"/>
    </row>
    <row r="174" ht="12.75" customHeight="1">
      <c r="A174" s="108"/>
      <c r="B174" s="64"/>
      <c r="C174" s="64"/>
      <c r="D174" s="64"/>
      <c r="E174" s="64"/>
      <c r="F174" s="63"/>
      <c r="G174" s="63"/>
      <c r="H174" s="64"/>
      <c r="I174" s="64"/>
      <c r="J174" s="64"/>
      <c r="K174" s="64"/>
      <c r="L174" s="64"/>
      <c r="M174" s="64"/>
      <c r="N174" s="64"/>
      <c r="O174" s="64"/>
      <c r="P174" s="64"/>
      <c r="Q174" s="64"/>
      <c r="R174" s="64"/>
      <c r="S174" s="64"/>
      <c r="T174" s="64"/>
      <c r="U174" s="64"/>
      <c r="V174" s="64"/>
      <c r="W174" s="64"/>
      <c r="X174" s="64"/>
      <c r="Y174" s="64"/>
      <c r="Z174" s="64"/>
    </row>
    <row r="175" ht="12.75" customHeight="1">
      <c r="A175" s="108"/>
      <c r="B175" s="64"/>
      <c r="C175" s="64"/>
      <c r="D175" s="64"/>
      <c r="E175" s="64"/>
      <c r="F175" s="63"/>
      <c r="G175" s="63"/>
      <c r="H175" s="64"/>
      <c r="I175" s="64"/>
      <c r="J175" s="64"/>
      <c r="K175" s="64"/>
      <c r="L175" s="64"/>
      <c r="M175" s="64"/>
      <c r="N175" s="64"/>
      <c r="O175" s="64"/>
      <c r="P175" s="64"/>
      <c r="Q175" s="64"/>
      <c r="R175" s="64"/>
      <c r="S175" s="64"/>
      <c r="T175" s="64"/>
      <c r="U175" s="64"/>
      <c r="V175" s="64"/>
      <c r="W175" s="64"/>
      <c r="X175" s="64"/>
      <c r="Y175" s="64"/>
      <c r="Z175" s="64"/>
    </row>
    <row r="176" ht="12.75" customHeight="1">
      <c r="A176" s="108"/>
      <c r="B176" s="64"/>
      <c r="C176" s="64"/>
      <c r="D176" s="64"/>
      <c r="E176" s="64"/>
      <c r="F176" s="63"/>
      <c r="G176" s="63"/>
      <c r="H176" s="64"/>
      <c r="I176" s="64"/>
      <c r="J176" s="64"/>
      <c r="K176" s="64"/>
      <c r="L176" s="64"/>
      <c r="M176" s="64"/>
      <c r="N176" s="64"/>
      <c r="O176" s="64"/>
      <c r="P176" s="64"/>
      <c r="Q176" s="64"/>
      <c r="R176" s="64"/>
      <c r="S176" s="64"/>
      <c r="T176" s="64"/>
      <c r="U176" s="64"/>
      <c r="V176" s="64"/>
      <c r="W176" s="64"/>
      <c r="X176" s="64"/>
      <c r="Y176" s="64"/>
      <c r="Z176" s="64"/>
    </row>
    <row r="177" ht="12.75" customHeight="1">
      <c r="A177" s="108"/>
      <c r="B177" s="64"/>
      <c r="C177" s="64"/>
      <c r="D177" s="64"/>
      <c r="E177" s="64"/>
      <c r="F177" s="63"/>
      <c r="G177" s="63"/>
      <c r="H177" s="64"/>
      <c r="I177" s="64"/>
      <c r="J177" s="64"/>
      <c r="K177" s="64"/>
      <c r="L177" s="64"/>
      <c r="M177" s="64"/>
      <c r="N177" s="64"/>
      <c r="O177" s="64"/>
      <c r="P177" s="64"/>
      <c r="Q177" s="64"/>
      <c r="R177" s="64"/>
      <c r="S177" s="64"/>
      <c r="T177" s="64"/>
      <c r="U177" s="64"/>
      <c r="V177" s="64"/>
      <c r="W177" s="64"/>
      <c r="X177" s="64"/>
      <c r="Y177" s="64"/>
      <c r="Z177" s="64"/>
    </row>
    <row r="178" ht="12.75" customHeight="1">
      <c r="A178" s="108"/>
      <c r="B178" s="64"/>
      <c r="C178" s="64"/>
      <c r="D178" s="64"/>
      <c r="E178" s="64"/>
      <c r="F178" s="63"/>
      <c r="G178" s="63"/>
      <c r="H178" s="64"/>
      <c r="I178" s="64"/>
      <c r="J178" s="64"/>
      <c r="K178" s="64"/>
      <c r="L178" s="64"/>
      <c r="M178" s="64"/>
      <c r="N178" s="64"/>
      <c r="O178" s="64"/>
      <c r="P178" s="64"/>
      <c r="Q178" s="64"/>
      <c r="R178" s="64"/>
      <c r="S178" s="64"/>
      <c r="T178" s="64"/>
      <c r="U178" s="64"/>
      <c r="V178" s="64"/>
      <c r="W178" s="64"/>
      <c r="X178" s="64"/>
      <c r="Y178" s="64"/>
      <c r="Z178" s="64"/>
    </row>
    <row r="179" ht="12.75" customHeight="1">
      <c r="A179" s="108"/>
      <c r="B179" s="64"/>
      <c r="C179" s="64"/>
      <c r="D179" s="64"/>
      <c r="E179" s="64"/>
      <c r="F179" s="63"/>
      <c r="G179" s="63"/>
      <c r="H179" s="64"/>
      <c r="I179" s="64"/>
      <c r="J179" s="64"/>
      <c r="K179" s="64"/>
      <c r="L179" s="64"/>
      <c r="M179" s="64"/>
      <c r="N179" s="64"/>
      <c r="O179" s="64"/>
      <c r="P179" s="64"/>
      <c r="Q179" s="64"/>
      <c r="R179" s="64"/>
      <c r="S179" s="64"/>
      <c r="T179" s="64"/>
      <c r="U179" s="64"/>
      <c r="V179" s="64"/>
      <c r="W179" s="64"/>
      <c r="X179" s="64"/>
      <c r="Y179" s="64"/>
      <c r="Z179" s="64"/>
    </row>
    <row r="180" ht="12.75" customHeight="1">
      <c r="A180" s="108"/>
      <c r="B180" s="64"/>
      <c r="C180" s="64"/>
      <c r="D180" s="64"/>
      <c r="E180" s="64"/>
      <c r="F180" s="63"/>
      <c r="G180" s="63"/>
      <c r="H180" s="64"/>
      <c r="I180" s="64"/>
      <c r="J180" s="64"/>
      <c r="K180" s="64"/>
      <c r="L180" s="64"/>
      <c r="M180" s="64"/>
      <c r="N180" s="64"/>
      <c r="O180" s="64"/>
      <c r="P180" s="64"/>
      <c r="Q180" s="64"/>
      <c r="R180" s="64"/>
      <c r="S180" s="64"/>
      <c r="T180" s="64"/>
      <c r="U180" s="64"/>
      <c r="V180" s="64"/>
      <c r="W180" s="64"/>
      <c r="X180" s="64"/>
      <c r="Y180" s="64"/>
      <c r="Z180" s="64"/>
    </row>
    <row r="181" ht="12.75" customHeight="1">
      <c r="A181" s="108"/>
      <c r="B181" s="64"/>
      <c r="C181" s="64"/>
      <c r="D181" s="64"/>
      <c r="E181" s="64"/>
      <c r="F181" s="63"/>
      <c r="G181" s="63"/>
      <c r="H181" s="64"/>
      <c r="I181" s="64"/>
      <c r="J181" s="64"/>
      <c r="K181" s="64"/>
      <c r="L181" s="64"/>
      <c r="M181" s="64"/>
      <c r="N181" s="64"/>
      <c r="O181" s="64"/>
      <c r="P181" s="64"/>
      <c r="Q181" s="64"/>
      <c r="R181" s="64"/>
      <c r="S181" s="64"/>
      <c r="T181" s="64"/>
      <c r="U181" s="64"/>
      <c r="V181" s="64"/>
      <c r="W181" s="64"/>
      <c r="X181" s="64"/>
      <c r="Y181" s="64"/>
      <c r="Z181" s="64"/>
    </row>
    <row r="182" ht="12.75" customHeight="1">
      <c r="A182" s="108"/>
      <c r="B182" s="64"/>
      <c r="C182" s="64"/>
      <c r="D182" s="64"/>
      <c r="E182" s="64"/>
      <c r="F182" s="63"/>
      <c r="G182" s="63"/>
      <c r="H182" s="64"/>
      <c r="I182" s="64"/>
      <c r="J182" s="64"/>
      <c r="K182" s="64"/>
      <c r="L182" s="64"/>
      <c r="M182" s="64"/>
      <c r="N182" s="64"/>
      <c r="O182" s="64"/>
      <c r="P182" s="64"/>
      <c r="Q182" s="64"/>
      <c r="R182" s="64"/>
      <c r="S182" s="64"/>
      <c r="T182" s="64"/>
      <c r="U182" s="64"/>
      <c r="V182" s="64"/>
      <c r="W182" s="64"/>
      <c r="X182" s="64"/>
      <c r="Y182" s="64"/>
      <c r="Z182" s="64"/>
    </row>
    <row r="183" ht="12.75" customHeight="1">
      <c r="A183" s="108"/>
      <c r="B183" s="64"/>
      <c r="C183" s="64"/>
      <c r="D183" s="64"/>
      <c r="E183" s="64"/>
      <c r="F183" s="63"/>
      <c r="G183" s="63"/>
      <c r="H183" s="64"/>
      <c r="I183" s="64"/>
      <c r="J183" s="64"/>
      <c r="K183" s="64"/>
      <c r="L183" s="64"/>
      <c r="M183" s="64"/>
      <c r="N183" s="64"/>
      <c r="O183" s="64"/>
      <c r="P183" s="64"/>
      <c r="Q183" s="64"/>
      <c r="R183" s="64"/>
      <c r="S183" s="64"/>
      <c r="T183" s="64"/>
      <c r="U183" s="64"/>
      <c r="V183" s="64"/>
      <c r="W183" s="64"/>
      <c r="X183" s="64"/>
      <c r="Y183" s="64"/>
      <c r="Z183" s="64"/>
    </row>
    <row r="184" ht="12.75" customHeight="1">
      <c r="A184" s="108"/>
      <c r="B184" s="64"/>
      <c r="C184" s="64"/>
      <c r="D184" s="64"/>
      <c r="E184" s="64"/>
      <c r="F184" s="63"/>
      <c r="G184" s="63"/>
      <c r="H184" s="64"/>
      <c r="I184" s="64"/>
      <c r="J184" s="64"/>
      <c r="K184" s="64"/>
      <c r="L184" s="64"/>
      <c r="M184" s="64"/>
      <c r="N184" s="64"/>
      <c r="O184" s="64"/>
      <c r="P184" s="64"/>
      <c r="Q184" s="64"/>
      <c r="R184" s="64"/>
      <c r="S184" s="64"/>
      <c r="T184" s="64"/>
      <c r="U184" s="64"/>
      <c r="V184" s="64"/>
      <c r="W184" s="64"/>
      <c r="X184" s="64"/>
      <c r="Y184" s="64"/>
      <c r="Z184" s="64"/>
    </row>
    <row r="185" ht="12.75" customHeight="1">
      <c r="A185" s="108"/>
      <c r="B185" s="64"/>
      <c r="C185" s="64"/>
      <c r="D185" s="64"/>
      <c r="E185" s="64"/>
      <c r="F185" s="63"/>
      <c r="G185" s="63"/>
      <c r="H185" s="64"/>
      <c r="I185" s="64"/>
      <c r="J185" s="64"/>
      <c r="K185" s="64"/>
      <c r="L185" s="64"/>
      <c r="M185" s="64"/>
      <c r="N185" s="64"/>
      <c r="O185" s="64"/>
      <c r="P185" s="64"/>
      <c r="Q185" s="64"/>
      <c r="R185" s="64"/>
      <c r="S185" s="64"/>
      <c r="T185" s="64"/>
      <c r="U185" s="64"/>
      <c r="V185" s="64"/>
      <c r="W185" s="64"/>
      <c r="X185" s="64"/>
      <c r="Y185" s="64"/>
      <c r="Z185" s="64"/>
    </row>
    <row r="186" ht="12.75" customHeight="1">
      <c r="A186" s="108"/>
      <c r="B186" s="64"/>
      <c r="C186" s="64"/>
      <c r="D186" s="64"/>
      <c r="E186" s="64"/>
      <c r="F186" s="63"/>
      <c r="G186" s="63"/>
      <c r="H186" s="64"/>
      <c r="I186" s="64"/>
      <c r="J186" s="64"/>
      <c r="K186" s="64"/>
      <c r="L186" s="64"/>
      <c r="M186" s="64"/>
      <c r="N186" s="64"/>
      <c r="O186" s="64"/>
      <c r="P186" s="64"/>
      <c r="Q186" s="64"/>
      <c r="R186" s="64"/>
      <c r="S186" s="64"/>
      <c r="T186" s="64"/>
      <c r="U186" s="64"/>
      <c r="V186" s="64"/>
      <c r="W186" s="64"/>
      <c r="X186" s="64"/>
      <c r="Y186" s="64"/>
      <c r="Z186" s="64"/>
    </row>
    <row r="187" ht="12.75" customHeight="1">
      <c r="A187" s="108"/>
      <c r="B187" s="64"/>
      <c r="C187" s="64"/>
      <c r="D187" s="64"/>
      <c r="E187" s="64"/>
      <c r="F187" s="63"/>
      <c r="G187" s="63"/>
      <c r="H187" s="64"/>
      <c r="I187" s="64"/>
      <c r="J187" s="64"/>
      <c r="K187" s="64"/>
      <c r="L187" s="64"/>
      <c r="M187" s="64"/>
      <c r="N187" s="64"/>
      <c r="O187" s="64"/>
      <c r="P187" s="64"/>
      <c r="Q187" s="64"/>
      <c r="R187" s="64"/>
      <c r="S187" s="64"/>
      <c r="T187" s="64"/>
      <c r="U187" s="64"/>
      <c r="V187" s="64"/>
      <c r="W187" s="64"/>
      <c r="X187" s="64"/>
      <c r="Y187" s="64"/>
      <c r="Z187" s="64"/>
    </row>
    <row r="188" ht="12.75" customHeight="1">
      <c r="A188" s="108"/>
      <c r="B188" s="64"/>
      <c r="C188" s="64"/>
      <c r="D188" s="64"/>
      <c r="E188" s="64"/>
      <c r="F188" s="63"/>
      <c r="G188" s="63"/>
      <c r="H188" s="64"/>
      <c r="I188" s="64"/>
      <c r="J188" s="64"/>
      <c r="K188" s="64"/>
      <c r="L188" s="64"/>
      <c r="M188" s="64"/>
      <c r="N188" s="64"/>
      <c r="O188" s="64"/>
      <c r="P188" s="64"/>
      <c r="Q188" s="64"/>
      <c r="R188" s="64"/>
      <c r="S188" s="64"/>
      <c r="T188" s="64"/>
      <c r="U188" s="64"/>
      <c r="V188" s="64"/>
      <c r="W188" s="64"/>
      <c r="X188" s="64"/>
      <c r="Y188" s="64"/>
      <c r="Z188" s="64"/>
    </row>
    <row r="189" ht="12.75" customHeight="1">
      <c r="A189" s="108"/>
      <c r="B189" s="64"/>
      <c r="C189" s="64"/>
      <c r="D189" s="64"/>
      <c r="E189" s="64"/>
      <c r="F189" s="63"/>
      <c r="G189" s="63"/>
      <c r="H189" s="64"/>
      <c r="I189" s="64"/>
      <c r="J189" s="64"/>
      <c r="K189" s="64"/>
      <c r="L189" s="64"/>
      <c r="M189" s="64"/>
      <c r="N189" s="64"/>
      <c r="O189" s="64"/>
      <c r="P189" s="64"/>
      <c r="Q189" s="64"/>
      <c r="R189" s="64"/>
      <c r="S189" s="64"/>
      <c r="T189" s="64"/>
      <c r="U189" s="64"/>
      <c r="V189" s="64"/>
      <c r="W189" s="64"/>
      <c r="X189" s="64"/>
      <c r="Y189" s="64"/>
      <c r="Z189" s="64"/>
    </row>
    <row r="190" ht="12.75" customHeight="1">
      <c r="A190" s="108"/>
      <c r="B190" s="64"/>
      <c r="C190" s="64"/>
      <c r="D190" s="64"/>
      <c r="E190" s="64"/>
      <c r="F190" s="63"/>
      <c r="G190" s="63"/>
      <c r="H190" s="64"/>
      <c r="I190" s="64"/>
      <c r="J190" s="64"/>
      <c r="K190" s="64"/>
      <c r="L190" s="64"/>
      <c r="M190" s="64"/>
      <c r="N190" s="64"/>
      <c r="O190" s="64"/>
      <c r="P190" s="64"/>
      <c r="Q190" s="64"/>
      <c r="R190" s="64"/>
      <c r="S190" s="64"/>
      <c r="T190" s="64"/>
      <c r="U190" s="64"/>
      <c r="V190" s="64"/>
      <c r="W190" s="64"/>
      <c r="X190" s="64"/>
      <c r="Y190" s="64"/>
      <c r="Z190" s="64"/>
    </row>
    <row r="191" ht="12.75" customHeight="1">
      <c r="A191" s="108"/>
      <c r="B191" s="64"/>
      <c r="C191" s="64"/>
      <c r="D191" s="64"/>
      <c r="E191" s="64"/>
      <c r="F191" s="63"/>
      <c r="G191" s="63"/>
      <c r="H191" s="64"/>
      <c r="I191" s="64"/>
      <c r="J191" s="64"/>
      <c r="K191" s="64"/>
      <c r="L191" s="64"/>
      <c r="M191" s="64"/>
      <c r="N191" s="64"/>
      <c r="O191" s="64"/>
      <c r="P191" s="64"/>
      <c r="Q191" s="64"/>
      <c r="R191" s="64"/>
      <c r="S191" s="64"/>
      <c r="T191" s="64"/>
      <c r="U191" s="64"/>
      <c r="V191" s="64"/>
      <c r="W191" s="64"/>
      <c r="X191" s="64"/>
      <c r="Y191" s="64"/>
      <c r="Z191" s="64"/>
    </row>
    <row r="192" ht="12.75" customHeight="1">
      <c r="A192" s="108"/>
      <c r="B192" s="64"/>
      <c r="C192" s="64"/>
      <c r="D192" s="64"/>
      <c r="E192" s="64"/>
      <c r="F192" s="63"/>
      <c r="G192" s="63"/>
      <c r="H192" s="64"/>
      <c r="I192" s="64"/>
      <c r="J192" s="64"/>
      <c r="K192" s="64"/>
      <c r="L192" s="64"/>
      <c r="M192" s="64"/>
      <c r="N192" s="64"/>
      <c r="O192" s="64"/>
      <c r="P192" s="64"/>
      <c r="Q192" s="64"/>
      <c r="R192" s="64"/>
      <c r="S192" s="64"/>
      <c r="T192" s="64"/>
      <c r="U192" s="64"/>
      <c r="V192" s="64"/>
      <c r="W192" s="64"/>
      <c r="X192" s="64"/>
      <c r="Y192" s="64"/>
      <c r="Z192" s="64"/>
    </row>
    <row r="193" ht="12.75" customHeight="1">
      <c r="A193" s="108"/>
      <c r="B193" s="64"/>
      <c r="C193" s="64"/>
      <c r="D193" s="64"/>
      <c r="E193" s="64"/>
      <c r="F193" s="63"/>
      <c r="G193" s="63"/>
      <c r="H193" s="64"/>
      <c r="I193" s="64"/>
      <c r="J193" s="64"/>
      <c r="K193" s="64"/>
      <c r="L193" s="64"/>
      <c r="M193" s="64"/>
      <c r="N193" s="64"/>
      <c r="O193" s="64"/>
      <c r="P193" s="64"/>
      <c r="Q193" s="64"/>
      <c r="R193" s="64"/>
      <c r="S193" s="64"/>
      <c r="T193" s="64"/>
      <c r="U193" s="64"/>
      <c r="V193" s="64"/>
      <c r="W193" s="64"/>
      <c r="X193" s="64"/>
      <c r="Y193" s="64"/>
      <c r="Z193" s="64"/>
    </row>
    <row r="194" ht="12.75" customHeight="1">
      <c r="A194" s="108"/>
      <c r="B194" s="64"/>
      <c r="C194" s="64"/>
      <c r="D194" s="64"/>
      <c r="E194" s="64"/>
      <c r="F194" s="63"/>
      <c r="G194" s="63"/>
      <c r="H194" s="64"/>
      <c r="I194" s="64"/>
      <c r="J194" s="64"/>
      <c r="K194" s="64"/>
      <c r="L194" s="64"/>
      <c r="M194" s="64"/>
      <c r="N194" s="64"/>
      <c r="O194" s="64"/>
      <c r="P194" s="64"/>
      <c r="Q194" s="64"/>
      <c r="R194" s="64"/>
      <c r="S194" s="64"/>
      <c r="T194" s="64"/>
      <c r="U194" s="64"/>
      <c r="V194" s="64"/>
      <c r="W194" s="64"/>
      <c r="X194" s="64"/>
      <c r="Y194" s="64"/>
      <c r="Z194" s="64"/>
    </row>
    <row r="195" ht="12.75" customHeight="1">
      <c r="A195" s="108"/>
      <c r="B195" s="64"/>
      <c r="C195" s="64"/>
      <c r="D195" s="64"/>
      <c r="E195" s="64"/>
      <c r="F195" s="63"/>
      <c r="G195" s="63"/>
      <c r="H195" s="64"/>
      <c r="I195" s="64"/>
      <c r="J195" s="64"/>
      <c r="K195" s="64"/>
      <c r="L195" s="64"/>
      <c r="M195" s="64"/>
      <c r="N195" s="64"/>
      <c r="O195" s="64"/>
      <c r="P195" s="64"/>
      <c r="Q195" s="64"/>
      <c r="R195" s="64"/>
      <c r="S195" s="64"/>
      <c r="T195" s="64"/>
      <c r="U195" s="64"/>
      <c r="V195" s="64"/>
      <c r="W195" s="64"/>
      <c r="X195" s="64"/>
      <c r="Y195" s="64"/>
      <c r="Z195" s="64"/>
    </row>
    <row r="196" ht="12.75" customHeight="1">
      <c r="A196" s="108"/>
      <c r="B196" s="64"/>
      <c r="C196" s="64"/>
      <c r="D196" s="64"/>
      <c r="E196" s="64"/>
      <c r="F196" s="63"/>
      <c r="G196" s="63"/>
      <c r="H196" s="64"/>
      <c r="I196" s="64"/>
      <c r="J196" s="64"/>
      <c r="K196" s="64"/>
      <c r="L196" s="64"/>
      <c r="M196" s="64"/>
      <c r="N196" s="64"/>
      <c r="O196" s="64"/>
      <c r="P196" s="64"/>
      <c r="Q196" s="64"/>
      <c r="R196" s="64"/>
      <c r="S196" s="64"/>
      <c r="T196" s="64"/>
      <c r="U196" s="64"/>
      <c r="V196" s="64"/>
      <c r="W196" s="64"/>
      <c r="X196" s="64"/>
      <c r="Y196" s="64"/>
      <c r="Z196" s="64"/>
    </row>
    <row r="197" ht="12.75" customHeight="1">
      <c r="A197" s="108"/>
      <c r="B197" s="64"/>
      <c r="C197" s="64"/>
      <c r="D197" s="64"/>
      <c r="E197" s="64"/>
      <c r="F197" s="63"/>
      <c r="G197" s="63"/>
      <c r="H197" s="64"/>
      <c r="I197" s="64"/>
      <c r="J197" s="64"/>
      <c r="K197" s="64"/>
      <c r="L197" s="64"/>
      <c r="M197" s="64"/>
      <c r="N197" s="64"/>
      <c r="O197" s="64"/>
      <c r="P197" s="64"/>
      <c r="Q197" s="64"/>
      <c r="R197" s="64"/>
      <c r="S197" s="64"/>
      <c r="T197" s="64"/>
      <c r="U197" s="64"/>
      <c r="V197" s="64"/>
      <c r="W197" s="64"/>
      <c r="X197" s="64"/>
      <c r="Y197" s="64"/>
      <c r="Z197" s="64"/>
    </row>
    <row r="198" ht="12.75" customHeight="1">
      <c r="A198" s="108"/>
      <c r="B198" s="64"/>
      <c r="C198" s="64"/>
      <c r="D198" s="64"/>
      <c r="E198" s="64"/>
      <c r="F198" s="63"/>
      <c r="G198" s="63"/>
      <c r="H198" s="64"/>
      <c r="I198" s="64"/>
      <c r="J198" s="64"/>
      <c r="K198" s="64"/>
      <c r="L198" s="64"/>
      <c r="M198" s="64"/>
      <c r="N198" s="64"/>
      <c r="O198" s="64"/>
      <c r="P198" s="64"/>
      <c r="Q198" s="64"/>
      <c r="R198" s="64"/>
      <c r="S198" s="64"/>
      <c r="T198" s="64"/>
      <c r="U198" s="64"/>
      <c r="V198" s="64"/>
      <c r="W198" s="64"/>
      <c r="X198" s="64"/>
      <c r="Y198" s="64"/>
      <c r="Z198" s="64"/>
    </row>
    <row r="199" ht="12.75" customHeight="1">
      <c r="A199" s="108"/>
      <c r="B199" s="64"/>
      <c r="C199" s="64"/>
      <c r="D199" s="64"/>
      <c r="E199" s="64"/>
      <c r="F199" s="63"/>
      <c r="G199" s="63"/>
      <c r="H199" s="64"/>
      <c r="I199" s="64"/>
      <c r="J199" s="64"/>
      <c r="K199" s="64"/>
      <c r="L199" s="64"/>
      <c r="M199" s="64"/>
      <c r="N199" s="64"/>
      <c r="O199" s="64"/>
      <c r="P199" s="64"/>
      <c r="Q199" s="64"/>
      <c r="R199" s="64"/>
      <c r="S199" s="64"/>
      <c r="T199" s="64"/>
      <c r="U199" s="64"/>
      <c r="V199" s="64"/>
      <c r="W199" s="64"/>
      <c r="X199" s="64"/>
      <c r="Y199" s="64"/>
      <c r="Z199" s="64"/>
    </row>
    <row r="200" ht="12.75" customHeight="1">
      <c r="A200" s="108"/>
      <c r="B200" s="64"/>
      <c r="C200" s="64"/>
      <c r="D200" s="64"/>
      <c r="E200" s="64"/>
      <c r="F200" s="63"/>
      <c r="G200" s="63"/>
      <c r="H200" s="64"/>
      <c r="I200" s="64"/>
      <c r="J200" s="64"/>
      <c r="K200" s="64"/>
      <c r="L200" s="64"/>
      <c r="M200" s="64"/>
      <c r="N200" s="64"/>
      <c r="O200" s="64"/>
      <c r="P200" s="64"/>
      <c r="Q200" s="64"/>
      <c r="R200" s="64"/>
      <c r="S200" s="64"/>
      <c r="T200" s="64"/>
      <c r="U200" s="64"/>
      <c r="V200" s="64"/>
      <c r="W200" s="64"/>
      <c r="X200" s="64"/>
      <c r="Y200" s="64"/>
      <c r="Z200" s="64"/>
    </row>
    <row r="201" ht="12.75" customHeight="1">
      <c r="A201" s="108"/>
      <c r="B201" s="64"/>
      <c r="C201" s="64"/>
      <c r="D201" s="64"/>
      <c r="E201" s="64"/>
      <c r="F201" s="63"/>
      <c r="G201" s="63"/>
      <c r="H201" s="64"/>
      <c r="I201" s="64"/>
      <c r="J201" s="64"/>
      <c r="K201" s="64"/>
      <c r="L201" s="64"/>
      <c r="M201" s="64"/>
      <c r="N201" s="64"/>
      <c r="O201" s="64"/>
      <c r="P201" s="64"/>
      <c r="Q201" s="64"/>
      <c r="R201" s="64"/>
      <c r="S201" s="64"/>
      <c r="T201" s="64"/>
      <c r="U201" s="64"/>
      <c r="V201" s="64"/>
      <c r="W201" s="64"/>
      <c r="X201" s="64"/>
      <c r="Y201" s="64"/>
      <c r="Z201" s="64"/>
    </row>
    <row r="202" ht="12.75" customHeight="1">
      <c r="A202" s="108"/>
      <c r="B202" s="64"/>
      <c r="C202" s="64"/>
      <c r="D202" s="64"/>
      <c r="E202" s="64"/>
      <c r="F202" s="63"/>
      <c r="G202" s="63"/>
      <c r="H202" s="64"/>
      <c r="I202" s="64"/>
      <c r="J202" s="64"/>
      <c r="K202" s="64"/>
      <c r="L202" s="64"/>
      <c r="M202" s="64"/>
      <c r="N202" s="64"/>
      <c r="O202" s="64"/>
      <c r="P202" s="64"/>
      <c r="Q202" s="64"/>
      <c r="R202" s="64"/>
      <c r="S202" s="64"/>
      <c r="T202" s="64"/>
      <c r="U202" s="64"/>
      <c r="V202" s="64"/>
      <c r="W202" s="64"/>
      <c r="X202" s="64"/>
      <c r="Y202" s="64"/>
      <c r="Z202" s="64"/>
    </row>
    <row r="203" ht="12.75" customHeight="1">
      <c r="A203" s="108"/>
      <c r="B203" s="64"/>
      <c r="C203" s="64"/>
      <c r="D203" s="64"/>
      <c r="E203" s="64"/>
      <c r="F203" s="63"/>
      <c r="G203" s="63"/>
      <c r="H203" s="64"/>
      <c r="I203" s="64"/>
      <c r="J203" s="64"/>
      <c r="K203" s="64"/>
      <c r="L203" s="64"/>
      <c r="M203" s="64"/>
      <c r="N203" s="64"/>
      <c r="O203" s="64"/>
      <c r="P203" s="64"/>
      <c r="Q203" s="64"/>
      <c r="R203" s="64"/>
      <c r="S203" s="64"/>
      <c r="T203" s="64"/>
      <c r="U203" s="64"/>
      <c r="V203" s="64"/>
      <c r="W203" s="64"/>
      <c r="X203" s="64"/>
      <c r="Y203" s="64"/>
      <c r="Z203" s="64"/>
    </row>
    <row r="204" ht="12.75" customHeight="1">
      <c r="A204" s="108"/>
      <c r="B204" s="64"/>
      <c r="C204" s="64"/>
      <c r="D204" s="64"/>
      <c r="E204" s="64"/>
      <c r="F204" s="63"/>
      <c r="G204" s="63"/>
      <c r="H204" s="64"/>
      <c r="I204" s="64"/>
      <c r="J204" s="64"/>
      <c r="K204" s="64"/>
      <c r="L204" s="64"/>
      <c r="M204" s="64"/>
      <c r="N204" s="64"/>
      <c r="O204" s="64"/>
      <c r="P204" s="64"/>
      <c r="Q204" s="64"/>
      <c r="R204" s="64"/>
      <c r="S204" s="64"/>
      <c r="T204" s="64"/>
      <c r="U204" s="64"/>
      <c r="V204" s="64"/>
      <c r="W204" s="64"/>
      <c r="X204" s="64"/>
      <c r="Y204" s="64"/>
      <c r="Z204" s="64"/>
    </row>
    <row r="205" ht="12.75" customHeight="1">
      <c r="A205" s="108"/>
      <c r="B205" s="64"/>
      <c r="C205" s="64"/>
      <c r="D205" s="64"/>
      <c r="E205" s="64"/>
      <c r="F205" s="63"/>
      <c r="G205" s="63"/>
      <c r="H205" s="64"/>
      <c r="I205" s="64"/>
      <c r="J205" s="64"/>
      <c r="K205" s="64"/>
      <c r="L205" s="64"/>
      <c r="M205" s="64"/>
      <c r="N205" s="64"/>
      <c r="O205" s="64"/>
      <c r="P205" s="64"/>
      <c r="Q205" s="64"/>
      <c r="R205" s="64"/>
      <c r="S205" s="64"/>
      <c r="T205" s="64"/>
      <c r="U205" s="64"/>
      <c r="V205" s="64"/>
      <c r="W205" s="64"/>
      <c r="X205" s="64"/>
      <c r="Y205" s="64"/>
      <c r="Z205" s="64"/>
    </row>
    <row r="206" ht="12.75" customHeight="1">
      <c r="A206" s="108"/>
      <c r="B206" s="64"/>
      <c r="C206" s="64"/>
      <c r="D206" s="64"/>
      <c r="E206" s="64"/>
      <c r="F206" s="63"/>
      <c r="G206" s="63"/>
      <c r="H206" s="64"/>
      <c r="I206" s="64"/>
      <c r="J206" s="64"/>
      <c r="K206" s="64"/>
      <c r="L206" s="64"/>
      <c r="M206" s="64"/>
      <c r="N206" s="64"/>
      <c r="O206" s="64"/>
      <c r="P206" s="64"/>
      <c r="Q206" s="64"/>
      <c r="R206" s="64"/>
      <c r="S206" s="64"/>
      <c r="T206" s="64"/>
      <c r="U206" s="64"/>
      <c r="V206" s="64"/>
      <c r="W206" s="64"/>
      <c r="X206" s="64"/>
      <c r="Y206" s="64"/>
      <c r="Z206" s="64"/>
    </row>
    <row r="207" ht="12.75" customHeight="1">
      <c r="A207" s="108"/>
      <c r="B207" s="64"/>
      <c r="C207" s="64"/>
      <c r="D207" s="64"/>
      <c r="E207" s="64"/>
      <c r="F207" s="63"/>
      <c r="G207" s="63"/>
      <c r="H207" s="64"/>
      <c r="I207" s="64"/>
      <c r="J207" s="64"/>
      <c r="K207" s="64"/>
      <c r="L207" s="64"/>
      <c r="M207" s="64"/>
      <c r="N207" s="64"/>
      <c r="O207" s="64"/>
      <c r="P207" s="64"/>
      <c r="Q207" s="64"/>
      <c r="R207" s="64"/>
      <c r="S207" s="64"/>
      <c r="T207" s="64"/>
      <c r="U207" s="64"/>
      <c r="V207" s="64"/>
      <c r="W207" s="64"/>
      <c r="X207" s="64"/>
      <c r="Y207" s="64"/>
      <c r="Z207" s="64"/>
    </row>
    <row r="208" ht="12.75" customHeight="1">
      <c r="A208" s="108"/>
      <c r="B208" s="64"/>
      <c r="C208" s="64"/>
      <c r="D208" s="64"/>
      <c r="E208" s="64"/>
      <c r="F208" s="63"/>
      <c r="G208" s="63"/>
      <c r="H208" s="64"/>
      <c r="I208" s="64"/>
      <c r="J208" s="64"/>
      <c r="K208" s="64"/>
      <c r="L208" s="64"/>
      <c r="M208" s="64"/>
      <c r="N208" s="64"/>
      <c r="O208" s="64"/>
      <c r="P208" s="64"/>
      <c r="Q208" s="64"/>
      <c r="R208" s="64"/>
      <c r="S208" s="64"/>
      <c r="T208" s="64"/>
      <c r="U208" s="64"/>
      <c r="V208" s="64"/>
      <c r="W208" s="64"/>
      <c r="X208" s="64"/>
      <c r="Y208" s="64"/>
      <c r="Z208" s="64"/>
    </row>
    <row r="209" ht="12.75" customHeight="1">
      <c r="A209" s="108"/>
      <c r="B209" s="64"/>
      <c r="C209" s="64"/>
      <c r="D209" s="64"/>
      <c r="E209" s="64"/>
      <c r="F209" s="63"/>
      <c r="G209" s="63"/>
      <c r="H209" s="64"/>
      <c r="I209" s="64"/>
      <c r="J209" s="64"/>
      <c r="K209" s="64"/>
      <c r="L209" s="64"/>
      <c r="M209" s="64"/>
      <c r="N209" s="64"/>
      <c r="O209" s="64"/>
      <c r="P209" s="64"/>
      <c r="Q209" s="64"/>
      <c r="R209" s="64"/>
      <c r="S209" s="64"/>
      <c r="T209" s="64"/>
      <c r="U209" s="64"/>
      <c r="V209" s="64"/>
      <c r="W209" s="64"/>
      <c r="X209" s="64"/>
      <c r="Y209" s="64"/>
      <c r="Z209" s="64"/>
    </row>
    <row r="210" ht="12.75" customHeight="1">
      <c r="A210" s="108"/>
      <c r="B210" s="64"/>
      <c r="C210" s="64"/>
      <c r="D210" s="64"/>
      <c r="E210" s="64"/>
      <c r="F210" s="63"/>
      <c r="G210" s="63"/>
      <c r="H210" s="64"/>
      <c r="I210" s="64"/>
      <c r="J210" s="64"/>
      <c r="K210" s="64"/>
      <c r="L210" s="64"/>
      <c r="M210" s="64"/>
      <c r="N210" s="64"/>
      <c r="O210" s="64"/>
      <c r="P210" s="64"/>
      <c r="Q210" s="64"/>
      <c r="R210" s="64"/>
      <c r="S210" s="64"/>
      <c r="T210" s="64"/>
      <c r="U210" s="64"/>
      <c r="V210" s="64"/>
      <c r="W210" s="64"/>
      <c r="X210" s="64"/>
      <c r="Y210" s="64"/>
      <c r="Z210" s="64"/>
    </row>
    <row r="211" ht="12.75" customHeight="1">
      <c r="A211" s="108"/>
      <c r="B211" s="64"/>
      <c r="C211" s="64"/>
      <c r="D211" s="64"/>
      <c r="E211" s="64"/>
      <c r="F211" s="63"/>
      <c r="G211" s="63"/>
      <c r="H211" s="64"/>
      <c r="I211" s="64"/>
      <c r="J211" s="64"/>
      <c r="K211" s="64"/>
      <c r="L211" s="64"/>
      <c r="M211" s="64"/>
      <c r="N211" s="64"/>
      <c r="O211" s="64"/>
      <c r="P211" s="64"/>
      <c r="Q211" s="64"/>
      <c r="R211" s="64"/>
      <c r="S211" s="64"/>
      <c r="T211" s="64"/>
      <c r="U211" s="64"/>
      <c r="V211" s="64"/>
      <c r="W211" s="64"/>
      <c r="X211" s="64"/>
      <c r="Y211" s="64"/>
      <c r="Z211" s="64"/>
    </row>
    <row r="212" ht="12.75" customHeight="1">
      <c r="A212" s="108"/>
      <c r="B212" s="64"/>
      <c r="C212" s="64"/>
      <c r="D212" s="64"/>
      <c r="E212" s="64"/>
      <c r="F212" s="63"/>
      <c r="G212" s="63"/>
      <c r="H212" s="64"/>
      <c r="I212" s="64"/>
      <c r="J212" s="64"/>
      <c r="K212" s="64"/>
      <c r="L212" s="64"/>
      <c r="M212" s="64"/>
      <c r="N212" s="64"/>
      <c r="O212" s="64"/>
      <c r="P212" s="64"/>
      <c r="Q212" s="64"/>
      <c r="R212" s="64"/>
      <c r="S212" s="64"/>
      <c r="T212" s="64"/>
      <c r="U212" s="64"/>
      <c r="V212" s="64"/>
      <c r="W212" s="64"/>
      <c r="X212" s="64"/>
      <c r="Y212" s="64"/>
      <c r="Z212" s="64"/>
    </row>
    <row r="213" ht="12.75" customHeight="1">
      <c r="A213" s="108"/>
      <c r="B213" s="64"/>
      <c r="C213" s="64"/>
      <c r="D213" s="64"/>
      <c r="E213" s="64"/>
      <c r="F213" s="63"/>
      <c r="G213" s="63"/>
      <c r="H213" s="64"/>
      <c r="I213" s="64"/>
      <c r="J213" s="64"/>
      <c r="K213" s="64"/>
      <c r="L213" s="64"/>
      <c r="M213" s="64"/>
      <c r="N213" s="64"/>
      <c r="O213" s="64"/>
      <c r="P213" s="64"/>
      <c r="Q213" s="64"/>
      <c r="R213" s="64"/>
      <c r="S213" s="64"/>
      <c r="T213" s="64"/>
      <c r="U213" s="64"/>
      <c r="V213" s="64"/>
      <c r="W213" s="64"/>
      <c r="X213" s="64"/>
      <c r="Y213" s="64"/>
      <c r="Z213" s="64"/>
    </row>
    <row r="214" ht="12.75" customHeight="1">
      <c r="A214" s="108"/>
      <c r="B214" s="64"/>
      <c r="C214" s="64"/>
      <c r="D214" s="64"/>
      <c r="E214" s="64"/>
      <c r="F214" s="63"/>
      <c r="G214" s="63"/>
      <c r="H214" s="64"/>
      <c r="I214" s="64"/>
      <c r="J214" s="64"/>
      <c r="K214" s="64"/>
      <c r="L214" s="64"/>
      <c r="M214" s="64"/>
      <c r="N214" s="64"/>
      <c r="O214" s="64"/>
      <c r="P214" s="64"/>
      <c r="Q214" s="64"/>
      <c r="R214" s="64"/>
      <c r="S214" s="64"/>
      <c r="T214" s="64"/>
      <c r="U214" s="64"/>
      <c r="V214" s="64"/>
      <c r="W214" s="64"/>
      <c r="X214" s="64"/>
      <c r="Y214" s="64"/>
      <c r="Z214" s="64"/>
    </row>
    <row r="215" ht="12.75" customHeight="1">
      <c r="A215" s="108"/>
      <c r="B215" s="64"/>
      <c r="C215" s="64"/>
      <c r="D215" s="64"/>
      <c r="E215" s="64"/>
      <c r="F215" s="63"/>
      <c r="G215" s="63"/>
      <c r="H215" s="64"/>
      <c r="I215" s="64"/>
      <c r="J215" s="64"/>
      <c r="K215" s="64"/>
      <c r="L215" s="64"/>
      <c r="M215" s="64"/>
      <c r="N215" s="64"/>
      <c r="O215" s="64"/>
      <c r="P215" s="64"/>
      <c r="Q215" s="64"/>
      <c r="R215" s="64"/>
      <c r="S215" s="64"/>
      <c r="T215" s="64"/>
      <c r="U215" s="64"/>
      <c r="V215" s="64"/>
      <c r="W215" s="64"/>
      <c r="X215" s="64"/>
      <c r="Y215" s="64"/>
      <c r="Z215" s="64"/>
    </row>
    <row r="216" ht="12.75" customHeight="1">
      <c r="A216" s="108"/>
      <c r="B216" s="64"/>
      <c r="C216" s="64"/>
      <c r="D216" s="64"/>
      <c r="E216" s="64"/>
      <c r="F216" s="63"/>
      <c r="G216" s="63"/>
      <c r="H216" s="64"/>
      <c r="I216" s="64"/>
      <c r="J216" s="64"/>
      <c r="K216" s="64"/>
      <c r="L216" s="64"/>
      <c r="M216" s="64"/>
      <c r="N216" s="64"/>
      <c r="O216" s="64"/>
      <c r="P216" s="64"/>
      <c r="Q216" s="64"/>
      <c r="R216" s="64"/>
      <c r="S216" s="64"/>
      <c r="T216" s="64"/>
      <c r="U216" s="64"/>
      <c r="V216" s="64"/>
      <c r="W216" s="64"/>
      <c r="X216" s="64"/>
      <c r="Y216" s="64"/>
      <c r="Z216" s="64"/>
    </row>
    <row r="217" ht="12.75" customHeight="1">
      <c r="A217" s="108"/>
      <c r="B217" s="64"/>
      <c r="C217" s="64"/>
      <c r="D217" s="64"/>
      <c r="E217" s="64"/>
      <c r="F217" s="63"/>
      <c r="G217" s="63"/>
      <c r="H217" s="64"/>
      <c r="I217" s="64"/>
      <c r="J217" s="64"/>
      <c r="K217" s="64"/>
      <c r="L217" s="64"/>
      <c r="M217" s="64"/>
      <c r="N217" s="64"/>
      <c r="O217" s="64"/>
      <c r="P217" s="64"/>
      <c r="Q217" s="64"/>
      <c r="R217" s="64"/>
      <c r="S217" s="64"/>
      <c r="T217" s="64"/>
      <c r="U217" s="64"/>
      <c r="V217" s="64"/>
      <c r="W217" s="64"/>
      <c r="X217" s="64"/>
      <c r="Y217" s="64"/>
      <c r="Z217" s="64"/>
    </row>
    <row r="218" ht="12.75" customHeight="1">
      <c r="A218" s="108"/>
      <c r="B218" s="64"/>
      <c r="C218" s="64"/>
      <c r="D218" s="64"/>
      <c r="E218" s="64"/>
      <c r="F218" s="63"/>
      <c r="G218" s="63"/>
      <c r="H218" s="64"/>
      <c r="I218" s="64"/>
      <c r="J218" s="64"/>
      <c r="K218" s="64"/>
      <c r="L218" s="64"/>
      <c r="M218" s="64"/>
      <c r="N218" s="64"/>
      <c r="O218" s="64"/>
      <c r="P218" s="64"/>
      <c r="Q218" s="64"/>
      <c r="R218" s="64"/>
      <c r="S218" s="64"/>
      <c r="T218" s="64"/>
      <c r="U218" s="64"/>
      <c r="V218" s="64"/>
      <c r="W218" s="64"/>
      <c r="X218" s="64"/>
      <c r="Y218" s="64"/>
      <c r="Z218" s="64"/>
    </row>
    <row r="219" ht="12.75" customHeight="1">
      <c r="A219" s="108"/>
      <c r="B219" s="64"/>
      <c r="C219" s="64"/>
      <c r="D219" s="64"/>
      <c r="E219" s="64"/>
      <c r="F219" s="63"/>
      <c r="G219" s="63"/>
      <c r="H219" s="64"/>
      <c r="I219" s="64"/>
      <c r="J219" s="64"/>
      <c r="K219" s="64"/>
      <c r="L219" s="64"/>
      <c r="M219" s="64"/>
      <c r="N219" s="64"/>
      <c r="O219" s="64"/>
      <c r="P219" s="64"/>
      <c r="Q219" s="64"/>
      <c r="R219" s="64"/>
      <c r="S219" s="64"/>
      <c r="T219" s="64"/>
      <c r="U219" s="64"/>
      <c r="V219" s="64"/>
      <c r="W219" s="64"/>
      <c r="X219" s="64"/>
      <c r="Y219" s="64"/>
      <c r="Z219" s="64"/>
    </row>
    <row r="220" ht="12.75" customHeight="1">
      <c r="A220" s="108"/>
      <c r="B220" s="64"/>
      <c r="C220" s="64"/>
      <c r="D220" s="64"/>
      <c r="E220" s="64"/>
      <c r="F220" s="63"/>
      <c r="G220" s="63"/>
      <c r="H220" s="64"/>
      <c r="I220" s="64"/>
      <c r="J220" s="64"/>
      <c r="K220" s="64"/>
      <c r="L220" s="64"/>
      <c r="M220" s="64"/>
      <c r="N220" s="64"/>
      <c r="O220" s="64"/>
      <c r="P220" s="64"/>
      <c r="Q220" s="64"/>
      <c r="R220" s="64"/>
      <c r="S220" s="64"/>
      <c r="T220" s="64"/>
      <c r="U220" s="64"/>
      <c r="V220" s="64"/>
      <c r="W220" s="64"/>
      <c r="X220" s="64"/>
      <c r="Y220" s="64"/>
      <c r="Z220" s="64"/>
    </row>
    <row r="221" ht="12.75" customHeight="1">
      <c r="A221" s="108"/>
      <c r="B221" s="64"/>
      <c r="C221" s="64"/>
      <c r="D221" s="64"/>
      <c r="E221" s="64"/>
      <c r="F221" s="63"/>
      <c r="G221" s="63"/>
      <c r="H221" s="64"/>
      <c r="I221" s="64"/>
      <c r="J221" s="64"/>
      <c r="K221" s="64"/>
      <c r="L221" s="64"/>
      <c r="M221" s="64"/>
      <c r="N221" s="64"/>
      <c r="O221" s="64"/>
      <c r="P221" s="64"/>
      <c r="Q221" s="64"/>
      <c r="R221" s="64"/>
      <c r="S221" s="64"/>
      <c r="T221" s="64"/>
      <c r="U221" s="64"/>
      <c r="V221" s="64"/>
      <c r="W221" s="64"/>
      <c r="X221" s="64"/>
      <c r="Y221" s="64"/>
      <c r="Z221" s="64"/>
    </row>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mergeCells count="10">
    <mergeCell ref="C19:D19"/>
    <mergeCell ref="C20:D20"/>
    <mergeCell ref="C21:D21"/>
    <mergeCell ref="C12:D12"/>
    <mergeCell ref="C13:D13"/>
    <mergeCell ref="C14:D14"/>
    <mergeCell ref="C15:D15"/>
    <mergeCell ref="C16:D16"/>
    <mergeCell ref="C17:D17"/>
    <mergeCell ref="C18:D18"/>
  </mergeCells>
  <conditionalFormatting sqref="C6:D6 C8:D8">
    <cfRule type="expression" dxfId="0" priority="1">
      <formula>$A6&lt;&gt;""</formula>
    </cfRule>
  </conditionalFormatting>
  <conditionalFormatting sqref="C6:D6 C8:D8">
    <cfRule type="expression" dxfId="1" priority="2">
      <formula>$A6=""</formula>
    </cfRule>
  </conditionalFormatting>
  <dataValidations>
    <dataValidation type="decimal" allowBlank="1" showErrorMessage="1" sqref="F13:F20">
      <formula1>0.0</formula1>
      <formula2>50.0</formula2>
    </dataValidation>
  </dataValidations>
  <printOptions/>
  <pageMargins bottom="0.75" footer="0.0" header="0.0" left="0.7" right="0.7" top="0.75"/>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4A3B8"/>
    <pageSetUpPr/>
  </sheetPr>
  <sheetViews>
    <sheetView showGridLines="0" workbookViewId="0"/>
  </sheetViews>
  <sheetFormatPr customHeight="1" defaultColWidth="12.63" defaultRowHeight="15.0"/>
  <cols>
    <col customWidth="1" min="1" max="1" width="16.13"/>
    <col customWidth="1" min="2" max="2" width="45.38"/>
    <col customWidth="1" min="3" max="3" width="28.0"/>
    <col customWidth="1" min="4" max="4" width="15.0"/>
    <col customWidth="1" min="5" max="5" width="28.25"/>
    <col customWidth="1" min="6" max="6" width="17.13"/>
    <col customWidth="1" min="7" max="7" width="15.0"/>
    <col customWidth="1" min="8" max="26" width="9.13"/>
  </cols>
  <sheetData>
    <row r="1" ht="12.75" customHeight="1">
      <c r="A1" s="105" t="s">
        <v>260</v>
      </c>
      <c r="B1" s="77" t="s">
        <v>113</v>
      </c>
      <c r="C1" s="78"/>
      <c r="D1" s="78"/>
      <c r="E1" s="64"/>
      <c r="F1" s="63"/>
      <c r="G1" s="63"/>
      <c r="H1" s="64"/>
      <c r="I1" s="64"/>
      <c r="J1" s="64"/>
      <c r="K1" s="64"/>
      <c r="L1" s="64"/>
      <c r="M1" s="64"/>
      <c r="N1" s="64"/>
      <c r="O1" s="64"/>
      <c r="P1" s="64"/>
      <c r="Q1" s="64"/>
      <c r="R1" s="64"/>
      <c r="S1" s="64"/>
      <c r="T1" s="64"/>
      <c r="U1" s="64"/>
      <c r="V1" s="64"/>
      <c r="W1" s="64"/>
      <c r="X1" s="64"/>
      <c r="Y1" s="64"/>
      <c r="Z1" s="64"/>
    </row>
    <row r="2" ht="12.75" customHeight="1">
      <c r="A2" s="110" t="s">
        <v>5</v>
      </c>
      <c r="B2" s="62" t="str">
        <f t="array" ref="B2">IFERROR(INDEX(Sessions!$C$2:$C$173,MATCH($B$1,Sessions!$B$2:$B$173,0))&amp;"","")</f>
        <v>Electronics and Hardware for Intelligent Computing</v>
      </c>
      <c r="C2" s="64"/>
      <c r="D2" s="64"/>
      <c r="E2" s="64"/>
      <c r="F2" s="63"/>
      <c r="G2" s="63"/>
      <c r="H2" s="64"/>
      <c r="I2" s="64"/>
      <c r="J2" s="64"/>
      <c r="K2" s="64"/>
      <c r="L2" s="64"/>
      <c r="M2" s="64"/>
      <c r="N2" s="64"/>
      <c r="O2" s="64"/>
      <c r="P2" s="64"/>
      <c r="Q2" s="64"/>
      <c r="R2" s="64"/>
      <c r="S2" s="64"/>
      <c r="T2" s="64"/>
      <c r="U2" s="64"/>
      <c r="V2" s="64"/>
      <c r="W2" s="64"/>
      <c r="X2" s="64"/>
      <c r="Y2" s="64"/>
      <c r="Z2" s="64"/>
    </row>
    <row r="3" ht="12.75" customHeight="1">
      <c r="A3" s="112" t="s">
        <v>704</v>
      </c>
      <c r="B3" s="86" t="str">
        <f>IF(LEFT($B$1,2)="T1",Schedule!$A$4&amp;", "&amp;Schedule!$A$10,IF(LEFT($B$1,2)="T2",Schedule!$A$4&amp;", "&amp;Schedule!$A$12,IF(LEFT($B$1,2)="T3",Schedule!$A$4&amp;", "&amp;#REF!,IF(LEFT($B$1,2)="T4",Schedule!$A$16&amp;", "&amp;Schedule!$A$18,IF($B$1="Keynote 1",Schedule!$A$4&amp;", "&amp;Schedule!$A$8,IF($B$1="Keynote 2",Schedule!$A$4&amp;", "&amp;Schedule!$A$13,IF($B$1="Keynote 3",Schedule!$A$16&amp;", "&amp;Schedule!$A$19,IF($B$1="IEEE Workshop",Schedule!$A$16&amp;", "&amp;#REF!,""))))))))</f>
        <v>Day 2, 11:00-13:00</v>
      </c>
      <c r="C3" s="80"/>
      <c r="D3" s="80"/>
      <c r="E3" s="64"/>
      <c r="F3" s="63"/>
      <c r="G3" s="63"/>
      <c r="H3" s="64"/>
      <c r="I3" s="64"/>
      <c r="J3" s="64"/>
      <c r="K3" s="64"/>
      <c r="L3" s="64"/>
      <c r="M3" s="64"/>
      <c r="N3" s="64"/>
      <c r="O3" s="64"/>
      <c r="P3" s="64"/>
      <c r="Q3" s="64"/>
      <c r="R3" s="64"/>
      <c r="S3" s="64"/>
      <c r="T3" s="64"/>
      <c r="U3" s="64"/>
      <c r="V3" s="64"/>
      <c r="W3" s="64"/>
      <c r="X3" s="64"/>
      <c r="Y3" s="64"/>
      <c r="Z3" s="64"/>
    </row>
    <row r="4" ht="12.75" customHeight="1">
      <c r="A4" s="112" t="s">
        <v>11</v>
      </c>
      <c r="B4" s="126" t="str">
        <f t="array" ref="B4">IFERROR(INDEX(Sessions!$D$2:$D$173,MATCH($B$1,Sessions!$B$2:$B$173,0))&amp;"","")</f>
        <v>https://bdren.zoom.us/j/5012406330?pwd=czJaVXJnaHdJZlhpM21RWWF1a2hNQT09&amp;omn=91831440282</v>
      </c>
      <c r="C4" s="80"/>
      <c r="D4" s="80"/>
      <c r="E4" s="64"/>
      <c r="F4" s="63"/>
      <c r="G4" s="63"/>
      <c r="H4" s="64"/>
      <c r="I4" s="64"/>
      <c r="J4" s="64"/>
      <c r="K4" s="64"/>
      <c r="L4" s="64"/>
      <c r="M4" s="64"/>
      <c r="N4" s="64"/>
      <c r="O4" s="64"/>
      <c r="P4" s="64"/>
      <c r="Q4" s="64"/>
      <c r="R4" s="64"/>
      <c r="S4" s="64"/>
      <c r="T4" s="64"/>
      <c r="U4" s="64"/>
      <c r="V4" s="64"/>
      <c r="W4" s="64"/>
      <c r="X4" s="64"/>
      <c r="Y4" s="64"/>
      <c r="Z4" s="64"/>
    </row>
    <row r="5" ht="12.75" customHeight="1">
      <c r="A5" s="114" t="s">
        <v>725</v>
      </c>
      <c r="B5" s="86" t="str">
        <f t="array" ref="B5">IFERROR(INDEX(Chairs!$J$2:$J$359,MATCH(1,INDEX((Chairs!$K$2:$K$359=$B$1)*(Chairs!$N$2:$N$359=1),0),0)),"")</f>
        <v>Dr. Khairul Alam</v>
      </c>
      <c r="C5" s="86" t="str">
        <f t="array" ref="C5">IFERROR(INDEX(Chairs!$L$2:$L$359,MATCH(1,INDEX((Chairs!$K$2:$K$359=$B$1)*(Chairs!$N$2:$N$359=1),0),0))&amp;"","")</f>
        <v>kalam@ewubd.edu</v>
      </c>
      <c r="D5" s="86" t="str">
        <f t="array" ref="D5">IFERROR(INDEX(Chairs!$M$2:$M$359,MATCH(1,INDEX((Chairs!$K$2:$K$359=$B$1)*(Chairs!$N$2:$N$359=1),0),0))&amp;"","")</f>
        <v>01713458911</v>
      </c>
      <c r="E5" s="64"/>
      <c r="F5" s="63"/>
      <c r="G5" s="63"/>
      <c r="H5" s="64"/>
      <c r="I5" s="64"/>
      <c r="J5" s="64"/>
      <c r="K5" s="64"/>
      <c r="L5" s="64"/>
      <c r="M5" s="64"/>
      <c r="N5" s="64"/>
      <c r="O5" s="64"/>
      <c r="P5" s="64"/>
      <c r="Q5" s="64"/>
      <c r="R5" s="64"/>
      <c r="S5" s="64"/>
      <c r="T5" s="64"/>
      <c r="U5" s="64"/>
      <c r="V5" s="64"/>
      <c r="W5" s="64"/>
      <c r="X5" s="64"/>
      <c r="Y5" s="64"/>
      <c r="Z5" s="64"/>
    </row>
    <row r="6" ht="12.75" customHeight="1">
      <c r="A6" s="114" t="s">
        <v>726</v>
      </c>
      <c r="B6" s="118" t="s">
        <v>285</v>
      </c>
      <c r="C6" s="8" t="s">
        <v>287</v>
      </c>
      <c r="D6" s="59" t="s">
        <v>288</v>
      </c>
      <c r="E6" s="64"/>
      <c r="F6" s="63"/>
      <c r="G6" s="63"/>
      <c r="H6" s="64"/>
      <c r="I6" s="64"/>
      <c r="J6" s="64"/>
      <c r="K6" s="64"/>
      <c r="L6" s="64"/>
      <c r="M6" s="64"/>
      <c r="N6" s="64"/>
      <c r="O6" s="64"/>
      <c r="P6" s="64"/>
      <c r="Q6" s="64"/>
      <c r="R6" s="64"/>
      <c r="S6" s="64"/>
      <c r="T6" s="64"/>
      <c r="U6" s="64"/>
      <c r="V6" s="64"/>
      <c r="W6" s="64"/>
      <c r="X6" s="64"/>
      <c r="Y6" s="64"/>
      <c r="Z6" s="64"/>
    </row>
    <row r="7" ht="12.75" customHeight="1">
      <c r="A7" s="112" t="s">
        <v>709</v>
      </c>
      <c r="B7" s="86" t="str">
        <f t="array" ref="B7">IFERROR(INDEX('Senior Faculty'!$J$2:$J$401,MATCH(1,INDEX(('Senior Faculty'!$K$2:$K$401=$B$1)*('Senior Faculty'!$N$2:$N$401=1),0),0)),"")</f>
        <v>Dr. Ayesha Akter Lata</v>
      </c>
      <c r="C7" s="86" t="str">
        <f t="array" ref="C7">IFERROR(INDEX('Senior Faculty'!$L$2:$L$401,MATCH(1,INDEX(('Senior Faculty'!$K$2:$K$401=$B$1)*('Senior Faculty'!$N$2:$N$401=1),0),0))&amp;"","")</f>
        <v>ayesha.akter@ulab.edu.bd</v>
      </c>
      <c r="D7" s="86" t="str">
        <f t="array" ref="D7">IFERROR(INDEX('Senior Faculty'!$M$2:$M$401,MATCH(1,INDEX(('Senior Faculty'!$K$2:$K$401=$B$1)*('Senior Faculty'!$N$2:$N$401=1),0),0))&amp;"","")</f>
        <v>01856412501</v>
      </c>
      <c r="E7" s="64"/>
      <c r="F7" s="63"/>
      <c r="G7" s="63"/>
      <c r="H7" s="64"/>
      <c r="I7" s="64"/>
      <c r="J7" s="64"/>
      <c r="K7" s="64"/>
      <c r="L7" s="64"/>
      <c r="M7" s="64"/>
      <c r="N7" s="64"/>
      <c r="O7" s="64"/>
      <c r="P7" s="64"/>
      <c r="Q7" s="64"/>
      <c r="R7" s="64"/>
      <c r="S7" s="64"/>
      <c r="T7" s="64"/>
      <c r="U7" s="64"/>
      <c r="V7" s="64"/>
      <c r="W7" s="64"/>
      <c r="X7" s="64"/>
      <c r="Y7" s="64"/>
      <c r="Z7" s="64"/>
    </row>
    <row r="8" ht="12.75" customHeight="1">
      <c r="A8" s="112" t="s">
        <v>713</v>
      </c>
      <c r="B8" s="86" t="str">
        <f t="array" ref="B8">IFERROR(INDEX('Junior Faculty'!$J$2:$J$401,MATCH(1,INDEX(('Junior Faculty'!$K$2:$K$401=$B$1)*('Junior Faculty'!$N$2:$N$401=1),0),0)),"")</f>
        <v>Imran Hossain</v>
      </c>
      <c r="C8" s="86" t="str">
        <f t="array" ref="C8">IFERROR(INDEX('Junior Faculty'!$L$2:$L$401,MATCH(1,INDEX(('Junior Faculty'!$K$2:$K$401=$B$1)*('Junior Faculty'!$N$2:$N$401=1),0),0))&amp;"","")</f>
        <v>imran.hossain3@ulab.edu.bd</v>
      </c>
      <c r="D8" s="86" t="str">
        <f t="array" ref="D8">IFERROR(INDEX('Junior Faculty'!$M$2:$M$401,MATCH(1,INDEX(('Junior Faculty'!$K$2:$K$401=$B$1)*('Junior Faculty'!$N$2:$N$401=1),0),0))&amp;"","")</f>
        <v>01621853028</v>
      </c>
      <c r="E8" s="64"/>
      <c r="F8" s="63"/>
      <c r="G8" s="63"/>
      <c r="H8" s="64"/>
      <c r="I8" s="64"/>
      <c r="J8" s="64"/>
      <c r="K8" s="64"/>
      <c r="L8" s="64"/>
      <c r="M8" s="64"/>
      <c r="N8" s="64"/>
      <c r="O8" s="64"/>
      <c r="P8" s="64"/>
      <c r="Q8" s="64"/>
      <c r="R8" s="64"/>
      <c r="S8" s="64"/>
      <c r="T8" s="64"/>
      <c r="U8" s="64"/>
      <c r="V8" s="64"/>
      <c r="W8" s="64"/>
      <c r="X8" s="64"/>
      <c r="Y8" s="64"/>
      <c r="Z8" s="64"/>
    </row>
    <row r="9" ht="12.75" customHeight="1">
      <c r="A9" s="119" t="s">
        <v>714</v>
      </c>
      <c r="B9" s="95" t="str">
        <f t="array" ref="B9">IFERROR(INDEX('Junior Faculty'!$J$2:$J$401,MATCH(1,INDEX(('Junior Faculty'!$K$2:$K$401=$B$1)*('Junior Faculty'!$N$2:$N$401=2),0),0)),"")</f>
        <v/>
      </c>
      <c r="C9" s="95" t="str">
        <f t="array" ref="C9">IFERROR(INDEX('Junior Faculty'!$L$2:$L$401,MATCH(1,INDEX(('Junior Faculty'!$K$2:$K$401=$B$1)*('Junior Faculty'!$N$2:$N$401=2),0),0))&amp;"","")</f>
        <v/>
      </c>
      <c r="D9" s="95" t="str">
        <f t="array" ref="D9">IFERROR(INDEX('Junior Faculty'!$M$2:$M$401,MATCH(1,INDEX(('Junior Faculty'!$K$2:$K$401=$B$1)*('Junior Faculty'!$N$2:$N$401=2),0),0))&amp;"","")</f>
        <v/>
      </c>
      <c r="E9" s="64"/>
      <c r="F9" s="63"/>
      <c r="G9" s="63"/>
      <c r="H9" s="64"/>
      <c r="I9" s="64"/>
      <c r="J9" s="64"/>
      <c r="K9" s="64"/>
      <c r="L9" s="64"/>
      <c r="M9" s="64"/>
      <c r="N9" s="64"/>
      <c r="O9" s="64"/>
      <c r="P9" s="64"/>
      <c r="Q9" s="64"/>
      <c r="R9" s="64"/>
      <c r="S9" s="64"/>
      <c r="T9" s="64"/>
      <c r="U9" s="64"/>
      <c r="V9" s="64"/>
      <c r="W9" s="64"/>
      <c r="X9" s="64"/>
      <c r="Y9" s="64"/>
      <c r="Z9" s="64"/>
    </row>
    <row r="10" ht="12.75" customHeight="1">
      <c r="A10" s="108"/>
      <c r="B10" s="64"/>
      <c r="C10" s="64"/>
      <c r="D10" s="64"/>
      <c r="E10" s="64"/>
      <c r="F10" s="63"/>
      <c r="G10" s="63"/>
      <c r="H10" s="64"/>
      <c r="I10" s="64"/>
      <c r="J10" s="64"/>
      <c r="K10" s="64"/>
      <c r="L10" s="64"/>
      <c r="M10" s="64"/>
      <c r="N10" s="64"/>
      <c r="O10" s="64"/>
      <c r="P10" s="64"/>
      <c r="Q10" s="64"/>
      <c r="R10" s="64"/>
      <c r="S10" s="64"/>
      <c r="T10" s="64"/>
      <c r="U10" s="64"/>
      <c r="V10" s="64"/>
      <c r="W10" s="64"/>
      <c r="X10" s="64"/>
      <c r="Y10" s="64"/>
      <c r="Z10" s="64"/>
    </row>
    <row r="11" ht="12.75" customHeight="1">
      <c r="A11" s="121" t="s">
        <v>727</v>
      </c>
      <c r="B11" s="86"/>
      <c r="C11" s="86"/>
      <c r="D11" s="86"/>
      <c r="E11" s="64"/>
      <c r="F11" s="63"/>
      <c r="G11" s="63"/>
      <c r="H11" s="64"/>
      <c r="I11" s="64"/>
      <c r="J11" s="64"/>
      <c r="K11" s="64"/>
      <c r="L11" s="64"/>
      <c r="M11" s="64"/>
      <c r="N11" s="64"/>
      <c r="O11" s="64"/>
      <c r="P11" s="64"/>
      <c r="Q11" s="64"/>
      <c r="R11" s="64"/>
      <c r="S11" s="64"/>
      <c r="T11" s="64"/>
      <c r="U11" s="64"/>
      <c r="V11" s="64"/>
      <c r="W11" s="64"/>
      <c r="X11" s="64"/>
      <c r="Y11" s="64"/>
      <c r="Z11" s="64"/>
    </row>
    <row r="12" ht="15.0" customHeight="1">
      <c r="A12" s="122" t="s">
        <v>174</v>
      </c>
      <c r="B12" s="122" t="s">
        <v>256</v>
      </c>
      <c r="C12" s="123" t="s">
        <v>257</v>
      </c>
      <c r="D12" s="124"/>
      <c r="E12" s="61" t="s">
        <v>258</v>
      </c>
      <c r="F12" s="60" t="s">
        <v>265</v>
      </c>
      <c r="G12" s="64"/>
      <c r="H12" s="64"/>
      <c r="I12" s="64"/>
      <c r="J12" s="64"/>
      <c r="K12" s="64"/>
      <c r="L12" s="64"/>
      <c r="M12" s="64"/>
      <c r="N12" s="64"/>
      <c r="O12" s="64"/>
      <c r="P12" s="64"/>
      <c r="Q12" s="64"/>
      <c r="R12" s="64"/>
      <c r="S12" s="64"/>
      <c r="T12" s="64"/>
      <c r="U12" s="64"/>
      <c r="V12" s="64"/>
      <c r="W12" s="64"/>
      <c r="X12" s="64"/>
      <c r="Y12" s="64"/>
      <c r="Z12" s="64"/>
    </row>
    <row r="13" ht="12.75" customHeight="1">
      <c r="A13" s="113">
        <f t="array" ref="A13">IFERROR(INDEX(Papers!$A$2:$A$201,MATCH(1,INDEX((Papers!$G$2:$G$201=$B$1)*(Papers!$I$2:$I$201=1),0),0)),"")</f>
        <v>273</v>
      </c>
      <c r="B13" s="113" t="str">
        <f t="array" ref="B13">IFERROR(INDEX(Papers!$C$2:$C$201,MATCH(1,INDEX((Papers!$G$2:$G$201=$B$1)*(Papers!$I$2:$I$201=1),0),0)),"")</f>
        <v>A Lightweight Hybrid Quantum-Classical CNN for Brain Tumor MRI Classification</v>
      </c>
      <c r="C13" s="113" t="str">
        <f t="array" ref="C13">IFERROR(INDEX(Papers!$D$2:$D$201,MATCH(1,INDEX((Papers!$G$2:$G$201=$B$1)*(Papers!$I$2:$I$201=1),0),0)),"")</f>
        <v>Tamanna Khatun (University of Liberal Arts Bangladesh)*; Nafees Mansoor (University of Liberal Arts Bangladesh)</v>
      </c>
      <c r="D13" s="125"/>
      <c r="E13" s="86" t="str">
        <f t="array" ref="E13">IFERROR(INDEX(Papers!$E$2:$E$201,MATCH(1,INDEX((Papers!$G$2:$G$201=$B$1)*(Papers!$I$2:$I$201=1),0),0)),"")</f>
        <v>tamanna.khatun.cse@ulab.edu.bd; nafees.mansoor@ulab.edu.bd</v>
      </c>
      <c r="F13" s="67"/>
      <c r="G13" s="64"/>
      <c r="H13" s="64"/>
      <c r="I13" s="64"/>
      <c r="J13" s="64"/>
      <c r="K13" s="64"/>
      <c r="L13" s="64"/>
      <c r="M13" s="64"/>
      <c r="N13" s="64"/>
      <c r="O13" s="64"/>
      <c r="P13" s="64"/>
      <c r="Q13" s="64"/>
      <c r="R13" s="64"/>
      <c r="S13" s="64"/>
      <c r="T13" s="64"/>
      <c r="U13" s="64"/>
      <c r="V13" s="64"/>
      <c r="W13" s="64"/>
      <c r="X13" s="64"/>
      <c r="Y13" s="64"/>
      <c r="Z13" s="64"/>
    </row>
    <row r="14" ht="12.75" customHeight="1">
      <c r="A14" s="113">
        <f t="array" ref="A14">IFERROR(INDEX(Papers!$A$2:$A$201,MATCH(1,INDEX((Papers!$G$2:$G$201=$B$1)*(Papers!$I$2:$I$201=2),0),0)),"")</f>
        <v>85</v>
      </c>
      <c r="B14" s="113" t="str">
        <f t="array" ref="B14">IFERROR(INDEX(Papers!$C$2:$C$201,MATCH(1,INDEX((Papers!$G$2:$G$201=$B$1)*(Papers!$I$2:$I$201=2),0),0)),"")</f>
        <v>Multi-Metaheuristic Optimisation of Cascade Controllers for DC-DC Converters: A Comparative Study of PI, PID, and Sliding Mode Control</v>
      </c>
      <c r="C14" s="113" t="str">
        <f t="array" ref="C14">IFERROR(INDEX(Papers!$D$2:$D$201,MATCH(1,INDEX((Papers!$G$2:$G$201=$B$1)*(Papers!$I$2:$I$201=2),0),0)),"")</f>
        <v>Md Maniruz Zaman (Bangladesh University of Engineering and Technology)*; Jiad Bin Asad (Uttara University); Amit Das (Uttara University); Md. Shamsul Islam (Uttara University); Md. Mehedi Hasan Tusar (Uttara University); Uttam Mahapatra (Uttara University)</v>
      </c>
      <c r="D14" s="125"/>
      <c r="E14" s="86" t="str">
        <f t="array" ref="E14">IFERROR(INDEX(Papers!$E$2:$E$201,MATCH(1,INDEX((Papers!$G$2:$G$201=$B$1)*(Papers!$I$2:$I$201=2),0),0)),"")</f>
        <v>mmzaman.ruet@gmail.com; jiadbinasad@gmail.com; amit.das.ruet@gmail.com; islamshamsul127@gmail.com; its.mehedi.eee@gmail.com; uttammahapatra211@gmail.com</v>
      </c>
      <c r="F14" s="67"/>
      <c r="G14" s="64"/>
      <c r="H14" s="64"/>
      <c r="I14" s="64"/>
      <c r="J14" s="64"/>
      <c r="K14" s="64"/>
      <c r="L14" s="64"/>
      <c r="M14" s="64"/>
      <c r="N14" s="64"/>
      <c r="O14" s="64"/>
      <c r="P14" s="64"/>
      <c r="Q14" s="64"/>
      <c r="R14" s="64"/>
      <c r="S14" s="64"/>
      <c r="T14" s="64"/>
      <c r="U14" s="64"/>
      <c r="V14" s="64"/>
      <c r="W14" s="64"/>
      <c r="X14" s="64"/>
      <c r="Y14" s="64"/>
      <c r="Z14" s="64"/>
    </row>
    <row r="15" ht="12.75" customHeight="1">
      <c r="A15" s="113">
        <f t="array" ref="A15">IFERROR(INDEX(Papers!$A$2:$A$201,MATCH(1,INDEX((Papers!$G$2:$G$201=$B$1)*(Papers!$I$2:$I$201=3),0),0)),"")</f>
        <v>148</v>
      </c>
      <c r="B15" s="113" t="str">
        <f t="array" ref="B15">IFERROR(INDEX(Papers!$C$2:$C$201,MATCH(1,INDEX((Papers!$G$2:$G$201=$B$1)*(Papers!$I$2:$I$201=3),0),0)),"")</f>
        <v>Cross-Design Limitations of ML-Based PPA Prediction in OpenLane</v>
      </c>
      <c r="C15" s="113" t="str">
        <f t="array" ref="C15">IFERROR(INDEX(Papers!$D$2:$D$201,MATCH(1,INDEX((Papers!$G$2:$G$201=$B$1)*(Papers!$I$2:$I$201=3),0),0)),"")</f>
        <v>Atair Rahman Alvi (BRAC University)*; Tahmid Noor Rahman (BRAC University); Ifrana Hamim (BRAC University); Md. Siam Khan Niloy (AIUB)</v>
      </c>
      <c r="D15" s="125"/>
      <c r="E15" s="86" t="str">
        <f t="array" ref="E15">IFERROR(INDEX(Papers!$E$2:$E$201,MATCH(1,INDEX((Papers!$G$2:$G$201=$B$1)*(Papers!$I$2:$I$201=3),0),0)),"")</f>
        <v>alvialvi91@gmail.com; tahmid5555@gmail.com; hamimifrana@gmail.com; mdsiamkhanniloy@gmail.com</v>
      </c>
      <c r="F15" s="67"/>
      <c r="G15" s="64"/>
      <c r="H15" s="64"/>
      <c r="I15" s="64"/>
      <c r="J15" s="64"/>
      <c r="K15" s="64"/>
      <c r="L15" s="64"/>
      <c r="M15" s="64"/>
      <c r="N15" s="64"/>
      <c r="O15" s="64"/>
      <c r="P15" s="64"/>
      <c r="Q15" s="64"/>
      <c r="R15" s="64"/>
      <c r="S15" s="64"/>
      <c r="T15" s="64"/>
      <c r="U15" s="64"/>
      <c r="V15" s="64"/>
      <c r="W15" s="64"/>
      <c r="X15" s="64"/>
      <c r="Y15" s="64"/>
      <c r="Z15" s="64"/>
    </row>
    <row r="16" ht="12.75" customHeight="1">
      <c r="A16" s="113">
        <f t="array" ref="A16">IFERROR(INDEX(Papers!$A$2:$A$201,MATCH(1,INDEX((Papers!$G$2:$G$201=$B$1)*(Papers!$I$2:$I$201=4),0),0)),"")</f>
        <v>274</v>
      </c>
      <c r="B16" s="113" t="str">
        <f t="array" ref="B16">IFERROR(INDEX(Papers!$C$2:$C$201,MATCH(1,INDEX((Papers!$G$2:$G$201=$B$1)*(Papers!$I$2:$I$201=4),0),0)),"")</f>
        <v>Modulation Strategy for Optimizing Semiconductor Losses for A High Power Step-Down Dual Active Bridge Converter in AI Data Center Applications</v>
      </c>
      <c r="C16" s="113" t="str">
        <f t="array" ref="C16">IFERROR(INDEX(Papers!$D$2:$D$201,MATCH(1,INDEX((Papers!$G$2:$G$201=$B$1)*(Papers!$I$2:$I$201=4),0),0)),"")</f>
        <v>Mohammad  Reza (Islamic University of Technology )*; Mubeen Chowdhury  (Islamic University of Technology ); Nasif Niloy (Islamic University of Technology )</v>
      </c>
      <c r="D16" s="125"/>
      <c r="E16" s="86" t="str">
        <f t="array" ref="E16">IFERROR(INDEX(Papers!$E$2:$E$201,MATCH(1,INDEX((Papers!$G$2:$G$201=$B$1)*(Papers!$I$2:$I$201=4),0),0)),"")</f>
        <v>farhanreza@iut-dhaka.edu; mubeeraisul@iut-dhaka.edu; nasifniloy@iut-dhaka.edu</v>
      </c>
      <c r="F16" s="67"/>
      <c r="G16" s="64"/>
      <c r="H16" s="64"/>
      <c r="I16" s="64"/>
      <c r="J16" s="64"/>
      <c r="K16" s="64"/>
      <c r="L16" s="64"/>
      <c r="M16" s="64"/>
      <c r="N16" s="64"/>
      <c r="O16" s="64"/>
      <c r="P16" s="64"/>
      <c r="Q16" s="64"/>
      <c r="R16" s="64"/>
      <c r="S16" s="64"/>
      <c r="T16" s="64"/>
      <c r="U16" s="64"/>
      <c r="V16" s="64"/>
      <c r="W16" s="64"/>
      <c r="X16" s="64"/>
      <c r="Y16" s="64"/>
      <c r="Z16" s="64"/>
    </row>
    <row r="17" ht="12.75" customHeight="1">
      <c r="A17" s="113">
        <f t="array" ref="A17">IFERROR(INDEX(Papers!$A$2:$A$201,MATCH(1,INDEX((Papers!$G$2:$G$201=$B$1)*(Papers!$I$2:$I$201=5),0),0)),"")</f>
        <v>345</v>
      </c>
      <c r="B17" s="113" t="str">
        <f t="array" ref="B17">IFERROR(INDEX(Papers!$C$2:$C$201,MATCH(1,INDEX((Papers!$G$2:$G$201=$B$1)*(Papers!$I$2:$I$201=5),0),0)),"")</f>
        <v>An Au/ITO Dual-Layer Photonic Crystal Fiber Surface Plasmon Resonance Biosensor for Label-Free Detection and Discrimination of Basal, HeLa, and Jurkat Cancer Cells</v>
      </c>
      <c r="C17" s="113" t="str">
        <f t="array" ref="C17">IFERROR(INDEX(Papers!$D$2:$D$201,MATCH(1,INDEX((Papers!$G$2:$G$201=$B$1)*(Papers!$I$2:$I$201=5),0),0)),"")</f>
        <v>Samiul Hasan (Independent University)*; Fardous  Mahmud (Independent University); Naim Abrar   Shaharia (	Independent University); Minhazul Abedin   Nabil (Independent University); Hemal  Sharma (	Independent University); Kh Shahriya  Zaman (	Independent University); Feroz  Ahmed (Independent University)</v>
      </c>
      <c r="D17" s="125"/>
      <c r="E17" s="86" t="str">
        <f t="array" ref="E17">IFERROR(INDEX(Papers!$E$2:$E$201,MATCH(1,INDEX((Papers!$G$2:$G$201=$B$1)*(Papers!$I$2:$I$201=5),0),0)),"")</f>
        <v>samiulhasan803@gmail.com; fardousmahmud8@gmail.com; 2221447@iub.edu.bd; 2221738@iub.edu.bd; sharma.hemal14@gmail.com; shahriya@iub.edu.bd; fahmed@iub.edu.bd</v>
      </c>
      <c r="F17" s="67"/>
      <c r="G17" s="64"/>
      <c r="H17" s="64"/>
      <c r="I17" s="64"/>
      <c r="J17" s="64"/>
      <c r="K17" s="64"/>
      <c r="L17" s="64"/>
      <c r="M17" s="64"/>
      <c r="N17" s="64"/>
      <c r="O17" s="64"/>
      <c r="P17" s="64"/>
      <c r="Q17" s="64"/>
      <c r="R17" s="64"/>
      <c r="S17" s="64"/>
      <c r="T17" s="64"/>
      <c r="U17" s="64"/>
      <c r="V17" s="64"/>
      <c r="W17" s="64"/>
      <c r="X17" s="64"/>
      <c r="Y17" s="64"/>
      <c r="Z17" s="64"/>
    </row>
    <row r="18" ht="12.75" customHeight="1">
      <c r="A18" s="113">
        <f t="array" ref="A18">IFERROR(INDEX(Papers!$A$2:$A$201,MATCH(1,INDEX((Papers!$G$2:$G$201=$B$1)*(Papers!$I$2:$I$201=6),0),0)),"")</f>
        <v>139</v>
      </c>
      <c r="B18" s="113" t="str">
        <f t="array" ref="B18">IFERROR(INDEX(Papers!$C$2:$C$201,MATCH(1,INDEX((Papers!$G$2:$G$201=$B$1)*(Papers!$I$2:$I$201=6),0),0)),"")</f>
        <v>A Comparative Study of Statistical, Machine Learning, and Deep Learning Models for Short-Term Electricity Load Forecasting on the Bangladesh National Grid</v>
      </c>
      <c r="C18" s="113" t="str">
        <f t="array" ref="C18">IFERROR(INDEX(Papers!$D$2:$D$201,MATCH(1,INDEX((Papers!$G$2:$G$201=$B$1)*(Papers!$I$2:$I$201=6),0),0)),"")</f>
        <v>Kazi Shadman  Sakib (University of Dhaka); Syeda Tamima Sama  Parsa (Sylhet Engineering College); Mubinur Rashid Tahjib (Sylhet Engineering College)*; Md. Shahid  Iqbal (Mymensingh Engineering College)</v>
      </c>
      <c r="D18" s="125"/>
      <c r="E18" s="86" t="str">
        <f t="array" ref="E18">IFERROR(INDEX(Papers!$E$2:$E$201,MATCH(1,INDEX((Papers!$G$2:$G$201=$B$1)*(Papers!$I$2:$I$201=6),0),0)),"")</f>
        <v>kazishadman-2017614973@cs.du.ac.bd; syeda.parsa@sec.ac.bd; mubinur.tahjib@sec.ac.bd; iqbal@mec.ac.bd</v>
      </c>
      <c r="F18" s="67"/>
      <c r="G18" s="64"/>
      <c r="H18" s="64"/>
      <c r="I18" s="64"/>
      <c r="J18" s="64"/>
      <c r="K18" s="64"/>
      <c r="L18" s="64"/>
      <c r="M18" s="64"/>
      <c r="N18" s="64"/>
      <c r="O18" s="64"/>
      <c r="P18" s="64"/>
      <c r="Q18" s="64"/>
      <c r="R18" s="64"/>
      <c r="S18" s="64"/>
      <c r="T18" s="64"/>
      <c r="U18" s="64"/>
      <c r="V18" s="64"/>
      <c r="W18" s="64"/>
      <c r="X18" s="64"/>
      <c r="Y18" s="64"/>
      <c r="Z18" s="64"/>
    </row>
    <row r="19" ht="12.75" customHeight="1">
      <c r="A19" s="113" t="str">
        <f t="array" ref="A19">IFERROR(INDEX(Papers!$A$2:$A$201,MATCH(1,INDEX((Papers!$G$2:$G$201=$B$1)*(Papers!$I$2:$I$201=7),0),0)),"")</f>
        <v/>
      </c>
      <c r="B19" s="113" t="str">
        <f t="array" ref="B19">IFERROR(INDEX(Papers!$C$2:$C$201,MATCH(1,INDEX((Papers!$G$2:$G$201=$B$1)*(Papers!$I$2:$I$201=7),0),0)),"")</f>
        <v/>
      </c>
      <c r="C19" s="113" t="str">
        <f t="array" ref="C19">IFERROR(INDEX(Papers!$D$2:$D$201,MATCH(1,INDEX((Papers!$G$2:$G$201=$B$1)*(Papers!$I$2:$I$201=7),0),0)),"")</f>
        <v/>
      </c>
      <c r="D19" s="125"/>
      <c r="E19" s="86" t="str">
        <f t="array" ref="E19">IFERROR(INDEX(Papers!$E$2:$E$201,MATCH(1,INDEX((Papers!$G$2:$G$201=$B$1)*(Papers!$I$2:$I$201=7),0),0)),"")</f>
        <v/>
      </c>
      <c r="F19" s="67"/>
      <c r="G19" s="64"/>
      <c r="H19" s="64"/>
      <c r="I19" s="64"/>
      <c r="J19" s="64"/>
      <c r="K19" s="64"/>
      <c r="L19" s="64"/>
      <c r="M19" s="64"/>
      <c r="N19" s="64"/>
      <c r="O19" s="64"/>
      <c r="P19" s="64"/>
      <c r="Q19" s="64"/>
      <c r="R19" s="64"/>
      <c r="S19" s="64"/>
      <c r="T19" s="64"/>
      <c r="U19" s="64"/>
      <c r="V19" s="64"/>
      <c r="W19" s="64"/>
      <c r="X19" s="64"/>
      <c r="Y19" s="64"/>
      <c r="Z19" s="64"/>
    </row>
    <row r="20" ht="12.75" customHeight="1">
      <c r="A20" s="113" t="str">
        <f t="array" ref="A20">IFERROR(INDEX(Papers!$A$2:$A$201,MATCH(1,INDEX((Papers!$G$2:$G$201=$B$1)*(Papers!$I$2:$I$201=8),0),0)),"")</f>
        <v/>
      </c>
      <c r="B20" s="113" t="str">
        <f t="array" ref="B20">IFERROR(INDEX(Papers!$C$2:$C$201,MATCH(1,INDEX((Papers!$G$2:$G$201=$B$1)*(Papers!$I$2:$I$201=8),0),0)),"")</f>
        <v/>
      </c>
      <c r="C20" s="113" t="str">
        <f t="array" ref="C20">IFERROR(INDEX(Papers!$D$2:$D$201,MATCH(1,INDEX((Papers!$G$2:$G$201=$B$1)*(Papers!$I$2:$I$201=8),0),0)),"")</f>
        <v/>
      </c>
      <c r="D20" s="125"/>
      <c r="E20" s="86" t="str">
        <f t="array" ref="E20">IFERROR(INDEX(Papers!$E$2:$E$201,MATCH(1,INDEX((Papers!$G$2:$G$201=$B$1)*(Papers!$I$2:$I$201=8),0),0)),"")</f>
        <v/>
      </c>
      <c r="F20" s="67"/>
      <c r="G20" s="64"/>
      <c r="H20" s="64"/>
      <c r="I20" s="64"/>
      <c r="J20" s="64"/>
      <c r="K20" s="64"/>
      <c r="L20" s="64"/>
      <c r="M20" s="64"/>
      <c r="N20" s="64"/>
      <c r="O20" s="64"/>
      <c r="P20" s="64"/>
      <c r="Q20" s="64"/>
      <c r="R20" s="64"/>
      <c r="S20" s="64"/>
      <c r="T20" s="64"/>
      <c r="U20" s="64"/>
      <c r="V20" s="64"/>
      <c r="W20" s="64"/>
      <c r="X20" s="64"/>
      <c r="Y20" s="64"/>
      <c r="Z20" s="64"/>
    </row>
    <row r="21" ht="12.75" customHeight="1">
      <c r="A21" s="108"/>
      <c r="B21" s="64"/>
      <c r="C21" s="64"/>
      <c r="E21" s="64"/>
      <c r="F21" s="63"/>
      <c r="G21" s="64"/>
      <c r="H21" s="64"/>
      <c r="I21" s="64"/>
      <c r="J21" s="64"/>
      <c r="K21" s="64"/>
      <c r="L21" s="64"/>
      <c r="M21" s="64"/>
      <c r="N21" s="64"/>
      <c r="O21" s="64"/>
      <c r="P21" s="64"/>
      <c r="Q21" s="64"/>
      <c r="R21" s="64"/>
      <c r="S21" s="64"/>
      <c r="T21" s="64"/>
      <c r="U21" s="64"/>
      <c r="V21" s="64"/>
      <c r="W21" s="64"/>
      <c r="X21" s="64"/>
      <c r="Y21" s="64"/>
      <c r="Z21" s="64"/>
    </row>
    <row r="22" ht="12.75" customHeight="1">
      <c r="A22" s="108"/>
      <c r="B22" s="64"/>
      <c r="C22" s="64"/>
      <c r="D22" s="64"/>
      <c r="E22" s="64"/>
      <c r="F22" s="63"/>
      <c r="G22" s="63"/>
      <c r="H22" s="64"/>
      <c r="I22" s="64"/>
      <c r="J22" s="64"/>
      <c r="K22" s="64"/>
      <c r="L22" s="64"/>
      <c r="M22" s="64"/>
      <c r="N22" s="64"/>
      <c r="O22" s="64"/>
      <c r="P22" s="64"/>
      <c r="Q22" s="64"/>
      <c r="R22" s="64"/>
      <c r="S22" s="64"/>
      <c r="T22" s="64"/>
      <c r="U22" s="64"/>
      <c r="V22" s="64"/>
      <c r="W22" s="64"/>
      <c r="X22" s="64"/>
      <c r="Y22" s="64"/>
      <c r="Z22" s="64"/>
    </row>
    <row r="23" ht="12.75" customHeight="1">
      <c r="A23" s="108"/>
      <c r="B23" s="64"/>
      <c r="C23" s="64"/>
      <c r="D23" s="64"/>
      <c r="E23" s="64"/>
      <c r="F23" s="63"/>
      <c r="G23" s="63"/>
      <c r="H23" s="64"/>
      <c r="I23" s="64"/>
      <c r="J23" s="64"/>
      <c r="K23" s="64"/>
      <c r="L23" s="64"/>
      <c r="M23" s="64"/>
      <c r="N23" s="64"/>
      <c r="O23" s="64"/>
      <c r="P23" s="64"/>
      <c r="Q23" s="64"/>
      <c r="R23" s="64"/>
      <c r="S23" s="64"/>
      <c r="T23" s="64"/>
      <c r="U23" s="64"/>
      <c r="V23" s="64"/>
      <c r="W23" s="64"/>
      <c r="X23" s="64"/>
      <c r="Y23" s="64"/>
      <c r="Z23" s="64"/>
    </row>
    <row r="24" ht="12.75" customHeight="1">
      <c r="A24" s="108"/>
      <c r="B24" s="64"/>
      <c r="C24" s="64"/>
      <c r="D24" s="64"/>
      <c r="E24" s="64"/>
      <c r="F24" s="63"/>
      <c r="G24" s="63"/>
      <c r="H24" s="64"/>
      <c r="I24" s="64"/>
      <c r="J24" s="64"/>
      <c r="K24" s="64"/>
      <c r="L24" s="64"/>
      <c r="M24" s="64"/>
      <c r="N24" s="64"/>
      <c r="O24" s="64"/>
      <c r="P24" s="64"/>
      <c r="Q24" s="64"/>
      <c r="R24" s="64"/>
      <c r="S24" s="64"/>
      <c r="T24" s="64"/>
      <c r="U24" s="64"/>
      <c r="V24" s="64"/>
      <c r="W24" s="64"/>
      <c r="X24" s="64"/>
      <c r="Y24" s="64"/>
      <c r="Z24" s="64"/>
    </row>
    <row r="25" ht="12.75" customHeight="1">
      <c r="A25" s="108"/>
      <c r="B25" s="64"/>
      <c r="C25" s="64"/>
      <c r="D25" s="64"/>
      <c r="E25" s="64"/>
      <c r="F25" s="63"/>
      <c r="G25" s="63"/>
      <c r="H25" s="64"/>
      <c r="I25" s="64"/>
      <c r="J25" s="64"/>
      <c r="K25" s="64"/>
      <c r="L25" s="64"/>
      <c r="M25" s="64"/>
      <c r="N25" s="64"/>
      <c r="O25" s="64"/>
      <c r="P25" s="64"/>
      <c r="Q25" s="64"/>
      <c r="R25" s="64"/>
      <c r="S25" s="64"/>
      <c r="T25" s="64"/>
      <c r="U25" s="64"/>
      <c r="V25" s="64"/>
      <c r="W25" s="64"/>
      <c r="X25" s="64"/>
      <c r="Y25" s="64"/>
      <c r="Z25" s="64"/>
    </row>
    <row r="26" ht="12.75" customHeight="1">
      <c r="A26" s="108"/>
      <c r="B26" s="64"/>
      <c r="C26" s="64"/>
      <c r="D26" s="64"/>
      <c r="E26" s="64"/>
      <c r="F26" s="63"/>
      <c r="G26" s="63"/>
      <c r="H26" s="64"/>
      <c r="I26" s="64"/>
      <c r="J26" s="64"/>
      <c r="K26" s="64"/>
      <c r="L26" s="64"/>
      <c r="M26" s="64"/>
      <c r="N26" s="64"/>
      <c r="O26" s="64"/>
      <c r="P26" s="64"/>
      <c r="Q26" s="64"/>
      <c r="R26" s="64"/>
      <c r="S26" s="64"/>
      <c r="T26" s="64"/>
      <c r="U26" s="64"/>
      <c r="V26" s="64"/>
      <c r="W26" s="64"/>
      <c r="X26" s="64"/>
      <c r="Y26" s="64"/>
      <c r="Z26" s="64"/>
    </row>
    <row r="27" ht="12.75" customHeight="1">
      <c r="A27" s="108"/>
      <c r="B27" s="64"/>
      <c r="C27" s="64"/>
      <c r="D27" s="64"/>
      <c r="E27" s="64"/>
      <c r="F27" s="63"/>
      <c r="G27" s="63"/>
      <c r="H27" s="64"/>
      <c r="I27" s="64"/>
      <c r="J27" s="64"/>
      <c r="K27" s="64"/>
      <c r="L27" s="64"/>
      <c r="M27" s="64"/>
      <c r="N27" s="64"/>
      <c r="O27" s="64"/>
      <c r="P27" s="64"/>
      <c r="Q27" s="64"/>
      <c r="R27" s="64"/>
      <c r="S27" s="64"/>
      <c r="T27" s="64"/>
      <c r="U27" s="64"/>
      <c r="V27" s="64"/>
      <c r="W27" s="64"/>
      <c r="X27" s="64"/>
      <c r="Y27" s="64"/>
      <c r="Z27" s="64"/>
    </row>
    <row r="28" ht="12.75" customHeight="1">
      <c r="A28" s="108"/>
      <c r="B28" s="64"/>
      <c r="C28" s="64"/>
      <c r="D28" s="64"/>
      <c r="E28" s="64"/>
      <c r="F28" s="63"/>
      <c r="G28" s="63"/>
      <c r="H28" s="64"/>
      <c r="I28" s="64"/>
      <c r="J28" s="64"/>
      <c r="K28" s="64"/>
      <c r="L28" s="64"/>
      <c r="M28" s="64"/>
      <c r="N28" s="64"/>
      <c r="O28" s="64"/>
      <c r="P28" s="64"/>
      <c r="Q28" s="64"/>
      <c r="R28" s="64"/>
      <c r="S28" s="64"/>
      <c r="T28" s="64"/>
      <c r="U28" s="64"/>
      <c r="V28" s="64"/>
      <c r="W28" s="64"/>
      <c r="X28" s="64"/>
      <c r="Y28" s="64"/>
      <c r="Z28" s="64"/>
    </row>
    <row r="29" ht="12.75" customHeight="1">
      <c r="A29" s="108"/>
      <c r="B29" s="64"/>
      <c r="C29" s="64"/>
      <c r="D29" s="64"/>
      <c r="E29" s="64"/>
      <c r="F29" s="63"/>
      <c r="G29" s="63"/>
      <c r="H29" s="64"/>
      <c r="I29" s="64"/>
      <c r="J29" s="64"/>
      <c r="K29" s="64"/>
      <c r="L29" s="64"/>
      <c r="M29" s="64"/>
      <c r="N29" s="64"/>
      <c r="O29" s="64"/>
      <c r="P29" s="64"/>
      <c r="Q29" s="64"/>
      <c r="R29" s="64"/>
      <c r="S29" s="64"/>
      <c r="T29" s="64"/>
      <c r="U29" s="64"/>
      <c r="V29" s="64"/>
      <c r="W29" s="64"/>
      <c r="X29" s="64"/>
      <c r="Y29" s="64"/>
      <c r="Z29" s="64"/>
    </row>
    <row r="30" ht="12.75" customHeight="1">
      <c r="A30" s="108"/>
      <c r="B30" s="64"/>
      <c r="C30" s="64"/>
      <c r="D30" s="64"/>
      <c r="E30" s="64"/>
      <c r="F30" s="63"/>
      <c r="G30" s="63"/>
      <c r="H30" s="64"/>
      <c r="I30" s="64"/>
      <c r="J30" s="64"/>
      <c r="K30" s="64"/>
      <c r="L30" s="64"/>
      <c r="M30" s="64"/>
      <c r="N30" s="64"/>
      <c r="O30" s="64"/>
      <c r="P30" s="64"/>
      <c r="Q30" s="64"/>
      <c r="R30" s="64"/>
      <c r="S30" s="64"/>
      <c r="T30" s="64"/>
      <c r="U30" s="64"/>
      <c r="V30" s="64"/>
      <c r="W30" s="64"/>
      <c r="X30" s="64"/>
      <c r="Y30" s="64"/>
      <c r="Z30" s="64"/>
    </row>
    <row r="31" ht="12.75" customHeight="1">
      <c r="A31" s="108"/>
      <c r="B31" s="64"/>
      <c r="C31" s="64"/>
      <c r="D31" s="64"/>
      <c r="E31" s="64"/>
      <c r="F31" s="63"/>
      <c r="G31" s="63"/>
      <c r="H31" s="64"/>
      <c r="I31" s="64"/>
      <c r="J31" s="64"/>
      <c r="K31" s="64"/>
      <c r="L31" s="64"/>
      <c r="M31" s="64"/>
      <c r="N31" s="64"/>
      <c r="O31" s="64"/>
      <c r="P31" s="64"/>
      <c r="Q31" s="64"/>
      <c r="R31" s="64"/>
      <c r="S31" s="64"/>
      <c r="T31" s="64"/>
      <c r="U31" s="64"/>
      <c r="V31" s="64"/>
      <c r="W31" s="64"/>
      <c r="X31" s="64"/>
      <c r="Y31" s="64"/>
      <c r="Z31" s="64"/>
    </row>
    <row r="32" ht="12.75" customHeight="1">
      <c r="A32" s="108"/>
      <c r="B32" s="64"/>
      <c r="C32" s="64"/>
      <c r="D32" s="64"/>
      <c r="E32" s="64"/>
      <c r="F32" s="63"/>
      <c r="G32" s="63"/>
      <c r="H32" s="64"/>
      <c r="I32" s="64"/>
      <c r="J32" s="64"/>
      <c r="K32" s="64"/>
      <c r="L32" s="64"/>
      <c r="M32" s="64"/>
      <c r="N32" s="64"/>
      <c r="O32" s="64"/>
      <c r="P32" s="64"/>
      <c r="Q32" s="64"/>
      <c r="R32" s="64"/>
      <c r="S32" s="64"/>
      <c r="T32" s="64"/>
      <c r="U32" s="64"/>
      <c r="V32" s="64"/>
      <c r="W32" s="64"/>
      <c r="X32" s="64"/>
      <c r="Y32" s="64"/>
      <c r="Z32" s="64"/>
    </row>
    <row r="33" ht="12.75" customHeight="1">
      <c r="A33" s="108"/>
      <c r="B33" s="64"/>
      <c r="C33" s="64"/>
      <c r="D33" s="64"/>
      <c r="E33" s="64"/>
      <c r="F33" s="63"/>
      <c r="G33" s="63"/>
      <c r="H33" s="64"/>
      <c r="I33" s="64"/>
      <c r="J33" s="64"/>
      <c r="K33" s="64"/>
      <c r="L33" s="64"/>
      <c r="M33" s="64"/>
      <c r="N33" s="64"/>
      <c r="O33" s="64"/>
      <c r="P33" s="64"/>
      <c r="Q33" s="64"/>
      <c r="R33" s="64"/>
      <c r="S33" s="64"/>
      <c r="T33" s="64"/>
      <c r="U33" s="64"/>
      <c r="V33" s="64"/>
      <c r="W33" s="64"/>
      <c r="X33" s="64"/>
      <c r="Y33" s="64"/>
      <c r="Z33" s="64"/>
    </row>
    <row r="34" ht="12.75" customHeight="1">
      <c r="A34" s="108"/>
      <c r="B34" s="64"/>
      <c r="C34" s="64"/>
      <c r="D34" s="64"/>
      <c r="E34" s="64"/>
      <c r="F34" s="63"/>
      <c r="G34" s="63"/>
      <c r="H34" s="64"/>
      <c r="I34" s="64"/>
      <c r="J34" s="64"/>
      <c r="K34" s="64"/>
      <c r="L34" s="64"/>
      <c r="M34" s="64"/>
      <c r="N34" s="64"/>
      <c r="O34" s="64"/>
      <c r="P34" s="64"/>
      <c r="Q34" s="64"/>
      <c r="R34" s="64"/>
      <c r="S34" s="64"/>
      <c r="T34" s="64"/>
      <c r="U34" s="64"/>
      <c r="V34" s="64"/>
      <c r="W34" s="64"/>
      <c r="X34" s="64"/>
      <c r="Y34" s="64"/>
      <c r="Z34" s="64"/>
    </row>
    <row r="35" ht="12.75" customHeight="1">
      <c r="A35" s="108"/>
      <c r="B35" s="64"/>
      <c r="C35" s="64"/>
      <c r="D35" s="64"/>
      <c r="E35" s="64"/>
      <c r="F35" s="63"/>
      <c r="G35" s="63"/>
      <c r="H35" s="64"/>
      <c r="I35" s="64"/>
      <c r="J35" s="64"/>
      <c r="K35" s="64"/>
      <c r="L35" s="64"/>
      <c r="M35" s="64"/>
      <c r="N35" s="64"/>
      <c r="O35" s="64"/>
      <c r="P35" s="64"/>
      <c r="Q35" s="64"/>
      <c r="R35" s="64"/>
      <c r="S35" s="64"/>
      <c r="T35" s="64"/>
      <c r="U35" s="64"/>
      <c r="V35" s="64"/>
      <c r="W35" s="64"/>
      <c r="X35" s="64"/>
      <c r="Y35" s="64"/>
      <c r="Z35" s="64"/>
    </row>
    <row r="36" ht="12.75" customHeight="1">
      <c r="A36" s="108"/>
      <c r="B36" s="64"/>
      <c r="C36" s="64"/>
      <c r="D36" s="64"/>
      <c r="E36" s="64"/>
      <c r="F36" s="63"/>
      <c r="G36" s="63"/>
      <c r="H36" s="64"/>
      <c r="I36" s="64"/>
      <c r="J36" s="64"/>
      <c r="K36" s="64"/>
      <c r="L36" s="64"/>
      <c r="M36" s="64"/>
      <c r="N36" s="64"/>
      <c r="O36" s="64"/>
      <c r="P36" s="64"/>
      <c r="Q36" s="64"/>
      <c r="R36" s="64"/>
      <c r="S36" s="64"/>
      <c r="T36" s="64"/>
      <c r="U36" s="64"/>
      <c r="V36" s="64"/>
      <c r="W36" s="64"/>
      <c r="X36" s="64"/>
      <c r="Y36" s="64"/>
      <c r="Z36" s="64"/>
    </row>
    <row r="37" ht="12.75" customHeight="1">
      <c r="A37" s="108"/>
      <c r="B37" s="64"/>
      <c r="C37" s="64"/>
      <c r="D37" s="64"/>
      <c r="E37" s="64"/>
      <c r="F37" s="63"/>
      <c r="G37" s="63"/>
      <c r="H37" s="64"/>
      <c r="I37" s="64"/>
      <c r="J37" s="64"/>
      <c r="K37" s="64"/>
      <c r="L37" s="64"/>
      <c r="M37" s="64"/>
      <c r="N37" s="64"/>
      <c r="O37" s="64"/>
      <c r="P37" s="64"/>
      <c r="Q37" s="64"/>
      <c r="R37" s="64"/>
      <c r="S37" s="64"/>
      <c r="T37" s="64"/>
      <c r="U37" s="64"/>
      <c r="V37" s="64"/>
      <c r="W37" s="64"/>
      <c r="X37" s="64"/>
      <c r="Y37" s="64"/>
      <c r="Z37" s="64"/>
    </row>
    <row r="38" ht="12.75" customHeight="1">
      <c r="A38" s="108"/>
      <c r="B38" s="64"/>
      <c r="C38" s="64"/>
      <c r="D38" s="64"/>
      <c r="E38" s="64"/>
      <c r="F38" s="63"/>
      <c r="G38" s="63"/>
      <c r="H38" s="64"/>
      <c r="I38" s="64"/>
      <c r="J38" s="64"/>
      <c r="K38" s="64"/>
      <c r="L38" s="64"/>
      <c r="M38" s="64"/>
      <c r="N38" s="64"/>
      <c r="O38" s="64"/>
      <c r="P38" s="64"/>
      <c r="Q38" s="64"/>
      <c r="R38" s="64"/>
      <c r="S38" s="64"/>
      <c r="T38" s="64"/>
      <c r="U38" s="64"/>
      <c r="V38" s="64"/>
      <c r="W38" s="64"/>
      <c r="X38" s="64"/>
      <c r="Y38" s="64"/>
      <c r="Z38" s="64"/>
    </row>
    <row r="39" ht="12.75" customHeight="1">
      <c r="A39" s="108"/>
      <c r="B39" s="64"/>
      <c r="C39" s="64"/>
      <c r="D39" s="64"/>
      <c r="E39" s="64"/>
      <c r="F39" s="63"/>
      <c r="G39" s="63"/>
      <c r="H39" s="64"/>
      <c r="I39" s="64"/>
      <c r="J39" s="64"/>
      <c r="K39" s="64"/>
      <c r="L39" s="64"/>
      <c r="M39" s="64"/>
      <c r="N39" s="64"/>
      <c r="O39" s="64"/>
      <c r="P39" s="64"/>
      <c r="Q39" s="64"/>
      <c r="R39" s="64"/>
      <c r="S39" s="64"/>
      <c r="T39" s="64"/>
      <c r="U39" s="64"/>
      <c r="V39" s="64"/>
      <c r="W39" s="64"/>
      <c r="X39" s="64"/>
      <c r="Y39" s="64"/>
      <c r="Z39" s="64"/>
    </row>
    <row r="40" ht="12.75" customHeight="1">
      <c r="A40" s="108"/>
      <c r="B40" s="64"/>
      <c r="C40" s="64"/>
      <c r="D40" s="64"/>
      <c r="E40" s="64"/>
      <c r="F40" s="63"/>
      <c r="G40" s="63"/>
      <c r="H40" s="64"/>
      <c r="I40" s="64"/>
      <c r="J40" s="64"/>
      <c r="K40" s="64"/>
      <c r="L40" s="64"/>
      <c r="M40" s="64"/>
      <c r="N40" s="64"/>
      <c r="O40" s="64"/>
      <c r="P40" s="64"/>
      <c r="Q40" s="64"/>
      <c r="R40" s="64"/>
      <c r="S40" s="64"/>
      <c r="T40" s="64"/>
      <c r="U40" s="64"/>
      <c r="V40" s="64"/>
      <c r="W40" s="64"/>
      <c r="X40" s="64"/>
      <c r="Y40" s="64"/>
      <c r="Z40" s="64"/>
    </row>
    <row r="41" ht="12.75" customHeight="1">
      <c r="A41" s="108"/>
      <c r="B41" s="64"/>
      <c r="C41" s="64"/>
      <c r="D41" s="64"/>
      <c r="E41" s="64"/>
      <c r="F41" s="63"/>
      <c r="G41" s="63"/>
      <c r="H41" s="64"/>
      <c r="I41" s="64"/>
      <c r="J41" s="64"/>
      <c r="K41" s="64"/>
      <c r="L41" s="64"/>
      <c r="M41" s="64"/>
      <c r="N41" s="64"/>
      <c r="O41" s="64"/>
      <c r="P41" s="64"/>
      <c r="Q41" s="64"/>
      <c r="R41" s="64"/>
      <c r="S41" s="64"/>
      <c r="T41" s="64"/>
      <c r="U41" s="64"/>
      <c r="V41" s="64"/>
      <c r="W41" s="64"/>
      <c r="X41" s="64"/>
      <c r="Y41" s="64"/>
      <c r="Z41" s="64"/>
    </row>
    <row r="42" ht="12.75" customHeight="1">
      <c r="A42" s="108"/>
      <c r="B42" s="64"/>
      <c r="C42" s="64"/>
      <c r="D42" s="64"/>
      <c r="E42" s="64"/>
      <c r="F42" s="63"/>
      <c r="G42" s="63"/>
      <c r="H42" s="64"/>
      <c r="I42" s="64"/>
      <c r="J42" s="64"/>
      <c r="K42" s="64"/>
      <c r="L42" s="64"/>
      <c r="M42" s="64"/>
      <c r="N42" s="64"/>
      <c r="O42" s="64"/>
      <c r="P42" s="64"/>
      <c r="Q42" s="64"/>
      <c r="R42" s="64"/>
      <c r="S42" s="64"/>
      <c r="T42" s="64"/>
      <c r="U42" s="64"/>
      <c r="V42" s="64"/>
      <c r="W42" s="64"/>
      <c r="X42" s="64"/>
      <c r="Y42" s="64"/>
      <c r="Z42" s="64"/>
    </row>
    <row r="43" ht="12.75" customHeight="1">
      <c r="A43" s="108"/>
      <c r="B43" s="64"/>
      <c r="C43" s="64"/>
      <c r="D43" s="64"/>
      <c r="E43" s="64"/>
      <c r="F43" s="63"/>
      <c r="G43" s="63"/>
      <c r="H43" s="64"/>
      <c r="I43" s="64"/>
      <c r="J43" s="64"/>
      <c r="K43" s="64"/>
      <c r="L43" s="64"/>
      <c r="M43" s="64"/>
      <c r="N43" s="64"/>
      <c r="O43" s="64"/>
      <c r="P43" s="64"/>
      <c r="Q43" s="64"/>
      <c r="R43" s="64"/>
      <c r="S43" s="64"/>
      <c r="T43" s="64"/>
      <c r="U43" s="64"/>
      <c r="V43" s="64"/>
      <c r="W43" s="64"/>
      <c r="X43" s="64"/>
      <c r="Y43" s="64"/>
      <c r="Z43" s="64"/>
    </row>
    <row r="44" ht="12.75" customHeight="1">
      <c r="A44" s="108"/>
      <c r="B44" s="64"/>
      <c r="C44" s="64"/>
      <c r="D44" s="64"/>
      <c r="E44" s="64"/>
      <c r="F44" s="63"/>
      <c r="G44" s="63"/>
      <c r="H44" s="64"/>
      <c r="I44" s="64"/>
      <c r="J44" s="64"/>
      <c r="K44" s="64"/>
      <c r="L44" s="64"/>
      <c r="M44" s="64"/>
      <c r="N44" s="64"/>
      <c r="O44" s="64"/>
      <c r="P44" s="64"/>
      <c r="Q44" s="64"/>
      <c r="R44" s="64"/>
      <c r="S44" s="64"/>
      <c r="T44" s="64"/>
      <c r="U44" s="64"/>
      <c r="V44" s="64"/>
      <c r="W44" s="64"/>
      <c r="X44" s="64"/>
      <c r="Y44" s="64"/>
      <c r="Z44" s="64"/>
    </row>
    <row r="45" ht="12.75" customHeight="1">
      <c r="A45" s="108"/>
      <c r="B45" s="64"/>
      <c r="C45" s="64"/>
      <c r="D45" s="64"/>
      <c r="E45" s="64"/>
      <c r="F45" s="63"/>
      <c r="G45" s="63"/>
      <c r="H45" s="64"/>
      <c r="I45" s="64"/>
      <c r="J45" s="64"/>
      <c r="K45" s="64"/>
      <c r="L45" s="64"/>
      <c r="M45" s="64"/>
      <c r="N45" s="64"/>
      <c r="O45" s="64"/>
      <c r="P45" s="64"/>
      <c r="Q45" s="64"/>
      <c r="R45" s="64"/>
      <c r="S45" s="64"/>
      <c r="T45" s="64"/>
      <c r="U45" s="64"/>
      <c r="V45" s="64"/>
      <c r="W45" s="64"/>
      <c r="X45" s="64"/>
      <c r="Y45" s="64"/>
      <c r="Z45" s="64"/>
    </row>
    <row r="46" ht="12.75" customHeight="1">
      <c r="A46" s="108"/>
      <c r="B46" s="64"/>
      <c r="C46" s="64"/>
      <c r="D46" s="64"/>
      <c r="E46" s="64"/>
      <c r="F46" s="63"/>
      <c r="G46" s="63"/>
      <c r="H46" s="64"/>
      <c r="I46" s="64"/>
      <c r="J46" s="64"/>
      <c r="K46" s="64"/>
      <c r="L46" s="64"/>
      <c r="M46" s="64"/>
      <c r="N46" s="64"/>
      <c r="O46" s="64"/>
      <c r="P46" s="64"/>
      <c r="Q46" s="64"/>
      <c r="R46" s="64"/>
      <c r="S46" s="64"/>
      <c r="T46" s="64"/>
      <c r="U46" s="64"/>
      <c r="V46" s="64"/>
      <c r="W46" s="64"/>
      <c r="X46" s="64"/>
      <c r="Y46" s="64"/>
      <c r="Z46" s="64"/>
    </row>
    <row r="47" ht="12.75" customHeight="1">
      <c r="A47" s="108"/>
      <c r="B47" s="64"/>
      <c r="C47" s="64"/>
      <c r="D47" s="64"/>
      <c r="E47" s="64"/>
      <c r="F47" s="63"/>
      <c r="G47" s="63"/>
      <c r="H47" s="64"/>
      <c r="I47" s="64"/>
      <c r="J47" s="64"/>
      <c r="K47" s="64"/>
      <c r="L47" s="64"/>
      <c r="M47" s="64"/>
      <c r="N47" s="64"/>
      <c r="O47" s="64"/>
      <c r="P47" s="64"/>
      <c r="Q47" s="64"/>
      <c r="R47" s="64"/>
      <c r="S47" s="64"/>
      <c r="T47" s="64"/>
      <c r="U47" s="64"/>
      <c r="V47" s="64"/>
      <c r="W47" s="64"/>
      <c r="X47" s="64"/>
      <c r="Y47" s="64"/>
      <c r="Z47" s="64"/>
    </row>
    <row r="48" ht="12.75" customHeight="1">
      <c r="A48" s="108"/>
      <c r="B48" s="64"/>
      <c r="C48" s="64"/>
      <c r="D48" s="64"/>
      <c r="E48" s="64"/>
      <c r="F48" s="63"/>
      <c r="G48" s="63"/>
      <c r="H48" s="64"/>
      <c r="I48" s="64"/>
      <c r="J48" s="64"/>
      <c r="K48" s="64"/>
      <c r="L48" s="64"/>
      <c r="M48" s="64"/>
      <c r="N48" s="64"/>
      <c r="O48" s="64"/>
      <c r="P48" s="64"/>
      <c r="Q48" s="64"/>
      <c r="R48" s="64"/>
      <c r="S48" s="64"/>
      <c r="T48" s="64"/>
      <c r="U48" s="64"/>
      <c r="V48" s="64"/>
      <c r="W48" s="64"/>
      <c r="X48" s="64"/>
      <c r="Y48" s="64"/>
      <c r="Z48" s="64"/>
    </row>
    <row r="49" ht="12.75" customHeight="1">
      <c r="A49" s="108"/>
      <c r="B49" s="64"/>
      <c r="C49" s="64"/>
      <c r="D49" s="64"/>
      <c r="E49" s="64"/>
      <c r="F49" s="63"/>
      <c r="G49" s="63"/>
      <c r="H49" s="64"/>
      <c r="I49" s="64"/>
      <c r="J49" s="64"/>
      <c r="K49" s="64"/>
      <c r="L49" s="64"/>
      <c r="M49" s="64"/>
      <c r="N49" s="64"/>
      <c r="O49" s="64"/>
      <c r="P49" s="64"/>
      <c r="Q49" s="64"/>
      <c r="R49" s="64"/>
      <c r="S49" s="64"/>
      <c r="T49" s="64"/>
      <c r="U49" s="64"/>
      <c r="V49" s="64"/>
      <c r="W49" s="64"/>
      <c r="X49" s="64"/>
      <c r="Y49" s="64"/>
      <c r="Z49" s="64"/>
    </row>
    <row r="50" ht="12.75" customHeight="1">
      <c r="A50" s="108"/>
      <c r="B50" s="64"/>
      <c r="C50" s="64"/>
      <c r="D50" s="64"/>
      <c r="E50" s="64"/>
      <c r="F50" s="63"/>
      <c r="G50" s="63"/>
      <c r="H50" s="64"/>
      <c r="I50" s="64"/>
      <c r="J50" s="64"/>
      <c r="K50" s="64"/>
      <c r="L50" s="64"/>
      <c r="M50" s="64"/>
      <c r="N50" s="64"/>
      <c r="O50" s="64"/>
      <c r="P50" s="64"/>
      <c r="Q50" s="64"/>
      <c r="R50" s="64"/>
      <c r="S50" s="64"/>
      <c r="T50" s="64"/>
      <c r="U50" s="64"/>
      <c r="V50" s="64"/>
      <c r="W50" s="64"/>
      <c r="X50" s="64"/>
      <c r="Y50" s="64"/>
      <c r="Z50" s="64"/>
    </row>
    <row r="51" ht="12.75" customHeight="1">
      <c r="A51" s="108"/>
      <c r="B51" s="64"/>
      <c r="C51" s="64"/>
      <c r="D51" s="64"/>
      <c r="E51" s="64"/>
      <c r="F51" s="63"/>
      <c r="G51" s="63"/>
      <c r="H51" s="64"/>
      <c r="I51" s="64"/>
      <c r="J51" s="64"/>
      <c r="K51" s="64"/>
      <c r="L51" s="64"/>
      <c r="M51" s="64"/>
      <c r="N51" s="64"/>
      <c r="O51" s="64"/>
      <c r="P51" s="64"/>
      <c r="Q51" s="64"/>
      <c r="R51" s="64"/>
      <c r="S51" s="64"/>
      <c r="T51" s="64"/>
      <c r="U51" s="64"/>
      <c r="V51" s="64"/>
      <c r="W51" s="64"/>
      <c r="X51" s="64"/>
      <c r="Y51" s="64"/>
      <c r="Z51" s="64"/>
    </row>
    <row r="52" ht="12.75" customHeight="1">
      <c r="A52" s="108"/>
      <c r="B52" s="64"/>
      <c r="C52" s="64"/>
      <c r="D52" s="64"/>
      <c r="E52" s="64"/>
      <c r="F52" s="63"/>
      <c r="G52" s="63"/>
      <c r="H52" s="64"/>
      <c r="I52" s="64"/>
      <c r="J52" s="64"/>
      <c r="K52" s="64"/>
      <c r="L52" s="64"/>
      <c r="M52" s="64"/>
      <c r="N52" s="64"/>
      <c r="O52" s="64"/>
      <c r="P52" s="64"/>
      <c r="Q52" s="64"/>
      <c r="R52" s="64"/>
      <c r="S52" s="64"/>
      <c r="T52" s="64"/>
      <c r="U52" s="64"/>
      <c r="V52" s="64"/>
      <c r="W52" s="64"/>
      <c r="X52" s="64"/>
      <c r="Y52" s="64"/>
      <c r="Z52" s="64"/>
    </row>
    <row r="53" ht="12.75" customHeight="1">
      <c r="A53" s="108"/>
      <c r="B53" s="64"/>
      <c r="C53" s="64"/>
      <c r="D53" s="64"/>
      <c r="E53" s="64"/>
      <c r="F53" s="63"/>
      <c r="G53" s="63"/>
      <c r="H53" s="64"/>
      <c r="I53" s="64"/>
      <c r="J53" s="64"/>
      <c r="K53" s="64"/>
      <c r="L53" s="64"/>
      <c r="M53" s="64"/>
      <c r="N53" s="64"/>
      <c r="O53" s="64"/>
      <c r="P53" s="64"/>
      <c r="Q53" s="64"/>
      <c r="R53" s="64"/>
      <c r="S53" s="64"/>
      <c r="T53" s="64"/>
      <c r="U53" s="64"/>
      <c r="V53" s="64"/>
      <c r="W53" s="64"/>
      <c r="X53" s="64"/>
      <c r="Y53" s="64"/>
      <c r="Z53" s="64"/>
    </row>
    <row r="54" ht="12.75" customHeight="1">
      <c r="A54" s="108"/>
      <c r="B54" s="64"/>
      <c r="C54" s="64"/>
      <c r="D54" s="64"/>
      <c r="E54" s="64"/>
      <c r="F54" s="63"/>
      <c r="G54" s="63"/>
      <c r="H54" s="64"/>
      <c r="I54" s="64"/>
      <c r="J54" s="64"/>
      <c r="K54" s="64"/>
      <c r="L54" s="64"/>
      <c r="M54" s="64"/>
      <c r="N54" s="64"/>
      <c r="O54" s="64"/>
      <c r="P54" s="64"/>
      <c r="Q54" s="64"/>
      <c r="R54" s="64"/>
      <c r="S54" s="64"/>
      <c r="T54" s="64"/>
      <c r="U54" s="64"/>
      <c r="V54" s="64"/>
      <c r="W54" s="64"/>
      <c r="X54" s="64"/>
      <c r="Y54" s="64"/>
      <c r="Z54" s="64"/>
    </row>
    <row r="55" ht="12.75" customHeight="1">
      <c r="A55" s="108"/>
      <c r="B55" s="64"/>
      <c r="C55" s="64"/>
      <c r="D55" s="64"/>
      <c r="E55" s="64"/>
      <c r="F55" s="63"/>
      <c r="G55" s="63"/>
      <c r="H55" s="64"/>
      <c r="I55" s="64"/>
      <c r="J55" s="64"/>
      <c r="K55" s="64"/>
      <c r="L55" s="64"/>
      <c r="M55" s="64"/>
      <c r="N55" s="64"/>
      <c r="O55" s="64"/>
      <c r="P55" s="64"/>
      <c r="Q55" s="64"/>
      <c r="R55" s="64"/>
      <c r="S55" s="64"/>
      <c r="T55" s="64"/>
      <c r="U55" s="64"/>
      <c r="V55" s="64"/>
      <c r="W55" s="64"/>
      <c r="X55" s="64"/>
      <c r="Y55" s="64"/>
      <c r="Z55" s="64"/>
    </row>
    <row r="56" ht="12.75" customHeight="1">
      <c r="A56" s="108"/>
      <c r="B56" s="64"/>
      <c r="C56" s="64"/>
      <c r="D56" s="64"/>
      <c r="E56" s="64"/>
      <c r="F56" s="63"/>
      <c r="G56" s="63"/>
      <c r="H56" s="64"/>
      <c r="I56" s="64"/>
      <c r="J56" s="64"/>
      <c r="K56" s="64"/>
      <c r="L56" s="64"/>
      <c r="M56" s="64"/>
      <c r="N56" s="64"/>
      <c r="O56" s="64"/>
      <c r="P56" s="64"/>
      <c r="Q56" s="64"/>
      <c r="R56" s="64"/>
      <c r="S56" s="64"/>
      <c r="T56" s="64"/>
      <c r="U56" s="64"/>
      <c r="V56" s="64"/>
      <c r="W56" s="64"/>
      <c r="X56" s="64"/>
      <c r="Y56" s="64"/>
      <c r="Z56" s="64"/>
    </row>
    <row r="57" ht="12.75" customHeight="1">
      <c r="A57" s="108"/>
      <c r="B57" s="64"/>
      <c r="C57" s="64"/>
      <c r="D57" s="64"/>
      <c r="E57" s="64"/>
      <c r="F57" s="63"/>
      <c r="G57" s="63"/>
      <c r="H57" s="64"/>
      <c r="I57" s="64"/>
      <c r="J57" s="64"/>
      <c r="K57" s="64"/>
      <c r="L57" s="64"/>
      <c r="M57" s="64"/>
      <c r="N57" s="64"/>
      <c r="O57" s="64"/>
      <c r="P57" s="64"/>
      <c r="Q57" s="64"/>
      <c r="R57" s="64"/>
      <c r="S57" s="64"/>
      <c r="T57" s="64"/>
      <c r="U57" s="64"/>
      <c r="V57" s="64"/>
      <c r="W57" s="64"/>
      <c r="X57" s="64"/>
      <c r="Y57" s="64"/>
      <c r="Z57" s="64"/>
    </row>
    <row r="58" ht="12.75" customHeight="1">
      <c r="A58" s="108"/>
      <c r="B58" s="64"/>
      <c r="C58" s="64"/>
      <c r="D58" s="64"/>
      <c r="E58" s="64"/>
      <c r="F58" s="63"/>
      <c r="G58" s="63"/>
      <c r="H58" s="64"/>
      <c r="I58" s="64"/>
      <c r="J58" s="64"/>
      <c r="K58" s="64"/>
      <c r="L58" s="64"/>
      <c r="M58" s="64"/>
      <c r="N58" s="64"/>
      <c r="O58" s="64"/>
      <c r="P58" s="64"/>
      <c r="Q58" s="64"/>
      <c r="R58" s="64"/>
      <c r="S58" s="64"/>
      <c r="T58" s="64"/>
      <c r="U58" s="64"/>
      <c r="V58" s="64"/>
      <c r="W58" s="64"/>
      <c r="X58" s="64"/>
      <c r="Y58" s="64"/>
      <c r="Z58" s="64"/>
    </row>
    <row r="59" ht="12.75" customHeight="1">
      <c r="A59" s="108"/>
      <c r="B59" s="64"/>
      <c r="C59" s="64"/>
      <c r="D59" s="64"/>
      <c r="E59" s="64"/>
      <c r="F59" s="63"/>
      <c r="G59" s="63"/>
      <c r="H59" s="64"/>
      <c r="I59" s="64"/>
      <c r="J59" s="64"/>
      <c r="K59" s="64"/>
      <c r="L59" s="64"/>
      <c r="M59" s="64"/>
      <c r="N59" s="64"/>
      <c r="O59" s="64"/>
      <c r="P59" s="64"/>
      <c r="Q59" s="64"/>
      <c r="R59" s="64"/>
      <c r="S59" s="64"/>
      <c r="T59" s="64"/>
      <c r="U59" s="64"/>
      <c r="V59" s="64"/>
      <c r="W59" s="64"/>
      <c r="X59" s="64"/>
      <c r="Y59" s="64"/>
      <c r="Z59" s="64"/>
    </row>
    <row r="60" ht="12.75" customHeight="1">
      <c r="A60" s="108"/>
      <c r="B60" s="64"/>
      <c r="C60" s="64"/>
      <c r="D60" s="64"/>
      <c r="E60" s="64"/>
      <c r="F60" s="63"/>
      <c r="G60" s="63"/>
      <c r="H60" s="64"/>
      <c r="I60" s="64"/>
      <c r="J60" s="64"/>
      <c r="K60" s="64"/>
      <c r="L60" s="64"/>
      <c r="M60" s="64"/>
      <c r="N60" s="64"/>
      <c r="O60" s="64"/>
      <c r="P60" s="64"/>
      <c r="Q60" s="64"/>
      <c r="R60" s="64"/>
      <c r="S60" s="64"/>
      <c r="T60" s="64"/>
      <c r="U60" s="64"/>
      <c r="V60" s="64"/>
      <c r="W60" s="64"/>
      <c r="X60" s="64"/>
      <c r="Y60" s="64"/>
      <c r="Z60" s="64"/>
    </row>
    <row r="61" ht="12.75" customHeight="1">
      <c r="A61" s="108"/>
      <c r="B61" s="64"/>
      <c r="C61" s="64"/>
      <c r="D61" s="64"/>
      <c r="E61" s="64"/>
      <c r="F61" s="63"/>
      <c r="G61" s="63"/>
      <c r="H61" s="64"/>
      <c r="I61" s="64"/>
      <c r="J61" s="64"/>
      <c r="K61" s="64"/>
      <c r="L61" s="64"/>
      <c r="M61" s="64"/>
      <c r="N61" s="64"/>
      <c r="O61" s="64"/>
      <c r="P61" s="64"/>
      <c r="Q61" s="64"/>
      <c r="R61" s="64"/>
      <c r="S61" s="64"/>
      <c r="T61" s="64"/>
      <c r="U61" s="64"/>
      <c r="V61" s="64"/>
      <c r="W61" s="64"/>
      <c r="X61" s="64"/>
      <c r="Y61" s="64"/>
      <c r="Z61" s="64"/>
    </row>
    <row r="62" ht="12.75" customHeight="1">
      <c r="A62" s="108"/>
      <c r="B62" s="64"/>
      <c r="C62" s="64"/>
      <c r="D62" s="64"/>
      <c r="E62" s="64"/>
      <c r="F62" s="63"/>
      <c r="G62" s="63"/>
      <c r="H62" s="64"/>
      <c r="I62" s="64"/>
      <c r="J62" s="64"/>
      <c r="K62" s="64"/>
      <c r="L62" s="64"/>
      <c r="M62" s="64"/>
      <c r="N62" s="64"/>
      <c r="O62" s="64"/>
      <c r="P62" s="64"/>
      <c r="Q62" s="64"/>
      <c r="R62" s="64"/>
      <c r="S62" s="64"/>
      <c r="T62" s="64"/>
      <c r="U62" s="64"/>
      <c r="V62" s="64"/>
      <c r="W62" s="64"/>
      <c r="X62" s="64"/>
      <c r="Y62" s="64"/>
      <c r="Z62" s="64"/>
    </row>
    <row r="63" ht="12.75" customHeight="1">
      <c r="A63" s="108"/>
      <c r="B63" s="64"/>
      <c r="C63" s="64"/>
      <c r="D63" s="64"/>
      <c r="E63" s="64"/>
      <c r="F63" s="63"/>
      <c r="G63" s="63"/>
      <c r="H63" s="64"/>
      <c r="I63" s="64"/>
      <c r="J63" s="64"/>
      <c r="K63" s="64"/>
      <c r="L63" s="64"/>
      <c r="M63" s="64"/>
      <c r="N63" s="64"/>
      <c r="O63" s="64"/>
      <c r="P63" s="64"/>
      <c r="Q63" s="64"/>
      <c r="R63" s="64"/>
      <c r="S63" s="64"/>
      <c r="T63" s="64"/>
      <c r="U63" s="64"/>
      <c r="V63" s="64"/>
      <c r="W63" s="64"/>
      <c r="X63" s="64"/>
      <c r="Y63" s="64"/>
      <c r="Z63" s="64"/>
    </row>
    <row r="64" ht="12.75" customHeight="1">
      <c r="A64" s="108"/>
      <c r="B64" s="64"/>
      <c r="C64" s="64"/>
      <c r="D64" s="64"/>
      <c r="E64" s="64"/>
      <c r="F64" s="63"/>
      <c r="G64" s="63"/>
      <c r="H64" s="64"/>
      <c r="I64" s="64"/>
      <c r="J64" s="64"/>
      <c r="K64" s="64"/>
      <c r="L64" s="64"/>
      <c r="M64" s="64"/>
      <c r="N64" s="64"/>
      <c r="O64" s="64"/>
      <c r="P64" s="64"/>
      <c r="Q64" s="64"/>
      <c r="R64" s="64"/>
      <c r="S64" s="64"/>
      <c r="T64" s="64"/>
      <c r="U64" s="64"/>
      <c r="V64" s="64"/>
      <c r="W64" s="64"/>
      <c r="X64" s="64"/>
      <c r="Y64" s="64"/>
      <c r="Z64" s="64"/>
    </row>
    <row r="65" ht="12.75" customHeight="1">
      <c r="A65" s="108"/>
      <c r="B65" s="64"/>
      <c r="C65" s="64"/>
      <c r="D65" s="64"/>
      <c r="E65" s="64"/>
      <c r="F65" s="63"/>
      <c r="G65" s="63"/>
      <c r="H65" s="64"/>
      <c r="I65" s="64"/>
      <c r="J65" s="64"/>
      <c r="K65" s="64"/>
      <c r="L65" s="64"/>
      <c r="M65" s="64"/>
      <c r="N65" s="64"/>
      <c r="O65" s="64"/>
      <c r="P65" s="64"/>
      <c r="Q65" s="64"/>
      <c r="R65" s="64"/>
      <c r="S65" s="64"/>
      <c r="T65" s="64"/>
      <c r="U65" s="64"/>
      <c r="V65" s="64"/>
      <c r="W65" s="64"/>
      <c r="X65" s="64"/>
      <c r="Y65" s="64"/>
      <c r="Z65" s="64"/>
    </row>
    <row r="66" ht="12.75" customHeight="1">
      <c r="A66" s="108"/>
      <c r="B66" s="64"/>
      <c r="C66" s="64"/>
      <c r="D66" s="64"/>
      <c r="E66" s="64"/>
      <c r="F66" s="63"/>
      <c r="G66" s="63"/>
      <c r="H66" s="64"/>
      <c r="I66" s="64"/>
      <c r="J66" s="64"/>
      <c r="K66" s="64"/>
      <c r="L66" s="64"/>
      <c r="M66" s="64"/>
      <c r="N66" s="64"/>
      <c r="O66" s="64"/>
      <c r="P66" s="64"/>
      <c r="Q66" s="64"/>
      <c r="R66" s="64"/>
      <c r="S66" s="64"/>
      <c r="T66" s="64"/>
      <c r="U66" s="64"/>
      <c r="V66" s="64"/>
      <c r="W66" s="64"/>
      <c r="X66" s="64"/>
      <c r="Y66" s="64"/>
      <c r="Z66" s="64"/>
    </row>
    <row r="67" ht="12.75" customHeight="1">
      <c r="A67" s="108"/>
      <c r="B67" s="64"/>
      <c r="C67" s="64"/>
      <c r="D67" s="64"/>
      <c r="E67" s="64"/>
      <c r="F67" s="63"/>
      <c r="G67" s="63"/>
      <c r="H67" s="64"/>
      <c r="I67" s="64"/>
      <c r="J67" s="64"/>
      <c r="K67" s="64"/>
      <c r="L67" s="64"/>
      <c r="M67" s="64"/>
      <c r="N67" s="64"/>
      <c r="O67" s="64"/>
      <c r="P67" s="64"/>
      <c r="Q67" s="64"/>
      <c r="R67" s="64"/>
      <c r="S67" s="64"/>
      <c r="T67" s="64"/>
      <c r="U67" s="64"/>
      <c r="V67" s="64"/>
      <c r="W67" s="64"/>
      <c r="X67" s="64"/>
      <c r="Y67" s="64"/>
      <c r="Z67" s="64"/>
    </row>
    <row r="68" ht="12.75" customHeight="1">
      <c r="A68" s="108"/>
      <c r="B68" s="64"/>
      <c r="C68" s="64"/>
      <c r="D68" s="64"/>
      <c r="E68" s="64"/>
      <c r="F68" s="63"/>
      <c r="G68" s="63"/>
      <c r="H68" s="64"/>
      <c r="I68" s="64"/>
      <c r="J68" s="64"/>
      <c r="K68" s="64"/>
      <c r="L68" s="64"/>
      <c r="M68" s="64"/>
      <c r="N68" s="64"/>
      <c r="O68" s="64"/>
      <c r="P68" s="64"/>
      <c r="Q68" s="64"/>
      <c r="R68" s="64"/>
      <c r="S68" s="64"/>
      <c r="T68" s="64"/>
      <c r="U68" s="64"/>
      <c r="V68" s="64"/>
      <c r="W68" s="64"/>
      <c r="X68" s="64"/>
      <c r="Y68" s="64"/>
      <c r="Z68" s="64"/>
    </row>
    <row r="69" ht="12.75" customHeight="1">
      <c r="A69" s="108"/>
      <c r="B69" s="64"/>
      <c r="C69" s="64"/>
      <c r="D69" s="64"/>
      <c r="E69" s="64"/>
      <c r="F69" s="63"/>
      <c r="G69" s="63"/>
      <c r="H69" s="64"/>
      <c r="I69" s="64"/>
      <c r="J69" s="64"/>
      <c r="K69" s="64"/>
      <c r="L69" s="64"/>
      <c r="M69" s="64"/>
      <c r="N69" s="64"/>
      <c r="O69" s="64"/>
      <c r="P69" s="64"/>
      <c r="Q69" s="64"/>
      <c r="R69" s="64"/>
      <c r="S69" s="64"/>
      <c r="T69" s="64"/>
      <c r="U69" s="64"/>
      <c r="V69" s="64"/>
      <c r="W69" s="64"/>
      <c r="X69" s="64"/>
      <c r="Y69" s="64"/>
      <c r="Z69" s="64"/>
    </row>
    <row r="70" ht="12.75" customHeight="1">
      <c r="A70" s="108"/>
      <c r="B70" s="64"/>
      <c r="C70" s="64"/>
      <c r="D70" s="64"/>
      <c r="E70" s="64"/>
      <c r="F70" s="63"/>
      <c r="G70" s="63"/>
      <c r="H70" s="64"/>
      <c r="I70" s="64"/>
      <c r="J70" s="64"/>
      <c r="K70" s="64"/>
      <c r="L70" s="64"/>
      <c r="M70" s="64"/>
      <c r="N70" s="64"/>
      <c r="O70" s="64"/>
      <c r="P70" s="64"/>
      <c r="Q70" s="64"/>
      <c r="R70" s="64"/>
      <c r="S70" s="64"/>
      <c r="T70" s="64"/>
      <c r="U70" s="64"/>
      <c r="V70" s="64"/>
      <c r="W70" s="64"/>
      <c r="X70" s="64"/>
      <c r="Y70" s="64"/>
      <c r="Z70" s="64"/>
    </row>
    <row r="71" ht="12.75" customHeight="1">
      <c r="A71" s="108"/>
      <c r="B71" s="64"/>
      <c r="C71" s="64"/>
      <c r="D71" s="64"/>
      <c r="E71" s="64"/>
      <c r="F71" s="63"/>
      <c r="G71" s="63"/>
      <c r="H71" s="64"/>
      <c r="I71" s="64"/>
      <c r="J71" s="64"/>
      <c r="K71" s="64"/>
      <c r="L71" s="64"/>
      <c r="M71" s="64"/>
      <c r="N71" s="64"/>
      <c r="O71" s="64"/>
      <c r="P71" s="64"/>
      <c r="Q71" s="64"/>
      <c r="R71" s="64"/>
      <c r="S71" s="64"/>
      <c r="T71" s="64"/>
      <c r="U71" s="64"/>
      <c r="V71" s="64"/>
      <c r="W71" s="64"/>
      <c r="X71" s="64"/>
      <c r="Y71" s="64"/>
      <c r="Z71" s="64"/>
    </row>
    <row r="72" ht="12.75" customHeight="1">
      <c r="A72" s="108"/>
      <c r="B72" s="64"/>
      <c r="C72" s="64"/>
      <c r="D72" s="64"/>
      <c r="E72" s="64"/>
      <c r="F72" s="63"/>
      <c r="G72" s="63"/>
      <c r="H72" s="64"/>
      <c r="I72" s="64"/>
      <c r="J72" s="64"/>
      <c r="K72" s="64"/>
      <c r="L72" s="64"/>
      <c r="M72" s="64"/>
      <c r="N72" s="64"/>
      <c r="O72" s="64"/>
      <c r="P72" s="64"/>
      <c r="Q72" s="64"/>
      <c r="R72" s="64"/>
      <c r="S72" s="64"/>
      <c r="T72" s="64"/>
      <c r="U72" s="64"/>
      <c r="V72" s="64"/>
      <c r="W72" s="64"/>
      <c r="X72" s="64"/>
      <c r="Y72" s="64"/>
      <c r="Z72" s="64"/>
    </row>
    <row r="73" ht="12.75" customHeight="1">
      <c r="A73" s="108"/>
      <c r="B73" s="64"/>
      <c r="C73" s="64"/>
      <c r="D73" s="64"/>
      <c r="E73" s="64"/>
      <c r="F73" s="63"/>
      <c r="G73" s="63"/>
      <c r="H73" s="64"/>
      <c r="I73" s="64"/>
      <c r="J73" s="64"/>
      <c r="K73" s="64"/>
      <c r="L73" s="64"/>
      <c r="M73" s="64"/>
      <c r="N73" s="64"/>
      <c r="O73" s="64"/>
      <c r="P73" s="64"/>
      <c r="Q73" s="64"/>
      <c r="R73" s="64"/>
      <c r="S73" s="64"/>
      <c r="T73" s="64"/>
      <c r="U73" s="64"/>
      <c r="V73" s="64"/>
      <c r="W73" s="64"/>
      <c r="X73" s="64"/>
      <c r="Y73" s="64"/>
      <c r="Z73" s="64"/>
    </row>
    <row r="74" ht="12.75" customHeight="1">
      <c r="A74" s="108"/>
      <c r="B74" s="64"/>
      <c r="C74" s="64"/>
      <c r="D74" s="64"/>
      <c r="E74" s="64"/>
      <c r="F74" s="63"/>
      <c r="G74" s="63"/>
      <c r="H74" s="64"/>
      <c r="I74" s="64"/>
      <c r="J74" s="64"/>
      <c r="K74" s="64"/>
      <c r="L74" s="64"/>
      <c r="M74" s="64"/>
      <c r="N74" s="64"/>
      <c r="O74" s="64"/>
      <c r="P74" s="64"/>
      <c r="Q74" s="64"/>
      <c r="R74" s="64"/>
      <c r="S74" s="64"/>
      <c r="T74" s="64"/>
      <c r="U74" s="64"/>
      <c r="V74" s="64"/>
      <c r="W74" s="64"/>
      <c r="X74" s="64"/>
      <c r="Y74" s="64"/>
      <c r="Z74" s="64"/>
    </row>
    <row r="75" ht="12.75" customHeight="1">
      <c r="A75" s="108"/>
      <c r="B75" s="64"/>
      <c r="C75" s="64"/>
      <c r="D75" s="64"/>
      <c r="E75" s="64"/>
      <c r="F75" s="63"/>
      <c r="G75" s="63"/>
      <c r="H75" s="64"/>
      <c r="I75" s="64"/>
      <c r="J75" s="64"/>
      <c r="K75" s="64"/>
      <c r="L75" s="64"/>
      <c r="M75" s="64"/>
      <c r="N75" s="64"/>
      <c r="O75" s="64"/>
      <c r="P75" s="64"/>
      <c r="Q75" s="64"/>
      <c r="R75" s="64"/>
      <c r="S75" s="64"/>
      <c r="T75" s="64"/>
      <c r="U75" s="64"/>
      <c r="V75" s="64"/>
      <c r="W75" s="64"/>
      <c r="X75" s="64"/>
      <c r="Y75" s="64"/>
      <c r="Z75" s="64"/>
    </row>
    <row r="76" ht="12.75" customHeight="1">
      <c r="A76" s="108"/>
      <c r="B76" s="64"/>
      <c r="C76" s="64"/>
      <c r="D76" s="64"/>
      <c r="E76" s="64"/>
      <c r="F76" s="63"/>
      <c r="G76" s="63"/>
      <c r="H76" s="64"/>
      <c r="I76" s="64"/>
      <c r="J76" s="64"/>
      <c r="K76" s="64"/>
      <c r="L76" s="64"/>
      <c r="M76" s="64"/>
      <c r="N76" s="64"/>
      <c r="O76" s="64"/>
      <c r="P76" s="64"/>
      <c r="Q76" s="64"/>
      <c r="R76" s="64"/>
      <c r="S76" s="64"/>
      <c r="T76" s="64"/>
      <c r="U76" s="64"/>
      <c r="V76" s="64"/>
      <c r="W76" s="64"/>
      <c r="X76" s="64"/>
      <c r="Y76" s="64"/>
      <c r="Z76" s="64"/>
    </row>
    <row r="77" ht="12.75" customHeight="1">
      <c r="A77" s="108"/>
      <c r="B77" s="64"/>
      <c r="C77" s="64"/>
      <c r="D77" s="64"/>
      <c r="E77" s="64"/>
      <c r="F77" s="63"/>
      <c r="G77" s="63"/>
      <c r="H77" s="64"/>
      <c r="I77" s="64"/>
      <c r="J77" s="64"/>
      <c r="K77" s="64"/>
      <c r="L77" s="64"/>
      <c r="M77" s="64"/>
      <c r="N77" s="64"/>
      <c r="O77" s="64"/>
      <c r="P77" s="64"/>
      <c r="Q77" s="64"/>
      <c r="R77" s="64"/>
      <c r="S77" s="64"/>
      <c r="T77" s="64"/>
      <c r="U77" s="64"/>
      <c r="V77" s="64"/>
      <c r="W77" s="64"/>
      <c r="X77" s="64"/>
      <c r="Y77" s="64"/>
      <c r="Z77" s="64"/>
    </row>
    <row r="78" ht="12.75" customHeight="1">
      <c r="A78" s="108"/>
      <c r="B78" s="64"/>
      <c r="C78" s="64"/>
      <c r="D78" s="64"/>
      <c r="E78" s="64"/>
      <c r="F78" s="63"/>
      <c r="G78" s="63"/>
      <c r="H78" s="64"/>
      <c r="I78" s="64"/>
      <c r="J78" s="64"/>
      <c r="K78" s="64"/>
      <c r="L78" s="64"/>
      <c r="M78" s="64"/>
      <c r="N78" s="64"/>
      <c r="O78" s="64"/>
      <c r="P78" s="64"/>
      <c r="Q78" s="64"/>
      <c r="R78" s="64"/>
      <c r="S78" s="64"/>
      <c r="T78" s="64"/>
      <c r="U78" s="64"/>
      <c r="V78" s="64"/>
      <c r="W78" s="64"/>
      <c r="X78" s="64"/>
      <c r="Y78" s="64"/>
      <c r="Z78" s="64"/>
    </row>
    <row r="79" ht="12.75" customHeight="1">
      <c r="A79" s="108"/>
      <c r="B79" s="64"/>
      <c r="C79" s="64"/>
      <c r="D79" s="64"/>
      <c r="E79" s="64"/>
      <c r="F79" s="63"/>
      <c r="G79" s="63"/>
      <c r="H79" s="64"/>
      <c r="I79" s="64"/>
      <c r="J79" s="64"/>
      <c r="K79" s="64"/>
      <c r="L79" s="64"/>
      <c r="M79" s="64"/>
      <c r="N79" s="64"/>
      <c r="O79" s="64"/>
      <c r="P79" s="64"/>
      <c r="Q79" s="64"/>
      <c r="R79" s="64"/>
      <c r="S79" s="64"/>
      <c r="T79" s="64"/>
      <c r="U79" s="64"/>
      <c r="V79" s="64"/>
      <c r="W79" s="64"/>
      <c r="X79" s="64"/>
      <c r="Y79" s="64"/>
      <c r="Z79" s="64"/>
    </row>
    <row r="80" ht="12.75" customHeight="1">
      <c r="A80" s="108"/>
      <c r="B80" s="64"/>
      <c r="C80" s="64"/>
      <c r="D80" s="64"/>
      <c r="E80" s="64"/>
      <c r="F80" s="63"/>
      <c r="G80" s="63"/>
      <c r="H80" s="64"/>
      <c r="I80" s="64"/>
      <c r="J80" s="64"/>
      <c r="K80" s="64"/>
      <c r="L80" s="64"/>
      <c r="M80" s="64"/>
      <c r="N80" s="64"/>
      <c r="O80" s="64"/>
      <c r="P80" s="64"/>
      <c r="Q80" s="64"/>
      <c r="R80" s="64"/>
      <c r="S80" s="64"/>
      <c r="T80" s="64"/>
      <c r="U80" s="64"/>
      <c r="V80" s="64"/>
      <c r="W80" s="64"/>
      <c r="X80" s="64"/>
      <c r="Y80" s="64"/>
      <c r="Z80" s="64"/>
    </row>
    <row r="81" ht="12.75" customHeight="1">
      <c r="A81" s="108"/>
      <c r="B81" s="64"/>
      <c r="C81" s="64"/>
      <c r="D81" s="64"/>
      <c r="E81" s="64"/>
      <c r="F81" s="63"/>
      <c r="G81" s="63"/>
      <c r="H81" s="64"/>
      <c r="I81" s="64"/>
      <c r="J81" s="64"/>
      <c r="K81" s="64"/>
      <c r="L81" s="64"/>
      <c r="M81" s="64"/>
      <c r="N81" s="64"/>
      <c r="O81" s="64"/>
      <c r="P81" s="64"/>
      <c r="Q81" s="64"/>
      <c r="R81" s="64"/>
      <c r="S81" s="64"/>
      <c r="T81" s="64"/>
      <c r="U81" s="64"/>
      <c r="V81" s="64"/>
      <c r="W81" s="64"/>
      <c r="X81" s="64"/>
      <c r="Y81" s="64"/>
      <c r="Z81" s="64"/>
    </row>
    <row r="82" ht="12.75" customHeight="1">
      <c r="A82" s="108"/>
      <c r="B82" s="64"/>
      <c r="C82" s="64"/>
      <c r="D82" s="64"/>
      <c r="E82" s="64"/>
      <c r="F82" s="63"/>
      <c r="G82" s="63"/>
      <c r="H82" s="64"/>
      <c r="I82" s="64"/>
      <c r="J82" s="64"/>
      <c r="K82" s="64"/>
      <c r="L82" s="64"/>
      <c r="M82" s="64"/>
      <c r="N82" s="64"/>
      <c r="O82" s="64"/>
      <c r="P82" s="64"/>
      <c r="Q82" s="64"/>
      <c r="R82" s="64"/>
      <c r="S82" s="64"/>
      <c r="T82" s="64"/>
      <c r="U82" s="64"/>
      <c r="V82" s="64"/>
      <c r="W82" s="64"/>
      <c r="X82" s="64"/>
      <c r="Y82" s="64"/>
      <c r="Z82" s="64"/>
    </row>
    <row r="83" ht="12.75" customHeight="1">
      <c r="A83" s="108"/>
      <c r="B83" s="64"/>
      <c r="C83" s="64"/>
      <c r="D83" s="64"/>
      <c r="E83" s="64"/>
      <c r="F83" s="63"/>
      <c r="G83" s="63"/>
      <c r="H83" s="64"/>
      <c r="I83" s="64"/>
      <c r="J83" s="64"/>
      <c r="K83" s="64"/>
      <c r="L83" s="64"/>
      <c r="M83" s="64"/>
      <c r="N83" s="64"/>
      <c r="O83" s="64"/>
      <c r="P83" s="64"/>
      <c r="Q83" s="64"/>
      <c r="R83" s="64"/>
      <c r="S83" s="64"/>
      <c r="T83" s="64"/>
      <c r="U83" s="64"/>
      <c r="V83" s="64"/>
      <c r="W83" s="64"/>
      <c r="X83" s="64"/>
      <c r="Y83" s="64"/>
      <c r="Z83" s="64"/>
    </row>
    <row r="84" ht="12.75" customHeight="1">
      <c r="A84" s="108"/>
      <c r="B84" s="64"/>
      <c r="C84" s="64"/>
      <c r="D84" s="64"/>
      <c r="E84" s="64"/>
      <c r="F84" s="63"/>
      <c r="G84" s="63"/>
      <c r="H84" s="64"/>
      <c r="I84" s="64"/>
      <c r="J84" s="64"/>
      <c r="K84" s="64"/>
      <c r="L84" s="64"/>
      <c r="M84" s="64"/>
      <c r="N84" s="64"/>
      <c r="O84" s="64"/>
      <c r="P84" s="64"/>
      <c r="Q84" s="64"/>
      <c r="R84" s="64"/>
      <c r="S84" s="64"/>
      <c r="T84" s="64"/>
      <c r="U84" s="64"/>
      <c r="V84" s="64"/>
      <c r="W84" s="64"/>
      <c r="X84" s="64"/>
      <c r="Y84" s="64"/>
      <c r="Z84" s="64"/>
    </row>
    <row r="85" ht="12.75" customHeight="1">
      <c r="A85" s="108"/>
      <c r="B85" s="64"/>
      <c r="C85" s="64"/>
      <c r="D85" s="64"/>
      <c r="E85" s="64"/>
      <c r="F85" s="63"/>
      <c r="G85" s="63"/>
      <c r="H85" s="64"/>
      <c r="I85" s="64"/>
      <c r="J85" s="64"/>
      <c r="K85" s="64"/>
      <c r="L85" s="64"/>
      <c r="M85" s="64"/>
      <c r="N85" s="64"/>
      <c r="O85" s="64"/>
      <c r="P85" s="64"/>
      <c r="Q85" s="64"/>
      <c r="R85" s="64"/>
      <c r="S85" s="64"/>
      <c r="T85" s="64"/>
      <c r="U85" s="64"/>
      <c r="V85" s="64"/>
      <c r="W85" s="64"/>
      <c r="X85" s="64"/>
      <c r="Y85" s="64"/>
      <c r="Z85" s="64"/>
    </row>
    <row r="86" ht="12.75" customHeight="1">
      <c r="A86" s="108"/>
      <c r="B86" s="64"/>
      <c r="C86" s="64"/>
      <c r="D86" s="64"/>
      <c r="E86" s="64"/>
      <c r="F86" s="63"/>
      <c r="G86" s="63"/>
      <c r="H86" s="64"/>
      <c r="I86" s="64"/>
      <c r="J86" s="64"/>
      <c r="K86" s="64"/>
      <c r="L86" s="64"/>
      <c r="M86" s="64"/>
      <c r="N86" s="64"/>
      <c r="O86" s="64"/>
      <c r="P86" s="64"/>
      <c r="Q86" s="64"/>
      <c r="R86" s="64"/>
      <c r="S86" s="64"/>
      <c r="T86" s="64"/>
      <c r="U86" s="64"/>
      <c r="V86" s="64"/>
      <c r="W86" s="64"/>
      <c r="X86" s="64"/>
      <c r="Y86" s="64"/>
      <c r="Z86" s="64"/>
    </row>
    <row r="87" ht="12.75" customHeight="1">
      <c r="A87" s="108"/>
      <c r="B87" s="64"/>
      <c r="C87" s="64"/>
      <c r="D87" s="64"/>
      <c r="E87" s="64"/>
      <c r="F87" s="63"/>
      <c r="G87" s="63"/>
      <c r="H87" s="64"/>
      <c r="I87" s="64"/>
      <c r="J87" s="64"/>
      <c r="K87" s="64"/>
      <c r="L87" s="64"/>
      <c r="M87" s="64"/>
      <c r="N87" s="64"/>
      <c r="O87" s="64"/>
      <c r="P87" s="64"/>
      <c r="Q87" s="64"/>
      <c r="R87" s="64"/>
      <c r="S87" s="64"/>
      <c r="T87" s="64"/>
      <c r="U87" s="64"/>
      <c r="V87" s="64"/>
      <c r="W87" s="64"/>
      <c r="X87" s="64"/>
      <c r="Y87" s="64"/>
      <c r="Z87" s="64"/>
    </row>
    <row r="88" ht="12.75" customHeight="1">
      <c r="A88" s="108"/>
      <c r="B88" s="64"/>
      <c r="C88" s="64"/>
      <c r="D88" s="64"/>
      <c r="E88" s="64"/>
      <c r="F88" s="63"/>
      <c r="G88" s="63"/>
      <c r="H88" s="64"/>
      <c r="I88" s="64"/>
      <c r="J88" s="64"/>
      <c r="K88" s="64"/>
      <c r="L88" s="64"/>
      <c r="M88" s="64"/>
      <c r="N88" s="64"/>
      <c r="O88" s="64"/>
      <c r="P88" s="64"/>
      <c r="Q88" s="64"/>
      <c r="R88" s="64"/>
      <c r="S88" s="64"/>
      <c r="T88" s="64"/>
      <c r="U88" s="64"/>
      <c r="V88" s="64"/>
      <c r="W88" s="64"/>
      <c r="X88" s="64"/>
      <c r="Y88" s="64"/>
      <c r="Z88" s="64"/>
    </row>
    <row r="89" ht="12.75" customHeight="1">
      <c r="A89" s="108"/>
      <c r="B89" s="64"/>
      <c r="C89" s="64"/>
      <c r="D89" s="64"/>
      <c r="E89" s="64"/>
      <c r="F89" s="63"/>
      <c r="G89" s="63"/>
      <c r="H89" s="64"/>
      <c r="I89" s="64"/>
      <c r="J89" s="64"/>
      <c r="K89" s="64"/>
      <c r="L89" s="64"/>
      <c r="M89" s="64"/>
      <c r="N89" s="64"/>
      <c r="O89" s="64"/>
      <c r="P89" s="64"/>
      <c r="Q89" s="64"/>
      <c r="R89" s="64"/>
      <c r="S89" s="64"/>
      <c r="T89" s="64"/>
      <c r="U89" s="64"/>
      <c r="V89" s="64"/>
      <c r="W89" s="64"/>
      <c r="X89" s="64"/>
      <c r="Y89" s="64"/>
      <c r="Z89" s="64"/>
    </row>
    <row r="90" ht="12.75" customHeight="1">
      <c r="A90" s="108"/>
      <c r="B90" s="64"/>
      <c r="C90" s="64"/>
      <c r="D90" s="64"/>
      <c r="E90" s="64"/>
      <c r="F90" s="63"/>
      <c r="G90" s="63"/>
      <c r="H90" s="64"/>
      <c r="I90" s="64"/>
      <c r="J90" s="64"/>
      <c r="K90" s="64"/>
      <c r="L90" s="64"/>
      <c r="M90" s="64"/>
      <c r="N90" s="64"/>
      <c r="O90" s="64"/>
      <c r="P90" s="64"/>
      <c r="Q90" s="64"/>
      <c r="R90" s="64"/>
      <c r="S90" s="64"/>
      <c r="T90" s="64"/>
      <c r="U90" s="64"/>
      <c r="V90" s="64"/>
      <c r="W90" s="64"/>
      <c r="X90" s="64"/>
      <c r="Y90" s="64"/>
      <c r="Z90" s="64"/>
    </row>
    <row r="91" ht="12.75" customHeight="1">
      <c r="A91" s="108"/>
      <c r="B91" s="64"/>
      <c r="C91" s="64"/>
      <c r="D91" s="64"/>
      <c r="E91" s="64"/>
      <c r="F91" s="63"/>
      <c r="G91" s="63"/>
      <c r="H91" s="64"/>
      <c r="I91" s="64"/>
      <c r="J91" s="64"/>
      <c r="K91" s="64"/>
      <c r="L91" s="64"/>
      <c r="M91" s="64"/>
      <c r="N91" s="64"/>
      <c r="O91" s="64"/>
      <c r="P91" s="64"/>
      <c r="Q91" s="64"/>
      <c r="R91" s="64"/>
      <c r="S91" s="64"/>
      <c r="T91" s="64"/>
      <c r="U91" s="64"/>
      <c r="V91" s="64"/>
      <c r="W91" s="64"/>
      <c r="X91" s="64"/>
      <c r="Y91" s="64"/>
      <c r="Z91" s="64"/>
    </row>
    <row r="92" ht="12.75" customHeight="1">
      <c r="A92" s="108"/>
      <c r="B92" s="64"/>
      <c r="C92" s="64"/>
      <c r="D92" s="64"/>
      <c r="E92" s="64"/>
      <c r="F92" s="63"/>
      <c r="G92" s="63"/>
      <c r="H92" s="64"/>
      <c r="I92" s="64"/>
      <c r="J92" s="64"/>
      <c r="K92" s="64"/>
      <c r="L92" s="64"/>
      <c r="M92" s="64"/>
      <c r="N92" s="64"/>
      <c r="O92" s="64"/>
      <c r="P92" s="64"/>
      <c r="Q92" s="64"/>
      <c r="R92" s="64"/>
      <c r="S92" s="64"/>
      <c r="T92" s="64"/>
      <c r="U92" s="64"/>
      <c r="V92" s="64"/>
      <c r="W92" s="64"/>
      <c r="X92" s="64"/>
      <c r="Y92" s="64"/>
      <c r="Z92" s="64"/>
    </row>
    <row r="93" ht="12.75" customHeight="1">
      <c r="A93" s="108"/>
      <c r="B93" s="64"/>
      <c r="C93" s="64"/>
      <c r="D93" s="64"/>
      <c r="E93" s="64"/>
      <c r="F93" s="63"/>
      <c r="G93" s="63"/>
      <c r="H93" s="64"/>
      <c r="I93" s="64"/>
      <c r="J93" s="64"/>
      <c r="K93" s="64"/>
      <c r="L93" s="64"/>
      <c r="M93" s="64"/>
      <c r="N93" s="64"/>
      <c r="O93" s="64"/>
      <c r="P93" s="64"/>
      <c r="Q93" s="64"/>
      <c r="R93" s="64"/>
      <c r="S93" s="64"/>
      <c r="T93" s="64"/>
      <c r="U93" s="64"/>
      <c r="V93" s="64"/>
      <c r="W93" s="64"/>
      <c r="X93" s="64"/>
      <c r="Y93" s="64"/>
      <c r="Z93" s="64"/>
    </row>
    <row r="94" ht="12.75" customHeight="1">
      <c r="A94" s="108"/>
      <c r="B94" s="64"/>
      <c r="C94" s="64"/>
      <c r="D94" s="64"/>
      <c r="E94" s="64"/>
      <c r="F94" s="63"/>
      <c r="G94" s="63"/>
      <c r="H94" s="64"/>
      <c r="I94" s="64"/>
      <c r="J94" s="64"/>
      <c r="K94" s="64"/>
      <c r="L94" s="64"/>
      <c r="M94" s="64"/>
      <c r="N94" s="64"/>
      <c r="O94" s="64"/>
      <c r="P94" s="64"/>
      <c r="Q94" s="64"/>
      <c r="R94" s="64"/>
      <c r="S94" s="64"/>
      <c r="T94" s="64"/>
      <c r="U94" s="64"/>
      <c r="V94" s="64"/>
      <c r="W94" s="64"/>
      <c r="X94" s="64"/>
      <c r="Y94" s="64"/>
      <c r="Z94" s="64"/>
    </row>
    <row r="95" ht="12.75" customHeight="1">
      <c r="A95" s="108"/>
      <c r="B95" s="64"/>
      <c r="C95" s="64"/>
      <c r="D95" s="64"/>
      <c r="E95" s="64"/>
      <c r="F95" s="63"/>
      <c r="G95" s="63"/>
      <c r="H95" s="64"/>
      <c r="I95" s="64"/>
      <c r="J95" s="64"/>
      <c r="K95" s="64"/>
      <c r="L95" s="64"/>
      <c r="M95" s="64"/>
      <c r="N95" s="64"/>
      <c r="O95" s="64"/>
      <c r="P95" s="64"/>
      <c r="Q95" s="64"/>
      <c r="R95" s="64"/>
      <c r="S95" s="64"/>
      <c r="T95" s="64"/>
      <c r="U95" s="64"/>
      <c r="V95" s="64"/>
      <c r="W95" s="64"/>
      <c r="X95" s="64"/>
      <c r="Y95" s="64"/>
      <c r="Z95" s="64"/>
    </row>
    <row r="96" ht="12.75" customHeight="1">
      <c r="A96" s="108"/>
      <c r="B96" s="64"/>
      <c r="C96" s="64"/>
      <c r="D96" s="64"/>
      <c r="E96" s="64"/>
      <c r="F96" s="63"/>
      <c r="G96" s="63"/>
      <c r="H96" s="64"/>
      <c r="I96" s="64"/>
      <c r="J96" s="64"/>
      <c r="K96" s="64"/>
      <c r="L96" s="64"/>
      <c r="M96" s="64"/>
      <c r="N96" s="64"/>
      <c r="O96" s="64"/>
      <c r="P96" s="64"/>
      <c r="Q96" s="64"/>
      <c r="R96" s="64"/>
      <c r="S96" s="64"/>
      <c r="T96" s="64"/>
      <c r="U96" s="64"/>
      <c r="V96" s="64"/>
      <c r="W96" s="64"/>
      <c r="X96" s="64"/>
      <c r="Y96" s="64"/>
      <c r="Z96" s="64"/>
    </row>
    <row r="97" ht="12.75" customHeight="1">
      <c r="A97" s="108"/>
      <c r="B97" s="64"/>
      <c r="C97" s="64"/>
      <c r="D97" s="64"/>
      <c r="E97" s="64"/>
      <c r="F97" s="63"/>
      <c r="G97" s="63"/>
      <c r="H97" s="64"/>
      <c r="I97" s="64"/>
      <c r="J97" s="64"/>
      <c r="K97" s="64"/>
      <c r="L97" s="64"/>
      <c r="M97" s="64"/>
      <c r="N97" s="64"/>
      <c r="O97" s="64"/>
      <c r="P97" s="64"/>
      <c r="Q97" s="64"/>
      <c r="R97" s="64"/>
      <c r="S97" s="64"/>
      <c r="T97" s="64"/>
      <c r="U97" s="64"/>
      <c r="V97" s="64"/>
      <c r="W97" s="64"/>
      <c r="X97" s="64"/>
      <c r="Y97" s="64"/>
      <c r="Z97" s="64"/>
    </row>
    <row r="98" ht="12.75" customHeight="1">
      <c r="A98" s="108"/>
      <c r="B98" s="64"/>
      <c r="C98" s="64"/>
      <c r="D98" s="64"/>
      <c r="E98" s="64"/>
      <c r="F98" s="63"/>
      <c r="G98" s="63"/>
      <c r="H98" s="64"/>
      <c r="I98" s="64"/>
      <c r="J98" s="64"/>
      <c r="K98" s="64"/>
      <c r="L98" s="64"/>
      <c r="M98" s="64"/>
      <c r="N98" s="64"/>
      <c r="O98" s="64"/>
      <c r="P98" s="64"/>
      <c r="Q98" s="64"/>
      <c r="R98" s="64"/>
      <c r="S98" s="64"/>
      <c r="T98" s="64"/>
      <c r="U98" s="64"/>
      <c r="V98" s="64"/>
      <c r="W98" s="64"/>
      <c r="X98" s="64"/>
      <c r="Y98" s="64"/>
      <c r="Z98" s="64"/>
    </row>
    <row r="99" ht="12.75" customHeight="1">
      <c r="A99" s="108"/>
      <c r="B99" s="64"/>
      <c r="C99" s="64"/>
      <c r="D99" s="64"/>
      <c r="E99" s="64"/>
      <c r="F99" s="63"/>
      <c r="G99" s="63"/>
      <c r="H99" s="64"/>
      <c r="I99" s="64"/>
      <c r="J99" s="64"/>
      <c r="K99" s="64"/>
      <c r="L99" s="64"/>
      <c r="M99" s="64"/>
      <c r="N99" s="64"/>
      <c r="O99" s="64"/>
      <c r="P99" s="64"/>
      <c r="Q99" s="64"/>
      <c r="R99" s="64"/>
      <c r="S99" s="64"/>
      <c r="T99" s="64"/>
      <c r="U99" s="64"/>
      <c r="V99" s="64"/>
      <c r="W99" s="64"/>
      <c r="X99" s="64"/>
      <c r="Y99" s="64"/>
      <c r="Z99" s="64"/>
    </row>
    <row r="100" ht="12.75" customHeight="1">
      <c r="A100" s="108"/>
      <c r="B100" s="64"/>
      <c r="C100" s="64"/>
      <c r="D100" s="64"/>
      <c r="E100" s="64"/>
      <c r="F100" s="63"/>
      <c r="G100" s="63"/>
      <c r="H100" s="64"/>
      <c r="I100" s="64"/>
      <c r="J100" s="64"/>
      <c r="K100" s="64"/>
      <c r="L100" s="64"/>
      <c r="M100" s="64"/>
      <c r="N100" s="64"/>
      <c r="O100" s="64"/>
      <c r="P100" s="64"/>
      <c r="Q100" s="64"/>
      <c r="R100" s="64"/>
      <c r="S100" s="64"/>
      <c r="T100" s="64"/>
      <c r="U100" s="64"/>
      <c r="V100" s="64"/>
      <c r="W100" s="64"/>
      <c r="X100" s="64"/>
      <c r="Y100" s="64"/>
      <c r="Z100" s="64"/>
    </row>
    <row r="101" ht="12.75" customHeight="1">
      <c r="A101" s="108"/>
      <c r="B101" s="64"/>
      <c r="C101" s="64"/>
      <c r="D101" s="64"/>
      <c r="E101" s="64"/>
      <c r="F101" s="63"/>
      <c r="G101" s="63"/>
      <c r="H101" s="64"/>
      <c r="I101" s="64"/>
      <c r="J101" s="64"/>
      <c r="K101" s="64"/>
      <c r="L101" s="64"/>
      <c r="M101" s="64"/>
      <c r="N101" s="64"/>
      <c r="O101" s="64"/>
      <c r="P101" s="64"/>
      <c r="Q101" s="64"/>
      <c r="R101" s="64"/>
      <c r="S101" s="64"/>
      <c r="T101" s="64"/>
      <c r="U101" s="64"/>
      <c r="V101" s="64"/>
      <c r="W101" s="64"/>
      <c r="X101" s="64"/>
      <c r="Y101" s="64"/>
      <c r="Z101" s="64"/>
    </row>
    <row r="102" ht="12.75" customHeight="1">
      <c r="A102" s="108"/>
      <c r="B102" s="64"/>
      <c r="C102" s="64"/>
      <c r="D102" s="64"/>
      <c r="E102" s="64"/>
      <c r="F102" s="63"/>
      <c r="G102" s="63"/>
      <c r="H102" s="64"/>
      <c r="I102" s="64"/>
      <c r="J102" s="64"/>
      <c r="K102" s="64"/>
      <c r="L102" s="64"/>
      <c r="M102" s="64"/>
      <c r="N102" s="64"/>
      <c r="O102" s="64"/>
      <c r="P102" s="64"/>
      <c r="Q102" s="64"/>
      <c r="R102" s="64"/>
      <c r="S102" s="64"/>
      <c r="T102" s="64"/>
      <c r="U102" s="64"/>
      <c r="V102" s="64"/>
      <c r="W102" s="64"/>
      <c r="X102" s="64"/>
      <c r="Y102" s="64"/>
      <c r="Z102" s="64"/>
    </row>
    <row r="103" ht="12.75" customHeight="1">
      <c r="A103" s="108"/>
      <c r="B103" s="64"/>
      <c r="C103" s="64"/>
      <c r="D103" s="64"/>
      <c r="E103" s="64"/>
      <c r="F103" s="63"/>
      <c r="G103" s="63"/>
      <c r="H103" s="64"/>
      <c r="I103" s="64"/>
      <c r="J103" s="64"/>
      <c r="K103" s="64"/>
      <c r="L103" s="64"/>
      <c r="M103" s="64"/>
      <c r="N103" s="64"/>
      <c r="O103" s="64"/>
      <c r="P103" s="64"/>
      <c r="Q103" s="64"/>
      <c r="R103" s="64"/>
      <c r="S103" s="64"/>
      <c r="T103" s="64"/>
      <c r="U103" s="64"/>
      <c r="V103" s="64"/>
      <c r="W103" s="64"/>
      <c r="X103" s="64"/>
      <c r="Y103" s="64"/>
      <c r="Z103" s="64"/>
    </row>
    <row r="104" ht="12.75" customHeight="1">
      <c r="A104" s="108"/>
      <c r="B104" s="64"/>
      <c r="C104" s="64"/>
      <c r="D104" s="64"/>
      <c r="E104" s="64"/>
      <c r="F104" s="63"/>
      <c r="G104" s="63"/>
      <c r="H104" s="64"/>
      <c r="I104" s="64"/>
      <c r="J104" s="64"/>
      <c r="K104" s="64"/>
      <c r="L104" s="64"/>
      <c r="M104" s="64"/>
      <c r="N104" s="64"/>
      <c r="O104" s="64"/>
      <c r="P104" s="64"/>
      <c r="Q104" s="64"/>
      <c r="R104" s="64"/>
      <c r="S104" s="64"/>
      <c r="T104" s="64"/>
      <c r="U104" s="64"/>
      <c r="V104" s="64"/>
      <c r="W104" s="64"/>
      <c r="X104" s="64"/>
      <c r="Y104" s="64"/>
      <c r="Z104" s="64"/>
    </row>
    <row r="105" ht="12.75" customHeight="1">
      <c r="A105" s="108"/>
      <c r="B105" s="64"/>
      <c r="C105" s="64"/>
      <c r="D105" s="64"/>
      <c r="E105" s="64"/>
      <c r="F105" s="63"/>
      <c r="G105" s="63"/>
      <c r="H105" s="64"/>
      <c r="I105" s="64"/>
      <c r="J105" s="64"/>
      <c r="K105" s="64"/>
      <c r="L105" s="64"/>
      <c r="M105" s="64"/>
      <c r="N105" s="64"/>
      <c r="O105" s="64"/>
      <c r="P105" s="64"/>
      <c r="Q105" s="64"/>
      <c r="R105" s="64"/>
      <c r="S105" s="64"/>
      <c r="T105" s="64"/>
      <c r="U105" s="64"/>
      <c r="V105" s="64"/>
      <c r="W105" s="64"/>
      <c r="X105" s="64"/>
      <c r="Y105" s="64"/>
      <c r="Z105" s="64"/>
    </row>
    <row r="106" ht="12.75" customHeight="1">
      <c r="A106" s="108"/>
      <c r="B106" s="64"/>
      <c r="C106" s="64"/>
      <c r="D106" s="64"/>
      <c r="E106" s="64"/>
      <c r="F106" s="63"/>
      <c r="G106" s="63"/>
      <c r="H106" s="64"/>
      <c r="I106" s="64"/>
      <c r="J106" s="64"/>
      <c r="K106" s="64"/>
      <c r="L106" s="64"/>
      <c r="M106" s="64"/>
      <c r="N106" s="64"/>
      <c r="O106" s="64"/>
      <c r="P106" s="64"/>
      <c r="Q106" s="64"/>
      <c r="R106" s="64"/>
      <c r="S106" s="64"/>
      <c r="T106" s="64"/>
      <c r="U106" s="64"/>
      <c r="V106" s="64"/>
      <c r="W106" s="64"/>
      <c r="X106" s="64"/>
      <c r="Y106" s="64"/>
      <c r="Z106" s="64"/>
    </row>
    <row r="107" ht="12.75" customHeight="1">
      <c r="A107" s="108"/>
      <c r="B107" s="64"/>
      <c r="C107" s="64"/>
      <c r="D107" s="64"/>
      <c r="E107" s="64"/>
      <c r="F107" s="63"/>
      <c r="G107" s="63"/>
      <c r="H107" s="64"/>
      <c r="I107" s="64"/>
      <c r="J107" s="64"/>
      <c r="K107" s="64"/>
      <c r="L107" s="64"/>
      <c r="M107" s="64"/>
      <c r="N107" s="64"/>
      <c r="O107" s="64"/>
      <c r="P107" s="64"/>
      <c r="Q107" s="64"/>
      <c r="R107" s="64"/>
      <c r="S107" s="64"/>
      <c r="T107" s="64"/>
      <c r="U107" s="64"/>
      <c r="V107" s="64"/>
      <c r="W107" s="64"/>
      <c r="X107" s="64"/>
      <c r="Y107" s="64"/>
      <c r="Z107" s="64"/>
    </row>
    <row r="108" ht="12.75" customHeight="1">
      <c r="A108" s="108"/>
      <c r="B108" s="64"/>
      <c r="C108" s="64"/>
      <c r="D108" s="64"/>
      <c r="E108" s="64"/>
      <c r="F108" s="63"/>
      <c r="G108" s="63"/>
      <c r="H108" s="64"/>
      <c r="I108" s="64"/>
      <c r="J108" s="64"/>
      <c r="K108" s="64"/>
      <c r="L108" s="64"/>
      <c r="M108" s="64"/>
      <c r="N108" s="64"/>
      <c r="O108" s="64"/>
      <c r="P108" s="64"/>
      <c r="Q108" s="64"/>
      <c r="R108" s="64"/>
      <c r="S108" s="64"/>
      <c r="T108" s="64"/>
      <c r="U108" s="64"/>
      <c r="V108" s="64"/>
      <c r="W108" s="64"/>
      <c r="X108" s="64"/>
      <c r="Y108" s="64"/>
      <c r="Z108" s="64"/>
    </row>
    <row r="109" ht="12.75" customHeight="1">
      <c r="A109" s="108"/>
      <c r="B109" s="64"/>
      <c r="C109" s="64"/>
      <c r="D109" s="64"/>
      <c r="E109" s="64"/>
      <c r="F109" s="63"/>
      <c r="G109" s="63"/>
      <c r="H109" s="64"/>
      <c r="I109" s="64"/>
      <c r="J109" s="64"/>
      <c r="K109" s="64"/>
      <c r="L109" s="64"/>
      <c r="M109" s="64"/>
      <c r="N109" s="64"/>
      <c r="O109" s="64"/>
      <c r="P109" s="64"/>
      <c r="Q109" s="64"/>
      <c r="R109" s="64"/>
      <c r="S109" s="64"/>
      <c r="T109" s="64"/>
      <c r="U109" s="64"/>
      <c r="V109" s="64"/>
      <c r="W109" s="64"/>
      <c r="X109" s="64"/>
      <c r="Y109" s="64"/>
      <c r="Z109" s="64"/>
    </row>
    <row r="110" ht="12.75" customHeight="1">
      <c r="A110" s="108"/>
      <c r="B110" s="64"/>
      <c r="C110" s="64"/>
      <c r="D110" s="64"/>
      <c r="E110" s="64"/>
      <c r="F110" s="63"/>
      <c r="G110" s="63"/>
      <c r="H110" s="64"/>
      <c r="I110" s="64"/>
      <c r="J110" s="64"/>
      <c r="K110" s="64"/>
      <c r="L110" s="64"/>
      <c r="M110" s="64"/>
      <c r="N110" s="64"/>
      <c r="O110" s="64"/>
      <c r="P110" s="64"/>
      <c r="Q110" s="64"/>
      <c r="R110" s="64"/>
      <c r="S110" s="64"/>
      <c r="T110" s="64"/>
      <c r="U110" s="64"/>
      <c r="V110" s="64"/>
      <c r="W110" s="64"/>
      <c r="X110" s="64"/>
      <c r="Y110" s="64"/>
      <c r="Z110" s="64"/>
    </row>
    <row r="111" ht="12.75" customHeight="1">
      <c r="A111" s="108"/>
      <c r="B111" s="64"/>
      <c r="C111" s="64"/>
      <c r="D111" s="64"/>
      <c r="E111" s="64"/>
      <c r="F111" s="63"/>
      <c r="G111" s="63"/>
      <c r="H111" s="64"/>
      <c r="I111" s="64"/>
      <c r="J111" s="64"/>
      <c r="K111" s="64"/>
      <c r="L111" s="64"/>
      <c r="M111" s="64"/>
      <c r="N111" s="64"/>
      <c r="O111" s="64"/>
      <c r="P111" s="64"/>
      <c r="Q111" s="64"/>
      <c r="R111" s="64"/>
      <c r="S111" s="64"/>
      <c r="T111" s="64"/>
      <c r="U111" s="64"/>
      <c r="V111" s="64"/>
      <c r="W111" s="64"/>
      <c r="X111" s="64"/>
      <c r="Y111" s="64"/>
      <c r="Z111" s="64"/>
    </row>
    <row r="112" ht="12.75" customHeight="1">
      <c r="A112" s="108"/>
      <c r="B112" s="64"/>
      <c r="C112" s="64"/>
      <c r="D112" s="64"/>
      <c r="E112" s="64"/>
      <c r="F112" s="63"/>
      <c r="G112" s="63"/>
      <c r="H112" s="64"/>
      <c r="I112" s="64"/>
      <c r="J112" s="64"/>
      <c r="K112" s="64"/>
      <c r="L112" s="64"/>
      <c r="M112" s="64"/>
      <c r="N112" s="64"/>
      <c r="O112" s="64"/>
      <c r="P112" s="64"/>
      <c r="Q112" s="64"/>
      <c r="R112" s="64"/>
      <c r="S112" s="64"/>
      <c r="T112" s="64"/>
      <c r="U112" s="64"/>
      <c r="V112" s="64"/>
      <c r="W112" s="64"/>
      <c r="X112" s="64"/>
      <c r="Y112" s="64"/>
      <c r="Z112" s="64"/>
    </row>
    <row r="113" ht="12.75" customHeight="1">
      <c r="A113" s="108"/>
      <c r="B113" s="64"/>
      <c r="C113" s="64"/>
      <c r="D113" s="64"/>
      <c r="E113" s="64"/>
      <c r="F113" s="63"/>
      <c r="G113" s="63"/>
      <c r="H113" s="64"/>
      <c r="I113" s="64"/>
      <c r="J113" s="64"/>
      <c r="K113" s="64"/>
      <c r="L113" s="64"/>
      <c r="M113" s="64"/>
      <c r="N113" s="64"/>
      <c r="O113" s="64"/>
      <c r="P113" s="64"/>
      <c r="Q113" s="64"/>
      <c r="R113" s="64"/>
      <c r="S113" s="64"/>
      <c r="T113" s="64"/>
      <c r="U113" s="64"/>
      <c r="V113" s="64"/>
      <c r="W113" s="64"/>
      <c r="X113" s="64"/>
      <c r="Y113" s="64"/>
      <c r="Z113" s="64"/>
    </row>
    <row r="114" ht="12.75" customHeight="1">
      <c r="A114" s="108"/>
      <c r="B114" s="64"/>
      <c r="C114" s="64"/>
      <c r="D114" s="64"/>
      <c r="E114" s="64"/>
      <c r="F114" s="63"/>
      <c r="G114" s="63"/>
      <c r="H114" s="64"/>
      <c r="I114" s="64"/>
      <c r="J114" s="64"/>
      <c r="K114" s="64"/>
      <c r="L114" s="64"/>
      <c r="M114" s="64"/>
      <c r="N114" s="64"/>
      <c r="O114" s="64"/>
      <c r="P114" s="64"/>
      <c r="Q114" s="64"/>
      <c r="R114" s="64"/>
      <c r="S114" s="64"/>
      <c r="T114" s="64"/>
      <c r="U114" s="64"/>
      <c r="V114" s="64"/>
      <c r="W114" s="64"/>
      <c r="X114" s="64"/>
      <c r="Y114" s="64"/>
      <c r="Z114" s="64"/>
    </row>
    <row r="115" ht="12.75" customHeight="1">
      <c r="A115" s="108"/>
      <c r="B115" s="64"/>
      <c r="C115" s="64"/>
      <c r="D115" s="64"/>
      <c r="E115" s="64"/>
      <c r="F115" s="63"/>
      <c r="G115" s="63"/>
      <c r="H115" s="64"/>
      <c r="I115" s="64"/>
      <c r="J115" s="64"/>
      <c r="K115" s="64"/>
      <c r="L115" s="64"/>
      <c r="M115" s="64"/>
      <c r="N115" s="64"/>
      <c r="O115" s="64"/>
      <c r="P115" s="64"/>
      <c r="Q115" s="64"/>
      <c r="R115" s="64"/>
      <c r="S115" s="64"/>
      <c r="T115" s="64"/>
      <c r="U115" s="64"/>
      <c r="V115" s="64"/>
      <c r="W115" s="64"/>
      <c r="X115" s="64"/>
      <c r="Y115" s="64"/>
      <c r="Z115" s="64"/>
    </row>
    <row r="116" ht="12.75" customHeight="1">
      <c r="A116" s="108"/>
      <c r="B116" s="64"/>
      <c r="C116" s="64"/>
      <c r="D116" s="64"/>
      <c r="E116" s="64"/>
      <c r="F116" s="63"/>
      <c r="G116" s="63"/>
      <c r="H116" s="64"/>
      <c r="I116" s="64"/>
      <c r="J116" s="64"/>
      <c r="K116" s="64"/>
      <c r="L116" s="64"/>
      <c r="M116" s="64"/>
      <c r="N116" s="64"/>
      <c r="O116" s="64"/>
      <c r="P116" s="64"/>
      <c r="Q116" s="64"/>
      <c r="R116" s="64"/>
      <c r="S116" s="64"/>
      <c r="T116" s="64"/>
      <c r="U116" s="64"/>
      <c r="V116" s="64"/>
      <c r="W116" s="64"/>
      <c r="X116" s="64"/>
      <c r="Y116" s="64"/>
      <c r="Z116" s="64"/>
    </row>
    <row r="117" ht="12.75" customHeight="1">
      <c r="A117" s="108"/>
      <c r="B117" s="64"/>
      <c r="C117" s="64"/>
      <c r="D117" s="64"/>
      <c r="E117" s="64"/>
      <c r="F117" s="63"/>
      <c r="G117" s="63"/>
      <c r="H117" s="64"/>
      <c r="I117" s="64"/>
      <c r="J117" s="64"/>
      <c r="K117" s="64"/>
      <c r="L117" s="64"/>
      <c r="M117" s="64"/>
      <c r="N117" s="64"/>
      <c r="O117" s="64"/>
      <c r="P117" s="64"/>
      <c r="Q117" s="64"/>
      <c r="R117" s="64"/>
      <c r="S117" s="64"/>
      <c r="T117" s="64"/>
      <c r="U117" s="64"/>
      <c r="V117" s="64"/>
      <c r="W117" s="64"/>
      <c r="X117" s="64"/>
      <c r="Y117" s="64"/>
      <c r="Z117" s="64"/>
    </row>
    <row r="118" ht="12.75" customHeight="1">
      <c r="A118" s="108"/>
      <c r="B118" s="64"/>
      <c r="C118" s="64"/>
      <c r="D118" s="64"/>
      <c r="E118" s="64"/>
      <c r="F118" s="63"/>
      <c r="G118" s="63"/>
      <c r="H118" s="64"/>
      <c r="I118" s="64"/>
      <c r="J118" s="64"/>
      <c r="K118" s="64"/>
      <c r="L118" s="64"/>
      <c r="M118" s="64"/>
      <c r="N118" s="64"/>
      <c r="O118" s="64"/>
      <c r="P118" s="64"/>
      <c r="Q118" s="64"/>
      <c r="R118" s="64"/>
      <c r="S118" s="64"/>
      <c r="T118" s="64"/>
      <c r="U118" s="64"/>
      <c r="V118" s="64"/>
      <c r="W118" s="64"/>
      <c r="X118" s="64"/>
      <c r="Y118" s="64"/>
      <c r="Z118" s="64"/>
    </row>
    <row r="119" ht="12.75" customHeight="1">
      <c r="A119" s="108"/>
      <c r="B119" s="64"/>
      <c r="C119" s="64"/>
      <c r="D119" s="64"/>
      <c r="E119" s="64"/>
      <c r="F119" s="63"/>
      <c r="G119" s="63"/>
      <c r="H119" s="64"/>
      <c r="I119" s="64"/>
      <c r="J119" s="64"/>
      <c r="K119" s="64"/>
      <c r="L119" s="64"/>
      <c r="M119" s="64"/>
      <c r="N119" s="64"/>
      <c r="O119" s="64"/>
      <c r="P119" s="64"/>
      <c r="Q119" s="64"/>
      <c r="R119" s="64"/>
      <c r="S119" s="64"/>
      <c r="T119" s="64"/>
      <c r="U119" s="64"/>
      <c r="V119" s="64"/>
      <c r="W119" s="64"/>
      <c r="X119" s="64"/>
      <c r="Y119" s="64"/>
      <c r="Z119" s="64"/>
    </row>
    <row r="120" ht="12.75" customHeight="1">
      <c r="A120" s="108"/>
      <c r="B120" s="64"/>
      <c r="C120" s="64"/>
      <c r="D120" s="64"/>
      <c r="E120" s="64"/>
      <c r="F120" s="63"/>
      <c r="G120" s="63"/>
      <c r="H120" s="64"/>
      <c r="I120" s="64"/>
      <c r="J120" s="64"/>
      <c r="K120" s="64"/>
      <c r="L120" s="64"/>
      <c r="M120" s="64"/>
      <c r="N120" s="64"/>
      <c r="O120" s="64"/>
      <c r="P120" s="64"/>
      <c r="Q120" s="64"/>
      <c r="R120" s="64"/>
      <c r="S120" s="64"/>
      <c r="T120" s="64"/>
      <c r="U120" s="64"/>
      <c r="V120" s="64"/>
      <c r="W120" s="64"/>
      <c r="X120" s="64"/>
      <c r="Y120" s="64"/>
      <c r="Z120" s="64"/>
    </row>
    <row r="121" ht="12.75" customHeight="1">
      <c r="A121" s="108"/>
      <c r="B121" s="64"/>
      <c r="C121" s="64"/>
      <c r="D121" s="64"/>
      <c r="E121" s="64"/>
      <c r="F121" s="63"/>
      <c r="G121" s="63"/>
      <c r="H121" s="64"/>
      <c r="I121" s="64"/>
      <c r="J121" s="64"/>
      <c r="K121" s="64"/>
      <c r="L121" s="64"/>
      <c r="M121" s="64"/>
      <c r="N121" s="64"/>
      <c r="O121" s="64"/>
      <c r="P121" s="64"/>
      <c r="Q121" s="64"/>
      <c r="R121" s="64"/>
      <c r="S121" s="64"/>
      <c r="T121" s="64"/>
      <c r="U121" s="64"/>
      <c r="V121" s="64"/>
      <c r="W121" s="64"/>
      <c r="X121" s="64"/>
      <c r="Y121" s="64"/>
      <c r="Z121" s="64"/>
    </row>
    <row r="122" ht="12.75" customHeight="1">
      <c r="A122" s="108"/>
      <c r="B122" s="64"/>
      <c r="C122" s="64"/>
      <c r="D122" s="64"/>
      <c r="E122" s="64"/>
      <c r="F122" s="63"/>
      <c r="G122" s="63"/>
      <c r="H122" s="64"/>
      <c r="I122" s="64"/>
      <c r="J122" s="64"/>
      <c r="K122" s="64"/>
      <c r="L122" s="64"/>
      <c r="M122" s="64"/>
      <c r="N122" s="64"/>
      <c r="O122" s="64"/>
      <c r="P122" s="64"/>
      <c r="Q122" s="64"/>
      <c r="R122" s="64"/>
      <c r="S122" s="64"/>
      <c r="T122" s="64"/>
      <c r="U122" s="64"/>
      <c r="V122" s="64"/>
      <c r="W122" s="64"/>
      <c r="X122" s="64"/>
      <c r="Y122" s="64"/>
      <c r="Z122" s="64"/>
    </row>
    <row r="123" ht="12.75" customHeight="1">
      <c r="A123" s="108"/>
      <c r="B123" s="64"/>
      <c r="C123" s="64"/>
      <c r="D123" s="64"/>
      <c r="E123" s="64"/>
      <c r="F123" s="63"/>
      <c r="G123" s="63"/>
      <c r="H123" s="64"/>
      <c r="I123" s="64"/>
      <c r="J123" s="64"/>
      <c r="K123" s="64"/>
      <c r="L123" s="64"/>
      <c r="M123" s="64"/>
      <c r="N123" s="64"/>
      <c r="O123" s="64"/>
      <c r="P123" s="64"/>
      <c r="Q123" s="64"/>
      <c r="R123" s="64"/>
      <c r="S123" s="64"/>
      <c r="T123" s="64"/>
      <c r="U123" s="64"/>
      <c r="V123" s="64"/>
      <c r="W123" s="64"/>
      <c r="X123" s="64"/>
      <c r="Y123" s="64"/>
      <c r="Z123" s="64"/>
    </row>
    <row r="124" ht="12.75" customHeight="1">
      <c r="A124" s="108"/>
      <c r="B124" s="64"/>
      <c r="C124" s="64"/>
      <c r="D124" s="64"/>
      <c r="E124" s="64"/>
      <c r="F124" s="63"/>
      <c r="G124" s="63"/>
      <c r="H124" s="64"/>
      <c r="I124" s="64"/>
      <c r="J124" s="64"/>
      <c r="K124" s="64"/>
      <c r="L124" s="64"/>
      <c r="M124" s="64"/>
      <c r="N124" s="64"/>
      <c r="O124" s="64"/>
      <c r="P124" s="64"/>
      <c r="Q124" s="64"/>
      <c r="R124" s="64"/>
      <c r="S124" s="64"/>
      <c r="T124" s="64"/>
      <c r="U124" s="64"/>
      <c r="V124" s="64"/>
      <c r="W124" s="64"/>
      <c r="X124" s="64"/>
      <c r="Y124" s="64"/>
      <c r="Z124" s="64"/>
    </row>
    <row r="125" ht="12.75" customHeight="1">
      <c r="A125" s="108"/>
      <c r="B125" s="64"/>
      <c r="C125" s="64"/>
      <c r="D125" s="64"/>
      <c r="E125" s="64"/>
      <c r="F125" s="63"/>
      <c r="G125" s="63"/>
      <c r="H125" s="64"/>
      <c r="I125" s="64"/>
      <c r="J125" s="64"/>
      <c r="K125" s="64"/>
      <c r="L125" s="64"/>
      <c r="M125" s="64"/>
      <c r="N125" s="64"/>
      <c r="O125" s="64"/>
      <c r="P125" s="64"/>
      <c r="Q125" s="64"/>
      <c r="R125" s="64"/>
      <c r="S125" s="64"/>
      <c r="T125" s="64"/>
      <c r="U125" s="64"/>
      <c r="V125" s="64"/>
      <c r="W125" s="64"/>
      <c r="X125" s="64"/>
      <c r="Y125" s="64"/>
      <c r="Z125" s="64"/>
    </row>
    <row r="126" ht="12.75" customHeight="1">
      <c r="A126" s="108"/>
      <c r="B126" s="64"/>
      <c r="C126" s="64"/>
      <c r="D126" s="64"/>
      <c r="E126" s="64"/>
      <c r="F126" s="63"/>
      <c r="G126" s="63"/>
      <c r="H126" s="64"/>
      <c r="I126" s="64"/>
      <c r="J126" s="64"/>
      <c r="K126" s="64"/>
      <c r="L126" s="64"/>
      <c r="M126" s="64"/>
      <c r="N126" s="64"/>
      <c r="O126" s="64"/>
      <c r="P126" s="64"/>
      <c r="Q126" s="64"/>
      <c r="R126" s="64"/>
      <c r="S126" s="64"/>
      <c r="T126" s="64"/>
      <c r="U126" s="64"/>
      <c r="V126" s="64"/>
      <c r="W126" s="64"/>
      <c r="X126" s="64"/>
      <c r="Y126" s="64"/>
      <c r="Z126" s="64"/>
    </row>
    <row r="127" ht="12.75" customHeight="1">
      <c r="A127" s="108"/>
      <c r="B127" s="64"/>
      <c r="C127" s="64"/>
      <c r="D127" s="64"/>
      <c r="E127" s="64"/>
      <c r="F127" s="63"/>
      <c r="G127" s="63"/>
      <c r="H127" s="64"/>
      <c r="I127" s="64"/>
      <c r="J127" s="64"/>
      <c r="K127" s="64"/>
      <c r="L127" s="64"/>
      <c r="M127" s="64"/>
      <c r="N127" s="64"/>
      <c r="O127" s="64"/>
      <c r="P127" s="64"/>
      <c r="Q127" s="64"/>
      <c r="R127" s="64"/>
      <c r="S127" s="64"/>
      <c r="T127" s="64"/>
      <c r="U127" s="64"/>
      <c r="V127" s="64"/>
      <c r="W127" s="64"/>
      <c r="X127" s="64"/>
      <c r="Y127" s="64"/>
      <c r="Z127" s="64"/>
    </row>
    <row r="128" ht="12.75" customHeight="1">
      <c r="A128" s="108"/>
      <c r="B128" s="64"/>
      <c r="C128" s="64"/>
      <c r="D128" s="64"/>
      <c r="E128" s="64"/>
      <c r="F128" s="63"/>
      <c r="G128" s="63"/>
      <c r="H128" s="64"/>
      <c r="I128" s="64"/>
      <c r="J128" s="64"/>
      <c r="K128" s="64"/>
      <c r="L128" s="64"/>
      <c r="M128" s="64"/>
      <c r="N128" s="64"/>
      <c r="O128" s="64"/>
      <c r="P128" s="64"/>
      <c r="Q128" s="64"/>
      <c r="R128" s="64"/>
      <c r="S128" s="64"/>
      <c r="T128" s="64"/>
      <c r="U128" s="64"/>
      <c r="V128" s="64"/>
      <c r="W128" s="64"/>
      <c r="X128" s="64"/>
      <c r="Y128" s="64"/>
      <c r="Z128" s="64"/>
    </row>
    <row r="129" ht="12.75" customHeight="1">
      <c r="A129" s="108"/>
      <c r="B129" s="64"/>
      <c r="C129" s="64"/>
      <c r="D129" s="64"/>
      <c r="E129" s="64"/>
      <c r="F129" s="63"/>
      <c r="G129" s="63"/>
      <c r="H129" s="64"/>
      <c r="I129" s="64"/>
      <c r="J129" s="64"/>
      <c r="K129" s="64"/>
      <c r="L129" s="64"/>
      <c r="M129" s="64"/>
      <c r="N129" s="64"/>
      <c r="O129" s="64"/>
      <c r="P129" s="64"/>
      <c r="Q129" s="64"/>
      <c r="R129" s="64"/>
      <c r="S129" s="64"/>
      <c r="T129" s="64"/>
      <c r="U129" s="64"/>
      <c r="V129" s="64"/>
      <c r="W129" s="64"/>
      <c r="X129" s="64"/>
      <c r="Y129" s="64"/>
      <c r="Z129" s="64"/>
    </row>
    <row r="130" ht="12.75" customHeight="1">
      <c r="A130" s="108"/>
      <c r="B130" s="64"/>
      <c r="C130" s="64"/>
      <c r="D130" s="64"/>
      <c r="E130" s="64"/>
      <c r="F130" s="63"/>
      <c r="G130" s="63"/>
      <c r="H130" s="64"/>
      <c r="I130" s="64"/>
      <c r="J130" s="64"/>
      <c r="K130" s="64"/>
      <c r="L130" s="64"/>
      <c r="M130" s="64"/>
      <c r="N130" s="64"/>
      <c r="O130" s="64"/>
      <c r="P130" s="64"/>
      <c r="Q130" s="64"/>
      <c r="R130" s="64"/>
      <c r="S130" s="64"/>
      <c r="T130" s="64"/>
      <c r="U130" s="64"/>
      <c r="V130" s="64"/>
      <c r="W130" s="64"/>
      <c r="X130" s="64"/>
      <c r="Y130" s="64"/>
      <c r="Z130" s="64"/>
    </row>
    <row r="131" ht="12.75" customHeight="1">
      <c r="A131" s="108"/>
      <c r="B131" s="64"/>
      <c r="C131" s="64"/>
      <c r="D131" s="64"/>
      <c r="E131" s="64"/>
      <c r="F131" s="63"/>
      <c r="G131" s="63"/>
      <c r="H131" s="64"/>
      <c r="I131" s="64"/>
      <c r="J131" s="64"/>
      <c r="K131" s="64"/>
      <c r="L131" s="64"/>
      <c r="M131" s="64"/>
      <c r="N131" s="64"/>
      <c r="O131" s="64"/>
      <c r="P131" s="64"/>
      <c r="Q131" s="64"/>
      <c r="R131" s="64"/>
      <c r="S131" s="64"/>
      <c r="T131" s="64"/>
      <c r="U131" s="64"/>
      <c r="V131" s="64"/>
      <c r="W131" s="64"/>
      <c r="X131" s="64"/>
      <c r="Y131" s="64"/>
      <c r="Z131" s="64"/>
    </row>
    <row r="132" ht="12.75" customHeight="1">
      <c r="A132" s="108"/>
      <c r="B132" s="64"/>
      <c r="C132" s="64"/>
      <c r="D132" s="64"/>
      <c r="E132" s="64"/>
      <c r="F132" s="63"/>
      <c r="G132" s="63"/>
      <c r="H132" s="64"/>
      <c r="I132" s="64"/>
      <c r="J132" s="64"/>
      <c r="K132" s="64"/>
      <c r="L132" s="64"/>
      <c r="M132" s="64"/>
      <c r="N132" s="64"/>
      <c r="O132" s="64"/>
      <c r="P132" s="64"/>
      <c r="Q132" s="64"/>
      <c r="R132" s="64"/>
      <c r="S132" s="64"/>
      <c r="T132" s="64"/>
      <c r="U132" s="64"/>
      <c r="V132" s="64"/>
      <c r="W132" s="64"/>
      <c r="X132" s="64"/>
      <c r="Y132" s="64"/>
      <c r="Z132" s="64"/>
    </row>
    <row r="133" ht="12.75" customHeight="1">
      <c r="A133" s="108"/>
      <c r="B133" s="64"/>
      <c r="C133" s="64"/>
      <c r="D133" s="64"/>
      <c r="E133" s="64"/>
      <c r="F133" s="63"/>
      <c r="G133" s="63"/>
      <c r="H133" s="64"/>
      <c r="I133" s="64"/>
      <c r="J133" s="64"/>
      <c r="K133" s="64"/>
      <c r="L133" s="64"/>
      <c r="M133" s="64"/>
      <c r="N133" s="64"/>
      <c r="O133" s="64"/>
      <c r="P133" s="64"/>
      <c r="Q133" s="64"/>
      <c r="R133" s="64"/>
      <c r="S133" s="64"/>
      <c r="T133" s="64"/>
      <c r="U133" s="64"/>
      <c r="V133" s="64"/>
      <c r="W133" s="64"/>
      <c r="X133" s="64"/>
      <c r="Y133" s="64"/>
      <c r="Z133" s="64"/>
    </row>
    <row r="134" ht="12.75" customHeight="1">
      <c r="A134" s="108"/>
      <c r="B134" s="64"/>
      <c r="C134" s="64"/>
      <c r="D134" s="64"/>
      <c r="E134" s="64"/>
      <c r="F134" s="63"/>
      <c r="G134" s="63"/>
      <c r="H134" s="64"/>
      <c r="I134" s="64"/>
      <c r="J134" s="64"/>
      <c r="K134" s="64"/>
      <c r="L134" s="64"/>
      <c r="M134" s="64"/>
      <c r="N134" s="64"/>
      <c r="O134" s="64"/>
      <c r="P134" s="64"/>
      <c r="Q134" s="64"/>
      <c r="R134" s="64"/>
      <c r="S134" s="64"/>
      <c r="T134" s="64"/>
      <c r="U134" s="64"/>
      <c r="V134" s="64"/>
      <c r="W134" s="64"/>
      <c r="X134" s="64"/>
      <c r="Y134" s="64"/>
      <c r="Z134" s="64"/>
    </row>
    <row r="135" ht="12.75" customHeight="1">
      <c r="A135" s="108"/>
      <c r="B135" s="64"/>
      <c r="C135" s="64"/>
      <c r="D135" s="64"/>
      <c r="E135" s="64"/>
      <c r="F135" s="63"/>
      <c r="G135" s="63"/>
      <c r="H135" s="64"/>
      <c r="I135" s="64"/>
      <c r="J135" s="64"/>
      <c r="K135" s="64"/>
      <c r="L135" s="64"/>
      <c r="M135" s="64"/>
      <c r="N135" s="64"/>
      <c r="O135" s="64"/>
      <c r="P135" s="64"/>
      <c r="Q135" s="64"/>
      <c r="R135" s="64"/>
      <c r="S135" s="64"/>
      <c r="T135" s="64"/>
      <c r="U135" s="64"/>
      <c r="V135" s="64"/>
      <c r="W135" s="64"/>
      <c r="X135" s="64"/>
      <c r="Y135" s="64"/>
      <c r="Z135" s="64"/>
    </row>
    <row r="136" ht="12.75" customHeight="1">
      <c r="A136" s="108"/>
      <c r="B136" s="64"/>
      <c r="C136" s="64"/>
      <c r="D136" s="64"/>
      <c r="E136" s="64"/>
      <c r="F136" s="63"/>
      <c r="G136" s="63"/>
      <c r="H136" s="64"/>
      <c r="I136" s="64"/>
      <c r="J136" s="64"/>
      <c r="K136" s="64"/>
      <c r="L136" s="64"/>
      <c r="M136" s="64"/>
      <c r="N136" s="64"/>
      <c r="O136" s="64"/>
      <c r="P136" s="64"/>
      <c r="Q136" s="64"/>
      <c r="R136" s="64"/>
      <c r="S136" s="64"/>
      <c r="T136" s="64"/>
      <c r="U136" s="64"/>
      <c r="V136" s="64"/>
      <c r="W136" s="64"/>
      <c r="X136" s="64"/>
      <c r="Y136" s="64"/>
      <c r="Z136" s="64"/>
    </row>
    <row r="137" ht="12.75" customHeight="1">
      <c r="A137" s="108"/>
      <c r="B137" s="64"/>
      <c r="C137" s="64"/>
      <c r="D137" s="64"/>
      <c r="E137" s="64"/>
      <c r="F137" s="63"/>
      <c r="G137" s="63"/>
      <c r="H137" s="64"/>
      <c r="I137" s="64"/>
      <c r="J137" s="64"/>
      <c r="K137" s="64"/>
      <c r="L137" s="64"/>
      <c r="M137" s="64"/>
      <c r="N137" s="64"/>
      <c r="O137" s="64"/>
      <c r="P137" s="64"/>
      <c r="Q137" s="64"/>
      <c r="R137" s="64"/>
      <c r="S137" s="64"/>
      <c r="T137" s="64"/>
      <c r="U137" s="64"/>
      <c r="V137" s="64"/>
      <c r="W137" s="64"/>
      <c r="X137" s="64"/>
      <c r="Y137" s="64"/>
      <c r="Z137" s="64"/>
    </row>
    <row r="138" ht="12.75" customHeight="1">
      <c r="A138" s="108"/>
      <c r="B138" s="64"/>
      <c r="C138" s="64"/>
      <c r="D138" s="64"/>
      <c r="E138" s="64"/>
      <c r="F138" s="63"/>
      <c r="G138" s="63"/>
      <c r="H138" s="64"/>
      <c r="I138" s="64"/>
      <c r="J138" s="64"/>
      <c r="K138" s="64"/>
      <c r="L138" s="64"/>
      <c r="M138" s="64"/>
      <c r="N138" s="64"/>
      <c r="O138" s="64"/>
      <c r="P138" s="64"/>
      <c r="Q138" s="64"/>
      <c r="R138" s="64"/>
      <c r="S138" s="64"/>
      <c r="T138" s="64"/>
      <c r="U138" s="64"/>
      <c r="V138" s="64"/>
      <c r="W138" s="64"/>
      <c r="X138" s="64"/>
      <c r="Y138" s="64"/>
      <c r="Z138" s="64"/>
    </row>
    <row r="139" ht="12.75" customHeight="1">
      <c r="A139" s="108"/>
      <c r="B139" s="64"/>
      <c r="C139" s="64"/>
      <c r="D139" s="64"/>
      <c r="E139" s="64"/>
      <c r="F139" s="63"/>
      <c r="G139" s="63"/>
      <c r="H139" s="64"/>
      <c r="I139" s="64"/>
      <c r="J139" s="64"/>
      <c r="K139" s="64"/>
      <c r="L139" s="64"/>
      <c r="M139" s="64"/>
      <c r="N139" s="64"/>
      <c r="O139" s="64"/>
      <c r="P139" s="64"/>
      <c r="Q139" s="64"/>
      <c r="R139" s="64"/>
      <c r="S139" s="64"/>
      <c r="T139" s="64"/>
      <c r="U139" s="64"/>
      <c r="V139" s="64"/>
      <c r="W139" s="64"/>
      <c r="X139" s="64"/>
      <c r="Y139" s="64"/>
      <c r="Z139" s="64"/>
    </row>
    <row r="140" ht="12.75" customHeight="1">
      <c r="A140" s="108"/>
      <c r="B140" s="64"/>
      <c r="C140" s="64"/>
      <c r="D140" s="64"/>
      <c r="E140" s="64"/>
      <c r="F140" s="63"/>
      <c r="G140" s="63"/>
      <c r="H140" s="64"/>
      <c r="I140" s="64"/>
      <c r="J140" s="64"/>
      <c r="K140" s="64"/>
      <c r="L140" s="64"/>
      <c r="M140" s="64"/>
      <c r="N140" s="64"/>
      <c r="O140" s="64"/>
      <c r="P140" s="64"/>
      <c r="Q140" s="64"/>
      <c r="R140" s="64"/>
      <c r="S140" s="64"/>
      <c r="T140" s="64"/>
      <c r="U140" s="64"/>
      <c r="V140" s="64"/>
      <c r="W140" s="64"/>
      <c r="X140" s="64"/>
      <c r="Y140" s="64"/>
      <c r="Z140" s="64"/>
    </row>
    <row r="141" ht="12.75" customHeight="1">
      <c r="A141" s="108"/>
      <c r="B141" s="64"/>
      <c r="C141" s="64"/>
      <c r="D141" s="64"/>
      <c r="E141" s="64"/>
      <c r="F141" s="63"/>
      <c r="G141" s="63"/>
      <c r="H141" s="64"/>
      <c r="I141" s="64"/>
      <c r="J141" s="64"/>
      <c r="K141" s="64"/>
      <c r="L141" s="64"/>
      <c r="M141" s="64"/>
      <c r="N141" s="64"/>
      <c r="O141" s="64"/>
      <c r="P141" s="64"/>
      <c r="Q141" s="64"/>
      <c r="R141" s="64"/>
      <c r="S141" s="64"/>
      <c r="T141" s="64"/>
      <c r="U141" s="64"/>
      <c r="V141" s="64"/>
      <c r="W141" s="64"/>
      <c r="X141" s="64"/>
      <c r="Y141" s="64"/>
      <c r="Z141" s="64"/>
    </row>
    <row r="142" ht="12.75" customHeight="1">
      <c r="A142" s="108"/>
      <c r="B142" s="64"/>
      <c r="C142" s="64"/>
      <c r="D142" s="64"/>
      <c r="E142" s="64"/>
      <c r="F142" s="63"/>
      <c r="G142" s="63"/>
      <c r="H142" s="64"/>
      <c r="I142" s="64"/>
      <c r="J142" s="64"/>
      <c r="K142" s="64"/>
      <c r="L142" s="64"/>
      <c r="M142" s="64"/>
      <c r="N142" s="64"/>
      <c r="O142" s="64"/>
      <c r="P142" s="64"/>
      <c r="Q142" s="64"/>
      <c r="R142" s="64"/>
      <c r="S142" s="64"/>
      <c r="T142" s="64"/>
      <c r="U142" s="64"/>
      <c r="V142" s="64"/>
      <c r="W142" s="64"/>
      <c r="X142" s="64"/>
      <c r="Y142" s="64"/>
      <c r="Z142" s="64"/>
    </row>
    <row r="143" ht="12.75" customHeight="1">
      <c r="A143" s="108"/>
      <c r="B143" s="64"/>
      <c r="C143" s="64"/>
      <c r="D143" s="64"/>
      <c r="E143" s="64"/>
      <c r="F143" s="63"/>
      <c r="G143" s="63"/>
      <c r="H143" s="64"/>
      <c r="I143" s="64"/>
      <c r="J143" s="64"/>
      <c r="K143" s="64"/>
      <c r="L143" s="64"/>
      <c r="M143" s="64"/>
      <c r="N143" s="64"/>
      <c r="O143" s="64"/>
      <c r="P143" s="64"/>
      <c r="Q143" s="64"/>
      <c r="R143" s="64"/>
      <c r="S143" s="64"/>
      <c r="T143" s="64"/>
      <c r="U143" s="64"/>
      <c r="V143" s="64"/>
      <c r="W143" s="64"/>
      <c r="X143" s="64"/>
      <c r="Y143" s="64"/>
      <c r="Z143" s="64"/>
    </row>
    <row r="144" ht="12.75" customHeight="1">
      <c r="A144" s="108"/>
      <c r="B144" s="64"/>
      <c r="C144" s="64"/>
      <c r="D144" s="64"/>
      <c r="E144" s="64"/>
      <c r="F144" s="63"/>
      <c r="G144" s="63"/>
      <c r="H144" s="64"/>
      <c r="I144" s="64"/>
      <c r="J144" s="64"/>
      <c r="K144" s="64"/>
      <c r="L144" s="64"/>
      <c r="M144" s="64"/>
      <c r="N144" s="64"/>
      <c r="O144" s="64"/>
      <c r="P144" s="64"/>
      <c r="Q144" s="64"/>
      <c r="R144" s="64"/>
      <c r="S144" s="64"/>
      <c r="T144" s="64"/>
      <c r="U144" s="64"/>
      <c r="V144" s="64"/>
      <c r="W144" s="64"/>
      <c r="X144" s="64"/>
      <c r="Y144" s="64"/>
      <c r="Z144" s="64"/>
    </row>
    <row r="145" ht="12.75" customHeight="1">
      <c r="A145" s="108"/>
      <c r="B145" s="64"/>
      <c r="C145" s="64"/>
      <c r="D145" s="64"/>
      <c r="E145" s="64"/>
      <c r="F145" s="63"/>
      <c r="G145" s="63"/>
      <c r="H145" s="64"/>
      <c r="I145" s="64"/>
      <c r="J145" s="64"/>
      <c r="K145" s="64"/>
      <c r="L145" s="64"/>
      <c r="M145" s="64"/>
      <c r="N145" s="64"/>
      <c r="O145" s="64"/>
      <c r="P145" s="64"/>
      <c r="Q145" s="64"/>
      <c r="R145" s="64"/>
      <c r="S145" s="64"/>
      <c r="T145" s="64"/>
      <c r="U145" s="64"/>
      <c r="V145" s="64"/>
      <c r="W145" s="64"/>
      <c r="X145" s="64"/>
      <c r="Y145" s="64"/>
      <c r="Z145" s="64"/>
    </row>
    <row r="146" ht="12.75" customHeight="1">
      <c r="A146" s="108"/>
      <c r="B146" s="64"/>
      <c r="C146" s="64"/>
      <c r="D146" s="64"/>
      <c r="E146" s="64"/>
      <c r="F146" s="63"/>
      <c r="G146" s="63"/>
      <c r="H146" s="64"/>
      <c r="I146" s="64"/>
      <c r="J146" s="64"/>
      <c r="K146" s="64"/>
      <c r="L146" s="64"/>
      <c r="M146" s="64"/>
      <c r="N146" s="64"/>
      <c r="O146" s="64"/>
      <c r="P146" s="64"/>
      <c r="Q146" s="64"/>
      <c r="R146" s="64"/>
      <c r="S146" s="64"/>
      <c r="T146" s="64"/>
      <c r="U146" s="64"/>
      <c r="V146" s="64"/>
      <c r="W146" s="64"/>
      <c r="X146" s="64"/>
      <c r="Y146" s="64"/>
      <c r="Z146" s="64"/>
    </row>
    <row r="147" ht="12.75" customHeight="1">
      <c r="A147" s="108"/>
      <c r="B147" s="64"/>
      <c r="C147" s="64"/>
      <c r="D147" s="64"/>
      <c r="E147" s="64"/>
      <c r="F147" s="63"/>
      <c r="G147" s="63"/>
      <c r="H147" s="64"/>
      <c r="I147" s="64"/>
      <c r="J147" s="64"/>
      <c r="K147" s="64"/>
      <c r="L147" s="64"/>
      <c r="M147" s="64"/>
      <c r="N147" s="64"/>
      <c r="O147" s="64"/>
      <c r="P147" s="64"/>
      <c r="Q147" s="64"/>
      <c r="R147" s="64"/>
      <c r="S147" s="64"/>
      <c r="T147" s="64"/>
      <c r="U147" s="64"/>
      <c r="V147" s="64"/>
      <c r="W147" s="64"/>
      <c r="X147" s="64"/>
      <c r="Y147" s="64"/>
      <c r="Z147" s="64"/>
    </row>
    <row r="148" ht="12.75" customHeight="1">
      <c r="A148" s="108"/>
      <c r="B148" s="64"/>
      <c r="C148" s="64"/>
      <c r="D148" s="64"/>
      <c r="E148" s="64"/>
      <c r="F148" s="63"/>
      <c r="G148" s="63"/>
      <c r="H148" s="64"/>
      <c r="I148" s="64"/>
      <c r="J148" s="64"/>
      <c r="K148" s="64"/>
      <c r="L148" s="64"/>
      <c r="M148" s="64"/>
      <c r="N148" s="64"/>
      <c r="O148" s="64"/>
      <c r="P148" s="64"/>
      <c r="Q148" s="64"/>
      <c r="R148" s="64"/>
      <c r="S148" s="64"/>
      <c r="T148" s="64"/>
      <c r="U148" s="64"/>
      <c r="V148" s="64"/>
      <c r="W148" s="64"/>
      <c r="X148" s="64"/>
      <c r="Y148" s="64"/>
      <c r="Z148" s="64"/>
    </row>
    <row r="149" ht="12.75" customHeight="1">
      <c r="A149" s="108"/>
      <c r="B149" s="64"/>
      <c r="C149" s="64"/>
      <c r="D149" s="64"/>
      <c r="E149" s="64"/>
      <c r="F149" s="63"/>
      <c r="G149" s="63"/>
      <c r="H149" s="64"/>
      <c r="I149" s="64"/>
      <c r="J149" s="64"/>
      <c r="K149" s="64"/>
      <c r="L149" s="64"/>
      <c r="M149" s="64"/>
      <c r="N149" s="64"/>
      <c r="O149" s="64"/>
      <c r="P149" s="64"/>
      <c r="Q149" s="64"/>
      <c r="R149" s="64"/>
      <c r="S149" s="64"/>
      <c r="T149" s="64"/>
      <c r="U149" s="64"/>
      <c r="V149" s="64"/>
      <c r="W149" s="64"/>
      <c r="X149" s="64"/>
      <c r="Y149" s="64"/>
      <c r="Z149" s="64"/>
    </row>
    <row r="150" ht="12.75" customHeight="1">
      <c r="A150" s="108"/>
      <c r="B150" s="64"/>
      <c r="C150" s="64"/>
      <c r="D150" s="64"/>
      <c r="E150" s="64"/>
      <c r="F150" s="63"/>
      <c r="G150" s="63"/>
      <c r="H150" s="64"/>
      <c r="I150" s="64"/>
      <c r="J150" s="64"/>
      <c r="K150" s="64"/>
      <c r="L150" s="64"/>
      <c r="M150" s="64"/>
      <c r="N150" s="64"/>
      <c r="O150" s="64"/>
      <c r="P150" s="64"/>
      <c r="Q150" s="64"/>
      <c r="R150" s="64"/>
      <c r="S150" s="64"/>
      <c r="T150" s="64"/>
      <c r="U150" s="64"/>
      <c r="V150" s="64"/>
      <c r="W150" s="64"/>
      <c r="X150" s="64"/>
      <c r="Y150" s="64"/>
      <c r="Z150" s="64"/>
    </row>
    <row r="151" ht="12.75" customHeight="1">
      <c r="A151" s="108"/>
      <c r="B151" s="64"/>
      <c r="C151" s="64"/>
      <c r="D151" s="64"/>
      <c r="E151" s="64"/>
      <c r="F151" s="63"/>
      <c r="G151" s="63"/>
      <c r="H151" s="64"/>
      <c r="I151" s="64"/>
      <c r="J151" s="64"/>
      <c r="K151" s="64"/>
      <c r="L151" s="64"/>
      <c r="M151" s="64"/>
      <c r="N151" s="64"/>
      <c r="O151" s="64"/>
      <c r="P151" s="64"/>
      <c r="Q151" s="64"/>
      <c r="R151" s="64"/>
      <c r="S151" s="64"/>
      <c r="T151" s="64"/>
      <c r="U151" s="64"/>
      <c r="V151" s="64"/>
      <c r="W151" s="64"/>
      <c r="X151" s="64"/>
      <c r="Y151" s="64"/>
      <c r="Z151" s="64"/>
    </row>
    <row r="152" ht="12.75" customHeight="1">
      <c r="A152" s="108"/>
      <c r="B152" s="64"/>
      <c r="C152" s="64"/>
      <c r="D152" s="64"/>
      <c r="E152" s="64"/>
      <c r="F152" s="63"/>
      <c r="G152" s="63"/>
      <c r="H152" s="64"/>
      <c r="I152" s="64"/>
      <c r="J152" s="64"/>
      <c r="K152" s="64"/>
      <c r="L152" s="64"/>
      <c r="M152" s="64"/>
      <c r="N152" s="64"/>
      <c r="O152" s="64"/>
      <c r="P152" s="64"/>
      <c r="Q152" s="64"/>
      <c r="R152" s="64"/>
      <c r="S152" s="64"/>
      <c r="T152" s="64"/>
      <c r="U152" s="64"/>
      <c r="V152" s="64"/>
      <c r="W152" s="64"/>
      <c r="X152" s="64"/>
      <c r="Y152" s="64"/>
      <c r="Z152" s="64"/>
    </row>
    <row r="153" ht="12.75" customHeight="1">
      <c r="A153" s="108"/>
      <c r="B153" s="64"/>
      <c r="C153" s="64"/>
      <c r="D153" s="64"/>
      <c r="E153" s="64"/>
      <c r="F153" s="63"/>
      <c r="G153" s="63"/>
      <c r="H153" s="64"/>
      <c r="I153" s="64"/>
      <c r="J153" s="64"/>
      <c r="K153" s="64"/>
      <c r="L153" s="64"/>
      <c r="M153" s="64"/>
      <c r="N153" s="64"/>
      <c r="O153" s="64"/>
      <c r="P153" s="64"/>
      <c r="Q153" s="64"/>
      <c r="R153" s="64"/>
      <c r="S153" s="64"/>
      <c r="T153" s="64"/>
      <c r="U153" s="64"/>
      <c r="V153" s="64"/>
      <c r="W153" s="64"/>
      <c r="X153" s="64"/>
      <c r="Y153" s="64"/>
      <c r="Z153" s="64"/>
    </row>
    <row r="154" ht="12.75" customHeight="1">
      <c r="A154" s="108"/>
      <c r="B154" s="64"/>
      <c r="C154" s="64"/>
      <c r="D154" s="64"/>
      <c r="E154" s="64"/>
      <c r="F154" s="63"/>
      <c r="G154" s="63"/>
      <c r="H154" s="64"/>
      <c r="I154" s="64"/>
      <c r="J154" s="64"/>
      <c r="K154" s="64"/>
      <c r="L154" s="64"/>
      <c r="M154" s="64"/>
      <c r="N154" s="64"/>
      <c r="O154" s="64"/>
      <c r="P154" s="64"/>
      <c r="Q154" s="64"/>
      <c r="R154" s="64"/>
      <c r="S154" s="64"/>
      <c r="T154" s="64"/>
      <c r="U154" s="64"/>
      <c r="V154" s="64"/>
      <c r="W154" s="64"/>
      <c r="X154" s="64"/>
      <c r="Y154" s="64"/>
      <c r="Z154" s="64"/>
    </row>
    <row r="155" ht="12.75" customHeight="1">
      <c r="A155" s="108"/>
      <c r="B155" s="64"/>
      <c r="C155" s="64"/>
      <c r="D155" s="64"/>
      <c r="E155" s="64"/>
      <c r="F155" s="63"/>
      <c r="G155" s="63"/>
      <c r="H155" s="64"/>
      <c r="I155" s="64"/>
      <c r="J155" s="64"/>
      <c r="K155" s="64"/>
      <c r="L155" s="64"/>
      <c r="M155" s="64"/>
      <c r="N155" s="64"/>
      <c r="O155" s="64"/>
      <c r="P155" s="64"/>
      <c r="Q155" s="64"/>
      <c r="R155" s="64"/>
      <c r="S155" s="64"/>
      <c r="T155" s="64"/>
      <c r="U155" s="64"/>
      <c r="V155" s="64"/>
      <c r="W155" s="64"/>
      <c r="X155" s="64"/>
      <c r="Y155" s="64"/>
      <c r="Z155" s="64"/>
    </row>
    <row r="156" ht="12.75" customHeight="1">
      <c r="A156" s="108"/>
      <c r="B156" s="64"/>
      <c r="C156" s="64"/>
      <c r="D156" s="64"/>
      <c r="E156" s="64"/>
      <c r="F156" s="63"/>
      <c r="G156" s="63"/>
      <c r="H156" s="64"/>
      <c r="I156" s="64"/>
      <c r="J156" s="64"/>
      <c r="K156" s="64"/>
      <c r="L156" s="64"/>
      <c r="M156" s="64"/>
      <c r="N156" s="64"/>
      <c r="O156" s="64"/>
      <c r="P156" s="64"/>
      <c r="Q156" s="64"/>
      <c r="R156" s="64"/>
      <c r="S156" s="64"/>
      <c r="T156" s="64"/>
      <c r="U156" s="64"/>
      <c r="V156" s="64"/>
      <c r="W156" s="64"/>
      <c r="X156" s="64"/>
      <c r="Y156" s="64"/>
      <c r="Z156" s="64"/>
    </row>
    <row r="157" ht="12.75" customHeight="1">
      <c r="A157" s="108"/>
      <c r="B157" s="64"/>
      <c r="C157" s="64"/>
      <c r="D157" s="64"/>
      <c r="E157" s="64"/>
      <c r="F157" s="63"/>
      <c r="G157" s="63"/>
      <c r="H157" s="64"/>
      <c r="I157" s="64"/>
      <c r="J157" s="64"/>
      <c r="K157" s="64"/>
      <c r="L157" s="64"/>
      <c r="M157" s="64"/>
      <c r="N157" s="64"/>
      <c r="O157" s="64"/>
      <c r="P157" s="64"/>
      <c r="Q157" s="64"/>
      <c r="R157" s="64"/>
      <c r="S157" s="64"/>
      <c r="T157" s="64"/>
      <c r="U157" s="64"/>
      <c r="V157" s="64"/>
      <c r="W157" s="64"/>
      <c r="X157" s="64"/>
      <c r="Y157" s="64"/>
      <c r="Z157" s="64"/>
    </row>
    <row r="158" ht="12.75" customHeight="1">
      <c r="A158" s="108"/>
      <c r="B158" s="64"/>
      <c r="C158" s="64"/>
      <c r="D158" s="64"/>
      <c r="E158" s="64"/>
      <c r="F158" s="63"/>
      <c r="G158" s="63"/>
      <c r="H158" s="64"/>
      <c r="I158" s="64"/>
      <c r="J158" s="64"/>
      <c r="K158" s="64"/>
      <c r="L158" s="64"/>
      <c r="M158" s="64"/>
      <c r="N158" s="64"/>
      <c r="O158" s="64"/>
      <c r="P158" s="64"/>
      <c r="Q158" s="64"/>
      <c r="R158" s="64"/>
      <c r="S158" s="64"/>
      <c r="T158" s="64"/>
      <c r="U158" s="64"/>
      <c r="V158" s="64"/>
      <c r="W158" s="64"/>
      <c r="X158" s="64"/>
      <c r="Y158" s="64"/>
      <c r="Z158" s="64"/>
    </row>
    <row r="159" ht="12.75" customHeight="1">
      <c r="A159" s="108"/>
      <c r="B159" s="64"/>
      <c r="C159" s="64"/>
      <c r="D159" s="64"/>
      <c r="E159" s="64"/>
      <c r="F159" s="63"/>
      <c r="G159" s="63"/>
      <c r="H159" s="64"/>
      <c r="I159" s="64"/>
      <c r="J159" s="64"/>
      <c r="K159" s="64"/>
      <c r="L159" s="64"/>
      <c r="M159" s="64"/>
      <c r="N159" s="64"/>
      <c r="O159" s="64"/>
      <c r="P159" s="64"/>
      <c r="Q159" s="64"/>
      <c r="R159" s="64"/>
      <c r="S159" s="64"/>
      <c r="T159" s="64"/>
      <c r="U159" s="64"/>
      <c r="V159" s="64"/>
      <c r="W159" s="64"/>
      <c r="X159" s="64"/>
      <c r="Y159" s="64"/>
      <c r="Z159" s="64"/>
    </row>
    <row r="160" ht="12.75" customHeight="1">
      <c r="A160" s="108"/>
      <c r="B160" s="64"/>
      <c r="C160" s="64"/>
      <c r="D160" s="64"/>
      <c r="E160" s="64"/>
      <c r="F160" s="63"/>
      <c r="G160" s="63"/>
      <c r="H160" s="64"/>
      <c r="I160" s="64"/>
      <c r="J160" s="64"/>
      <c r="K160" s="64"/>
      <c r="L160" s="64"/>
      <c r="M160" s="64"/>
      <c r="N160" s="64"/>
      <c r="O160" s="64"/>
      <c r="P160" s="64"/>
      <c r="Q160" s="64"/>
      <c r="R160" s="64"/>
      <c r="S160" s="64"/>
      <c r="T160" s="64"/>
      <c r="U160" s="64"/>
      <c r="V160" s="64"/>
      <c r="W160" s="64"/>
      <c r="X160" s="64"/>
      <c r="Y160" s="64"/>
      <c r="Z160" s="64"/>
    </row>
    <row r="161" ht="12.75" customHeight="1">
      <c r="A161" s="108"/>
      <c r="B161" s="64"/>
      <c r="C161" s="64"/>
      <c r="D161" s="64"/>
      <c r="E161" s="64"/>
      <c r="F161" s="63"/>
      <c r="G161" s="63"/>
      <c r="H161" s="64"/>
      <c r="I161" s="64"/>
      <c r="J161" s="64"/>
      <c r="K161" s="64"/>
      <c r="L161" s="64"/>
      <c r="M161" s="64"/>
      <c r="N161" s="64"/>
      <c r="O161" s="64"/>
      <c r="P161" s="64"/>
      <c r="Q161" s="64"/>
      <c r="R161" s="64"/>
      <c r="S161" s="64"/>
      <c r="T161" s="64"/>
      <c r="U161" s="64"/>
      <c r="V161" s="64"/>
      <c r="W161" s="64"/>
      <c r="X161" s="64"/>
      <c r="Y161" s="64"/>
      <c r="Z161" s="64"/>
    </row>
    <row r="162" ht="12.75" customHeight="1">
      <c r="A162" s="108"/>
      <c r="B162" s="64"/>
      <c r="C162" s="64"/>
      <c r="D162" s="64"/>
      <c r="E162" s="64"/>
      <c r="F162" s="63"/>
      <c r="G162" s="63"/>
      <c r="H162" s="64"/>
      <c r="I162" s="64"/>
      <c r="J162" s="64"/>
      <c r="K162" s="64"/>
      <c r="L162" s="64"/>
      <c r="M162" s="64"/>
      <c r="N162" s="64"/>
      <c r="O162" s="64"/>
      <c r="P162" s="64"/>
      <c r="Q162" s="64"/>
      <c r="R162" s="64"/>
      <c r="S162" s="64"/>
      <c r="T162" s="64"/>
      <c r="U162" s="64"/>
      <c r="V162" s="64"/>
      <c r="W162" s="64"/>
      <c r="X162" s="64"/>
      <c r="Y162" s="64"/>
      <c r="Z162" s="64"/>
    </row>
    <row r="163" ht="12.75" customHeight="1">
      <c r="A163" s="108"/>
      <c r="B163" s="64"/>
      <c r="C163" s="64"/>
      <c r="D163" s="64"/>
      <c r="E163" s="64"/>
      <c r="F163" s="63"/>
      <c r="G163" s="63"/>
      <c r="H163" s="64"/>
      <c r="I163" s="64"/>
      <c r="J163" s="64"/>
      <c r="K163" s="64"/>
      <c r="L163" s="64"/>
      <c r="M163" s="64"/>
      <c r="N163" s="64"/>
      <c r="O163" s="64"/>
      <c r="P163" s="64"/>
      <c r="Q163" s="64"/>
      <c r="R163" s="64"/>
      <c r="S163" s="64"/>
      <c r="T163" s="64"/>
      <c r="U163" s="64"/>
      <c r="V163" s="64"/>
      <c r="W163" s="64"/>
      <c r="X163" s="64"/>
      <c r="Y163" s="64"/>
      <c r="Z163" s="64"/>
    </row>
    <row r="164" ht="12.75" customHeight="1">
      <c r="A164" s="108"/>
      <c r="B164" s="64"/>
      <c r="C164" s="64"/>
      <c r="D164" s="64"/>
      <c r="E164" s="64"/>
      <c r="F164" s="63"/>
      <c r="G164" s="63"/>
      <c r="H164" s="64"/>
      <c r="I164" s="64"/>
      <c r="J164" s="64"/>
      <c r="K164" s="64"/>
      <c r="L164" s="64"/>
      <c r="M164" s="64"/>
      <c r="N164" s="64"/>
      <c r="O164" s="64"/>
      <c r="P164" s="64"/>
      <c r="Q164" s="64"/>
      <c r="R164" s="64"/>
      <c r="S164" s="64"/>
      <c r="T164" s="64"/>
      <c r="U164" s="64"/>
      <c r="V164" s="64"/>
      <c r="W164" s="64"/>
      <c r="X164" s="64"/>
      <c r="Y164" s="64"/>
      <c r="Z164" s="64"/>
    </row>
    <row r="165" ht="12.75" customHeight="1">
      <c r="A165" s="108"/>
      <c r="B165" s="64"/>
      <c r="C165" s="64"/>
      <c r="D165" s="64"/>
      <c r="E165" s="64"/>
      <c r="F165" s="63"/>
      <c r="G165" s="63"/>
      <c r="H165" s="64"/>
      <c r="I165" s="64"/>
      <c r="J165" s="64"/>
      <c r="K165" s="64"/>
      <c r="L165" s="64"/>
      <c r="M165" s="64"/>
      <c r="N165" s="64"/>
      <c r="O165" s="64"/>
      <c r="P165" s="64"/>
      <c r="Q165" s="64"/>
      <c r="R165" s="64"/>
      <c r="S165" s="64"/>
      <c r="T165" s="64"/>
      <c r="U165" s="64"/>
      <c r="V165" s="64"/>
      <c r="W165" s="64"/>
      <c r="X165" s="64"/>
      <c r="Y165" s="64"/>
      <c r="Z165" s="64"/>
    </row>
    <row r="166" ht="12.75" customHeight="1">
      <c r="A166" s="108"/>
      <c r="B166" s="64"/>
      <c r="C166" s="64"/>
      <c r="D166" s="64"/>
      <c r="E166" s="64"/>
      <c r="F166" s="63"/>
      <c r="G166" s="63"/>
      <c r="H166" s="64"/>
      <c r="I166" s="64"/>
      <c r="J166" s="64"/>
      <c r="K166" s="64"/>
      <c r="L166" s="64"/>
      <c r="M166" s="64"/>
      <c r="N166" s="64"/>
      <c r="O166" s="64"/>
      <c r="P166" s="64"/>
      <c r="Q166" s="64"/>
      <c r="R166" s="64"/>
      <c r="S166" s="64"/>
      <c r="T166" s="64"/>
      <c r="U166" s="64"/>
      <c r="V166" s="64"/>
      <c r="W166" s="64"/>
      <c r="X166" s="64"/>
      <c r="Y166" s="64"/>
      <c r="Z166" s="64"/>
    </row>
    <row r="167" ht="12.75" customHeight="1">
      <c r="A167" s="108"/>
      <c r="B167" s="64"/>
      <c r="C167" s="64"/>
      <c r="D167" s="64"/>
      <c r="E167" s="64"/>
      <c r="F167" s="63"/>
      <c r="G167" s="63"/>
      <c r="H167" s="64"/>
      <c r="I167" s="64"/>
      <c r="J167" s="64"/>
      <c r="K167" s="64"/>
      <c r="L167" s="64"/>
      <c r="M167" s="64"/>
      <c r="N167" s="64"/>
      <c r="O167" s="64"/>
      <c r="P167" s="64"/>
      <c r="Q167" s="64"/>
      <c r="R167" s="64"/>
      <c r="S167" s="64"/>
      <c r="T167" s="64"/>
      <c r="U167" s="64"/>
      <c r="V167" s="64"/>
      <c r="W167" s="64"/>
      <c r="X167" s="64"/>
      <c r="Y167" s="64"/>
      <c r="Z167" s="64"/>
    </row>
    <row r="168" ht="12.75" customHeight="1">
      <c r="A168" s="108"/>
      <c r="B168" s="64"/>
      <c r="C168" s="64"/>
      <c r="D168" s="64"/>
      <c r="E168" s="64"/>
      <c r="F168" s="63"/>
      <c r="G168" s="63"/>
      <c r="H168" s="64"/>
      <c r="I168" s="64"/>
      <c r="J168" s="64"/>
      <c r="K168" s="64"/>
      <c r="L168" s="64"/>
      <c r="M168" s="64"/>
      <c r="N168" s="64"/>
      <c r="O168" s="64"/>
      <c r="P168" s="64"/>
      <c r="Q168" s="64"/>
      <c r="R168" s="64"/>
      <c r="S168" s="64"/>
      <c r="T168" s="64"/>
      <c r="U168" s="64"/>
      <c r="V168" s="64"/>
      <c r="W168" s="64"/>
      <c r="X168" s="64"/>
      <c r="Y168" s="64"/>
      <c r="Z168" s="64"/>
    </row>
    <row r="169" ht="12.75" customHeight="1">
      <c r="A169" s="108"/>
      <c r="B169" s="64"/>
      <c r="C169" s="64"/>
      <c r="D169" s="64"/>
      <c r="E169" s="64"/>
      <c r="F169" s="63"/>
      <c r="G169" s="63"/>
      <c r="H169" s="64"/>
      <c r="I169" s="64"/>
      <c r="J169" s="64"/>
      <c r="K169" s="64"/>
      <c r="L169" s="64"/>
      <c r="M169" s="64"/>
      <c r="N169" s="64"/>
      <c r="O169" s="64"/>
      <c r="P169" s="64"/>
      <c r="Q169" s="64"/>
      <c r="R169" s="64"/>
      <c r="S169" s="64"/>
      <c r="T169" s="64"/>
      <c r="U169" s="64"/>
      <c r="V169" s="64"/>
      <c r="W169" s="64"/>
      <c r="X169" s="64"/>
      <c r="Y169" s="64"/>
      <c r="Z169" s="64"/>
    </row>
    <row r="170" ht="12.75" customHeight="1">
      <c r="A170" s="108"/>
      <c r="B170" s="64"/>
      <c r="C170" s="64"/>
      <c r="D170" s="64"/>
      <c r="E170" s="64"/>
      <c r="F170" s="63"/>
      <c r="G170" s="63"/>
      <c r="H170" s="64"/>
      <c r="I170" s="64"/>
      <c r="J170" s="64"/>
      <c r="K170" s="64"/>
      <c r="L170" s="64"/>
      <c r="M170" s="64"/>
      <c r="N170" s="64"/>
      <c r="O170" s="64"/>
      <c r="P170" s="64"/>
      <c r="Q170" s="64"/>
      <c r="R170" s="64"/>
      <c r="S170" s="64"/>
      <c r="T170" s="64"/>
      <c r="U170" s="64"/>
      <c r="V170" s="64"/>
      <c r="W170" s="64"/>
      <c r="X170" s="64"/>
      <c r="Y170" s="64"/>
      <c r="Z170" s="64"/>
    </row>
    <row r="171" ht="12.75" customHeight="1">
      <c r="A171" s="108"/>
      <c r="B171" s="64"/>
      <c r="C171" s="64"/>
      <c r="D171" s="64"/>
      <c r="E171" s="64"/>
      <c r="F171" s="63"/>
      <c r="G171" s="63"/>
      <c r="H171" s="64"/>
      <c r="I171" s="64"/>
      <c r="J171" s="64"/>
      <c r="K171" s="64"/>
      <c r="L171" s="64"/>
      <c r="M171" s="64"/>
      <c r="N171" s="64"/>
      <c r="O171" s="64"/>
      <c r="P171" s="64"/>
      <c r="Q171" s="64"/>
      <c r="R171" s="64"/>
      <c r="S171" s="64"/>
      <c r="T171" s="64"/>
      <c r="U171" s="64"/>
      <c r="V171" s="64"/>
      <c r="W171" s="64"/>
      <c r="X171" s="64"/>
      <c r="Y171" s="64"/>
      <c r="Z171" s="64"/>
    </row>
    <row r="172" ht="12.75" customHeight="1">
      <c r="A172" s="108"/>
      <c r="B172" s="64"/>
      <c r="C172" s="64"/>
      <c r="D172" s="64"/>
      <c r="E172" s="64"/>
      <c r="F172" s="63"/>
      <c r="G172" s="63"/>
      <c r="H172" s="64"/>
      <c r="I172" s="64"/>
      <c r="J172" s="64"/>
      <c r="K172" s="64"/>
      <c r="L172" s="64"/>
      <c r="M172" s="64"/>
      <c r="N172" s="64"/>
      <c r="O172" s="64"/>
      <c r="P172" s="64"/>
      <c r="Q172" s="64"/>
      <c r="R172" s="64"/>
      <c r="S172" s="64"/>
      <c r="T172" s="64"/>
      <c r="U172" s="64"/>
      <c r="V172" s="64"/>
      <c r="W172" s="64"/>
      <c r="X172" s="64"/>
      <c r="Y172" s="64"/>
      <c r="Z172" s="64"/>
    </row>
    <row r="173" ht="12.75" customHeight="1">
      <c r="A173" s="108"/>
      <c r="B173" s="64"/>
      <c r="C173" s="64"/>
      <c r="D173" s="64"/>
      <c r="E173" s="64"/>
      <c r="F173" s="63"/>
      <c r="G173" s="63"/>
      <c r="H173" s="64"/>
      <c r="I173" s="64"/>
      <c r="J173" s="64"/>
      <c r="K173" s="64"/>
      <c r="L173" s="64"/>
      <c r="M173" s="64"/>
      <c r="N173" s="64"/>
      <c r="O173" s="64"/>
      <c r="P173" s="64"/>
      <c r="Q173" s="64"/>
      <c r="R173" s="64"/>
      <c r="S173" s="64"/>
      <c r="T173" s="64"/>
      <c r="U173" s="64"/>
      <c r="V173" s="64"/>
      <c r="W173" s="64"/>
      <c r="X173" s="64"/>
      <c r="Y173" s="64"/>
      <c r="Z173" s="64"/>
    </row>
    <row r="174" ht="12.75" customHeight="1">
      <c r="A174" s="108"/>
      <c r="B174" s="64"/>
      <c r="C174" s="64"/>
      <c r="D174" s="64"/>
      <c r="E174" s="64"/>
      <c r="F174" s="63"/>
      <c r="G174" s="63"/>
      <c r="H174" s="64"/>
      <c r="I174" s="64"/>
      <c r="J174" s="64"/>
      <c r="K174" s="64"/>
      <c r="L174" s="64"/>
      <c r="M174" s="64"/>
      <c r="N174" s="64"/>
      <c r="O174" s="64"/>
      <c r="P174" s="64"/>
      <c r="Q174" s="64"/>
      <c r="R174" s="64"/>
      <c r="S174" s="64"/>
      <c r="T174" s="64"/>
      <c r="U174" s="64"/>
      <c r="V174" s="64"/>
      <c r="W174" s="64"/>
      <c r="X174" s="64"/>
      <c r="Y174" s="64"/>
      <c r="Z174" s="64"/>
    </row>
    <row r="175" ht="12.75" customHeight="1">
      <c r="A175" s="108"/>
      <c r="B175" s="64"/>
      <c r="C175" s="64"/>
      <c r="D175" s="64"/>
      <c r="E175" s="64"/>
      <c r="F175" s="63"/>
      <c r="G175" s="63"/>
      <c r="H175" s="64"/>
      <c r="I175" s="64"/>
      <c r="J175" s="64"/>
      <c r="K175" s="64"/>
      <c r="L175" s="64"/>
      <c r="M175" s="64"/>
      <c r="N175" s="64"/>
      <c r="O175" s="64"/>
      <c r="P175" s="64"/>
      <c r="Q175" s="64"/>
      <c r="R175" s="64"/>
      <c r="S175" s="64"/>
      <c r="T175" s="64"/>
      <c r="U175" s="64"/>
      <c r="V175" s="64"/>
      <c r="W175" s="64"/>
      <c r="X175" s="64"/>
      <c r="Y175" s="64"/>
      <c r="Z175" s="64"/>
    </row>
    <row r="176" ht="12.75" customHeight="1">
      <c r="A176" s="108"/>
      <c r="B176" s="64"/>
      <c r="C176" s="64"/>
      <c r="D176" s="64"/>
      <c r="E176" s="64"/>
      <c r="F176" s="63"/>
      <c r="G176" s="63"/>
      <c r="H176" s="64"/>
      <c r="I176" s="64"/>
      <c r="J176" s="64"/>
      <c r="K176" s="64"/>
      <c r="L176" s="64"/>
      <c r="M176" s="64"/>
      <c r="N176" s="64"/>
      <c r="O176" s="64"/>
      <c r="P176" s="64"/>
      <c r="Q176" s="64"/>
      <c r="R176" s="64"/>
      <c r="S176" s="64"/>
      <c r="T176" s="64"/>
      <c r="U176" s="64"/>
      <c r="V176" s="64"/>
      <c r="W176" s="64"/>
      <c r="X176" s="64"/>
      <c r="Y176" s="64"/>
      <c r="Z176" s="64"/>
    </row>
    <row r="177" ht="12.75" customHeight="1">
      <c r="A177" s="108"/>
      <c r="B177" s="64"/>
      <c r="C177" s="64"/>
      <c r="D177" s="64"/>
      <c r="E177" s="64"/>
      <c r="F177" s="63"/>
      <c r="G177" s="63"/>
      <c r="H177" s="64"/>
      <c r="I177" s="64"/>
      <c r="J177" s="64"/>
      <c r="K177" s="64"/>
      <c r="L177" s="64"/>
      <c r="M177" s="64"/>
      <c r="N177" s="64"/>
      <c r="O177" s="64"/>
      <c r="P177" s="64"/>
      <c r="Q177" s="64"/>
      <c r="R177" s="64"/>
      <c r="S177" s="64"/>
      <c r="T177" s="64"/>
      <c r="U177" s="64"/>
      <c r="V177" s="64"/>
      <c r="W177" s="64"/>
      <c r="X177" s="64"/>
      <c r="Y177" s="64"/>
      <c r="Z177" s="64"/>
    </row>
    <row r="178" ht="12.75" customHeight="1">
      <c r="A178" s="108"/>
      <c r="B178" s="64"/>
      <c r="C178" s="64"/>
      <c r="D178" s="64"/>
      <c r="E178" s="64"/>
      <c r="F178" s="63"/>
      <c r="G178" s="63"/>
      <c r="H178" s="64"/>
      <c r="I178" s="64"/>
      <c r="J178" s="64"/>
      <c r="K178" s="64"/>
      <c r="L178" s="64"/>
      <c r="M178" s="64"/>
      <c r="N178" s="64"/>
      <c r="O178" s="64"/>
      <c r="P178" s="64"/>
      <c r="Q178" s="64"/>
      <c r="R178" s="64"/>
      <c r="S178" s="64"/>
      <c r="T178" s="64"/>
      <c r="U178" s="64"/>
      <c r="V178" s="64"/>
      <c r="W178" s="64"/>
      <c r="X178" s="64"/>
      <c r="Y178" s="64"/>
      <c r="Z178" s="64"/>
    </row>
    <row r="179" ht="12.75" customHeight="1">
      <c r="A179" s="108"/>
      <c r="B179" s="64"/>
      <c r="C179" s="64"/>
      <c r="D179" s="64"/>
      <c r="E179" s="64"/>
      <c r="F179" s="63"/>
      <c r="G179" s="63"/>
      <c r="H179" s="64"/>
      <c r="I179" s="64"/>
      <c r="J179" s="64"/>
      <c r="K179" s="64"/>
      <c r="L179" s="64"/>
      <c r="M179" s="64"/>
      <c r="N179" s="64"/>
      <c r="O179" s="64"/>
      <c r="P179" s="64"/>
      <c r="Q179" s="64"/>
      <c r="R179" s="64"/>
      <c r="S179" s="64"/>
      <c r="T179" s="64"/>
      <c r="U179" s="64"/>
      <c r="V179" s="64"/>
      <c r="W179" s="64"/>
      <c r="X179" s="64"/>
      <c r="Y179" s="64"/>
      <c r="Z179" s="64"/>
    </row>
    <row r="180" ht="12.75" customHeight="1">
      <c r="A180" s="108"/>
      <c r="B180" s="64"/>
      <c r="C180" s="64"/>
      <c r="D180" s="64"/>
      <c r="E180" s="64"/>
      <c r="F180" s="63"/>
      <c r="G180" s="63"/>
      <c r="H180" s="64"/>
      <c r="I180" s="64"/>
      <c r="J180" s="64"/>
      <c r="K180" s="64"/>
      <c r="L180" s="64"/>
      <c r="M180" s="64"/>
      <c r="N180" s="64"/>
      <c r="O180" s="64"/>
      <c r="P180" s="64"/>
      <c r="Q180" s="64"/>
      <c r="R180" s="64"/>
      <c r="S180" s="64"/>
      <c r="T180" s="64"/>
      <c r="U180" s="64"/>
      <c r="V180" s="64"/>
      <c r="W180" s="64"/>
      <c r="X180" s="64"/>
      <c r="Y180" s="64"/>
      <c r="Z180" s="64"/>
    </row>
    <row r="181" ht="12.75" customHeight="1">
      <c r="A181" s="108"/>
      <c r="B181" s="64"/>
      <c r="C181" s="64"/>
      <c r="D181" s="64"/>
      <c r="E181" s="64"/>
      <c r="F181" s="63"/>
      <c r="G181" s="63"/>
      <c r="H181" s="64"/>
      <c r="I181" s="64"/>
      <c r="J181" s="64"/>
      <c r="K181" s="64"/>
      <c r="L181" s="64"/>
      <c r="M181" s="64"/>
      <c r="N181" s="64"/>
      <c r="O181" s="64"/>
      <c r="P181" s="64"/>
      <c r="Q181" s="64"/>
      <c r="R181" s="64"/>
      <c r="S181" s="64"/>
      <c r="T181" s="64"/>
      <c r="U181" s="64"/>
      <c r="V181" s="64"/>
      <c r="W181" s="64"/>
      <c r="X181" s="64"/>
      <c r="Y181" s="64"/>
      <c r="Z181" s="64"/>
    </row>
    <row r="182" ht="12.75" customHeight="1">
      <c r="A182" s="108"/>
      <c r="B182" s="64"/>
      <c r="C182" s="64"/>
      <c r="D182" s="64"/>
      <c r="E182" s="64"/>
      <c r="F182" s="63"/>
      <c r="G182" s="63"/>
      <c r="H182" s="64"/>
      <c r="I182" s="64"/>
      <c r="J182" s="64"/>
      <c r="K182" s="64"/>
      <c r="L182" s="64"/>
      <c r="M182" s="64"/>
      <c r="N182" s="64"/>
      <c r="O182" s="64"/>
      <c r="P182" s="64"/>
      <c r="Q182" s="64"/>
      <c r="R182" s="64"/>
      <c r="S182" s="64"/>
      <c r="T182" s="64"/>
      <c r="U182" s="64"/>
      <c r="V182" s="64"/>
      <c r="W182" s="64"/>
      <c r="X182" s="64"/>
      <c r="Y182" s="64"/>
      <c r="Z182" s="64"/>
    </row>
    <row r="183" ht="12.75" customHeight="1">
      <c r="A183" s="108"/>
      <c r="B183" s="64"/>
      <c r="C183" s="64"/>
      <c r="D183" s="64"/>
      <c r="E183" s="64"/>
      <c r="F183" s="63"/>
      <c r="G183" s="63"/>
      <c r="H183" s="64"/>
      <c r="I183" s="64"/>
      <c r="J183" s="64"/>
      <c r="K183" s="64"/>
      <c r="L183" s="64"/>
      <c r="M183" s="64"/>
      <c r="N183" s="64"/>
      <c r="O183" s="64"/>
      <c r="P183" s="64"/>
      <c r="Q183" s="64"/>
      <c r="R183" s="64"/>
      <c r="S183" s="64"/>
      <c r="T183" s="64"/>
      <c r="U183" s="64"/>
      <c r="V183" s="64"/>
      <c r="W183" s="64"/>
      <c r="X183" s="64"/>
      <c r="Y183" s="64"/>
      <c r="Z183" s="64"/>
    </row>
    <row r="184" ht="12.75" customHeight="1">
      <c r="A184" s="108"/>
      <c r="B184" s="64"/>
      <c r="C184" s="64"/>
      <c r="D184" s="64"/>
      <c r="E184" s="64"/>
      <c r="F184" s="63"/>
      <c r="G184" s="63"/>
      <c r="H184" s="64"/>
      <c r="I184" s="64"/>
      <c r="J184" s="64"/>
      <c r="K184" s="64"/>
      <c r="L184" s="64"/>
      <c r="M184" s="64"/>
      <c r="N184" s="64"/>
      <c r="O184" s="64"/>
      <c r="P184" s="64"/>
      <c r="Q184" s="64"/>
      <c r="R184" s="64"/>
      <c r="S184" s="64"/>
      <c r="T184" s="64"/>
      <c r="U184" s="64"/>
      <c r="V184" s="64"/>
      <c r="W184" s="64"/>
      <c r="X184" s="64"/>
      <c r="Y184" s="64"/>
      <c r="Z184" s="64"/>
    </row>
    <row r="185" ht="12.75" customHeight="1">
      <c r="A185" s="108"/>
      <c r="B185" s="64"/>
      <c r="C185" s="64"/>
      <c r="D185" s="64"/>
      <c r="E185" s="64"/>
      <c r="F185" s="63"/>
      <c r="G185" s="63"/>
      <c r="H185" s="64"/>
      <c r="I185" s="64"/>
      <c r="J185" s="64"/>
      <c r="K185" s="64"/>
      <c r="L185" s="64"/>
      <c r="M185" s="64"/>
      <c r="N185" s="64"/>
      <c r="O185" s="64"/>
      <c r="P185" s="64"/>
      <c r="Q185" s="64"/>
      <c r="R185" s="64"/>
      <c r="S185" s="64"/>
      <c r="T185" s="64"/>
      <c r="U185" s="64"/>
      <c r="V185" s="64"/>
      <c r="W185" s="64"/>
      <c r="X185" s="64"/>
      <c r="Y185" s="64"/>
      <c r="Z185" s="64"/>
    </row>
    <row r="186" ht="12.75" customHeight="1">
      <c r="A186" s="108"/>
      <c r="B186" s="64"/>
      <c r="C186" s="64"/>
      <c r="D186" s="64"/>
      <c r="E186" s="64"/>
      <c r="F186" s="63"/>
      <c r="G186" s="63"/>
      <c r="H186" s="64"/>
      <c r="I186" s="64"/>
      <c r="J186" s="64"/>
      <c r="K186" s="64"/>
      <c r="L186" s="64"/>
      <c r="M186" s="64"/>
      <c r="N186" s="64"/>
      <c r="O186" s="64"/>
      <c r="P186" s="64"/>
      <c r="Q186" s="64"/>
      <c r="R186" s="64"/>
      <c r="S186" s="64"/>
      <c r="T186" s="64"/>
      <c r="U186" s="64"/>
      <c r="V186" s="64"/>
      <c r="W186" s="64"/>
      <c r="X186" s="64"/>
      <c r="Y186" s="64"/>
      <c r="Z186" s="64"/>
    </row>
    <row r="187" ht="12.75" customHeight="1">
      <c r="A187" s="108"/>
      <c r="B187" s="64"/>
      <c r="C187" s="64"/>
      <c r="D187" s="64"/>
      <c r="E187" s="64"/>
      <c r="F187" s="63"/>
      <c r="G187" s="63"/>
      <c r="H187" s="64"/>
      <c r="I187" s="64"/>
      <c r="J187" s="64"/>
      <c r="K187" s="64"/>
      <c r="L187" s="64"/>
      <c r="M187" s="64"/>
      <c r="N187" s="64"/>
      <c r="O187" s="64"/>
      <c r="P187" s="64"/>
      <c r="Q187" s="64"/>
      <c r="R187" s="64"/>
      <c r="S187" s="64"/>
      <c r="T187" s="64"/>
      <c r="U187" s="64"/>
      <c r="V187" s="64"/>
      <c r="W187" s="64"/>
      <c r="X187" s="64"/>
      <c r="Y187" s="64"/>
      <c r="Z187" s="64"/>
    </row>
    <row r="188" ht="12.75" customHeight="1">
      <c r="A188" s="108"/>
      <c r="B188" s="64"/>
      <c r="C188" s="64"/>
      <c r="D188" s="64"/>
      <c r="E188" s="64"/>
      <c r="F188" s="63"/>
      <c r="G188" s="63"/>
      <c r="H188" s="64"/>
      <c r="I188" s="64"/>
      <c r="J188" s="64"/>
      <c r="K188" s="64"/>
      <c r="L188" s="64"/>
      <c r="M188" s="64"/>
      <c r="N188" s="64"/>
      <c r="O188" s="64"/>
      <c r="P188" s="64"/>
      <c r="Q188" s="64"/>
      <c r="R188" s="64"/>
      <c r="S188" s="64"/>
      <c r="T188" s="64"/>
      <c r="U188" s="64"/>
      <c r="V188" s="64"/>
      <c r="W188" s="64"/>
      <c r="X188" s="64"/>
      <c r="Y188" s="64"/>
      <c r="Z188" s="64"/>
    </row>
    <row r="189" ht="12.75" customHeight="1">
      <c r="A189" s="108"/>
      <c r="B189" s="64"/>
      <c r="C189" s="64"/>
      <c r="D189" s="64"/>
      <c r="E189" s="64"/>
      <c r="F189" s="63"/>
      <c r="G189" s="63"/>
      <c r="H189" s="64"/>
      <c r="I189" s="64"/>
      <c r="J189" s="64"/>
      <c r="K189" s="64"/>
      <c r="L189" s="64"/>
      <c r="M189" s="64"/>
      <c r="N189" s="64"/>
      <c r="O189" s="64"/>
      <c r="P189" s="64"/>
      <c r="Q189" s="64"/>
      <c r="R189" s="64"/>
      <c r="S189" s="64"/>
      <c r="T189" s="64"/>
      <c r="U189" s="64"/>
      <c r="V189" s="64"/>
      <c r="W189" s="64"/>
      <c r="X189" s="64"/>
      <c r="Y189" s="64"/>
      <c r="Z189" s="64"/>
    </row>
    <row r="190" ht="12.75" customHeight="1">
      <c r="A190" s="108"/>
      <c r="B190" s="64"/>
      <c r="C190" s="64"/>
      <c r="D190" s="64"/>
      <c r="E190" s="64"/>
      <c r="F190" s="63"/>
      <c r="G190" s="63"/>
      <c r="H190" s="64"/>
      <c r="I190" s="64"/>
      <c r="J190" s="64"/>
      <c r="K190" s="64"/>
      <c r="L190" s="64"/>
      <c r="M190" s="64"/>
      <c r="N190" s="64"/>
      <c r="O190" s="64"/>
      <c r="P190" s="64"/>
      <c r="Q190" s="64"/>
      <c r="R190" s="64"/>
      <c r="S190" s="64"/>
      <c r="T190" s="64"/>
      <c r="U190" s="64"/>
      <c r="V190" s="64"/>
      <c r="W190" s="64"/>
      <c r="X190" s="64"/>
      <c r="Y190" s="64"/>
      <c r="Z190" s="64"/>
    </row>
    <row r="191" ht="12.75" customHeight="1">
      <c r="A191" s="108"/>
      <c r="B191" s="64"/>
      <c r="C191" s="64"/>
      <c r="D191" s="64"/>
      <c r="E191" s="64"/>
      <c r="F191" s="63"/>
      <c r="G191" s="63"/>
      <c r="H191" s="64"/>
      <c r="I191" s="64"/>
      <c r="J191" s="64"/>
      <c r="K191" s="64"/>
      <c r="L191" s="64"/>
      <c r="M191" s="64"/>
      <c r="N191" s="64"/>
      <c r="O191" s="64"/>
      <c r="P191" s="64"/>
      <c r="Q191" s="64"/>
      <c r="R191" s="64"/>
      <c r="S191" s="64"/>
      <c r="T191" s="64"/>
      <c r="U191" s="64"/>
      <c r="V191" s="64"/>
      <c r="W191" s="64"/>
      <c r="X191" s="64"/>
      <c r="Y191" s="64"/>
      <c r="Z191" s="64"/>
    </row>
    <row r="192" ht="12.75" customHeight="1">
      <c r="A192" s="108"/>
      <c r="B192" s="64"/>
      <c r="C192" s="64"/>
      <c r="D192" s="64"/>
      <c r="E192" s="64"/>
      <c r="F192" s="63"/>
      <c r="G192" s="63"/>
      <c r="H192" s="64"/>
      <c r="I192" s="64"/>
      <c r="J192" s="64"/>
      <c r="K192" s="64"/>
      <c r="L192" s="64"/>
      <c r="M192" s="64"/>
      <c r="N192" s="64"/>
      <c r="O192" s="64"/>
      <c r="P192" s="64"/>
      <c r="Q192" s="64"/>
      <c r="R192" s="64"/>
      <c r="S192" s="64"/>
      <c r="T192" s="64"/>
      <c r="U192" s="64"/>
      <c r="V192" s="64"/>
      <c r="W192" s="64"/>
      <c r="X192" s="64"/>
      <c r="Y192" s="64"/>
      <c r="Z192" s="64"/>
    </row>
    <row r="193" ht="12.75" customHeight="1">
      <c r="A193" s="108"/>
      <c r="B193" s="64"/>
      <c r="C193" s="64"/>
      <c r="D193" s="64"/>
      <c r="E193" s="64"/>
      <c r="F193" s="63"/>
      <c r="G193" s="63"/>
      <c r="H193" s="64"/>
      <c r="I193" s="64"/>
      <c r="J193" s="64"/>
      <c r="K193" s="64"/>
      <c r="L193" s="64"/>
      <c r="M193" s="64"/>
      <c r="N193" s="64"/>
      <c r="O193" s="64"/>
      <c r="P193" s="64"/>
      <c r="Q193" s="64"/>
      <c r="R193" s="64"/>
      <c r="S193" s="64"/>
      <c r="T193" s="64"/>
      <c r="U193" s="64"/>
      <c r="V193" s="64"/>
      <c r="W193" s="64"/>
      <c r="X193" s="64"/>
      <c r="Y193" s="64"/>
      <c r="Z193" s="64"/>
    </row>
    <row r="194" ht="12.75" customHeight="1">
      <c r="A194" s="108"/>
      <c r="B194" s="64"/>
      <c r="C194" s="64"/>
      <c r="D194" s="64"/>
      <c r="E194" s="64"/>
      <c r="F194" s="63"/>
      <c r="G194" s="63"/>
      <c r="H194" s="64"/>
      <c r="I194" s="64"/>
      <c r="J194" s="64"/>
      <c r="K194" s="64"/>
      <c r="L194" s="64"/>
      <c r="M194" s="64"/>
      <c r="N194" s="64"/>
      <c r="O194" s="64"/>
      <c r="P194" s="64"/>
      <c r="Q194" s="64"/>
      <c r="R194" s="64"/>
      <c r="S194" s="64"/>
      <c r="T194" s="64"/>
      <c r="U194" s="64"/>
      <c r="V194" s="64"/>
      <c r="W194" s="64"/>
      <c r="X194" s="64"/>
      <c r="Y194" s="64"/>
      <c r="Z194" s="64"/>
    </row>
    <row r="195" ht="12.75" customHeight="1">
      <c r="A195" s="108"/>
      <c r="B195" s="64"/>
      <c r="C195" s="64"/>
      <c r="D195" s="64"/>
      <c r="E195" s="64"/>
      <c r="F195" s="63"/>
      <c r="G195" s="63"/>
      <c r="H195" s="64"/>
      <c r="I195" s="64"/>
      <c r="J195" s="64"/>
      <c r="K195" s="64"/>
      <c r="L195" s="64"/>
      <c r="M195" s="64"/>
      <c r="N195" s="64"/>
      <c r="O195" s="64"/>
      <c r="P195" s="64"/>
      <c r="Q195" s="64"/>
      <c r="R195" s="64"/>
      <c r="S195" s="64"/>
      <c r="T195" s="64"/>
      <c r="U195" s="64"/>
      <c r="V195" s="64"/>
      <c r="W195" s="64"/>
      <c r="X195" s="64"/>
      <c r="Y195" s="64"/>
      <c r="Z195" s="64"/>
    </row>
    <row r="196" ht="12.75" customHeight="1">
      <c r="A196" s="108"/>
      <c r="B196" s="64"/>
      <c r="C196" s="64"/>
      <c r="D196" s="64"/>
      <c r="E196" s="64"/>
      <c r="F196" s="63"/>
      <c r="G196" s="63"/>
      <c r="H196" s="64"/>
      <c r="I196" s="64"/>
      <c r="J196" s="64"/>
      <c r="K196" s="64"/>
      <c r="L196" s="64"/>
      <c r="M196" s="64"/>
      <c r="N196" s="64"/>
      <c r="O196" s="64"/>
      <c r="P196" s="64"/>
      <c r="Q196" s="64"/>
      <c r="R196" s="64"/>
      <c r="S196" s="64"/>
      <c r="T196" s="64"/>
      <c r="U196" s="64"/>
      <c r="V196" s="64"/>
      <c r="W196" s="64"/>
      <c r="X196" s="64"/>
      <c r="Y196" s="64"/>
      <c r="Z196" s="64"/>
    </row>
    <row r="197" ht="12.75" customHeight="1">
      <c r="A197" s="108"/>
      <c r="B197" s="64"/>
      <c r="C197" s="64"/>
      <c r="D197" s="64"/>
      <c r="E197" s="64"/>
      <c r="F197" s="63"/>
      <c r="G197" s="63"/>
      <c r="H197" s="64"/>
      <c r="I197" s="64"/>
      <c r="J197" s="64"/>
      <c r="K197" s="64"/>
      <c r="L197" s="64"/>
      <c r="M197" s="64"/>
      <c r="N197" s="64"/>
      <c r="O197" s="64"/>
      <c r="P197" s="64"/>
      <c r="Q197" s="64"/>
      <c r="R197" s="64"/>
      <c r="S197" s="64"/>
      <c r="T197" s="64"/>
      <c r="U197" s="64"/>
      <c r="V197" s="64"/>
      <c r="W197" s="64"/>
      <c r="X197" s="64"/>
      <c r="Y197" s="64"/>
      <c r="Z197" s="64"/>
    </row>
    <row r="198" ht="12.75" customHeight="1">
      <c r="A198" s="108"/>
      <c r="B198" s="64"/>
      <c r="C198" s="64"/>
      <c r="D198" s="64"/>
      <c r="E198" s="64"/>
      <c r="F198" s="63"/>
      <c r="G198" s="63"/>
      <c r="H198" s="64"/>
      <c r="I198" s="64"/>
      <c r="J198" s="64"/>
      <c r="K198" s="64"/>
      <c r="L198" s="64"/>
      <c r="M198" s="64"/>
      <c r="N198" s="64"/>
      <c r="O198" s="64"/>
      <c r="P198" s="64"/>
      <c r="Q198" s="64"/>
      <c r="R198" s="64"/>
      <c r="S198" s="64"/>
      <c r="T198" s="64"/>
      <c r="U198" s="64"/>
      <c r="V198" s="64"/>
      <c r="W198" s="64"/>
      <c r="X198" s="64"/>
      <c r="Y198" s="64"/>
      <c r="Z198" s="64"/>
    </row>
    <row r="199" ht="12.75" customHeight="1">
      <c r="A199" s="108"/>
      <c r="B199" s="64"/>
      <c r="C199" s="64"/>
      <c r="D199" s="64"/>
      <c r="E199" s="64"/>
      <c r="F199" s="63"/>
      <c r="G199" s="63"/>
      <c r="H199" s="64"/>
      <c r="I199" s="64"/>
      <c r="J199" s="64"/>
      <c r="K199" s="64"/>
      <c r="L199" s="64"/>
      <c r="M199" s="64"/>
      <c r="N199" s="64"/>
      <c r="O199" s="64"/>
      <c r="P199" s="64"/>
      <c r="Q199" s="64"/>
      <c r="R199" s="64"/>
      <c r="S199" s="64"/>
      <c r="T199" s="64"/>
      <c r="U199" s="64"/>
      <c r="V199" s="64"/>
      <c r="W199" s="64"/>
      <c r="X199" s="64"/>
      <c r="Y199" s="64"/>
      <c r="Z199" s="64"/>
    </row>
    <row r="200" ht="12.75" customHeight="1">
      <c r="A200" s="108"/>
      <c r="B200" s="64"/>
      <c r="C200" s="64"/>
      <c r="D200" s="64"/>
      <c r="E200" s="64"/>
      <c r="F200" s="63"/>
      <c r="G200" s="63"/>
      <c r="H200" s="64"/>
      <c r="I200" s="64"/>
      <c r="J200" s="64"/>
      <c r="K200" s="64"/>
      <c r="L200" s="64"/>
      <c r="M200" s="64"/>
      <c r="N200" s="64"/>
      <c r="O200" s="64"/>
      <c r="P200" s="64"/>
      <c r="Q200" s="64"/>
      <c r="R200" s="64"/>
      <c r="S200" s="64"/>
      <c r="T200" s="64"/>
      <c r="U200" s="64"/>
      <c r="V200" s="64"/>
      <c r="W200" s="64"/>
      <c r="X200" s="64"/>
      <c r="Y200" s="64"/>
      <c r="Z200" s="64"/>
    </row>
    <row r="201" ht="12.75" customHeight="1">
      <c r="A201" s="108"/>
      <c r="B201" s="64"/>
      <c r="C201" s="64"/>
      <c r="D201" s="64"/>
      <c r="E201" s="64"/>
      <c r="F201" s="63"/>
      <c r="G201" s="63"/>
      <c r="H201" s="64"/>
      <c r="I201" s="64"/>
      <c r="J201" s="64"/>
      <c r="K201" s="64"/>
      <c r="L201" s="64"/>
      <c r="M201" s="64"/>
      <c r="N201" s="64"/>
      <c r="O201" s="64"/>
      <c r="P201" s="64"/>
      <c r="Q201" s="64"/>
      <c r="R201" s="64"/>
      <c r="S201" s="64"/>
      <c r="T201" s="64"/>
      <c r="U201" s="64"/>
      <c r="V201" s="64"/>
      <c r="W201" s="64"/>
      <c r="X201" s="64"/>
      <c r="Y201" s="64"/>
      <c r="Z201" s="64"/>
    </row>
    <row r="202" ht="12.75" customHeight="1">
      <c r="A202" s="108"/>
      <c r="B202" s="64"/>
      <c r="C202" s="64"/>
      <c r="D202" s="64"/>
      <c r="E202" s="64"/>
      <c r="F202" s="63"/>
      <c r="G202" s="63"/>
      <c r="H202" s="64"/>
      <c r="I202" s="64"/>
      <c r="J202" s="64"/>
      <c r="K202" s="64"/>
      <c r="L202" s="64"/>
      <c r="M202" s="64"/>
      <c r="N202" s="64"/>
      <c r="O202" s="64"/>
      <c r="P202" s="64"/>
      <c r="Q202" s="64"/>
      <c r="R202" s="64"/>
      <c r="S202" s="64"/>
      <c r="T202" s="64"/>
      <c r="U202" s="64"/>
      <c r="V202" s="64"/>
      <c r="W202" s="64"/>
      <c r="X202" s="64"/>
      <c r="Y202" s="64"/>
      <c r="Z202" s="64"/>
    </row>
    <row r="203" ht="12.75" customHeight="1">
      <c r="A203" s="108"/>
      <c r="B203" s="64"/>
      <c r="C203" s="64"/>
      <c r="D203" s="64"/>
      <c r="E203" s="64"/>
      <c r="F203" s="63"/>
      <c r="G203" s="63"/>
      <c r="H203" s="64"/>
      <c r="I203" s="64"/>
      <c r="J203" s="64"/>
      <c r="K203" s="64"/>
      <c r="L203" s="64"/>
      <c r="M203" s="64"/>
      <c r="N203" s="64"/>
      <c r="O203" s="64"/>
      <c r="P203" s="64"/>
      <c r="Q203" s="64"/>
      <c r="R203" s="64"/>
      <c r="S203" s="64"/>
      <c r="T203" s="64"/>
      <c r="U203" s="64"/>
      <c r="V203" s="64"/>
      <c r="W203" s="64"/>
      <c r="X203" s="64"/>
      <c r="Y203" s="64"/>
      <c r="Z203" s="64"/>
    </row>
    <row r="204" ht="12.75" customHeight="1">
      <c r="A204" s="108"/>
      <c r="B204" s="64"/>
      <c r="C204" s="64"/>
      <c r="D204" s="64"/>
      <c r="E204" s="64"/>
      <c r="F204" s="63"/>
      <c r="G204" s="63"/>
      <c r="H204" s="64"/>
      <c r="I204" s="64"/>
      <c r="J204" s="64"/>
      <c r="K204" s="64"/>
      <c r="L204" s="64"/>
      <c r="M204" s="64"/>
      <c r="N204" s="64"/>
      <c r="O204" s="64"/>
      <c r="P204" s="64"/>
      <c r="Q204" s="64"/>
      <c r="R204" s="64"/>
      <c r="S204" s="64"/>
      <c r="T204" s="64"/>
      <c r="U204" s="64"/>
      <c r="V204" s="64"/>
      <c r="W204" s="64"/>
      <c r="X204" s="64"/>
      <c r="Y204" s="64"/>
      <c r="Z204" s="64"/>
    </row>
    <row r="205" ht="12.75" customHeight="1">
      <c r="A205" s="108"/>
      <c r="B205" s="64"/>
      <c r="C205" s="64"/>
      <c r="D205" s="64"/>
      <c r="E205" s="64"/>
      <c r="F205" s="63"/>
      <c r="G205" s="63"/>
      <c r="H205" s="64"/>
      <c r="I205" s="64"/>
      <c r="J205" s="64"/>
      <c r="K205" s="64"/>
      <c r="L205" s="64"/>
      <c r="M205" s="64"/>
      <c r="N205" s="64"/>
      <c r="O205" s="64"/>
      <c r="P205" s="64"/>
      <c r="Q205" s="64"/>
      <c r="R205" s="64"/>
      <c r="S205" s="64"/>
      <c r="T205" s="64"/>
      <c r="U205" s="64"/>
      <c r="V205" s="64"/>
      <c r="W205" s="64"/>
      <c r="X205" s="64"/>
      <c r="Y205" s="64"/>
      <c r="Z205" s="64"/>
    </row>
    <row r="206" ht="12.75" customHeight="1">
      <c r="A206" s="108"/>
      <c r="B206" s="64"/>
      <c r="C206" s="64"/>
      <c r="D206" s="64"/>
      <c r="E206" s="64"/>
      <c r="F206" s="63"/>
      <c r="G206" s="63"/>
      <c r="H206" s="64"/>
      <c r="I206" s="64"/>
      <c r="J206" s="64"/>
      <c r="K206" s="64"/>
      <c r="L206" s="64"/>
      <c r="M206" s="64"/>
      <c r="N206" s="64"/>
      <c r="O206" s="64"/>
      <c r="P206" s="64"/>
      <c r="Q206" s="64"/>
      <c r="R206" s="64"/>
      <c r="S206" s="64"/>
      <c r="T206" s="64"/>
      <c r="U206" s="64"/>
      <c r="V206" s="64"/>
      <c r="W206" s="64"/>
      <c r="X206" s="64"/>
      <c r="Y206" s="64"/>
      <c r="Z206" s="64"/>
    </row>
    <row r="207" ht="12.75" customHeight="1">
      <c r="A207" s="108"/>
      <c r="B207" s="64"/>
      <c r="C207" s="64"/>
      <c r="D207" s="64"/>
      <c r="E207" s="64"/>
      <c r="F207" s="63"/>
      <c r="G207" s="63"/>
      <c r="H207" s="64"/>
      <c r="I207" s="64"/>
      <c r="J207" s="64"/>
      <c r="K207" s="64"/>
      <c r="L207" s="64"/>
      <c r="M207" s="64"/>
      <c r="N207" s="64"/>
      <c r="O207" s="64"/>
      <c r="P207" s="64"/>
      <c r="Q207" s="64"/>
      <c r="R207" s="64"/>
      <c r="S207" s="64"/>
      <c r="T207" s="64"/>
      <c r="U207" s="64"/>
      <c r="V207" s="64"/>
      <c r="W207" s="64"/>
      <c r="X207" s="64"/>
      <c r="Y207" s="64"/>
      <c r="Z207" s="64"/>
    </row>
    <row r="208" ht="12.75" customHeight="1">
      <c r="A208" s="108"/>
      <c r="B208" s="64"/>
      <c r="C208" s="64"/>
      <c r="D208" s="64"/>
      <c r="E208" s="64"/>
      <c r="F208" s="63"/>
      <c r="G208" s="63"/>
      <c r="H208" s="64"/>
      <c r="I208" s="64"/>
      <c r="J208" s="64"/>
      <c r="K208" s="64"/>
      <c r="L208" s="64"/>
      <c r="M208" s="64"/>
      <c r="N208" s="64"/>
      <c r="O208" s="64"/>
      <c r="P208" s="64"/>
      <c r="Q208" s="64"/>
      <c r="R208" s="64"/>
      <c r="S208" s="64"/>
      <c r="T208" s="64"/>
      <c r="U208" s="64"/>
      <c r="V208" s="64"/>
      <c r="W208" s="64"/>
      <c r="X208" s="64"/>
      <c r="Y208" s="64"/>
      <c r="Z208" s="64"/>
    </row>
    <row r="209" ht="12.75" customHeight="1">
      <c r="A209" s="108"/>
      <c r="B209" s="64"/>
      <c r="C209" s="64"/>
      <c r="D209" s="64"/>
      <c r="E209" s="64"/>
      <c r="F209" s="63"/>
      <c r="G209" s="63"/>
      <c r="H209" s="64"/>
      <c r="I209" s="64"/>
      <c r="J209" s="64"/>
      <c r="K209" s="64"/>
      <c r="L209" s="64"/>
      <c r="M209" s="64"/>
      <c r="N209" s="64"/>
      <c r="O209" s="64"/>
      <c r="P209" s="64"/>
      <c r="Q209" s="64"/>
      <c r="R209" s="64"/>
      <c r="S209" s="64"/>
      <c r="T209" s="64"/>
      <c r="U209" s="64"/>
      <c r="V209" s="64"/>
      <c r="W209" s="64"/>
      <c r="X209" s="64"/>
      <c r="Y209" s="64"/>
      <c r="Z209" s="64"/>
    </row>
    <row r="210" ht="12.75" customHeight="1">
      <c r="A210" s="108"/>
      <c r="B210" s="64"/>
      <c r="C210" s="64"/>
      <c r="D210" s="64"/>
      <c r="E210" s="64"/>
      <c r="F210" s="63"/>
      <c r="G210" s="63"/>
      <c r="H210" s="64"/>
      <c r="I210" s="64"/>
      <c r="J210" s="64"/>
      <c r="K210" s="64"/>
      <c r="L210" s="64"/>
      <c r="M210" s="64"/>
      <c r="N210" s="64"/>
      <c r="O210" s="64"/>
      <c r="P210" s="64"/>
      <c r="Q210" s="64"/>
      <c r="R210" s="64"/>
      <c r="S210" s="64"/>
      <c r="T210" s="64"/>
      <c r="U210" s="64"/>
      <c r="V210" s="64"/>
      <c r="W210" s="64"/>
      <c r="X210" s="64"/>
      <c r="Y210" s="64"/>
      <c r="Z210" s="64"/>
    </row>
    <row r="211" ht="12.75" customHeight="1">
      <c r="A211" s="108"/>
      <c r="B211" s="64"/>
      <c r="C211" s="64"/>
      <c r="D211" s="64"/>
      <c r="E211" s="64"/>
      <c r="F211" s="63"/>
      <c r="G211" s="63"/>
      <c r="H211" s="64"/>
      <c r="I211" s="64"/>
      <c r="J211" s="64"/>
      <c r="K211" s="64"/>
      <c r="L211" s="64"/>
      <c r="M211" s="64"/>
      <c r="N211" s="64"/>
      <c r="O211" s="64"/>
      <c r="P211" s="64"/>
      <c r="Q211" s="64"/>
      <c r="R211" s="64"/>
      <c r="S211" s="64"/>
      <c r="T211" s="64"/>
      <c r="U211" s="64"/>
      <c r="V211" s="64"/>
      <c r="W211" s="64"/>
      <c r="X211" s="64"/>
      <c r="Y211" s="64"/>
      <c r="Z211" s="64"/>
    </row>
    <row r="212" ht="12.75" customHeight="1">
      <c r="A212" s="108"/>
      <c r="B212" s="64"/>
      <c r="C212" s="64"/>
      <c r="D212" s="64"/>
      <c r="E212" s="64"/>
      <c r="F212" s="63"/>
      <c r="G212" s="63"/>
      <c r="H212" s="64"/>
      <c r="I212" s="64"/>
      <c r="J212" s="64"/>
      <c r="K212" s="64"/>
      <c r="L212" s="64"/>
      <c r="M212" s="64"/>
      <c r="N212" s="64"/>
      <c r="O212" s="64"/>
      <c r="P212" s="64"/>
      <c r="Q212" s="64"/>
      <c r="R212" s="64"/>
      <c r="S212" s="64"/>
      <c r="T212" s="64"/>
      <c r="U212" s="64"/>
      <c r="V212" s="64"/>
      <c r="W212" s="64"/>
      <c r="X212" s="64"/>
      <c r="Y212" s="64"/>
      <c r="Z212" s="64"/>
    </row>
    <row r="213" ht="12.75" customHeight="1">
      <c r="A213" s="108"/>
      <c r="B213" s="64"/>
      <c r="C213" s="64"/>
      <c r="D213" s="64"/>
      <c r="E213" s="64"/>
      <c r="F213" s="63"/>
      <c r="G213" s="63"/>
      <c r="H213" s="64"/>
      <c r="I213" s="64"/>
      <c r="J213" s="64"/>
      <c r="K213" s="64"/>
      <c r="L213" s="64"/>
      <c r="M213" s="64"/>
      <c r="N213" s="64"/>
      <c r="O213" s="64"/>
      <c r="P213" s="64"/>
      <c r="Q213" s="64"/>
      <c r="R213" s="64"/>
      <c r="S213" s="64"/>
      <c r="T213" s="64"/>
      <c r="U213" s="64"/>
      <c r="V213" s="64"/>
      <c r="W213" s="64"/>
      <c r="X213" s="64"/>
      <c r="Y213" s="64"/>
      <c r="Z213" s="64"/>
    </row>
    <row r="214" ht="12.75" customHeight="1">
      <c r="A214" s="108"/>
      <c r="B214" s="64"/>
      <c r="C214" s="64"/>
      <c r="D214" s="64"/>
      <c r="E214" s="64"/>
      <c r="F214" s="63"/>
      <c r="G214" s="63"/>
      <c r="H214" s="64"/>
      <c r="I214" s="64"/>
      <c r="J214" s="64"/>
      <c r="K214" s="64"/>
      <c r="L214" s="64"/>
      <c r="M214" s="64"/>
      <c r="N214" s="64"/>
      <c r="O214" s="64"/>
      <c r="P214" s="64"/>
      <c r="Q214" s="64"/>
      <c r="R214" s="64"/>
      <c r="S214" s="64"/>
      <c r="T214" s="64"/>
      <c r="U214" s="64"/>
      <c r="V214" s="64"/>
      <c r="W214" s="64"/>
      <c r="X214" s="64"/>
      <c r="Y214" s="64"/>
      <c r="Z214" s="64"/>
    </row>
    <row r="215" ht="12.75" customHeight="1">
      <c r="A215" s="108"/>
      <c r="B215" s="64"/>
      <c r="C215" s="64"/>
      <c r="D215" s="64"/>
      <c r="E215" s="64"/>
      <c r="F215" s="63"/>
      <c r="G215" s="63"/>
      <c r="H215" s="64"/>
      <c r="I215" s="64"/>
      <c r="J215" s="64"/>
      <c r="K215" s="64"/>
      <c r="L215" s="64"/>
      <c r="M215" s="64"/>
      <c r="N215" s="64"/>
      <c r="O215" s="64"/>
      <c r="P215" s="64"/>
      <c r="Q215" s="64"/>
      <c r="R215" s="64"/>
      <c r="S215" s="64"/>
      <c r="T215" s="64"/>
      <c r="U215" s="64"/>
      <c r="V215" s="64"/>
      <c r="W215" s="64"/>
      <c r="X215" s="64"/>
      <c r="Y215" s="64"/>
      <c r="Z215" s="64"/>
    </row>
    <row r="216" ht="12.75" customHeight="1">
      <c r="A216" s="108"/>
      <c r="B216" s="64"/>
      <c r="C216" s="64"/>
      <c r="D216" s="64"/>
      <c r="E216" s="64"/>
      <c r="F216" s="63"/>
      <c r="G216" s="63"/>
      <c r="H216" s="64"/>
      <c r="I216" s="64"/>
      <c r="J216" s="64"/>
      <c r="K216" s="64"/>
      <c r="L216" s="64"/>
      <c r="M216" s="64"/>
      <c r="N216" s="64"/>
      <c r="O216" s="64"/>
      <c r="P216" s="64"/>
      <c r="Q216" s="64"/>
      <c r="R216" s="64"/>
      <c r="S216" s="64"/>
      <c r="T216" s="64"/>
      <c r="U216" s="64"/>
      <c r="V216" s="64"/>
      <c r="W216" s="64"/>
      <c r="X216" s="64"/>
      <c r="Y216" s="64"/>
      <c r="Z216" s="64"/>
    </row>
    <row r="217" ht="12.75" customHeight="1">
      <c r="A217" s="108"/>
      <c r="B217" s="64"/>
      <c r="C217" s="64"/>
      <c r="D217" s="64"/>
      <c r="E217" s="64"/>
      <c r="F217" s="63"/>
      <c r="G217" s="63"/>
      <c r="H217" s="64"/>
      <c r="I217" s="64"/>
      <c r="J217" s="64"/>
      <c r="K217" s="64"/>
      <c r="L217" s="64"/>
      <c r="M217" s="64"/>
      <c r="N217" s="64"/>
      <c r="O217" s="64"/>
      <c r="P217" s="64"/>
      <c r="Q217" s="64"/>
      <c r="R217" s="64"/>
      <c r="S217" s="64"/>
      <c r="T217" s="64"/>
      <c r="U217" s="64"/>
      <c r="V217" s="64"/>
      <c r="W217" s="64"/>
      <c r="X217" s="64"/>
      <c r="Y217" s="64"/>
      <c r="Z217" s="64"/>
    </row>
    <row r="218" ht="12.75" customHeight="1">
      <c r="A218" s="108"/>
      <c r="B218" s="64"/>
      <c r="C218" s="64"/>
      <c r="D218" s="64"/>
      <c r="E218" s="64"/>
      <c r="F218" s="63"/>
      <c r="G218" s="63"/>
      <c r="H218" s="64"/>
      <c r="I218" s="64"/>
      <c r="J218" s="64"/>
      <c r="K218" s="64"/>
      <c r="L218" s="64"/>
      <c r="M218" s="64"/>
      <c r="N218" s="64"/>
      <c r="O218" s="64"/>
      <c r="P218" s="64"/>
      <c r="Q218" s="64"/>
      <c r="R218" s="64"/>
      <c r="S218" s="64"/>
      <c r="T218" s="64"/>
      <c r="U218" s="64"/>
      <c r="V218" s="64"/>
      <c r="W218" s="64"/>
      <c r="X218" s="64"/>
      <c r="Y218" s="64"/>
      <c r="Z218" s="64"/>
    </row>
    <row r="219" ht="12.75" customHeight="1">
      <c r="A219" s="108"/>
      <c r="B219" s="64"/>
      <c r="C219" s="64"/>
      <c r="D219" s="64"/>
      <c r="E219" s="64"/>
      <c r="F219" s="63"/>
      <c r="G219" s="63"/>
      <c r="H219" s="64"/>
      <c r="I219" s="64"/>
      <c r="J219" s="64"/>
      <c r="K219" s="64"/>
      <c r="L219" s="64"/>
      <c r="M219" s="64"/>
      <c r="N219" s="64"/>
      <c r="O219" s="64"/>
      <c r="P219" s="64"/>
      <c r="Q219" s="64"/>
      <c r="R219" s="64"/>
      <c r="S219" s="64"/>
      <c r="T219" s="64"/>
      <c r="U219" s="64"/>
      <c r="V219" s="64"/>
      <c r="W219" s="64"/>
      <c r="X219" s="64"/>
      <c r="Y219" s="64"/>
      <c r="Z219" s="64"/>
    </row>
    <row r="220" ht="12.75" customHeight="1">
      <c r="A220" s="108"/>
      <c r="B220" s="64"/>
      <c r="C220" s="64"/>
      <c r="D220" s="64"/>
      <c r="E220" s="64"/>
      <c r="F220" s="63"/>
      <c r="G220" s="63"/>
      <c r="H220" s="64"/>
      <c r="I220" s="64"/>
      <c r="J220" s="64"/>
      <c r="K220" s="64"/>
      <c r="L220" s="64"/>
      <c r="M220" s="64"/>
      <c r="N220" s="64"/>
      <c r="O220" s="64"/>
      <c r="P220" s="64"/>
      <c r="Q220" s="64"/>
      <c r="R220" s="64"/>
      <c r="S220" s="64"/>
      <c r="T220" s="64"/>
      <c r="U220" s="64"/>
      <c r="V220" s="64"/>
      <c r="W220" s="64"/>
      <c r="X220" s="64"/>
      <c r="Y220" s="64"/>
      <c r="Z220" s="64"/>
    </row>
    <row r="221" ht="12.75" customHeight="1">
      <c r="A221" s="108"/>
      <c r="B221" s="64"/>
      <c r="C221" s="64"/>
      <c r="D221" s="64"/>
      <c r="E221" s="64"/>
      <c r="F221" s="63"/>
      <c r="G221" s="63"/>
      <c r="H221" s="64"/>
      <c r="I221" s="64"/>
      <c r="J221" s="64"/>
      <c r="K221" s="64"/>
      <c r="L221" s="64"/>
      <c r="M221" s="64"/>
      <c r="N221" s="64"/>
      <c r="O221" s="64"/>
      <c r="P221" s="64"/>
      <c r="Q221" s="64"/>
      <c r="R221" s="64"/>
      <c r="S221" s="64"/>
      <c r="T221" s="64"/>
      <c r="U221" s="64"/>
      <c r="V221" s="64"/>
      <c r="W221" s="64"/>
      <c r="X221" s="64"/>
      <c r="Y221" s="64"/>
      <c r="Z221" s="64"/>
    </row>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mergeCells count="10">
    <mergeCell ref="C19:D19"/>
    <mergeCell ref="C20:D20"/>
    <mergeCell ref="C21:D21"/>
    <mergeCell ref="C12:D12"/>
    <mergeCell ref="C13:D13"/>
    <mergeCell ref="C14:D14"/>
    <mergeCell ref="C15:D15"/>
    <mergeCell ref="C16:D16"/>
    <mergeCell ref="C17:D17"/>
    <mergeCell ref="C18:D18"/>
  </mergeCells>
  <conditionalFormatting sqref="C6:D6">
    <cfRule type="expression" dxfId="0" priority="1">
      <formula>$A6&lt;&gt;""</formula>
    </cfRule>
  </conditionalFormatting>
  <conditionalFormatting sqref="C6:D6">
    <cfRule type="expression" dxfId="1" priority="2">
      <formula>$A6=""</formula>
    </cfRule>
  </conditionalFormatting>
  <dataValidations>
    <dataValidation type="decimal" allowBlank="1" showErrorMessage="1" sqref="F13:F20">
      <formula1>0.0</formula1>
      <formula2>50.0</formula2>
    </dataValidation>
  </dataValidations>
  <printOptions/>
  <pageMargins bottom="0.75" footer="0.0" header="0.0" left="0.7" right="0.7" top="0.75"/>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4A3B8"/>
    <pageSetUpPr/>
  </sheetPr>
  <sheetViews>
    <sheetView showGridLines="0" workbookViewId="0"/>
  </sheetViews>
  <sheetFormatPr customHeight="1" defaultColWidth="12.63" defaultRowHeight="15.0"/>
  <cols>
    <col customWidth="1" min="1" max="1" width="15.38"/>
    <col customWidth="1" min="2" max="2" width="46.88"/>
    <col customWidth="1" min="3" max="3" width="28.25"/>
    <col customWidth="1" min="4" max="4" width="15.0"/>
    <col customWidth="1" min="5" max="5" width="24.88"/>
    <col customWidth="1" min="6" max="6" width="17.25"/>
    <col customWidth="1" min="7" max="7" width="15.0"/>
    <col customWidth="1" min="8" max="26" width="9.13"/>
  </cols>
  <sheetData>
    <row r="1" ht="12.75" customHeight="1">
      <c r="A1" s="105" t="s">
        <v>260</v>
      </c>
      <c r="B1" s="77" t="s">
        <v>155</v>
      </c>
      <c r="C1" s="78"/>
      <c r="D1" s="78"/>
      <c r="E1" s="64"/>
      <c r="F1" s="63"/>
      <c r="G1" s="63"/>
      <c r="H1" s="64"/>
      <c r="I1" s="64"/>
      <c r="J1" s="64"/>
      <c r="K1" s="64"/>
      <c r="L1" s="64"/>
      <c r="M1" s="64"/>
      <c r="N1" s="64"/>
      <c r="O1" s="64"/>
      <c r="P1" s="64"/>
      <c r="Q1" s="64"/>
      <c r="R1" s="64"/>
      <c r="S1" s="64"/>
      <c r="T1" s="64"/>
      <c r="U1" s="64"/>
      <c r="V1" s="64"/>
      <c r="W1" s="64"/>
      <c r="X1" s="64"/>
      <c r="Y1" s="64"/>
      <c r="Z1" s="64"/>
    </row>
    <row r="2" ht="12.75" customHeight="1">
      <c r="A2" s="110" t="s">
        <v>5</v>
      </c>
      <c r="B2" s="62" t="str">
        <f t="array" ref="B2">IFERROR(INDEX(Sessions!$C$2:$C$173,MATCH($B$1,Sessions!$B$2:$B$173,0))&amp;"","")</f>
        <v>Cybersecurity, Blockchain, and Trustworthy Computing</v>
      </c>
      <c r="C2" s="64"/>
      <c r="D2" s="64"/>
      <c r="E2" s="64"/>
      <c r="F2" s="63"/>
      <c r="G2" s="63"/>
      <c r="H2" s="64"/>
      <c r="I2" s="64"/>
      <c r="J2" s="64"/>
      <c r="K2" s="64"/>
      <c r="L2" s="64"/>
      <c r="M2" s="64"/>
      <c r="N2" s="64"/>
      <c r="O2" s="64"/>
      <c r="P2" s="64"/>
      <c r="Q2" s="64"/>
      <c r="R2" s="64"/>
      <c r="S2" s="64"/>
      <c r="T2" s="64"/>
      <c r="U2" s="64"/>
      <c r="V2" s="64"/>
      <c r="W2" s="64"/>
      <c r="X2" s="64"/>
      <c r="Y2" s="64"/>
      <c r="Z2" s="64"/>
    </row>
    <row r="3" ht="12.75" customHeight="1">
      <c r="A3" s="112" t="s">
        <v>704</v>
      </c>
      <c r="B3" s="86" t="str">
        <f>IF(LEFT($B$1,2)="T1",Schedule!$A$4&amp;", "&amp;Schedule!$A$10,IF(LEFT($B$1,2)="T2",Schedule!$A$4&amp;", "&amp;Schedule!$A$12,IF(LEFT($B$1,2)="T3",Schedule!$A$4&amp;", "&amp;#REF!,IF(LEFT($B$1,2)="T4",Schedule!$A$16&amp;", "&amp;Schedule!$A$18,IF($B$1="Keynote 1",Schedule!$A$4&amp;", "&amp;Schedule!$A$8,IF($B$1="Keynote 2",Schedule!$A$4&amp;", "&amp;Schedule!$A$13,IF($B$1="Keynote 3",Schedule!$A$16&amp;", "&amp;Schedule!$A$19,IF($B$1="IEEE Workshop",Schedule!$A$16&amp;", "&amp;#REF!,""))))))))</f>
        <v>Day 2, 11:00-13:00</v>
      </c>
      <c r="C3" s="80"/>
      <c r="D3" s="80"/>
      <c r="E3" s="64"/>
      <c r="F3" s="63"/>
      <c r="G3" s="63"/>
      <c r="H3" s="64"/>
      <c r="I3" s="64"/>
      <c r="J3" s="64"/>
      <c r="K3" s="64"/>
      <c r="L3" s="64"/>
      <c r="M3" s="64"/>
      <c r="N3" s="64"/>
      <c r="O3" s="64"/>
      <c r="P3" s="64"/>
      <c r="Q3" s="64"/>
      <c r="R3" s="64"/>
      <c r="S3" s="64"/>
      <c r="T3" s="64"/>
      <c r="U3" s="64"/>
      <c r="V3" s="64"/>
      <c r="W3" s="64"/>
      <c r="X3" s="64"/>
      <c r="Y3" s="64"/>
      <c r="Z3" s="64"/>
    </row>
    <row r="4" ht="12.75" customHeight="1">
      <c r="A4" s="112" t="s">
        <v>11</v>
      </c>
      <c r="B4" s="126" t="str">
        <f t="array" ref="B4">IFERROR(INDEX(Sessions!$D$2:$D$173,MATCH($B$1,Sessions!$B$2:$B$173,0))&amp;"","")</f>
        <v>https://bdren.zoom.us/j/4074534482?pwd=krdtcqcqU2E4TPlssbKu9CBmk1aJre.1&amp;omn=98496255250</v>
      </c>
      <c r="C4" s="80"/>
      <c r="D4" s="80"/>
      <c r="E4" s="64"/>
      <c r="F4" s="63"/>
      <c r="G4" s="63"/>
      <c r="H4" s="64"/>
      <c r="I4" s="64"/>
      <c r="J4" s="64"/>
      <c r="K4" s="64"/>
      <c r="L4" s="64"/>
      <c r="M4" s="64"/>
      <c r="N4" s="64"/>
      <c r="O4" s="64"/>
      <c r="P4" s="64"/>
      <c r="Q4" s="64"/>
      <c r="R4" s="64"/>
      <c r="S4" s="64"/>
      <c r="T4" s="64"/>
      <c r="U4" s="64"/>
      <c r="V4" s="64"/>
      <c r="W4" s="64"/>
      <c r="X4" s="64"/>
      <c r="Y4" s="64"/>
      <c r="Z4" s="64"/>
    </row>
    <row r="5" ht="12.75" customHeight="1">
      <c r="A5" s="114" t="s">
        <v>725</v>
      </c>
      <c r="B5" s="86" t="str">
        <f t="array" ref="B5">IFERROR(INDEX(Chairs!$J$2:$J$359,MATCH(1,INDEX((Chairs!$K$2:$K$359=$B$1)*(Chairs!$N$2:$N$359=1),0),0)),"")</f>
        <v>Prof. Dr. Engr. Muhibul Haque Bhuyan</v>
      </c>
      <c r="C5" s="86" t="str">
        <f t="array" ref="C5">IFERROR(INDEX(Chairs!$L$2:$L$359,MATCH(1,INDEX((Chairs!$K$2:$K$359=$B$1)*(Chairs!$N$2:$N$359=1),0),0))&amp;"","")</f>
        <v>muhibulhb@aiub.edu</v>
      </c>
      <c r="D5" s="86" t="str">
        <f t="array" ref="D5">IFERROR(INDEX(Chairs!$M$2:$M$359,MATCH(1,INDEX((Chairs!$K$2:$K$359=$B$1)*(Chairs!$N$2:$N$359=1),0),0))&amp;"","")</f>
        <v>01815657346</v>
      </c>
      <c r="E5" s="64"/>
      <c r="F5" s="63"/>
      <c r="G5" s="63"/>
      <c r="H5" s="64"/>
      <c r="I5" s="64"/>
      <c r="J5" s="64"/>
      <c r="K5" s="64"/>
      <c r="L5" s="64"/>
      <c r="M5" s="64"/>
      <c r="N5" s="64"/>
      <c r="O5" s="64"/>
      <c r="P5" s="64"/>
      <c r="Q5" s="64"/>
      <c r="R5" s="64"/>
      <c r="S5" s="64"/>
      <c r="T5" s="64"/>
      <c r="U5" s="64"/>
      <c r="V5" s="64"/>
      <c r="W5" s="64"/>
      <c r="X5" s="64"/>
      <c r="Y5" s="64"/>
      <c r="Z5" s="64"/>
    </row>
    <row r="6" ht="12.75" customHeight="1">
      <c r="A6" s="114" t="s">
        <v>726</v>
      </c>
      <c r="B6" s="118" t="s">
        <v>317</v>
      </c>
      <c r="C6" s="19" t="s">
        <v>318</v>
      </c>
      <c r="D6" s="59" t="s">
        <v>319</v>
      </c>
      <c r="E6" s="64"/>
      <c r="F6" s="63"/>
      <c r="G6" s="63"/>
      <c r="H6" s="64"/>
      <c r="I6" s="64"/>
      <c r="J6" s="64"/>
      <c r="K6" s="64"/>
      <c r="L6" s="64"/>
      <c r="M6" s="64"/>
      <c r="N6" s="64"/>
      <c r="O6" s="64"/>
      <c r="P6" s="64"/>
      <c r="Q6" s="64"/>
      <c r="R6" s="64"/>
      <c r="S6" s="64"/>
      <c r="T6" s="64"/>
      <c r="U6" s="64"/>
      <c r="V6" s="64"/>
      <c r="W6" s="64"/>
      <c r="X6" s="64"/>
      <c r="Y6" s="64"/>
      <c r="Z6" s="64"/>
    </row>
    <row r="7" ht="12.75" customHeight="1">
      <c r="A7" s="112" t="s">
        <v>709</v>
      </c>
      <c r="B7" s="86" t="str">
        <f t="array" ref="B7">IFERROR(INDEX('Senior Faculty'!$J$2:$J$401,MATCH(1,INDEX(('Senior Faculty'!$K$2:$K$401=$B$1)*('Senior Faculty'!$N$2:$N$401=1),0),0)),"")</f>
        <v>Raihan Kibria</v>
      </c>
      <c r="C7" s="86" t="str">
        <f t="array" ref="C7">IFERROR(INDEX('Senior Faculty'!$L$2:$L$401,MATCH(1,INDEX(('Senior Faculty'!$K$2:$K$401=$B$1)*('Senior Faculty'!$N$2:$N$401=1),0),0))&amp;"","")</f>
        <v>raihan.kibria@ulab.edu.bd</v>
      </c>
      <c r="D7" s="86" t="str">
        <f t="array" ref="D7">IFERROR(INDEX('Senior Faculty'!$M$2:$M$401,MATCH(1,INDEX(('Senior Faculty'!$K$2:$K$401=$B$1)*('Senior Faculty'!$N$2:$N$401=1),0),0))&amp;"","")</f>
        <v>01819417956</v>
      </c>
      <c r="E7" s="64"/>
      <c r="F7" s="63"/>
      <c r="G7" s="63"/>
      <c r="H7" s="64"/>
      <c r="I7" s="64"/>
      <c r="J7" s="64"/>
      <c r="K7" s="64"/>
      <c r="L7" s="64"/>
      <c r="M7" s="64"/>
      <c r="N7" s="64"/>
      <c r="O7" s="64"/>
      <c r="P7" s="64"/>
      <c r="Q7" s="64"/>
      <c r="R7" s="64"/>
      <c r="S7" s="64"/>
      <c r="T7" s="64"/>
      <c r="U7" s="64"/>
      <c r="V7" s="64"/>
      <c r="W7" s="64"/>
      <c r="X7" s="64"/>
      <c r="Y7" s="64"/>
      <c r="Z7" s="64"/>
    </row>
    <row r="8" ht="12.75" customHeight="1">
      <c r="A8" s="112" t="s">
        <v>713</v>
      </c>
      <c r="B8" s="86" t="str">
        <f t="array" ref="B8">IFERROR(INDEX('Junior Faculty'!$J$2:$J$401,MATCH(1,INDEX(('Junior Faculty'!$K$2:$K$401=$B$1)*('Junior Faculty'!$N$2:$N$401=1),0),0)),"")</f>
        <v>Md. Monzurul Haque</v>
      </c>
      <c r="C8" s="86" t="str">
        <f t="array" ref="C8">IFERROR(INDEX('Junior Faculty'!$L$2:$L$401,MATCH(1,INDEX(('Junior Faculty'!$K$2:$K$401=$B$1)*('Junior Faculty'!$N$2:$N$401=1),0),0))&amp;"","")</f>
        <v>monzurul.haque@ulab.edu.bd</v>
      </c>
      <c r="D8" s="86" t="str">
        <f t="array" ref="D8">IFERROR(INDEX('Junior Faculty'!$M$2:$M$401,MATCH(1,INDEX(('Junior Faculty'!$K$2:$K$401=$B$1)*('Junior Faculty'!$N$2:$N$401=1),0),0))&amp;"","")</f>
        <v>01621853028</v>
      </c>
      <c r="E8" s="64"/>
      <c r="F8" s="63"/>
      <c r="G8" s="63"/>
      <c r="H8" s="64"/>
      <c r="I8" s="64"/>
      <c r="J8" s="64"/>
      <c r="K8" s="64"/>
      <c r="L8" s="64"/>
      <c r="M8" s="64"/>
      <c r="N8" s="64"/>
      <c r="O8" s="64"/>
      <c r="P8" s="64"/>
      <c r="Q8" s="64"/>
      <c r="R8" s="64"/>
      <c r="S8" s="64"/>
      <c r="T8" s="64"/>
      <c r="U8" s="64"/>
      <c r="V8" s="64"/>
      <c r="W8" s="64"/>
      <c r="X8" s="64"/>
      <c r="Y8" s="64"/>
      <c r="Z8" s="64"/>
    </row>
    <row r="9" ht="12.75" customHeight="1">
      <c r="A9" s="119" t="s">
        <v>714</v>
      </c>
      <c r="B9" s="95" t="str">
        <f t="array" ref="B9">IFERROR(INDEX('Junior Faculty'!$J$2:$J$401,MATCH(1,INDEX(('Junior Faculty'!$K$2:$K$401=$B$1)*('Junior Faculty'!$N$2:$N$401=2),0),0)),"")</f>
        <v/>
      </c>
      <c r="C9" s="95" t="str">
        <f t="array" ref="C9">IFERROR(INDEX('Junior Faculty'!$L$2:$L$401,MATCH(1,INDEX(('Junior Faculty'!$K$2:$K$401=$B$1)*('Junior Faculty'!$N$2:$N$401=2),0),0))&amp;"","")</f>
        <v/>
      </c>
      <c r="D9" s="95" t="str">
        <f t="array" ref="D9">IFERROR(INDEX('Junior Faculty'!$M$2:$M$401,MATCH(1,INDEX(('Junior Faculty'!$K$2:$K$401=$B$1)*('Junior Faculty'!$N$2:$N$401=2),0),0))&amp;"","")</f>
        <v/>
      </c>
      <c r="E9" s="64"/>
      <c r="F9" s="63"/>
      <c r="G9" s="63"/>
      <c r="H9" s="64"/>
      <c r="I9" s="64"/>
      <c r="J9" s="64"/>
      <c r="K9" s="64"/>
      <c r="L9" s="64"/>
      <c r="M9" s="64"/>
      <c r="N9" s="64"/>
      <c r="O9" s="64"/>
      <c r="P9" s="64"/>
      <c r="Q9" s="64"/>
      <c r="R9" s="64"/>
      <c r="S9" s="64"/>
      <c r="T9" s="64"/>
      <c r="U9" s="64"/>
      <c r="V9" s="64"/>
      <c r="W9" s="64"/>
      <c r="X9" s="64"/>
      <c r="Y9" s="64"/>
      <c r="Z9" s="64"/>
    </row>
    <row r="10" ht="12.75" customHeight="1">
      <c r="A10" s="108"/>
      <c r="B10" s="64"/>
      <c r="C10" s="64"/>
      <c r="D10" s="64"/>
      <c r="E10" s="64"/>
      <c r="F10" s="63"/>
      <c r="G10" s="63"/>
      <c r="H10" s="64"/>
      <c r="I10" s="64"/>
      <c r="J10" s="64"/>
      <c r="K10" s="64"/>
      <c r="L10" s="64"/>
      <c r="M10" s="64"/>
      <c r="N10" s="64"/>
      <c r="O10" s="64"/>
      <c r="P10" s="64"/>
      <c r="Q10" s="64"/>
      <c r="R10" s="64"/>
      <c r="S10" s="64"/>
      <c r="T10" s="64"/>
      <c r="U10" s="64"/>
      <c r="V10" s="64"/>
      <c r="W10" s="64"/>
      <c r="X10" s="64"/>
      <c r="Y10" s="64"/>
      <c r="Z10" s="64"/>
    </row>
    <row r="11" ht="12.75" customHeight="1">
      <c r="A11" s="121" t="s">
        <v>727</v>
      </c>
      <c r="B11" s="86"/>
      <c r="C11" s="86"/>
      <c r="D11" s="86"/>
      <c r="E11" s="64"/>
      <c r="F11" s="63"/>
      <c r="G11" s="63"/>
      <c r="H11" s="64"/>
      <c r="I11" s="64"/>
      <c r="J11" s="64"/>
      <c r="K11" s="64"/>
      <c r="L11" s="64"/>
      <c r="M11" s="64"/>
      <c r="N11" s="64"/>
      <c r="O11" s="64"/>
      <c r="P11" s="64"/>
      <c r="Q11" s="64"/>
      <c r="R11" s="64"/>
      <c r="S11" s="64"/>
      <c r="T11" s="64"/>
      <c r="U11" s="64"/>
      <c r="V11" s="64"/>
      <c r="W11" s="64"/>
      <c r="X11" s="64"/>
      <c r="Y11" s="64"/>
      <c r="Z11" s="64"/>
    </row>
    <row r="12" ht="15.0" customHeight="1">
      <c r="A12" s="122" t="s">
        <v>174</v>
      </c>
      <c r="B12" s="122" t="s">
        <v>256</v>
      </c>
      <c r="C12" s="123" t="s">
        <v>257</v>
      </c>
      <c r="D12" s="124"/>
      <c r="E12" s="61" t="s">
        <v>258</v>
      </c>
      <c r="F12" s="60" t="s">
        <v>265</v>
      </c>
      <c r="G12" s="64"/>
      <c r="H12" s="64"/>
      <c r="I12" s="64"/>
      <c r="J12" s="64"/>
      <c r="K12" s="64"/>
      <c r="L12" s="64"/>
      <c r="M12" s="64"/>
      <c r="N12" s="64"/>
      <c r="O12" s="64"/>
      <c r="P12" s="64"/>
      <c r="Q12" s="64"/>
      <c r="R12" s="64"/>
      <c r="S12" s="64"/>
      <c r="T12" s="64"/>
      <c r="U12" s="64"/>
      <c r="V12" s="64"/>
      <c r="W12" s="64"/>
      <c r="X12" s="64"/>
      <c r="Y12" s="64"/>
      <c r="Z12" s="64"/>
    </row>
    <row r="13" ht="12.75" customHeight="1">
      <c r="A13" s="113">
        <f t="array" ref="A13">IFERROR(INDEX(Papers!$A$2:$A$201,MATCH(1,INDEX((Papers!$G$2:$G$201=$B$1)*(Papers!$I$2:$I$201=1),0),0)),"")</f>
        <v>48</v>
      </c>
      <c r="B13" s="113" t="str">
        <f t="array" ref="B13">IFERROR(INDEX(Papers!$C$2:$C$201,MATCH(1,INDEX((Papers!$G$2:$G$201=$B$1)*(Papers!$I$2:$I$201=1),0),0)),"")</f>
        <v>CEC: A Non-Stationary Benchmarking Protocol for the Fair Evaluation of Metaheuristic Optimizers</v>
      </c>
      <c r="C13" s="113" t="str">
        <f t="array" ref="C13">IFERROR(INDEX(Papers!$D$2:$D$201,MATCH(1,INDEX((Papers!$G$2:$G$201=$B$1)*(Papers!$I$2:$I$201=1),0),0)),"")</f>
        <v>Hussain Mohammad  Ricon (American International University-Bangladesh); Tabassum  Alam (American International University-Bangladesh); Rifat Rudro (American International University-Bangladesh)*; Kamruddin  Nur (	American International University-Bangladesh)</v>
      </c>
      <c r="D13" s="125"/>
      <c r="E13" s="86" t="str">
        <f t="array" ref="E13">IFERROR(INDEX(Papers!$E$2:$E$201,MATCH(1,INDEX((Papers!$G$2:$G$201=$B$1)*(Papers!$I$2:$I$201=1),0),0)),"")</f>
        <v>22-49911-3@student.aiub.edu; 22-49912-3@student.aiub.edu; mamun.rudro@aiub.edu; kamruddin@aiub.edu</v>
      </c>
      <c r="F13" s="67"/>
      <c r="G13" s="64"/>
      <c r="H13" s="64"/>
      <c r="I13" s="64"/>
      <c r="J13" s="64"/>
      <c r="K13" s="64"/>
      <c r="L13" s="64"/>
      <c r="M13" s="64"/>
      <c r="N13" s="64"/>
      <c r="O13" s="64"/>
      <c r="P13" s="64"/>
      <c r="Q13" s="64"/>
      <c r="R13" s="64"/>
      <c r="S13" s="64"/>
      <c r="T13" s="64"/>
      <c r="U13" s="64"/>
      <c r="V13" s="64"/>
      <c r="W13" s="64"/>
      <c r="X13" s="64"/>
      <c r="Y13" s="64"/>
      <c r="Z13" s="64"/>
    </row>
    <row r="14" ht="12.75" customHeight="1">
      <c r="A14" s="113">
        <f t="array" ref="A14">IFERROR(INDEX(Papers!$A$2:$A$201,MATCH(1,INDEX((Papers!$G$2:$G$201=$B$1)*(Papers!$I$2:$I$201=2),0),0)),"")</f>
        <v>64</v>
      </c>
      <c r="B14" s="113" t="str">
        <f t="array" ref="B14">IFERROR(INDEX(Papers!$C$2:$C$201,MATCH(1,INDEX((Papers!$G$2:$G$201=$B$1)*(Papers!$I$2:$I$201=2),0),0)),"")</f>
        <v>An Explainable Ensemble Learning Approach for Anemia Prediction Using Clinical and Biochemical Data</v>
      </c>
      <c r="C14" s="113" t="str">
        <f t="array" ref="C14">IFERROR(INDEX(Papers!$D$2:$D$201,MATCH(1,INDEX((Papers!$G$2:$G$201=$B$1)*(Papers!$I$2:$I$201=2),0),0)),"")</f>
        <v>Gulfame  Jannat (American International University Bangladesh); MD. Toky Tajwer  Mahin (American International University Bangladesh); MD. Sohanur Rahman  Shohan (	American International University Bangladesh); Muhtasin  Ifti (American International University Bangladesh); Aminun Nahar (American International University Bangladesh)*; Kamruddin  Nur (American International University Bangladesh)</v>
      </c>
      <c r="D14" s="125"/>
      <c r="E14" s="86" t="str">
        <f t="array" ref="E14">IFERROR(INDEX(Papers!$E$2:$E$201,MATCH(1,INDEX((Papers!$G$2:$G$201=$B$1)*(Papers!$I$2:$I$201=2),0),0)),"")</f>
        <v>23-50293-1@student.aiub.edu; 22-48934-3@student.aiub.edu; 20-43672-2@student.aiub.edu; 23-50249-1@student.aiub.edu; aminun.nahar@aiub.edu; kamruddin@aiub.edu</v>
      </c>
      <c r="F14" s="67"/>
      <c r="G14" s="64"/>
      <c r="H14" s="64"/>
      <c r="I14" s="64"/>
      <c r="J14" s="64"/>
      <c r="K14" s="64"/>
      <c r="L14" s="64"/>
      <c r="M14" s="64"/>
      <c r="N14" s="64"/>
      <c r="O14" s="64"/>
      <c r="P14" s="64"/>
      <c r="Q14" s="64"/>
      <c r="R14" s="64"/>
      <c r="S14" s="64"/>
      <c r="T14" s="64"/>
      <c r="U14" s="64"/>
      <c r="V14" s="64"/>
      <c r="W14" s="64"/>
      <c r="X14" s="64"/>
      <c r="Y14" s="64"/>
      <c r="Z14" s="64"/>
    </row>
    <row r="15" ht="12.75" customHeight="1">
      <c r="A15" s="113">
        <f t="array" ref="A15">IFERROR(INDEX(Papers!$A$2:$A$201,MATCH(1,INDEX((Papers!$G$2:$G$201=$B$1)*(Papers!$I$2:$I$201=3),0),0)),"")</f>
        <v>86</v>
      </c>
      <c r="B15" s="113" t="str">
        <f t="array" ref="B15">IFERROR(INDEX(Papers!$C$2:$C$201,MATCH(1,INDEX((Papers!$G$2:$G$201=$B$1)*(Papers!$I$2:$I$201=3),0),0)),"")</f>
        <v>DCAF-Net: Dual-Branch Convolutional Network with Spatial Cross-Attention Fusion for Thyroid Nodule Classification</v>
      </c>
      <c r="C15" s="113" t="str">
        <f t="array" ref="C15">IFERROR(INDEX(Papers!$D$2:$D$201,MATCH(1,INDEX((Papers!$G$2:$G$201=$B$1)*(Papers!$I$2:$I$201=3),0),0)),"")</f>
        <v>Syed Muntasin  Fayaz (Khwaja Yunus Ali University); F M Javed Mehedi Shamrat (Khwaja Yunus Ali University)*; Md.Abu  Raihan ( 	Khwaja Yunus Ali University); MD. Asraf  Ali (Khwaja Yunus Ali University)</v>
      </c>
      <c r="D15" s="125"/>
      <c r="E15" s="86" t="str">
        <f t="array" ref="E15">IFERROR(INDEX(Papers!$E$2:$E$201,MATCH(1,INDEX((Papers!$G$2:$G$201=$B$1)*(Papers!$I$2:$I$201=3),0),0)),"")</f>
        <v>muntasinfayaz@gmail.com; shamrat.cse@kyau.edu.bd; raihan.cse@kyau.edu.bd; asrafali@kyau.edu.bd</v>
      </c>
      <c r="F15" s="67"/>
      <c r="G15" s="64"/>
      <c r="H15" s="64"/>
      <c r="I15" s="64"/>
      <c r="J15" s="64"/>
      <c r="K15" s="64"/>
      <c r="L15" s="64"/>
      <c r="M15" s="64"/>
      <c r="N15" s="64"/>
      <c r="O15" s="64"/>
      <c r="P15" s="64"/>
      <c r="Q15" s="64"/>
      <c r="R15" s="64"/>
      <c r="S15" s="64"/>
      <c r="T15" s="64"/>
      <c r="U15" s="64"/>
      <c r="V15" s="64"/>
      <c r="W15" s="64"/>
      <c r="X15" s="64"/>
      <c r="Y15" s="64"/>
      <c r="Z15" s="64"/>
    </row>
    <row r="16" ht="12.75" customHeight="1">
      <c r="A16" s="113">
        <f t="array" ref="A16">IFERROR(INDEX(Papers!$A$2:$A$201,MATCH(1,INDEX((Papers!$G$2:$G$201=$B$1)*(Papers!$I$2:$I$201=4),0),0)),"")</f>
        <v>215</v>
      </c>
      <c r="B16" s="113" t="str">
        <f t="array" ref="B16">IFERROR(INDEX(Papers!$C$2:$C$201,MATCH(1,INDEX((Papers!$G$2:$G$201=$B$1)*(Papers!$I$2:$I$201=4),0),0)),"")</f>
        <v>An Integrated Edge-AI Framework for Interpretable Respiratory Screening via Adaptive Cough Analysis in Low-Resource Settings</v>
      </c>
      <c r="C16" s="113" t="str">
        <f t="array" ref="C16">IFERROR(INDEX(Papers!$D$2:$D$201,MATCH(1,INDEX((Papers!$G$2:$G$201=$B$1)*(Papers!$I$2:$I$201=4),0),0)),"")</f>
        <v>Md. Mehedi Hassan (Bangladesh University of Engineering and Technology)*; Fariha Hasan Chowdhury (Bangladesh University of Engineering and Technology); Sumaiya Islam Shotota (Bangladesh University of Engineering and Technology); Nafisa  Akter (Bangladesh University of Engineering and Technology)</v>
      </c>
      <c r="D16" s="125"/>
      <c r="E16" s="86" t="str">
        <f t="array" ref="E16">IFERROR(INDEX(Papers!$E$2:$E$201,MATCH(1,INDEX((Papers!$G$2:$G$201=$B$1)*(Papers!$I$2:$I$201=4),0),0)),"")</f>
        <v>m.hassan.bme@gmail.com; fari.hasanchowdhury@gmail.com; shotota25@gmail.com; nafisaakterrichi@gmail.com</v>
      </c>
      <c r="F16" s="67"/>
      <c r="G16" s="64"/>
      <c r="H16" s="64"/>
      <c r="I16" s="64"/>
      <c r="J16" s="64"/>
      <c r="K16" s="64"/>
      <c r="L16" s="64"/>
      <c r="M16" s="64"/>
      <c r="N16" s="64"/>
      <c r="O16" s="64"/>
      <c r="P16" s="64"/>
      <c r="Q16" s="64"/>
      <c r="R16" s="64"/>
      <c r="S16" s="64"/>
      <c r="T16" s="64"/>
      <c r="U16" s="64"/>
      <c r="V16" s="64"/>
      <c r="W16" s="64"/>
      <c r="X16" s="64"/>
      <c r="Y16" s="64"/>
      <c r="Z16" s="64"/>
    </row>
    <row r="17" ht="12.75" customHeight="1">
      <c r="A17" s="113">
        <f t="array" ref="A17">IFERROR(INDEX(Papers!$A$2:$A$201,MATCH(1,INDEX((Papers!$G$2:$G$201=$B$1)*(Papers!$I$2:$I$201=5),0),0)),"")</f>
        <v>263</v>
      </c>
      <c r="B17" s="113" t="str">
        <f t="array" ref="B17">IFERROR(INDEX(Papers!$C$2:$C$201,MATCH(1,INDEX((Papers!$G$2:$G$201=$B$1)*(Papers!$I$2:$I$201=5),0),0)),"")</f>
        <v>Illusion of Sequence: Rigorously Validated Null Result for Recurrent and Attention-Based Memory-Forensic Ransomware Family Classification</v>
      </c>
      <c r="C17" s="113" t="str">
        <f t="array" ref="C17">IFERROR(INDEX(Papers!$D$2:$D$201,MATCH(1,INDEX((Papers!$G$2:$G$201=$B$1)*(Papers!$I$2:$I$201=5),0),0)),"")</f>
        <v>Abdul Hasib (University of Frontier Technology, Bangladesh.)*; Nasif Shahriar Alif (Central Queensland University, Australia.); Md. Rakibul Hasan Nishat (Rajshahi University of Engineering &amp; Technology.); Md. Shakil  Ahmed (Green University of Bangladesh.); Arjina Nasrin Khan (University of Frontier Technology, Bangladesh.)</v>
      </c>
      <c r="D17" s="125"/>
      <c r="E17" s="86" t="str">
        <f t="array" ref="E17">IFERROR(INDEX(Papers!$E$2:$E$201,MATCH(1,INDEX((Papers!$G$2:$G$201=$B$1)*(Papers!$I$2:$I$201=5),0),0)),"")</f>
        <v>sm.abdulhasib.bd@gmail.com; nasifcqu@gmail.com; rakibulnishat1864@gmail.com; shakil.ahmed.1218@gmail.com; arjinanasrinkhan@gmail.com</v>
      </c>
      <c r="F17" s="67"/>
      <c r="G17" s="64"/>
      <c r="H17" s="64"/>
      <c r="I17" s="64"/>
      <c r="J17" s="64"/>
      <c r="K17" s="64"/>
      <c r="L17" s="64"/>
      <c r="M17" s="64"/>
      <c r="N17" s="64"/>
      <c r="O17" s="64"/>
      <c r="P17" s="64"/>
      <c r="Q17" s="64"/>
      <c r="R17" s="64"/>
      <c r="S17" s="64"/>
      <c r="T17" s="64"/>
      <c r="U17" s="64"/>
      <c r="V17" s="64"/>
      <c r="W17" s="64"/>
      <c r="X17" s="64"/>
      <c r="Y17" s="64"/>
      <c r="Z17" s="64"/>
    </row>
    <row r="18" ht="12.75" customHeight="1">
      <c r="A18" s="113">
        <f t="array" ref="A18">IFERROR(INDEX(Papers!$A$2:$A$201,MATCH(1,INDEX((Papers!$G$2:$G$201=$B$1)*(Papers!$I$2:$I$201=6),0),0)),"")</f>
        <v>355</v>
      </c>
      <c r="B18" s="113" t="str">
        <f t="array" ref="B18">IFERROR(INDEX(Papers!$C$2:$C$201,MATCH(1,INDEX((Papers!$G$2:$G$201=$B$1)*(Papers!$I$2:$I$201=6),0),0)),"")</f>
        <v>Temporal Capability Cryptography: Cryptographic State Evolution for Forward Authorization in Distributed Systems</v>
      </c>
      <c r="C18" s="113" t="str">
        <f t="array" ref="C18">IFERROR(INDEX(Papers!$D$2:$D$201,MATCH(1,INDEX((Papers!$G$2:$G$201=$B$1)*(Papers!$I$2:$I$201=6),0),0)),"")</f>
        <v>Arunangshu Mojumder Raatul (University of Liberal Arts Bangladesh)*; Nafees Mansoor (University of Liberal Arts Bangladesh)</v>
      </c>
      <c r="D18" s="125"/>
      <c r="E18" s="86" t="str">
        <f t="array" ref="E18">IFERROR(INDEX(Papers!$E$2:$E$201,MATCH(1,INDEX((Papers!$G$2:$G$201=$B$1)*(Papers!$I$2:$I$201=6),0),0)),"")</f>
        <v>arunangshu.mojumder.cse@ulab.edu.bd; nafees.mansoor@ulab.edu.bd</v>
      </c>
      <c r="F18" s="67"/>
      <c r="G18" s="64"/>
      <c r="H18" s="64"/>
      <c r="I18" s="64"/>
      <c r="J18" s="64"/>
      <c r="K18" s="64"/>
      <c r="L18" s="64"/>
      <c r="M18" s="64"/>
      <c r="N18" s="64"/>
      <c r="O18" s="64"/>
      <c r="P18" s="64"/>
      <c r="Q18" s="64"/>
      <c r="R18" s="64"/>
      <c r="S18" s="64"/>
      <c r="T18" s="64"/>
      <c r="U18" s="64"/>
      <c r="V18" s="64"/>
      <c r="W18" s="64"/>
      <c r="X18" s="64"/>
      <c r="Y18" s="64"/>
      <c r="Z18" s="64"/>
    </row>
    <row r="19" ht="12.75" customHeight="1">
      <c r="A19" s="113">
        <f t="array" ref="A19">IFERROR(INDEX(Papers!$A$2:$A$201,MATCH(1,INDEX((Papers!$G$2:$G$201=$B$1)*(Papers!$I$2:$I$201=7),0),0)),"")</f>
        <v>279</v>
      </c>
      <c r="B19" s="113" t="str">
        <f t="array" ref="B19">IFERROR(INDEX(Papers!$C$2:$C$201,MATCH(1,INDEX((Papers!$G$2:$G$201=$B$1)*(Papers!$I$2:$I$201=7),0),0)),"")</f>
        <v>Programmable Remittances for Bangladesh A Permissioned Blockchain System for Diaspora-Controlled Household Payments</v>
      </c>
      <c r="C19" s="113" t="str">
        <f t="array" ref="C19">IFERROR(INDEX(Papers!$D$2:$D$201,MATCH(1,INDEX((Papers!$G$2:$G$201=$B$1)*(Papers!$I$2:$I$201=7),0),0)),"")</f>
        <v>Tanjim Mahmud Rakin (American International University-Bangladesh)*; MD Mushfiqur Rahman Mushfique (Islamic University of Technology)</v>
      </c>
      <c r="D19" s="125"/>
      <c r="E19" s="86" t="str">
        <f t="array" ref="E19">IFERROR(INDEX(Papers!$E$2:$E$201,MATCH(1,INDEX((Papers!$G$2:$G$201=$B$1)*(Papers!$I$2:$I$201=7),0),0)),"")</f>
        <v>tanjimmahmudwork@gmail.com; mushfique2@iut-dhaka.edu</v>
      </c>
      <c r="F19" s="67"/>
      <c r="G19" s="64"/>
      <c r="H19" s="64"/>
      <c r="I19" s="64"/>
      <c r="J19" s="64"/>
      <c r="K19" s="64"/>
      <c r="L19" s="64"/>
      <c r="M19" s="64"/>
      <c r="N19" s="64"/>
      <c r="O19" s="64"/>
      <c r="P19" s="64"/>
      <c r="Q19" s="64"/>
      <c r="R19" s="64"/>
      <c r="S19" s="64"/>
      <c r="T19" s="64"/>
      <c r="U19" s="64"/>
      <c r="V19" s="64"/>
      <c r="W19" s="64"/>
      <c r="X19" s="64"/>
      <c r="Y19" s="64"/>
      <c r="Z19" s="64"/>
    </row>
    <row r="20" ht="12.75" customHeight="1">
      <c r="A20" s="113">
        <f t="array" ref="A20">IFERROR(INDEX(Papers!$A$2:$A$201,MATCH(1,INDEX((Papers!$G$2:$G$201=$B$1)*(Papers!$I$2:$I$201=8),0),0)),"")</f>
        <v>280</v>
      </c>
      <c r="B20" s="113" t="str">
        <f t="array" ref="B20">IFERROR(INDEX(Papers!$C$2:$C$201,MATCH(1,INDEX((Papers!$G$2:$G$201=$B$1)*(Papers!$I$2:$I$201=8),0),0)),"")</f>
        <v>Architectural Differences among MFS, PSP, and PSO in Bangladesh: A Liability–Ledger Reference Model</v>
      </c>
      <c r="C20" s="113" t="str">
        <f t="array" ref="C20">IFERROR(INDEX(Papers!$D$2:$D$201,MATCH(1,INDEX((Papers!$G$2:$G$201=$B$1)*(Papers!$I$2:$I$201=8),0),0)),"")</f>
        <v>Tanjim Mahmud Rakin (American International University-Bangladesh)*</v>
      </c>
      <c r="D20" s="125"/>
      <c r="E20" s="86" t="str">
        <f t="array" ref="E20">IFERROR(INDEX(Papers!$E$2:$E$201,MATCH(1,INDEX((Papers!$G$2:$G$201=$B$1)*(Papers!$I$2:$I$201=8),0),0)),"")</f>
        <v>tanjimmahmudwork@gmail.com</v>
      </c>
      <c r="F20" s="67"/>
      <c r="G20" s="64"/>
      <c r="H20" s="64"/>
      <c r="I20" s="64"/>
      <c r="J20" s="64"/>
      <c r="K20" s="64"/>
      <c r="L20" s="64"/>
      <c r="M20" s="64"/>
      <c r="N20" s="64"/>
      <c r="O20" s="64"/>
      <c r="P20" s="64"/>
      <c r="Q20" s="64"/>
      <c r="R20" s="64"/>
      <c r="S20" s="64"/>
      <c r="T20" s="64"/>
      <c r="U20" s="64"/>
      <c r="V20" s="64"/>
      <c r="W20" s="64"/>
      <c r="X20" s="64"/>
      <c r="Y20" s="64"/>
      <c r="Z20" s="64"/>
    </row>
    <row r="21" ht="12.75" customHeight="1">
      <c r="A21" s="108"/>
      <c r="B21" s="64"/>
      <c r="C21" s="64"/>
      <c r="E21" s="64"/>
      <c r="F21" s="63"/>
      <c r="G21" s="64"/>
      <c r="H21" s="64"/>
      <c r="I21" s="64"/>
      <c r="J21" s="64"/>
      <c r="K21" s="64"/>
      <c r="L21" s="64"/>
      <c r="M21" s="64"/>
      <c r="N21" s="64"/>
      <c r="O21" s="64"/>
      <c r="P21" s="64"/>
      <c r="Q21" s="64"/>
      <c r="R21" s="64"/>
      <c r="S21" s="64"/>
      <c r="T21" s="64"/>
      <c r="U21" s="64"/>
      <c r="V21" s="64"/>
      <c r="W21" s="64"/>
      <c r="X21" s="64"/>
      <c r="Y21" s="64"/>
      <c r="Z21" s="64"/>
    </row>
    <row r="22" ht="12.75" customHeight="1">
      <c r="A22" s="108"/>
      <c r="B22" s="64"/>
      <c r="C22" s="64"/>
      <c r="D22" s="64"/>
      <c r="E22" s="64"/>
      <c r="F22" s="63"/>
      <c r="G22" s="63"/>
      <c r="H22" s="64"/>
      <c r="I22" s="64"/>
      <c r="J22" s="64"/>
      <c r="K22" s="64"/>
      <c r="L22" s="64"/>
      <c r="M22" s="64"/>
      <c r="N22" s="64"/>
      <c r="O22" s="64"/>
      <c r="P22" s="64"/>
      <c r="Q22" s="64"/>
      <c r="R22" s="64"/>
      <c r="S22" s="64"/>
      <c r="T22" s="64"/>
      <c r="U22" s="64"/>
      <c r="V22" s="64"/>
      <c r="W22" s="64"/>
      <c r="X22" s="64"/>
      <c r="Y22" s="64"/>
      <c r="Z22" s="64"/>
    </row>
    <row r="23" ht="12.75" customHeight="1">
      <c r="A23" s="108"/>
      <c r="B23" s="64"/>
      <c r="C23" s="64"/>
      <c r="D23" s="64"/>
      <c r="E23" s="64"/>
      <c r="F23" s="63"/>
      <c r="G23" s="63"/>
      <c r="H23" s="64"/>
      <c r="I23" s="64"/>
      <c r="J23" s="64"/>
      <c r="K23" s="64"/>
      <c r="L23" s="64"/>
      <c r="M23" s="64"/>
      <c r="N23" s="64"/>
      <c r="O23" s="64"/>
      <c r="P23" s="64"/>
      <c r="Q23" s="64"/>
      <c r="R23" s="64"/>
      <c r="S23" s="64"/>
      <c r="T23" s="64"/>
      <c r="U23" s="64"/>
      <c r="V23" s="64"/>
      <c r="W23" s="64"/>
      <c r="X23" s="64"/>
      <c r="Y23" s="64"/>
      <c r="Z23" s="64"/>
    </row>
    <row r="24" ht="12.75" customHeight="1">
      <c r="A24" s="108"/>
      <c r="B24" s="64"/>
      <c r="C24" s="64"/>
      <c r="D24" s="64"/>
      <c r="E24" s="64"/>
      <c r="F24" s="63"/>
      <c r="G24" s="63"/>
      <c r="H24" s="64"/>
      <c r="I24" s="64"/>
      <c r="J24" s="64"/>
      <c r="K24" s="64"/>
      <c r="L24" s="64"/>
      <c r="M24" s="64"/>
      <c r="N24" s="64"/>
      <c r="O24" s="64"/>
      <c r="P24" s="64"/>
      <c r="Q24" s="64"/>
      <c r="R24" s="64"/>
      <c r="S24" s="64"/>
      <c r="T24" s="64"/>
      <c r="U24" s="64"/>
      <c r="V24" s="64"/>
      <c r="W24" s="64"/>
      <c r="X24" s="64"/>
      <c r="Y24" s="64"/>
      <c r="Z24" s="64"/>
    </row>
    <row r="25" ht="12.75" customHeight="1">
      <c r="A25" s="108"/>
      <c r="B25" s="64"/>
      <c r="C25" s="64"/>
      <c r="D25" s="64"/>
      <c r="E25" s="64"/>
      <c r="F25" s="63"/>
      <c r="G25" s="63"/>
      <c r="H25" s="64"/>
      <c r="I25" s="64"/>
      <c r="J25" s="64"/>
      <c r="K25" s="64"/>
      <c r="L25" s="64"/>
      <c r="M25" s="64"/>
      <c r="N25" s="64"/>
      <c r="O25" s="64"/>
      <c r="P25" s="64"/>
      <c r="Q25" s="64"/>
      <c r="R25" s="64"/>
      <c r="S25" s="64"/>
      <c r="T25" s="64"/>
      <c r="U25" s="64"/>
      <c r="V25" s="64"/>
      <c r="W25" s="64"/>
      <c r="X25" s="64"/>
      <c r="Y25" s="64"/>
      <c r="Z25" s="64"/>
    </row>
    <row r="26" ht="12.75" customHeight="1">
      <c r="A26" s="108"/>
      <c r="B26" s="64"/>
      <c r="C26" s="64"/>
      <c r="D26" s="64"/>
      <c r="E26" s="64"/>
      <c r="F26" s="63"/>
      <c r="G26" s="63"/>
      <c r="H26" s="64"/>
      <c r="I26" s="64"/>
      <c r="J26" s="64"/>
      <c r="K26" s="64"/>
      <c r="L26" s="64"/>
      <c r="M26" s="64"/>
      <c r="N26" s="64"/>
      <c r="O26" s="64"/>
      <c r="P26" s="64"/>
      <c r="Q26" s="64"/>
      <c r="R26" s="64"/>
      <c r="S26" s="64"/>
      <c r="T26" s="64"/>
      <c r="U26" s="64"/>
      <c r="V26" s="64"/>
      <c r="W26" s="64"/>
      <c r="X26" s="64"/>
      <c r="Y26" s="64"/>
      <c r="Z26" s="64"/>
    </row>
    <row r="27" ht="12.75" customHeight="1">
      <c r="A27" s="108"/>
      <c r="B27" s="64"/>
      <c r="C27" s="64"/>
      <c r="D27" s="64"/>
      <c r="E27" s="64"/>
      <c r="F27" s="63"/>
      <c r="G27" s="63"/>
      <c r="H27" s="64"/>
      <c r="I27" s="64"/>
      <c r="J27" s="64"/>
      <c r="K27" s="64"/>
      <c r="L27" s="64"/>
      <c r="M27" s="64"/>
      <c r="N27" s="64"/>
      <c r="O27" s="64"/>
      <c r="P27" s="64"/>
      <c r="Q27" s="64"/>
      <c r="R27" s="64"/>
      <c r="S27" s="64"/>
      <c r="T27" s="64"/>
      <c r="U27" s="64"/>
      <c r="V27" s="64"/>
      <c r="W27" s="64"/>
      <c r="X27" s="64"/>
      <c r="Y27" s="64"/>
      <c r="Z27" s="64"/>
    </row>
    <row r="28" ht="12.75" customHeight="1">
      <c r="A28" s="108"/>
      <c r="B28" s="64"/>
      <c r="C28" s="64"/>
      <c r="D28" s="64"/>
      <c r="E28" s="64"/>
      <c r="F28" s="63"/>
      <c r="G28" s="63"/>
      <c r="H28" s="64"/>
      <c r="I28" s="64"/>
      <c r="J28" s="64"/>
      <c r="K28" s="64"/>
      <c r="L28" s="64"/>
      <c r="M28" s="64"/>
      <c r="N28" s="64"/>
      <c r="O28" s="64"/>
      <c r="P28" s="64"/>
      <c r="Q28" s="64"/>
      <c r="R28" s="64"/>
      <c r="S28" s="64"/>
      <c r="T28" s="64"/>
      <c r="U28" s="64"/>
      <c r="V28" s="64"/>
      <c r="W28" s="64"/>
      <c r="X28" s="64"/>
      <c r="Y28" s="64"/>
      <c r="Z28" s="64"/>
    </row>
    <row r="29" ht="12.75" customHeight="1">
      <c r="A29" s="108"/>
      <c r="B29" s="64"/>
      <c r="C29" s="64"/>
      <c r="D29" s="64"/>
      <c r="E29" s="64"/>
      <c r="F29" s="63"/>
      <c r="G29" s="63"/>
      <c r="H29" s="64"/>
      <c r="I29" s="64"/>
      <c r="J29" s="64"/>
      <c r="K29" s="64"/>
      <c r="L29" s="64"/>
      <c r="M29" s="64"/>
      <c r="N29" s="64"/>
      <c r="O29" s="64"/>
      <c r="P29" s="64"/>
      <c r="Q29" s="64"/>
      <c r="R29" s="64"/>
      <c r="S29" s="64"/>
      <c r="T29" s="64"/>
      <c r="U29" s="64"/>
      <c r="V29" s="64"/>
      <c r="W29" s="64"/>
      <c r="X29" s="64"/>
      <c r="Y29" s="64"/>
      <c r="Z29" s="64"/>
    </row>
    <row r="30" ht="12.75" customHeight="1">
      <c r="A30" s="108"/>
      <c r="B30" s="64"/>
      <c r="C30" s="64"/>
      <c r="D30" s="64"/>
      <c r="E30" s="64"/>
      <c r="F30" s="63"/>
      <c r="G30" s="63"/>
      <c r="H30" s="64"/>
      <c r="I30" s="64"/>
      <c r="J30" s="64"/>
      <c r="K30" s="64"/>
      <c r="L30" s="64"/>
      <c r="M30" s="64"/>
      <c r="N30" s="64"/>
      <c r="O30" s="64"/>
      <c r="P30" s="64"/>
      <c r="Q30" s="64"/>
      <c r="R30" s="64"/>
      <c r="S30" s="64"/>
      <c r="T30" s="64"/>
      <c r="U30" s="64"/>
      <c r="V30" s="64"/>
      <c r="W30" s="64"/>
      <c r="X30" s="64"/>
      <c r="Y30" s="64"/>
      <c r="Z30" s="64"/>
    </row>
    <row r="31" ht="12.75" customHeight="1">
      <c r="A31" s="108"/>
      <c r="B31" s="64"/>
      <c r="C31" s="64"/>
      <c r="D31" s="64"/>
      <c r="E31" s="64"/>
      <c r="F31" s="63"/>
      <c r="G31" s="63"/>
      <c r="H31" s="64"/>
      <c r="I31" s="64"/>
      <c r="J31" s="64"/>
      <c r="K31" s="64"/>
      <c r="L31" s="64"/>
      <c r="M31" s="64"/>
      <c r="N31" s="64"/>
      <c r="O31" s="64"/>
      <c r="P31" s="64"/>
      <c r="Q31" s="64"/>
      <c r="R31" s="64"/>
      <c r="S31" s="64"/>
      <c r="T31" s="64"/>
      <c r="U31" s="64"/>
      <c r="V31" s="64"/>
      <c r="W31" s="64"/>
      <c r="X31" s="64"/>
      <c r="Y31" s="64"/>
      <c r="Z31" s="64"/>
    </row>
    <row r="32" ht="12.75" customHeight="1">
      <c r="A32" s="108"/>
      <c r="B32" s="64"/>
      <c r="C32" s="64"/>
      <c r="D32" s="64"/>
      <c r="E32" s="64"/>
      <c r="F32" s="63"/>
      <c r="G32" s="63"/>
      <c r="H32" s="64"/>
      <c r="I32" s="64"/>
      <c r="J32" s="64"/>
      <c r="K32" s="64"/>
      <c r="L32" s="64"/>
      <c r="M32" s="64"/>
      <c r="N32" s="64"/>
      <c r="O32" s="64"/>
      <c r="P32" s="64"/>
      <c r="Q32" s="64"/>
      <c r="R32" s="64"/>
      <c r="S32" s="64"/>
      <c r="T32" s="64"/>
      <c r="U32" s="64"/>
      <c r="V32" s="64"/>
      <c r="W32" s="64"/>
      <c r="X32" s="64"/>
      <c r="Y32" s="64"/>
      <c r="Z32" s="64"/>
    </row>
    <row r="33" ht="12.75" customHeight="1">
      <c r="A33" s="108"/>
      <c r="B33" s="64"/>
      <c r="C33" s="64"/>
      <c r="D33" s="64"/>
      <c r="E33" s="64"/>
      <c r="F33" s="63"/>
      <c r="G33" s="63"/>
      <c r="H33" s="64"/>
      <c r="I33" s="64"/>
      <c r="J33" s="64"/>
      <c r="K33" s="64"/>
      <c r="L33" s="64"/>
      <c r="M33" s="64"/>
      <c r="N33" s="64"/>
      <c r="O33" s="64"/>
      <c r="P33" s="64"/>
      <c r="Q33" s="64"/>
      <c r="R33" s="64"/>
      <c r="S33" s="64"/>
      <c r="T33" s="64"/>
      <c r="U33" s="64"/>
      <c r="V33" s="64"/>
      <c r="W33" s="64"/>
      <c r="X33" s="64"/>
      <c r="Y33" s="64"/>
      <c r="Z33" s="64"/>
    </row>
    <row r="34" ht="12.75" customHeight="1">
      <c r="A34" s="108"/>
      <c r="B34" s="64"/>
      <c r="C34" s="64"/>
      <c r="D34" s="64"/>
      <c r="E34" s="64"/>
      <c r="F34" s="63"/>
      <c r="G34" s="63"/>
      <c r="H34" s="64"/>
      <c r="I34" s="64"/>
      <c r="J34" s="64"/>
      <c r="K34" s="64"/>
      <c r="L34" s="64"/>
      <c r="M34" s="64"/>
      <c r="N34" s="64"/>
      <c r="O34" s="64"/>
      <c r="P34" s="64"/>
      <c r="Q34" s="64"/>
      <c r="R34" s="64"/>
      <c r="S34" s="64"/>
      <c r="T34" s="64"/>
      <c r="U34" s="64"/>
      <c r="V34" s="64"/>
      <c r="W34" s="64"/>
      <c r="X34" s="64"/>
      <c r="Y34" s="64"/>
      <c r="Z34" s="64"/>
    </row>
    <row r="35" ht="12.75" customHeight="1">
      <c r="A35" s="108"/>
      <c r="B35" s="64"/>
      <c r="C35" s="64"/>
      <c r="D35" s="64"/>
      <c r="E35" s="64"/>
      <c r="F35" s="63"/>
      <c r="G35" s="63"/>
      <c r="H35" s="64"/>
      <c r="I35" s="64"/>
      <c r="J35" s="64"/>
      <c r="K35" s="64"/>
      <c r="L35" s="64"/>
      <c r="M35" s="64"/>
      <c r="N35" s="64"/>
      <c r="O35" s="64"/>
      <c r="P35" s="64"/>
      <c r="Q35" s="64"/>
      <c r="R35" s="64"/>
      <c r="S35" s="64"/>
      <c r="T35" s="64"/>
      <c r="U35" s="64"/>
      <c r="V35" s="64"/>
      <c r="W35" s="64"/>
      <c r="X35" s="64"/>
      <c r="Y35" s="64"/>
      <c r="Z35" s="64"/>
    </row>
    <row r="36" ht="12.75" customHeight="1">
      <c r="A36" s="108"/>
      <c r="B36" s="64"/>
      <c r="C36" s="64"/>
      <c r="D36" s="64"/>
      <c r="E36" s="64"/>
      <c r="F36" s="63"/>
      <c r="G36" s="63"/>
      <c r="H36" s="64"/>
      <c r="I36" s="64"/>
      <c r="J36" s="64"/>
      <c r="K36" s="64"/>
      <c r="L36" s="64"/>
      <c r="M36" s="64"/>
      <c r="N36" s="64"/>
      <c r="O36" s="64"/>
      <c r="P36" s="64"/>
      <c r="Q36" s="64"/>
      <c r="R36" s="64"/>
      <c r="S36" s="64"/>
      <c r="T36" s="64"/>
      <c r="U36" s="64"/>
      <c r="V36" s="64"/>
      <c r="W36" s="64"/>
      <c r="X36" s="64"/>
      <c r="Y36" s="64"/>
      <c r="Z36" s="64"/>
    </row>
    <row r="37" ht="12.75" customHeight="1">
      <c r="A37" s="108"/>
      <c r="B37" s="64"/>
      <c r="C37" s="64"/>
      <c r="D37" s="64"/>
      <c r="E37" s="64"/>
      <c r="F37" s="63"/>
      <c r="G37" s="63"/>
      <c r="H37" s="64"/>
      <c r="I37" s="64"/>
      <c r="J37" s="64"/>
      <c r="K37" s="64"/>
      <c r="L37" s="64"/>
      <c r="M37" s="64"/>
      <c r="N37" s="64"/>
      <c r="O37" s="64"/>
      <c r="P37" s="64"/>
      <c r="Q37" s="64"/>
      <c r="R37" s="64"/>
      <c r="S37" s="64"/>
      <c r="T37" s="64"/>
      <c r="U37" s="64"/>
      <c r="V37" s="64"/>
      <c r="W37" s="64"/>
      <c r="X37" s="64"/>
      <c r="Y37" s="64"/>
      <c r="Z37" s="64"/>
    </row>
    <row r="38" ht="12.75" customHeight="1">
      <c r="A38" s="108"/>
      <c r="B38" s="64"/>
      <c r="C38" s="64"/>
      <c r="D38" s="64"/>
      <c r="E38" s="64"/>
      <c r="F38" s="63"/>
      <c r="G38" s="63"/>
      <c r="H38" s="64"/>
      <c r="I38" s="64"/>
      <c r="J38" s="64"/>
      <c r="K38" s="64"/>
      <c r="L38" s="64"/>
      <c r="M38" s="64"/>
      <c r="N38" s="64"/>
      <c r="O38" s="64"/>
      <c r="P38" s="64"/>
      <c r="Q38" s="64"/>
      <c r="R38" s="64"/>
      <c r="S38" s="64"/>
      <c r="T38" s="64"/>
      <c r="U38" s="64"/>
      <c r="V38" s="64"/>
      <c r="W38" s="64"/>
      <c r="X38" s="64"/>
      <c r="Y38" s="64"/>
      <c r="Z38" s="64"/>
    </row>
    <row r="39" ht="12.75" customHeight="1">
      <c r="A39" s="108"/>
      <c r="B39" s="64"/>
      <c r="C39" s="64"/>
      <c r="D39" s="64"/>
      <c r="E39" s="64"/>
      <c r="F39" s="63"/>
      <c r="G39" s="63"/>
      <c r="H39" s="64"/>
      <c r="I39" s="64"/>
      <c r="J39" s="64"/>
      <c r="K39" s="64"/>
      <c r="L39" s="64"/>
      <c r="M39" s="64"/>
      <c r="N39" s="64"/>
      <c r="O39" s="64"/>
      <c r="P39" s="64"/>
      <c r="Q39" s="64"/>
      <c r="R39" s="64"/>
      <c r="S39" s="64"/>
      <c r="T39" s="64"/>
      <c r="U39" s="64"/>
      <c r="V39" s="64"/>
      <c r="W39" s="64"/>
      <c r="X39" s="64"/>
      <c r="Y39" s="64"/>
      <c r="Z39" s="64"/>
    </row>
    <row r="40" ht="12.75" customHeight="1">
      <c r="A40" s="108"/>
      <c r="B40" s="64"/>
      <c r="C40" s="64"/>
      <c r="D40" s="64"/>
      <c r="E40" s="64"/>
      <c r="F40" s="63"/>
      <c r="G40" s="63"/>
      <c r="H40" s="64"/>
      <c r="I40" s="64"/>
      <c r="J40" s="64"/>
      <c r="K40" s="64"/>
      <c r="L40" s="64"/>
      <c r="M40" s="64"/>
      <c r="N40" s="64"/>
      <c r="O40" s="64"/>
      <c r="P40" s="64"/>
      <c r="Q40" s="64"/>
      <c r="R40" s="64"/>
      <c r="S40" s="64"/>
      <c r="T40" s="64"/>
      <c r="U40" s="64"/>
      <c r="V40" s="64"/>
      <c r="W40" s="64"/>
      <c r="X40" s="64"/>
      <c r="Y40" s="64"/>
      <c r="Z40" s="64"/>
    </row>
    <row r="41" ht="12.75" customHeight="1">
      <c r="A41" s="108"/>
      <c r="B41" s="64"/>
      <c r="C41" s="64"/>
      <c r="D41" s="64"/>
      <c r="E41" s="64"/>
      <c r="F41" s="63"/>
      <c r="G41" s="63"/>
      <c r="H41" s="64"/>
      <c r="I41" s="64"/>
      <c r="J41" s="64"/>
      <c r="K41" s="64"/>
      <c r="L41" s="64"/>
      <c r="M41" s="64"/>
      <c r="N41" s="64"/>
      <c r="O41" s="64"/>
      <c r="P41" s="64"/>
      <c r="Q41" s="64"/>
      <c r="R41" s="64"/>
      <c r="S41" s="64"/>
      <c r="T41" s="64"/>
      <c r="U41" s="64"/>
      <c r="V41" s="64"/>
      <c r="W41" s="64"/>
      <c r="X41" s="64"/>
      <c r="Y41" s="64"/>
      <c r="Z41" s="64"/>
    </row>
    <row r="42" ht="12.75" customHeight="1">
      <c r="A42" s="108"/>
      <c r="B42" s="64"/>
      <c r="C42" s="64"/>
      <c r="D42" s="64"/>
      <c r="E42" s="64"/>
      <c r="F42" s="63"/>
      <c r="G42" s="63"/>
      <c r="H42" s="64"/>
      <c r="I42" s="64"/>
      <c r="J42" s="64"/>
      <c r="K42" s="64"/>
      <c r="L42" s="64"/>
      <c r="M42" s="64"/>
      <c r="N42" s="64"/>
      <c r="O42" s="64"/>
      <c r="P42" s="64"/>
      <c r="Q42" s="64"/>
      <c r="R42" s="64"/>
      <c r="S42" s="64"/>
      <c r="T42" s="64"/>
      <c r="U42" s="64"/>
      <c r="V42" s="64"/>
      <c r="W42" s="64"/>
      <c r="X42" s="64"/>
      <c r="Y42" s="64"/>
      <c r="Z42" s="64"/>
    </row>
    <row r="43" ht="12.75" customHeight="1">
      <c r="A43" s="108"/>
      <c r="B43" s="64"/>
      <c r="C43" s="64"/>
      <c r="D43" s="64"/>
      <c r="E43" s="64"/>
      <c r="F43" s="63"/>
      <c r="G43" s="63"/>
      <c r="H43" s="64"/>
      <c r="I43" s="64"/>
      <c r="J43" s="64"/>
      <c r="K43" s="64"/>
      <c r="L43" s="64"/>
      <c r="M43" s="64"/>
      <c r="N43" s="64"/>
      <c r="O43" s="64"/>
      <c r="P43" s="64"/>
      <c r="Q43" s="64"/>
      <c r="R43" s="64"/>
      <c r="S43" s="64"/>
      <c r="T43" s="64"/>
      <c r="U43" s="64"/>
      <c r="V43" s="64"/>
      <c r="W43" s="64"/>
      <c r="X43" s="64"/>
      <c r="Y43" s="64"/>
      <c r="Z43" s="64"/>
    </row>
    <row r="44" ht="12.75" customHeight="1">
      <c r="A44" s="108"/>
      <c r="B44" s="64"/>
      <c r="C44" s="64"/>
      <c r="D44" s="64"/>
      <c r="E44" s="64"/>
      <c r="F44" s="63"/>
      <c r="G44" s="63"/>
      <c r="H44" s="64"/>
      <c r="I44" s="64"/>
      <c r="J44" s="64"/>
      <c r="K44" s="64"/>
      <c r="L44" s="64"/>
      <c r="M44" s="64"/>
      <c r="N44" s="64"/>
      <c r="O44" s="64"/>
      <c r="P44" s="64"/>
      <c r="Q44" s="64"/>
      <c r="R44" s="64"/>
      <c r="S44" s="64"/>
      <c r="T44" s="64"/>
      <c r="U44" s="64"/>
      <c r="V44" s="64"/>
      <c r="W44" s="64"/>
      <c r="X44" s="64"/>
      <c r="Y44" s="64"/>
      <c r="Z44" s="64"/>
    </row>
    <row r="45" ht="12.75" customHeight="1">
      <c r="A45" s="108"/>
      <c r="B45" s="64"/>
      <c r="C45" s="64"/>
      <c r="D45" s="64"/>
      <c r="E45" s="64"/>
      <c r="F45" s="63"/>
      <c r="G45" s="63"/>
      <c r="H45" s="64"/>
      <c r="I45" s="64"/>
      <c r="J45" s="64"/>
      <c r="K45" s="64"/>
      <c r="L45" s="64"/>
      <c r="M45" s="64"/>
      <c r="N45" s="64"/>
      <c r="O45" s="64"/>
      <c r="P45" s="64"/>
      <c r="Q45" s="64"/>
      <c r="R45" s="64"/>
      <c r="S45" s="64"/>
      <c r="T45" s="64"/>
      <c r="U45" s="64"/>
      <c r="V45" s="64"/>
      <c r="W45" s="64"/>
      <c r="X45" s="64"/>
      <c r="Y45" s="64"/>
      <c r="Z45" s="64"/>
    </row>
    <row r="46" ht="12.75" customHeight="1">
      <c r="A46" s="108"/>
      <c r="B46" s="64"/>
      <c r="C46" s="64"/>
      <c r="D46" s="64"/>
      <c r="E46" s="64"/>
      <c r="F46" s="63"/>
      <c r="G46" s="63"/>
      <c r="H46" s="64"/>
      <c r="I46" s="64"/>
      <c r="J46" s="64"/>
      <c r="K46" s="64"/>
      <c r="L46" s="64"/>
      <c r="M46" s="64"/>
      <c r="N46" s="64"/>
      <c r="O46" s="64"/>
      <c r="P46" s="64"/>
      <c r="Q46" s="64"/>
      <c r="R46" s="64"/>
      <c r="S46" s="64"/>
      <c r="T46" s="64"/>
      <c r="U46" s="64"/>
      <c r="V46" s="64"/>
      <c r="W46" s="64"/>
      <c r="X46" s="64"/>
      <c r="Y46" s="64"/>
      <c r="Z46" s="64"/>
    </row>
    <row r="47" ht="12.75" customHeight="1">
      <c r="A47" s="108"/>
      <c r="B47" s="64"/>
      <c r="C47" s="64"/>
      <c r="D47" s="64"/>
      <c r="E47" s="64"/>
      <c r="F47" s="63"/>
      <c r="G47" s="63"/>
      <c r="H47" s="64"/>
      <c r="I47" s="64"/>
      <c r="J47" s="64"/>
      <c r="K47" s="64"/>
      <c r="L47" s="64"/>
      <c r="M47" s="64"/>
      <c r="N47" s="64"/>
      <c r="O47" s="64"/>
      <c r="P47" s="64"/>
      <c r="Q47" s="64"/>
      <c r="R47" s="64"/>
      <c r="S47" s="64"/>
      <c r="T47" s="64"/>
      <c r="U47" s="64"/>
      <c r="V47" s="64"/>
      <c r="W47" s="64"/>
      <c r="X47" s="64"/>
      <c r="Y47" s="64"/>
      <c r="Z47" s="64"/>
    </row>
    <row r="48" ht="12.75" customHeight="1">
      <c r="A48" s="108"/>
      <c r="B48" s="64"/>
      <c r="C48" s="64"/>
      <c r="D48" s="64"/>
      <c r="E48" s="64"/>
      <c r="F48" s="63"/>
      <c r="G48" s="63"/>
      <c r="H48" s="64"/>
      <c r="I48" s="64"/>
      <c r="J48" s="64"/>
      <c r="K48" s="64"/>
      <c r="L48" s="64"/>
      <c r="M48" s="64"/>
      <c r="N48" s="64"/>
      <c r="O48" s="64"/>
      <c r="P48" s="64"/>
      <c r="Q48" s="64"/>
      <c r="R48" s="64"/>
      <c r="S48" s="64"/>
      <c r="T48" s="64"/>
      <c r="U48" s="64"/>
      <c r="V48" s="64"/>
      <c r="W48" s="64"/>
      <c r="X48" s="64"/>
      <c r="Y48" s="64"/>
      <c r="Z48" s="64"/>
    </row>
    <row r="49" ht="12.75" customHeight="1">
      <c r="A49" s="108"/>
      <c r="B49" s="64"/>
      <c r="C49" s="64"/>
      <c r="D49" s="64"/>
      <c r="E49" s="64"/>
      <c r="F49" s="63"/>
      <c r="G49" s="63"/>
      <c r="H49" s="64"/>
      <c r="I49" s="64"/>
      <c r="J49" s="64"/>
      <c r="K49" s="64"/>
      <c r="L49" s="64"/>
      <c r="M49" s="64"/>
      <c r="N49" s="64"/>
      <c r="O49" s="64"/>
      <c r="P49" s="64"/>
      <c r="Q49" s="64"/>
      <c r="R49" s="64"/>
      <c r="S49" s="64"/>
      <c r="T49" s="64"/>
      <c r="U49" s="64"/>
      <c r="V49" s="64"/>
      <c r="W49" s="64"/>
      <c r="X49" s="64"/>
      <c r="Y49" s="64"/>
      <c r="Z49" s="64"/>
    </row>
    <row r="50" ht="12.75" customHeight="1">
      <c r="A50" s="108"/>
      <c r="B50" s="64"/>
      <c r="C50" s="64"/>
      <c r="D50" s="64"/>
      <c r="E50" s="64"/>
      <c r="F50" s="63"/>
      <c r="G50" s="63"/>
      <c r="H50" s="64"/>
      <c r="I50" s="64"/>
      <c r="J50" s="64"/>
      <c r="K50" s="64"/>
      <c r="L50" s="64"/>
      <c r="M50" s="64"/>
      <c r="N50" s="64"/>
      <c r="O50" s="64"/>
      <c r="P50" s="64"/>
      <c r="Q50" s="64"/>
      <c r="R50" s="64"/>
      <c r="S50" s="64"/>
      <c r="T50" s="64"/>
      <c r="U50" s="64"/>
      <c r="V50" s="64"/>
      <c r="W50" s="64"/>
      <c r="X50" s="64"/>
      <c r="Y50" s="64"/>
      <c r="Z50" s="64"/>
    </row>
    <row r="51" ht="12.75" customHeight="1">
      <c r="A51" s="108"/>
      <c r="B51" s="64"/>
      <c r="C51" s="64"/>
      <c r="D51" s="64"/>
      <c r="E51" s="64"/>
      <c r="F51" s="63"/>
      <c r="G51" s="63"/>
      <c r="H51" s="64"/>
      <c r="I51" s="64"/>
      <c r="J51" s="64"/>
      <c r="K51" s="64"/>
      <c r="L51" s="64"/>
      <c r="M51" s="64"/>
      <c r="N51" s="64"/>
      <c r="O51" s="64"/>
      <c r="P51" s="64"/>
      <c r="Q51" s="64"/>
      <c r="R51" s="64"/>
      <c r="S51" s="64"/>
      <c r="T51" s="64"/>
      <c r="U51" s="64"/>
      <c r="V51" s="64"/>
      <c r="W51" s="64"/>
      <c r="X51" s="64"/>
      <c r="Y51" s="64"/>
      <c r="Z51" s="64"/>
    </row>
    <row r="52" ht="12.75" customHeight="1">
      <c r="A52" s="108"/>
      <c r="B52" s="64"/>
      <c r="C52" s="64"/>
      <c r="D52" s="64"/>
      <c r="E52" s="64"/>
      <c r="F52" s="63"/>
      <c r="G52" s="63"/>
      <c r="H52" s="64"/>
      <c r="I52" s="64"/>
      <c r="J52" s="64"/>
      <c r="K52" s="64"/>
      <c r="L52" s="64"/>
      <c r="M52" s="64"/>
      <c r="N52" s="64"/>
      <c r="O52" s="64"/>
      <c r="P52" s="64"/>
      <c r="Q52" s="64"/>
      <c r="R52" s="64"/>
      <c r="S52" s="64"/>
      <c r="T52" s="64"/>
      <c r="U52" s="64"/>
      <c r="V52" s="64"/>
      <c r="W52" s="64"/>
      <c r="X52" s="64"/>
      <c r="Y52" s="64"/>
      <c r="Z52" s="64"/>
    </row>
    <row r="53" ht="12.75" customHeight="1">
      <c r="A53" s="108"/>
      <c r="B53" s="64"/>
      <c r="C53" s="64"/>
      <c r="D53" s="64"/>
      <c r="E53" s="64"/>
      <c r="F53" s="63"/>
      <c r="G53" s="63"/>
      <c r="H53" s="64"/>
      <c r="I53" s="64"/>
      <c r="J53" s="64"/>
      <c r="K53" s="64"/>
      <c r="L53" s="64"/>
      <c r="M53" s="64"/>
      <c r="N53" s="64"/>
      <c r="O53" s="64"/>
      <c r="P53" s="64"/>
      <c r="Q53" s="64"/>
      <c r="R53" s="64"/>
      <c r="S53" s="64"/>
      <c r="T53" s="64"/>
      <c r="U53" s="64"/>
      <c r="V53" s="64"/>
      <c r="W53" s="64"/>
      <c r="X53" s="64"/>
      <c r="Y53" s="64"/>
      <c r="Z53" s="64"/>
    </row>
    <row r="54" ht="12.75" customHeight="1">
      <c r="A54" s="108"/>
      <c r="B54" s="64"/>
      <c r="C54" s="64"/>
      <c r="D54" s="64"/>
      <c r="E54" s="64"/>
      <c r="F54" s="63"/>
      <c r="G54" s="63"/>
      <c r="H54" s="64"/>
      <c r="I54" s="64"/>
      <c r="J54" s="64"/>
      <c r="K54" s="64"/>
      <c r="L54" s="64"/>
      <c r="M54" s="64"/>
      <c r="N54" s="64"/>
      <c r="O54" s="64"/>
      <c r="P54" s="64"/>
      <c r="Q54" s="64"/>
      <c r="R54" s="64"/>
      <c r="S54" s="64"/>
      <c r="T54" s="64"/>
      <c r="U54" s="64"/>
      <c r="V54" s="64"/>
      <c r="W54" s="64"/>
      <c r="X54" s="64"/>
      <c r="Y54" s="64"/>
      <c r="Z54" s="64"/>
    </row>
    <row r="55" ht="12.75" customHeight="1">
      <c r="A55" s="108"/>
      <c r="B55" s="64"/>
      <c r="C55" s="64"/>
      <c r="D55" s="64"/>
      <c r="E55" s="64"/>
      <c r="F55" s="63"/>
      <c r="G55" s="63"/>
      <c r="H55" s="64"/>
      <c r="I55" s="64"/>
      <c r="J55" s="64"/>
      <c r="K55" s="64"/>
      <c r="L55" s="64"/>
      <c r="M55" s="64"/>
      <c r="N55" s="64"/>
      <c r="O55" s="64"/>
      <c r="P55" s="64"/>
      <c r="Q55" s="64"/>
      <c r="R55" s="64"/>
      <c r="S55" s="64"/>
      <c r="T55" s="64"/>
      <c r="U55" s="64"/>
      <c r="V55" s="64"/>
      <c r="W55" s="64"/>
      <c r="X55" s="64"/>
      <c r="Y55" s="64"/>
      <c r="Z55" s="64"/>
    </row>
    <row r="56" ht="12.75" customHeight="1">
      <c r="A56" s="108"/>
      <c r="B56" s="64"/>
      <c r="C56" s="64"/>
      <c r="D56" s="64"/>
      <c r="E56" s="64"/>
      <c r="F56" s="63"/>
      <c r="G56" s="63"/>
      <c r="H56" s="64"/>
      <c r="I56" s="64"/>
      <c r="J56" s="64"/>
      <c r="K56" s="64"/>
      <c r="L56" s="64"/>
      <c r="M56" s="64"/>
      <c r="N56" s="64"/>
      <c r="O56" s="64"/>
      <c r="P56" s="64"/>
      <c r="Q56" s="64"/>
      <c r="R56" s="64"/>
      <c r="S56" s="64"/>
      <c r="T56" s="64"/>
      <c r="U56" s="64"/>
      <c r="V56" s="64"/>
      <c r="W56" s="64"/>
      <c r="X56" s="64"/>
      <c r="Y56" s="64"/>
      <c r="Z56" s="64"/>
    </row>
    <row r="57" ht="12.75" customHeight="1">
      <c r="A57" s="108"/>
      <c r="B57" s="64"/>
      <c r="C57" s="64"/>
      <c r="D57" s="64"/>
      <c r="E57" s="64"/>
      <c r="F57" s="63"/>
      <c r="G57" s="63"/>
      <c r="H57" s="64"/>
      <c r="I57" s="64"/>
      <c r="J57" s="64"/>
      <c r="K57" s="64"/>
      <c r="L57" s="64"/>
      <c r="M57" s="64"/>
      <c r="N57" s="64"/>
      <c r="O57" s="64"/>
      <c r="P57" s="64"/>
      <c r="Q57" s="64"/>
      <c r="R57" s="64"/>
      <c r="S57" s="64"/>
      <c r="T57" s="64"/>
      <c r="U57" s="64"/>
      <c r="V57" s="64"/>
      <c r="W57" s="64"/>
      <c r="X57" s="64"/>
      <c r="Y57" s="64"/>
      <c r="Z57" s="64"/>
    </row>
    <row r="58" ht="12.75" customHeight="1">
      <c r="A58" s="108"/>
      <c r="B58" s="64"/>
      <c r="C58" s="64"/>
      <c r="D58" s="64"/>
      <c r="E58" s="64"/>
      <c r="F58" s="63"/>
      <c r="G58" s="63"/>
      <c r="H58" s="64"/>
      <c r="I58" s="64"/>
      <c r="J58" s="64"/>
      <c r="K58" s="64"/>
      <c r="L58" s="64"/>
      <c r="M58" s="64"/>
      <c r="N58" s="64"/>
      <c r="O58" s="64"/>
      <c r="P58" s="64"/>
      <c r="Q58" s="64"/>
      <c r="R58" s="64"/>
      <c r="S58" s="64"/>
      <c r="T58" s="64"/>
      <c r="U58" s="64"/>
      <c r="V58" s="64"/>
      <c r="W58" s="64"/>
      <c r="X58" s="64"/>
      <c r="Y58" s="64"/>
      <c r="Z58" s="64"/>
    </row>
    <row r="59" ht="12.75" customHeight="1">
      <c r="A59" s="108"/>
      <c r="B59" s="64"/>
      <c r="C59" s="64"/>
      <c r="D59" s="64"/>
      <c r="E59" s="64"/>
      <c r="F59" s="63"/>
      <c r="G59" s="63"/>
      <c r="H59" s="64"/>
      <c r="I59" s="64"/>
      <c r="J59" s="64"/>
      <c r="K59" s="64"/>
      <c r="L59" s="64"/>
      <c r="M59" s="64"/>
      <c r="N59" s="64"/>
      <c r="O59" s="64"/>
      <c r="P59" s="64"/>
      <c r="Q59" s="64"/>
      <c r="R59" s="64"/>
      <c r="S59" s="64"/>
      <c r="T59" s="64"/>
      <c r="U59" s="64"/>
      <c r="V59" s="64"/>
      <c r="W59" s="64"/>
      <c r="X59" s="64"/>
      <c r="Y59" s="64"/>
      <c r="Z59" s="64"/>
    </row>
    <row r="60" ht="12.75" customHeight="1">
      <c r="A60" s="108"/>
      <c r="B60" s="64"/>
      <c r="C60" s="64"/>
      <c r="D60" s="64"/>
      <c r="E60" s="64"/>
      <c r="F60" s="63"/>
      <c r="G60" s="63"/>
      <c r="H60" s="64"/>
      <c r="I60" s="64"/>
      <c r="J60" s="64"/>
      <c r="K60" s="64"/>
      <c r="L60" s="64"/>
      <c r="M60" s="64"/>
      <c r="N60" s="64"/>
      <c r="O60" s="64"/>
      <c r="P60" s="64"/>
      <c r="Q60" s="64"/>
      <c r="R60" s="64"/>
      <c r="S60" s="64"/>
      <c r="T60" s="64"/>
      <c r="U60" s="64"/>
      <c r="V60" s="64"/>
      <c r="W60" s="64"/>
      <c r="X60" s="64"/>
      <c r="Y60" s="64"/>
      <c r="Z60" s="64"/>
    </row>
    <row r="61" ht="12.75" customHeight="1">
      <c r="A61" s="108"/>
      <c r="B61" s="64"/>
      <c r="C61" s="64"/>
      <c r="D61" s="64"/>
      <c r="E61" s="64"/>
      <c r="F61" s="63"/>
      <c r="G61" s="63"/>
      <c r="H61" s="64"/>
      <c r="I61" s="64"/>
      <c r="J61" s="64"/>
      <c r="K61" s="64"/>
      <c r="L61" s="64"/>
      <c r="M61" s="64"/>
      <c r="N61" s="64"/>
      <c r="O61" s="64"/>
      <c r="P61" s="64"/>
      <c r="Q61" s="64"/>
      <c r="R61" s="64"/>
      <c r="S61" s="64"/>
      <c r="T61" s="64"/>
      <c r="U61" s="64"/>
      <c r="V61" s="64"/>
      <c r="W61" s="64"/>
      <c r="X61" s="64"/>
      <c r="Y61" s="64"/>
      <c r="Z61" s="64"/>
    </row>
    <row r="62" ht="12.75" customHeight="1">
      <c r="A62" s="108"/>
      <c r="B62" s="64"/>
      <c r="C62" s="64"/>
      <c r="D62" s="64"/>
      <c r="E62" s="64"/>
      <c r="F62" s="63"/>
      <c r="G62" s="63"/>
      <c r="H62" s="64"/>
      <c r="I62" s="64"/>
      <c r="J62" s="64"/>
      <c r="K62" s="64"/>
      <c r="L62" s="64"/>
      <c r="M62" s="64"/>
      <c r="N62" s="64"/>
      <c r="O62" s="64"/>
      <c r="P62" s="64"/>
      <c r="Q62" s="64"/>
      <c r="R62" s="64"/>
      <c r="S62" s="64"/>
      <c r="T62" s="64"/>
      <c r="U62" s="64"/>
      <c r="V62" s="64"/>
      <c r="W62" s="64"/>
      <c r="X62" s="64"/>
      <c r="Y62" s="64"/>
      <c r="Z62" s="64"/>
    </row>
    <row r="63" ht="12.75" customHeight="1">
      <c r="A63" s="108"/>
      <c r="B63" s="64"/>
      <c r="C63" s="64"/>
      <c r="D63" s="64"/>
      <c r="E63" s="64"/>
      <c r="F63" s="63"/>
      <c r="G63" s="63"/>
      <c r="H63" s="64"/>
      <c r="I63" s="64"/>
      <c r="J63" s="64"/>
      <c r="K63" s="64"/>
      <c r="L63" s="64"/>
      <c r="M63" s="64"/>
      <c r="N63" s="64"/>
      <c r="O63" s="64"/>
      <c r="P63" s="64"/>
      <c r="Q63" s="64"/>
      <c r="R63" s="64"/>
      <c r="S63" s="64"/>
      <c r="T63" s="64"/>
      <c r="U63" s="64"/>
      <c r="V63" s="64"/>
      <c r="W63" s="64"/>
      <c r="X63" s="64"/>
      <c r="Y63" s="64"/>
      <c r="Z63" s="64"/>
    </row>
    <row r="64" ht="12.75" customHeight="1">
      <c r="A64" s="108"/>
      <c r="B64" s="64"/>
      <c r="C64" s="64"/>
      <c r="D64" s="64"/>
      <c r="E64" s="64"/>
      <c r="F64" s="63"/>
      <c r="G64" s="63"/>
      <c r="H64" s="64"/>
      <c r="I64" s="64"/>
      <c r="J64" s="64"/>
      <c r="K64" s="64"/>
      <c r="L64" s="64"/>
      <c r="M64" s="64"/>
      <c r="N64" s="64"/>
      <c r="O64" s="64"/>
      <c r="P64" s="64"/>
      <c r="Q64" s="64"/>
      <c r="R64" s="64"/>
      <c r="S64" s="64"/>
      <c r="T64" s="64"/>
      <c r="U64" s="64"/>
      <c r="V64" s="64"/>
      <c r="W64" s="64"/>
      <c r="X64" s="64"/>
      <c r="Y64" s="64"/>
      <c r="Z64" s="64"/>
    </row>
    <row r="65" ht="12.75" customHeight="1">
      <c r="A65" s="108"/>
      <c r="B65" s="64"/>
      <c r="C65" s="64"/>
      <c r="D65" s="64"/>
      <c r="E65" s="64"/>
      <c r="F65" s="63"/>
      <c r="G65" s="63"/>
      <c r="H65" s="64"/>
      <c r="I65" s="64"/>
      <c r="J65" s="64"/>
      <c r="K65" s="64"/>
      <c r="L65" s="64"/>
      <c r="M65" s="64"/>
      <c r="N65" s="64"/>
      <c r="O65" s="64"/>
      <c r="P65" s="64"/>
      <c r="Q65" s="64"/>
      <c r="R65" s="64"/>
      <c r="S65" s="64"/>
      <c r="T65" s="64"/>
      <c r="U65" s="64"/>
      <c r="V65" s="64"/>
      <c r="W65" s="64"/>
      <c r="X65" s="64"/>
      <c r="Y65" s="64"/>
      <c r="Z65" s="64"/>
    </row>
    <row r="66" ht="12.75" customHeight="1">
      <c r="A66" s="108"/>
      <c r="B66" s="64"/>
      <c r="C66" s="64"/>
      <c r="D66" s="64"/>
      <c r="E66" s="64"/>
      <c r="F66" s="63"/>
      <c r="G66" s="63"/>
      <c r="H66" s="64"/>
      <c r="I66" s="64"/>
      <c r="J66" s="64"/>
      <c r="K66" s="64"/>
      <c r="L66" s="64"/>
      <c r="M66" s="64"/>
      <c r="N66" s="64"/>
      <c r="O66" s="64"/>
      <c r="P66" s="64"/>
      <c r="Q66" s="64"/>
      <c r="R66" s="64"/>
      <c r="S66" s="64"/>
      <c r="T66" s="64"/>
      <c r="U66" s="64"/>
      <c r="V66" s="64"/>
      <c r="W66" s="64"/>
      <c r="X66" s="64"/>
      <c r="Y66" s="64"/>
      <c r="Z66" s="64"/>
    </row>
    <row r="67" ht="12.75" customHeight="1">
      <c r="A67" s="108"/>
      <c r="B67" s="64"/>
      <c r="C67" s="64"/>
      <c r="D67" s="64"/>
      <c r="E67" s="64"/>
      <c r="F67" s="63"/>
      <c r="G67" s="63"/>
      <c r="H67" s="64"/>
      <c r="I67" s="64"/>
      <c r="J67" s="64"/>
      <c r="K67" s="64"/>
      <c r="L67" s="64"/>
      <c r="M67" s="64"/>
      <c r="N67" s="64"/>
      <c r="O67" s="64"/>
      <c r="P67" s="64"/>
      <c r="Q67" s="64"/>
      <c r="R67" s="64"/>
      <c r="S67" s="64"/>
      <c r="T67" s="64"/>
      <c r="U67" s="64"/>
      <c r="V67" s="64"/>
      <c r="W67" s="64"/>
      <c r="X67" s="64"/>
      <c r="Y67" s="64"/>
      <c r="Z67" s="64"/>
    </row>
    <row r="68" ht="12.75" customHeight="1">
      <c r="A68" s="108"/>
      <c r="B68" s="64"/>
      <c r="C68" s="64"/>
      <c r="D68" s="64"/>
      <c r="E68" s="64"/>
      <c r="F68" s="63"/>
      <c r="G68" s="63"/>
      <c r="H68" s="64"/>
      <c r="I68" s="64"/>
      <c r="J68" s="64"/>
      <c r="K68" s="64"/>
      <c r="L68" s="64"/>
      <c r="M68" s="64"/>
      <c r="N68" s="64"/>
      <c r="O68" s="64"/>
      <c r="P68" s="64"/>
      <c r="Q68" s="64"/>
      <c r="R68" s="64"/>
      <c r="S68" s="64"/>
      <c r="T68" s="64"/>
      <c r="U68" s="64"/>
      <c r="V68" s="64"/>
      <c r="W68" s="64"/>
      <c r="X68" s="64"/>
      <c r="Y68" s="64"/>
      <c r="Z68" s="64"/>
    </row>
    <row r="69" ht="12.75" customHeight="1">
      <c r="A69" s="108"/>
      <c r="B69" s="64"/>
      <c r="C69" s="64"/>
      <c r="D69" s="64"/>
      <c r="E69" s="64"/>
      <c r="F69" s="63"/>
      <c r="G69" s="63"/>
      <c r="H69" s="64"/>
      <c r="I69" s="64"/>
      <c r="J69" s="64"/>
      <c r="K69" s="64"/>
      <c r="L69" s="64"/>
      <c r="M69" s="64"/>
      <c r="N69" s="64"/>
      <c r="O69" s="64"/>
      <c r="P69" s="64"/>
      <c r="Q69" s="64"/>
      <c r="R69" s="64"/>
      <c r="S69" s="64"/>
      <c r="T69" s="64"/>
      <c r="U69" s="64"/>
      <c r="V69" s="64"/>
      <c r="W69" s="64"/>
      <c r="X69" s="64"/>
      <c r="Y69" s="64"/>
      <c r="Z69" s="64"/>
    </row>
    <row r="70" ht="12.75" customHeight="1">
      <c r="A70" s="108"/>
      <c r="B70" s="64"/>
      <c r="C70" s="64"/>
      <c r="D70" s="64"/>
      <c r="E70" s="64"/>
      <c r="F70" s="63"/>
      <c r="G70" s="63"/>
      <c r="H70" s="64"/>
      <c r="I70" s="64"/>
      <c r="J70" s="64"/>
      <c r="K70" s="64"/>
      <c r="L70" s="64"/>
      <c r="M70" s="64"/>
      <c r="N70" s="64"/>
      <c r="O70" s="64"/>
      <c r="P70" s="64"/>
      <c r="Q70" s="64"/>
      <c r="R70" s="64"/>
      <c r="S70" s="64"/>
      <c r="T70" s="64"/>
      <c r="U70" s="64"/>
      <c r="V70" s="64"/>
      <c r="W70" s="64"/>
      <c r="X70" s="64"/>
      <c r="Y70" s="64"/>
      <c r="Z70" s="64"/>
    </row>
    <row r="71" ht="12.75" customHeight="1">
      <c r="A71" s="108"/>
      <c r="B71" s="64"/>
      <c r="C71" s="64"/>
      <c r="D71" s="64"/>
      <c r="E71" s="64"/>
      <c r="F71" s="63"/>
      <c r="G71" s="63"/>
      <c r="H71" s="64"/>
      <c r="I71" s="64"/>
      <c r="J71" s="64"/>
      <c r="K71" s="64"/>
      <c r="L71" s="64"/>
      <c r="M71" s="64"/>
      <c r="N71" s="64"/>
      <c r="O71" s="64"/>
      <c r="P71" s="64"/>
      <c r="Q71" s="64"/>
      <c r="R71" s="64"/>
      <c r="S71" s="64"/>
      <c r="T71" s="64"/>
      <c r="U71" s="64"/>
      <c r="V71" s="64"/>
      <c r="W71" s="64"/>
      <c r="X71" s="64"/>
      <c r="Y71" s="64"/>
      <c r="Z71" s="64"/>
    </row>
    <row r="72" ht="12.75" customHeight="1">
      <c r="A72" s="108"/>
      <c r="B72" s="64"/>
      <c r="C72" s="64"/>
      <c r="D72" s="64"/>
      <c r="E72" s="64"/>
      <c r="F72" s="63"/>
      <c r="G72" s="63"/>
      <c r="H72" s="64"/>
      <c r="I72" s="64"/>
      <c r="J72" s="64"/>
      <c r="K72" s="64"/>
      <c r="L72" s="64"/>
      <c r="M72" s="64"/>
      <c r="N72" s="64"/>
      <c r="O72" s="64"/>
      <c r="P72" s="64"/>
      <c r="Q72" s="64"/>
      <c r="R72" s="64"/>
      <c r="S72" s="64"/>
      <c r="T72" s="64"/>
      <c r="U72" s="64"/>
      <c r="V72" s="64"/>
      <c r="W72" s="64"/>
      <c r="X72" s="64"/>
      <c r="Y72" s="64"/>
      <c r="Z72" s="64"/>
    </row>
    <row r="73" ht="12.75" customHeight="1">
      <c r="A73" s="108"/>
      <c r="B73" s="64"/>
      <c r="C73" s="64"/>
      <c r="D73" s="64"/>
      <c r="E73" s="64"/>
      <c r="F73" s="63"/>
      <c r="G73" s="63"/>
      <c r="H73" s="64"/>
      <c r="I73" s="64"/>
      <c r="J73" s="64"/>
      <c r="K73" s="64"/>
      <c r="L73" s="64"/>
      <c r="M73" s="64"/>
      <c r="N73" s="64"/>
      <c r="O73" s="64"/>
      <c r="P73" s="64"/>
      <c r="Q73" s="64"/>
      <c r="R73" s="64"/>
      <c r="S73" s="64"/>
      <c r="T73" s="64"/>
      <c r="U73" s="64"/>
      <c r="V73" s="64"/>
      <c r="W73" s="64"/>
      <c r="X73" s="64"/>
      <c r="Y73" s="64"/>
      <c r="Z73" s="64"/>
    </row>
    <row r="74" ht="12.75" customHeight="1">
      <c r="A74" s="108"/>
      <c r="B74" s="64"/>
      <c r="C74" s="64"/>
      <c r="D74" s="64"/>
      <c r="E74" s="64"/>
      <c r="F74" s="63"/>
      <c r="G74" s="63"/>
      <c r="H74" s="64"/>
      <c r="I74" s="64"/>
      <c r="J74" s="64"/>
      <c r="K74" s="64"/>
      <c r="L74" s="64"/>
      <c r="M74" s="64"/>
      <c r="N74" s="64"/>
      <c r="O74" s="64"/>
      <c r="P74" s="64"/>
      <c r="Q74" s="64"/>
      <c r="R74" s="64"/>
      <c r="S74" s="64"/>
      <c r="T74" s="64"/>
      <c r="U74" s="64"/>
      <c r="V74" s="64"/>
      <c r="W74" s="64"/>
      <c r="X74" s="64"/>
      <c r="Y74" s="64"/>
      <c r="Z74" s="64"/>
    </row>
    <row r="75" ht="12.75" customHeight="1">
      <c r="A75" s="108"/>
      <c r="B75" s="64"/>
      <c r="C75" s="64"/>
      <c r="D75" s="64"/>
      <c r="E75" s="64"/>
      <c r="F75" s="63"/>
      <c r="G75" s="63"/>
      <c r="H75" s="64"/>
      <c r="I75" s="64"/>
      <c r="J75" s="64"/>
      <c r="K75" s="64"/>
      <c r="L75" s="64"/>
      <c r="M75" s="64"/>
      <c r="N75" s="64"/>
      <c r="O75" s="64"/>
      <c r="P75" s="64"/>
      <c r="Q75" s="64"/>
      <c r="R75" s="64"/>
      <c r="S75" s="64"/>
      <c r="T75" s="64"/>
      <c r="U75" s="64"/>
      <c r="V75" s="64"/>
      <c r="W75" s="64"/>
      <c r="X75" s="64"/>
      <c r="Y75" s="64"/>
      <c r="Z75" s="64"/>
    </row>
    <row r="76" ht="12.75" customHeight="1">
      <c r="A76" s="108"/>
      <c r="B76" s="64"/>
      <c r="C76" s="64"/>
      <c r="D76" s="64"/>
      <c r="E76" s="64"/>
      <c r="F76" s="63"/>
      <c r="G76" s="63"/>
      <c r="H76" s="64"/>
      <c r="I76" s="64"/>
      <c r="J76" s="64"/>
      <c r="K76" s="64"/>
      <c r="L76" s="64"/>
      <c r="M76" s="64"/>
      <c r="N76" s="64"/>
      <c r="O76" s="64"/>
      <c r="P76" s="64"/>
      <c r="Q76" s="64"/>
      <c r="R76" s="64"/>
      <c r="S76" s="64"/>
      <c r="T76" s="64"/>
      <c r="U76" s="64"/>
      <c r="V76" s="64"/>
      <c r="W76" s="64"/>
      <c r="X76" s="64"/>
      <c r="Y76" s="64"/>
      <c r="Z76" s="64"/>
    </row>
    <row r="77" ht="12.75" customHeight="1">
      <c r="A77" s="108"/>
      <c r="B77" s="64"/>
      <c r="C77" s="64"/>
      <c r="D77" s="64"/>
      <c r="E77" s="64"/>
      <c r="F77" s="63"/>
      <c r="G77" s="63"/>
      <c r="H77" s="64"/>
      <c r="I77" s="64"/>
      <c r="J77" s="64"/>
      <c r="K77" s="64"/>
      <c r="L77" s="64"/>
      <c r="M77" s="64"/>
      <c r="N77" s="64"/>
      <c r="O77" s="64"/>
      <c r="P77" s="64"/>
      <c r="Q77" s="64"/>
      <c r="R77" s="64"/>
      <c r="S77" s="64"/>
      <c r="T77" s="64"/>
      <c r="U77" s="64"/>
      <c r="V77" s="64"/>
      <c r="W77" s="64"/>
      <c r="X77" s="64"/>
      <c r="Y77" s="64"/>
      <c r="Z77" s="64"/>
    </row>
    <row r="78" ht="12.75" customHeight="1">
      <c r="A78" s="108"/>
      <c r="B78" s="64"/>
      <c r="C78" s="64"/>
      <c r="D78" s="64"/>
      <c r="E78" s="64"/>
      <c r="F78" s="63"/>
      <c r="G78" s="63"/>
      <c r="H78" s="64"/>
      <c r="I78" s="64"/>
      <c r="J78" s="64"/>
      <c r="K78" s="64"/>
      <c r="L78" s="64"/>
      <c r="M78" s="64"/>
      <c r="N78" s="64"/>
      <c r="O78" s="64"/>
      <c r="P78" s="64"/>
      <c r="Q78" s="64"/>
      <c r="R78" s="64"/>
      <c r="S78" s="64"/>
      <c r="T78" s="64"/>
      <c r="U78" s="64"/>
      <c r="V78" s="64"/>
      <c r="W78" s="64"/>
      <c r="X78" s="64"/>
      <c r="Y78" s="64"/>
      <c r="Z78" s="64"/>
    </row>
    <row r="79" ht="12.75" customHeight="1">
      <c r="A79" s="108"/>
      <c r="B79" s="64"/>
      <c r="C79" s="64"/>
      <c r="D79" s="64"/>
      <c r="E79" s="64"/>
      <c r="F79" s="63"/>
      <c r="G79" s="63"/>
      <c r="H79" s="64"/>
      <c r="I79" s="64"/>
      <c r="J79" s="64"/>
      <c r="K79" s="64"/>
      <c r="L79" s="64"/>
      <c r="M79" s="64"/>
      <c r="N79" s="64"/>
      <c r="O79" s="64"/>
      <c r="P79" s="64"/>
      <c r="Q79" s="64"/>
      <c r="R79" s="64"/>
      <c r="S79" s="64"/>
      <c r="T79" s="64"/>
      <c r="U79" s="64"/>
      <c r="V79" s="64"/>
      <c r="W79" s="64"/>
      <c r="X79" s="64"/>
      <c r="Y79" s="64"/>
      <c r="Z79" s="64"/>
    </row>
    <row r="80" ht="12.75" customHeight="1">
      <c r="A80" s="108"/>
      <c r="B80" s="64"/>
      <c r="C80" s="64"/>
      <c r="D80" s="64"/>
      <c r="E80" s="64"/>
      <c r="F80" s="63"/>
      <c r="G80" s="63"/>
      <c r="H80" s="64"/>
      <c r="I80" s="64"/>
      <c r="J80" s="64"/>
      <c r="K80" s="64"/>
      <c r="L80" s="64"/>
      <c r="M80" s="64"/>
      <c r="N80" s="64"/>
      <c r="O80" s="64"/>
      <c r="P80" s="64"/>
      <c r="Q80" s="64"/>
      <c r="R80" s="64"/>
      <c r="S80" s="64"/>
      <c r="T80" s="64"/>
      <c r="U80" s="64"/>
      <c r="V80" s="64"/>
      <c r="W80" s="64"/>
      <c r="X80" s="64"/>
      <c r="Y80" s="64"/>
      <c r="Z80" s="64"/>
    </row>
    <row r="81" ht="12.75" customHeight="1">
      <c r="A81" s="108"/>
      <c r="B81" s="64"/>
      <c r="C81" s="64"/>
      <c r="D81" s="64"/>
      <c r="E81" s="64"/>
      <c r="F81" s="63"/>
      <c r="G81" s="63"/>
      <c r="H81" s="64"/>
      <c r="I81" s="64"/>
      <c r="J81" s="64"/>
      <c r="K81" s="64"/>
      <c r="L81" s="64"/>
      <c r="M81" s="64"/>
      <c r="N81" s="64"/>
      <c r="O81" s="64"/>
      <c r="P81" s="64"/>
      <c r="Q81" s="64"/>
      <c r="R81" s="64"/>
      <c r="S81" s="64"/>
      <c r="T81" s="64"/>
      <c r="U81" s="64"/>
      <c r="V81" s="64"/>
      <c r="W81" s="64"/>
      <c r="X81" s="64"/>
      <c r="Y81" s="64"/>
      <c r="Z81" s="64"/>
    </row>
    <row r="82" ht="12.75" customHeight="1">
      <c r="A82" s="108"/>
      <c r="B82" s="64"/>
      <c r="C82" s="64"/>
      <c r="D82" s="64"/>
      <c r="E82" s="64"/>
      <c r="F82" s="63"/>
      <c r="G82" s="63"/>
      <c r="H82" s="64"/>
      <c r="I82" s="64"/>
      <c r="J82" s="64"/>
      <c r="K82" s="64"/>
      <c r="L82" s="64"/>
      <c r="M82" s="64"/>
      <c r="N82" s="64"/>
      <c r="O82" s="64"/>
      <c r="P82" s="64"/>
      <c r="Q82" s="64"/>
      <c r="R82" s="64"/>
      <c r="S82" s="64"/>
      <c r="T82" s="64"/>
      <c r="U82" s="64"/>
      <c r="V82" s="64"/>
      <c r="W82" s="64"/>
      <c r="X82" s="64"/>
      <c r="Y82" s="64"/>
      <c r="Z82" s="64"/>
    </row>
    <row r="83" ht="12.75" customHeight="1">
      <c r="A83" s="108"/>
      <c r="B83" s="64"/>
      <c r="C83" s="64"/>
      <c r="D83" s="64"/>
      <c r="E83" s="64"/>
      <c r="F83" s="63"/>
      <c r="G83" s="63"/>
      <c r="H83" s="64"/>
      <c r="I83" s="64"/>
      <c r="J83" s="64"/>
      <c r="K83" s="64"/>
      <c r="L83" s="64"/>
      <c r="M83" s="64"/>
      <c r="N83" s="64"/>
      <c r="O83" s="64"/>
      <c r="P83" s="64"/>
      <c r="Q83" s="64"/>
      <c r="R83" s="64"/>
      <c r="S83" s="64"/>
      <c r="T83" s="64"/>
      <c r="U83" s="64"/>
      <c r="V83" s="64"/>
      <c r="W83" s="64"/>
      <c r="X83" s="64"/>
      <c r="Y83" s="64"/>
      <c r="Z83" s="64"/>
    </row>
    <row r="84" ht="12.75" customHeight="1">
      <c r="A84" s="108"/>
      <c r="B84" s="64"/>
      <c r="C84" s="64"/>
      <c r="D84" s="64"/>
      <c r="E84" s="64"/>
      <c r="F84" s="63"/>
      <c r="G84" s="63"/>
      <c r="H84" s="64"/>
      <c r="I84" s="64"/>
      <c r="J84" s="64"/>
      <c r="K84" s="64"/>
      <c r="L84" s="64"/>
      <c r="M84" s="64"/>
      <c r="N84" s="64"/>
      <c r="O84" s="64"/>
      <c r="P84" s="64"/>
      <c r="Q84" s="64"/>
      <c r="R84" s="64"/>
      <c r="S84" s="64"/>
      <c r="T84" s="64"/>
      <c r="U84" s="64"/>
      <c r="V84" s="64"/>
      <c r="W84" s="64"/>
      <c r="X84" s="64"/>
      <c r="Y84" s="64"/>
      <c r="Z84" s="64"/>
    </row>
    <row r="85" ht="12.75" customHeight="1">
      <c r="A85" s="108"/>
      <c r="B85" s="64"/>
      <c r="C85" s="64"/>
      <c r="D85" s="64"/>
      <c r="E85" s="64"/>
      <c r="F85" s="63"/>
      <c r="G85" s="63"/>
      <c r="H85" s="64"/>
      <c r="I85" s="64"/>
      <c r="J85" s="64"/>
      <c r="K85" s="64"/>
      <c r="L85" s="64"/>
      <c r="M85" s="64"/>
      <c r="N85" s="64"/>
      <c r="O85" s="64"/>
      <c r="P85" s="64"/>
      <c r="Q85" s="64"/>
      <c r="R85" s="64"/>
      <c r="S85" s="64"/>
      <c r="T85" s="64"/>
      <c r="U85" s="64"/>
      <c r="V85" s="64"/>
      <c r="W85" s="64"/>
      <c r="X85" s="64"/>
      <c r="Y85" s="64"/>
      <c r="Z85" s="64"/>
    </row>
    <row r="86" ht="12.75" customHeight="1">
      <c r="A86" s="108"/>
      <c r="B86" s="64"/>
      <c r="C86" s="64"/>
      <c r="D86" s="64"/>
      <c r="E86" s="64"/>
      <c r="F86" s="63"/>
      <c r="G86" s="63"/>
      <c r="H86" s="64"/>
      <c r="I86" s="64"/>
      <c r="J86" s="64"/>
      <c r="K86" s="64"/>
      <c r="L86" s="64"/>
      <c r="M86" s="64"/>
      <c r="N86" s="64"/>
      <c r="O86" s="64"/>
      <c r="P86" s="64"/>
      <c r="Q86" s="64"/>
      <c r="R86" s="64"/>
      <c r="S86" s="64"/>
      <c r="T86" s="64"/>
      <c r="U86" s="64"/>
      <c r="V86" s="64"/>
      <c r="W86" s="64"/>
      <c r="X86" s="64"/>
      <c r="Y86" s="64"/>
      <c r="Z86" s="64"/>
    </row>
    <row r="87" ht="12.75" customHeight="1">
      <c r="A87" s="108"/>
      <c r="B87" s="64"/>
      <c r="C87" s="64"/>
      <c r="D87" s="64"/>
      <c r="E87" s="64"/>
      <c r="F87" s="63"/>
      <c r="G87" s="63"/>
      <c r="H87" s="64"/>
      <c r="I87" s="64"/>
      <c r="J87" s="64"/>
      <c r="K87" s="64"/>
      <c r="L87" s="64"/>
      <c r="M87" s="64"/>
      <c r="N87" s="64"/>
      <c r="O87" s="64"/>
      <c r="P87" s="64"/>
      <c r="Q87" s="64"/>
      <c r="R87" s="64"/>
      <c r="S87" s="64"/>
      <c r="T87" s="64"/>
      <c r="U87" s="64"/>
      <c r="V87" s="64"/>
      <c r="W87" s="64"/>
      <c r="X87" s="64"/>
      <c r="Y87" s="64"/>
      <c r="Z87" s="64"/>
    </row>
    <row r="88" ht="12.75" customHeight="1">
      <c r="A88" s="108"/>
      <c r="B88" s="64"/>
      <c r="C88" s="64"/>
      <c r="D88" s="64"/>
      <c r="E88" s="64"/>
      <c r="F88" s="63"/>
      <c r="G88" s="63"/>
      <c r="H88" s="64"/>
      <c r="I88" s="64"/>
      <c r="J88" s="64"/>
      <c r="K88" s="64"/>
      <c r="L88" s="64"/>
      <c r="M88" s="64"/>
      <c r="N88" s="64"/>
      <c r="O88" s="64"/>
      <c r="P88" s="64"/>
      <c r="Q88" s="64"/>
      <c r="R88" s="64"/>
      <c r="S88" s="64"/>
      <c r="T88" s="64"/>
      <c r="U88" s="64"/>
      <c r="V88" s="64"/>
      <c r="W88" s="64"/>
      <c r="X88" s="64"/>
      <c r="Y88" s="64"/>
      <c r="Z88" s="64"/>
    </row>
    <row r="89" ht="12.75" customHeight="1">
      <c r="A89" s="108"/>
      <c r="B89" s="64"/>
      <c r="C89" s="64"/>
      <c r="D89" s="64"/>
      <c r="E89" s="64"/>
      <c r="F89" s="63"/>
      <c r="G89" s="63"/>
      <c r="H89" s="64"/>
      <c r="I89" s="64"/>
      <c r="J89" s="64"/>
      <c r="K89" s="64"/>
      <c r="L89" s="64"/>
      <c r="M89" s="64"/>
      <c r="N89" s="64"/>
      <c r="O89" s="64"/>
      <c r="P89" s="64"/>
      <c r="Q89" s="64"/>
      <c r="R89" s="64"/>
      <c r="S89" s="64"/>
      <c r="T89" s="64"/>
      <c r="U89" s="64"/>
      <c r="V89" s="64"/>
      <c r="W89" s="64"/>
      <c r="X89" s="64"/>
      <c r="Y89" s="64"/>
      <c r="Z89" s="64"/>
    </row>
    <row r="90" ht="12.75" customHeight="1">
      <c r="A90" s="108"/>
      <c r="B90" s="64"/>
      <c r="C90" s="64"/>
      <c r="D90" s="64"/>
      <c r="E90" s="64"/>
      <c r="F90" s="63"/>
      <c r="G90" s="63"/>
      <c r="H90" s="64"/>
      <c r="I90" s="64"/>
      <c r="J90" s="64"/>
      <c r="K90" s="64"/>
      <c r="L90" s="64"/>
      <c r="M90" s="64"/>
      <c r="N90" s="64"/>
      <c r="O90" s="64"/>
      <c r="P90" s="64"/>
      <c r="Q90" s="64"/>
      <c r="R90" s="64"/>
      <c r="S90" s="64"/>
      <c r="T90" s="64"/>
      <c r="U90" s="64"/>
      <c r="V90" s="64"/>
      <c r="W90" s="64"/>
      <c r="X90" s="64"/>
      <c r="Y90" s="64"/>
      <c r="Z90" s="64"/>
    </row>
    <row r="91" ht="12.75" customHeight="1">
      <c r="A91" s="108"/>
      <c r="B91" s="64"/>
      <c r="C91" s="64"/>
      <c r="D91" s="64"/>
      <c r="E91" s="64"/>
      <c r="F91" s="63"/>
      <c r="G91" s="63"/>
      <c r="H91" s="64"/>
      <c r="I91" s="64"/>
      <c r="J91" s="64"/>
      <c r="K91" s="64"/>
      <c r="L91" s="64"/>
      <c r="M91" s="64"/>
      <c r="N91" s="64"/>
      <c r="O91" s="64"/>
      <c r="P91" s="64"/>
      <c r="Q91" s="64"/>
      <c r="R91" s="64"/>
      <c r="S91" s="64"/>
      <c r="T91" s="64"/>
      <c r="U91" s="64"/>
      <c r="V91" s="64"/>
      <c r="W91" s="64"/>
      <c r="X91" s="64"/>
      <c r="Y91" s="64"/>
      <c r="Z91" s="64"/>
    </row>
    <row r="92" ht="12.75" customHeight="1">
      <c r="A92" s="108"/>
      <c r="B92" s="64"/>
      <c r="C92" s="64"/>
      <c r="D92" s="64"/>
      <c r="E92" s="64"/>
      <c r="F92" s="63"/>
      <c r="G92" s="63"/>
      <c r="H92" s="64"/>
      <c r="I92" s="64"/>
      <c r="J92" s="64"/>
      <c r="K92" s="64"/>
      <c r="L92" s="64"/>
      <c r="M92" s="64"/>
      <c r="N92" s="64"/>
      <c r="O92" s="64"/>
      <c r="P92" s="64"/>
      <c r="Q92" s="64"/>
      <c r="R92" s="64"/>
      <c r="S92" s="64"/>
      <c r="T92" s="64"/>
      <c r="U92" s="64"/>
      <c r="V92" s="64"/>
      <c r="W92" s="64"/>
      <c r="X92" s="64"/>
      <c r="Y92" s="64"/>
      <c r="Z92" s="64"/>
    </row>
    <row r="93" ht="12.75" customHeight="1">
      <c r="A93" s="108"/>
      <c r="B93" s="64"/>
      <c r="C93" s="64"/>
      <c r="D93" s="64"/>
      <c r="E93" s="64"/>
      <c r="F93" s="63"/>
      <c r="G93" s="63"/>
      <c r="H93" s="64"/>
      <c r="I93" s="64"/>
      <c r="J93" s="64"/>
      <c r="K93" s="64"/>
      <c r="L93" s="64"/>
      <c r="M93" s="64"/>
      <c r="N93" s="64"/>
      <c r="O93" s="64"/>
      <c r="P93" s="64"/>
      <c r="Q93" s="64"/>
      <c r="R93" s="64"/>
      <c r="S93" s="64"/>
      <c r="T93" s="64"/>
      <c r="U93" s="64"/>
      <c r="V93" s="64"/>
      <c r="W93" s="64"/>
      <c r="X93" s="64"/>
      <c r="Y93" s="64"/>
      <c r="Z93" s="64"/>
    </row>
    <row r="94" ht="12.75" customHeight="1">
      <c r="A94" s="108"/>
      <c r="B94" s="64"/>
      <c r="C94" s="64"/>
      <c r="D94" s="64"/>
      <c r="E94" s="64"/>
      <c r="F94" s="63"/>
      <c r="G94" s="63"/>
      <c r="H94" s="64"/>
      <c r="I94" s="64"/>
      <c r="J94" s="64"/>
      <c r="K94" s="64"/>
      <c r="L94" s="64"/>
      <c r="M94" s="64"/>
      <c r="N94" s="64"/>
      <c r="O94" s="64"/>
      <c r="P94" s="64"/>
      <c r="Q94" s="64"/>
      <c r="R94" s="64"/>
      <c r="S94" s="64"/>
      <c r="T94" s="64"/>
      <c r="U94" s="64"/>
      <c r="V94" s="64"/>
      <c r="W94" s="64"/>
      <c r="X94" s="64"/>
      <c r="Y94" s="64"/>
      <c r="Z94" s="64"/>
    </row>
    <row r="95" ht="12.75" customHeight="1">
      <c r="A95" s="108"/>
      <c r="B95" s="64"/>
      <c r="C95" s="64"/>
      <c r="D95" s="64"/>
      <c r="E95" s="64"/>
      <c r="F95" s="63"/>
      <c r="G95" s="63"/>
      <c r="H95" s="64"/>
      <c r="I95" s="64"/>
      <c r="J95" s="64"/>
      <c r="K95" s="64"/>
      <c r="L95" s="64"/>
      <c r="M95" s="64"/>
      <c r="N95" s="64"/>
      <c r="O95" s="64"/>
      <c r="P95" s="64"/>
      <c r="Q95" s="64"/>
      <c r="R95" s="64"/>
      <c r="S95" s="64"/>
      <c r="T95" s="64"/>
      <c r="U95" s="64"/>
      <c r="V95" s="64"/>
      <c r="W95" s="64"/>
      <c r="X95" s="64"/>
      <c r="Y95" s="64"/>
      <c r="Z95" s="64"/>
    </row>
    <row r="96" ht="12.75" customHeight="1">
      <c r="A96" s="108"/>
      <c r="B96" s="64"/>
      <c r="C96" s="64"/>
      <c r="D96" s="64"/>
      <c r="E96" s="64"/>
      <c r="F96" s="63"/>
      <c r="G96" s="63"/>
      <c r="H96" s="64"/>
      <c r="I96" s="64"/>
      <c r="J96" s="64"/>
      <c r="K96" s="64"/>
      <c r="L96" s="64"/>
      <c r="M96" s="64"/>
      <c r="N96" s="64"/>
      <c r="O96" s="64"/>
      <c r="P96" s="64"/>
      <c r="Q96" s="64"/>
      <c r="R96" s="64"/>
      <c r="S96" s="64"/>
      <c r="T96" s="64"/>
      <c r="U96" s="64"/>
      <c r="V96" s="64"/>
      <c r="W96" s="64"/>
      <c r="X96" s="64"/>
      <c r="Y96" s="64"/>
      <c r="Z96" s="64"/>
    </row>
    <row r="97" ht="12.75" customHeight="1">
      <c r="A97" s="108"/>
      <c r="B97" s="64"/>
      <c r="C97" s="64"/>
      <c r="D97" s="64"/>
      <c r="E97" s="64"/>
      <c r="F97" s="63"/>
      <c r="G97" s="63"/>
      <c r="H97" s="64"/>
      <c r="I97" s="64"/>
      <c r="J97" s="64"/>
      <c r="K97" s="64"/>
      <c r="L97" s="64"/>
      <c r="M97" s="64"/>
      <c r="N97" s="64"/>
      <c r="O97" s="64"/>
      <c r="P97" s="64"/>
      <c r="Q97" s="64"/>
      <c r="R97" s="64"/>
      <c r="S97" s="64"/>
      <c r="T97" s="64"/>
      <c r="U97" s="64"/>
      <c r="V97" s="64"/>
      <c r="W97" s="64"/>
      <c r="X97" s="64"/>
      <c r="Y97" s="64"/>
      <c r="Z97" s="64"/>
    </row>
    <row r="98" ht="12.75" customHeight="1">
      <c r="A98" s="108"/>
      <c r="B98" s="64"/>
      <c r="C98" s="64"/>
      <c r="D98" s="64"/>
      <c r="E98" s="64"/>
      <c r="F98" s="63"/>
      <c r="G98" s="63"/>
      <c r="H98" s="64"/>
      <c r="I98" s="64"/>
      <c r="J98" s="64"/>
      <c r="K98" s="64"/>
      <c r="L98" s="64"/>
      <c r="M98" s="64"/>
      <c r="N98" s="64"/>
      <c r="O98" s="64"/>
      <c r="P98" s="64"/>
      <c r="Q98" s="64"/>
      <c r="R98" s="64"/>
      <c r="S98" s="64"/>
      <c r="T98" s="64"/>
      <c r="U98" s="64"/>
      <c r="V98" s="64"/>
      <c r="W98" s="64"/>
      <c r="X98" s="64"/>
      <c r="Y98" s="64"/>
      <c r="Z98" s="64"/>
    </row>
    <row r="99" ht="12.75" customHeight="1">
      <c r="A99" s="108"/>
      <c r="B99" s="64"/>
      <c r="C99" s="64"/>
      <c r="D99" s="64"/>
      <c r="E99" s="64"/>
      <c r="F99" s="63"/>
      <c r="G99" s="63"/>
      <c r="H99" s="64"/>
      <c r="I99" s="64"/>
      <c r="J99" s="64"/>
      <c r="K99" s="64"/>
      <c r="L99" s="64"/>
      <c r="M99" s="64"/>
      <c r="N99" s="64"/>
      <c r="O99" s="64"/>
      <c r="P99" s="64"/>
      <c r="Q99" s="64"/>
      <c r="R99" s="64"/>
      <c r="S99" s="64"/>
      <c r="T99" s="64"/>
      <c r="U99" s="64"/>
      <c r="V99" s="64"/>
      <c r="W99" s="64"/>
      <c r="X99" s="64"/>
      <c r="Y99" s="64"/>
      <c r="Z99" s="64"/>
    </row>
    <row r="100" ht="12.75" customHeight="1">
      <c r="A100" s="108"/>
      <c r="B100" s="64"/>
      <c r="C100" s="64"/>
      <c r="D100" s="64"/>
      <c r="E100" s="64"/>
      <c r="F100" s="63"/>
      <c r="G100" s="63"/>
      <c r="H100" s="64"/>
      <c r="I100" s="64"/>
      <c r="J100" s="64"/>
      <c r="K100" s="64"/>
      <c r="L100" s="64"/>
      <c r="M100" s="64"/>
      <c r="N100" s="64"/>
      <c r="O100" s="64"/>
      <c r="P100" s="64"/>
      <c r="Q100" s="64"/>
      <c r="R100" s="64"/>
      <c r="S100" s="64"/>
      <c r="T100" s="64"/>
      <c r="U100" s="64"/>
      <c r="V100" s="64"/>
      <c r="W100" s="64"/>
      <c r="X100" s="64"/>
      <c r="Y100" s="64"/>
      <c r="Z100" s="64"/>
    </row>
    <row r="101" ht="12.75" customHeight="1">
      <c r="A101" s="108"/>
      <c r="B101" s="64"/>
      <c r="C101" s="64"/>
      <c r="D101" s="64"/>
      <c r="E101" s="64"/>
      <c r="F101" s="63"/>
      <c r="G101" s="63"/>
      <c r="H101" s="64"/>
      <c r="I101" s="64"/>
      <c r="J101" s="64"/>
      <c r="K101" s="64"/>
      <c r="L101" s="64"/>
      <c r="M101" s="64"/>
      <c r="N101" s="64"/>
      <c r="O101" s="64"/>
      <c r="P101" s="64"/>
      <c r="Q101" s="64"/>
      <c r="R101" s="64"/>
      <c r="S101" s="64"/>
      <c r="T101" s="64"/>
      <c r="U101" s="64"/>
      <c r="V101" s="64"/>
      <c r="W101" s="64"/>
      <c r="X101" s="64"/>
      <c r="Y101" s="64"/>
      <c r="Z101" s="64"/>
    </row>
    <row r="102" ht="12.75" customHeight="1">
      <c r="A102" s="108"/>
      <c r="B102" s="64"/>
      <c r="C102" s="64"/>
      <c r="D102" s="64"/>
      <c r="E102" s="64"/>
      <c r="F102" s="63"/>
      <c r="G102" s="63"/>
      <c r="H102" s="64"/>
      <c r="I102" s="64"/>
      <c r="J102" s="64"/>
      <c r="K102" s="64"/>
      <c r="L102" s="64"/>
      <c r="M102" s="64"/>
      <c r="N102" s="64"/>
      <c r="O102" s="64"/>
      <c r="P102" s="64"/>
      <c r="Q102" s="64"/>
      <c r="R102" s="64"/>
      <c r="S102" s="64"/>
      <c r="T102" s="64"/>
      <c r="U102" s="64"/>
      <c r="V102" s="64"/>
      <c r="W102" s="64"/>
      <c r="X102" s="64"/>
      <c r="Y102" s="64"/>
      <c r="Z102" s="64"/>
    </row>
    <row r="103" ht="12.75" customHeight="1">
      <c r="A103" s="108"/>
      <c r="B103" s="64"/>
      <c r="C103" s="64"/>
      <c r="D103" s="64"/>
      <c r="E103" s="64"/>
      <c r="F103" s="63"/>
      <c r="G103" s="63"/>
      <c r="H103" s="64"/>
      <c r="I103" s="64"/>
      <c r="J103" s="64"/>
      <c r="K103" s="64"/>
      <c r="L103" s="64"/>
      <c r="M103" s="64"/>
      <c r="N103" s="64"/>
      <c r="O103" s="64"/>
      <c r="P103" s="64"/>
      <c r="Q103" s="64"/>
      <c r="R103" s="64"/>
      <c r="S103" s="64"/>
      <c r="T103" s="64"/>
      <c r="U103" s="64"/>
      <c r="V103" s="64"/>
      <c r="W103" s="64"/>
      <c r="X103" s="64"/>
      <c r="Y103" s="64"/>
      <c r="Z103" s="64"/>
    </row>
    <row r="104" ht="12.75" customHeight="1">
      <c r="A104" s="108"/>
      <c r="B104" s="64"/>
      <c r="C104" s="64"/>
      <c r="D104" s="64"/>
      <c r="E104" s="64"/>
      <c r="F104" s="63"/>
      <c r="G104" s="63"/>
      <c r="H104" s="64"/>
      <c r="I104" s="64"/>
      <c r="J104" s="64"/>
      <c r="K104" s="64"/>
      <c r="L104" s="64"/>
      <c r="M104" s="64"/>
      <c r="N104" s="64"/>
      <c r="O104" s="64"/>
      <c r="P104" s="64"/>
      <c r="Q104" s="64"/>
      <c r="R104" s="64"/>
      <c r="S104" s="64"/>
      <c r="T104" s="64"/>
      <c r="U104" s="64"/>
      <c r="V104" s="64"/>
      <c r="W104" s="64"/>
      <c r="X104" s="64"/>
      <c r="Y104" s="64"/>
      <c r="Z104" s="64"/>
    </row>
    <row r="105" ht="12.75" customHeight="1">
      <c r="A105" s="108"/>
      <c r="B105" s="64"/>
      <c r="C105" s="64"/>
      <c r="D105" s="64"/>
      <c r="E105" s="64"/>
      <c r="F105" s="63"/>
      <c r="G105" s="63"/>
      <c r="H105" s="64"/>
      <c r="I105" s="64"/>
      <c r="J105" s="64"/>
      <c r="K105" s="64"/>
      <c r="L105" s="64"/>
      <c r="M105" s="64"/>
      <c r="N105" s="64"/>
      <c r="O105" s="64"/>
      <c r="P105" s="64"/>
      <c r="Q105" s="64"/>
      <c r="R105" s="64"/>
      <c r="S105" s="64"/>
      <c r="T105" s="64"/>
      <c r="U105" s="64"/>
      <c r="V105" s="64"/>
      <c r="W105" s="64"/>
      <c r="X105" s="64"/>
      <c r="Y105" s="64"/>
      <c r="Z105" s="64"/>
    </row>
    <row r="106" ht="12.75" customHeight="1">
      <c r="A106" s="108"/>
      <c r="B106" s="64"/>
      <c r="C106" s="64"/>
      <c r="D106" s="64"/>
      <c r="E106" s="64"/>
      <c r="F106" s="63"/>
      <c r="G106" s="63"/>
      <c r="H106" s="64"/>
      <c r="I106" s="64"/>
      <c r="J106" s="64"/>
      <c r="K106" s="64"/>
      <c r="L106" s="64"/>
      <c r="M106" s="64"/>
      <c r="N106" s="64"/>
      <c r="O106" s="64"/>
      <c r="P106" s="64"/>
      <c r="Q106" s="64"/>
      <c r="R106" s="64"/>
      <c r="S106" s="64"/>
      <c r="T106" s="64"/>
      <c r="U106" s="64"/>
      <c r="V106" s="64"/>
      <c r="W106" s="64"/>
      <c r="X106" s="64"/>
      <c r="Y106" s="64"/>
      <c r="Z106" s="64"/>
    </row>
    <row r="107" ht="12.75" customHeight="1">
      <c r="A107" s="108"/>
      <c r="B107" s="64"/>
      <c r="C107" s="64"/>
      <c r="D107" s="64"/>
      <c r="E107" s="64"/>
      <c r="F107" s="63"/>
      <c r="G107" s="63"/>
      <c r="H107" s="64"/>
      <c r="I107" s="64"/>
      <c r="J107" s="64"/>
      <c r="K107" s="64"/>
      <c r="L107" s="64"/>
      <c r="M107" s="64"/>
      <c r="N107" s="64"/>
      <c r="O107" s="64"/>
      <c r="P107" s="64"/>
      <c r="Q107" s="64"/>
      <c r="R107" s="64"/>
      <c r="S107" s="64"/>
      <c r="T107" s="64"/>
      <c r="U107" s="64"/>
      <c r="V107" s="64"/>
      <c r="W107" s="64"/>
      <c r="X107" s="64"/>
      <c r="Y107" s="64"/>
      <c r="Z107" s="64"/>
    </row>
    <row r="108" ht="12.75" customHeight="1">
      <c r="A108" s="108"/>
      <c r="B108" s="64"/>
      <c r="C108" s="64"/>
      <c r="D108" s="64"/>
      <c r="E108" s="64"/>
      <c r="F108" s="63"/>
      <c r="G108" s="63"/>
      <c r="H108" s="64"/>
      <c r="I108" s="64"/>
      <c r="J108" s="64"/>
      <c r="K108" s="64"/>
      <c r="L108" s="64"/>
      <c r="M108" s="64"/>
      <c r="N108" s="64"/>
      <c r="O108" s="64"/>
      <c r="P108" s="64"/>
      <c r="Q108" s="64"/>
      <c r="R108" s="64"/>
      <c r="S108" s="64"/>
      <c r="T108" s="64"/>
      <c r="U108" s="64"/>
      <c r="V108" s="64"/>
      <c r="W108" s="64"/>
      <c r="X108" s="64"/>
      <c r="Y108" s="64"/>
      <c r="Z108" s="64"/>
    </row>
    <row r="109" ht="12.75" customHeight="1">
      <c r="A109" s="108"/>
      <c r="B109" s="64"/>
      <c r="C109" s="64"/>
      <c r="D109" s="64"/>
      <c r="E109" s="64"/>
      <c r="F109" s="63"/>
      <c r="G109" s="63"/>
      <c r="H109" s="64"/>
      <c r="I109" s="64"/>
      <c r="J109" s="64"/>
      <c r="K109" s="64"/>
      <c r="L109" s="64"/>
      <c r="M109" s="64"/>
      <c r="N109" s="64"/>
      <c r="O109" s="64"/>
      <c r="P109" s="64"/>
      <c r="Q109" s="64"/>
      <c r="R109" s="64"/>
      <c r="S109" s="64"/>
      <c r="T109" s="64"/>
      <c r="U109" s="64"/>
      <c r="V109" s="64"/>
      <c r="W109" s="64"/>
      <c r="X109" s="64"/>
      <c r="Y109" s="64"/>
      <c r="Z109" s="64"/>
    </row>
    <row r="110" ht="12.75" customHeight="1">
      <c r="A110" s="108"/>
      <c r="B110" s="64"/>
      <c r="C110" s="64"/>
      <c r="D110" s="64"/>
      <c r="E110" s="64"/>
      <c r="F110" s="63"/>
      <c r="G110" s="63"/>
      <c r="H110" s="64"/>
      <c r="I110" s="64"/>
      <c r="J110" s="64"/>
      <c r="K110" s="64"/>
      <c r="L110" s="64"/>
      <c r="M110" s="64"/>
      <c r="N110" s="64"/>
      <c r="O110" s="64"/>
      <c r="P110" s="64"/>
      <c r="Q110" s="64"/>
      <c r="R110" s="64"/>
      <c r="S110" s="64"/>
      <c r="T110" s="64"/>
      <c r="U110" s="64"/>
      <c r="V110" s="64"/>
      <c r="W110" s="64"/>
      <c r="X110" s="64"/>
      <c r="Y110" s="64"/>
      <c r="Z110" s="64"/>
    </row>
    <row r="111" ht="12.75" customHeight="1">
      <c r="A111" s="108"/>
      <c r="B111" s="64"/>
      <c r="C111" s="64"/>
      <c r="D111" s="64"/>
      <c r="E111" s="64"/>
      <c r="F111" s="63"/>
      <c r="G111" s="63"/>
      <c r="H111" s="64"/>
      <c r="I111" s="64"/>
      <c r="J111" s="64"/>
      <c r="K111" s="64"/>
      <c r="L111" s="64"/>
      <c r="M111" s="64"/>
      <c r="N111" s="64"/>
      <c r="O111" s="64"/>
      <c r="P111" s="64"/>
      <c r="Q111" s="64"/>
      <c r="R111" s="64"/>
      <c r="S111" s="64"/>
      <c r="T111" s="64"/>
      <c r="U111" s="64"/>
      <c r="V111" s="64"/>
      <c r="W111" s="64"/>
      <c r="X111" s="64"/>
      <c r="Y111" s="64"/>
      <c r="Z111" s="64"/>
    </row>
    <row r="112" ht="12.75" customHeight="1">
      <c r="A112" s="108"/>
      <c r="B112" s="64"/>
      <c r="C112" s="64"/>
      <c r="D112" s="64"/>
      <c r="E112" s="64"/>
      <c r="F112" s="63"/>
      <c r="G112" s="63"/>
      <c r="H112" s="64"/>
      <c r="I112" s="64"/>
      <c r="J112" s="64"/>
      <c r="K112" s="64"/>
      <c r="L112" s="64"/>
      <c r="M112" s="64"/>
      <c r="N112" s="64"/>
      <c r="O112" s="64"/>
      <c r="P112" s="64"/>
      <c r="Q112" s="64"/>
      <c r="R112" s="64"/>
      <c r="S112" s="64"/>
      <c r="T112" s="64"/>
      <c r="U112" s="64"/>
      <c r="V112" s="64"/>
      <c r="W112" s="64"/>
      <c r="X112" s="64"/>
      <c r="Y112" s="64"/>
      <c r="Z112" s="64"/>
    </row>
    <row r="113" ht="12.75" customHeight="1">
      <c r="A113" s="108"/>
      <c r="B113" s="64"/>
      <c r="C113" s="64"/>
      <c r="D113" s="64"/>
      <c r="E113" s="64"/>
      <c r="F113" s="63"/>
      <c r="G113" s="63"/>
      <c r="H113" s="64"/>
      <c r="I113" s="64"/>
      <c r="J113" s="64"/>
      <c r="K113" s="64"/>
      <c r="L113" s="64"/>
      <c r="M113" s="64"/>
      <c r="N113" s="64"/>
      <c r="O113" s="64"/>
      <c r="P113" s="64"/>
      <c r="Q113" s="64"/>
      <c r="R113" s="64"/>
      <c r="S113" s="64"/>
      <c r="T113" s="64"/>
      <c r="U113" s="64"/>
      <c r="V113" s="64"/>
      <c r="W113" s="64"/>
      <c r="X113" s="64"/>
      <c r="Y113" s="64"/>
      <c r="Z113" s="64"/>
    </row>
    <row r="114" ht="12.75" customHeight="1">
      <c r="A114" s="108"/>
      <c r="B114" s="64"/>
      <c r="C114" s="64"/>
      <c r="D114" s="64"/>
      <c r="E114" s="64"/>
      <c r="F114" s="63"/>
      <c r="G114" s="63"/>
      <c r="H114" s="64"/>
      <c r="I114" s="64"/>
      <c r="J114" s="64"/>
      <c r="K114" s="64"/>
      <c r="L114" s="64"/>
      <c r="M114" s="64"/>
      <c r="N114" s="64"/>
      <c r="O114" s="64"/>
      <c r="P114" s="64"/>
      <c r="Q114" s="64"/>
      <c r="R114" s="64"/>
      <c r="S114" s="64"/>
      <c r="T114" s="64"/>
      <c r="U114" s="64"/>
      <c r="V114" s="64"/>
      <c r="W114" s="64"/>
      <c r="X114" s="64"/>
      <c r="Y114" s="64"/>
      <c r="Z114" s="64"/>
    </row>
    <row r="115" ht="12.75" customHeight="1">
      <c r="A115" s="108"/>
      <c r="B115" s="64"/>
      <c r="C115" s="64"/>
      <c r="D115" s="64"/>
      <c r="E115" s="64"/>
      <c r="F115" s="63"/>
      <c r="G115" s="63"/>
      <c r="H115" s="64"/>
      <c r="I115" s="64"/>
      <c r="J115" s="64"/>
      <c r="K115" s="64"/>
      <c r="L115" s="64"/>
      <c r="M115" s="64"/>
      <c r="N115" s="64"/>
      <c r="O115" s="64"/>
      <c r="P115" s="64"/>
      <c r="Q115" s="64"/>
      <c r="R115" s="64"/>
      <c r="S115" s="64"/>
      <c r="T115" s="64"/>
      <c r="U115" s="64"/>
      <c r="V115" s="64"/>
      <c r="W115" s="64"/>
      <c r="X115" s="64"/>
      <c r="Y115" s="64"/>
      <c r="Z115" s="64"/>
    </row>
    <row r="116" ht="12.75" customHeight="1">
      <c r="A116" s="108"/>
      <c r="B116" s="64"/>
      <c r="C116" s="64"/>
      <c r="D116" s="64"/>
      <c r="E116" s="64"/>
      <c r="F116" s="63"/>
      <c r="G116" s="63"/>
      <c r="H116" s="64"/>
      <c r="I116" s="64"/>
      <c r="J116" s="64"/>
      <c r="K116" s="64"/>
      <c r="L116" s="64"/>
      <c r="M116" s="64"/>
      <c r="N116" s="64"/>
      <c r="O116" s="64"/>
      <c r="P116" s="64"/>
      <c r="Q116" s="64"/>
      <c r="R116" s="64"/>
      <c r="S116" s="64"/>
      <c r="T116" s="64"/>
      <c r="U116" s="64"/>
      <c r="V116" s="64"/>
      <c r="W116" s="64"/>
      <c r="X116" s="64"/>
      <c r="Y116" s="64"/>
      <c r="Z116" s="64"/>
    </row>
    <row r="117" ht="12.75" customHeight="1">
      <c r="A117" s="108"/>
      <c r="B117" s="64"/>
      <c r="C117" s="64"/>
      <c r="D117" s="64"/>
      <c r="E117" s="64"/>
      <c r="F117" s="63"/>
      <c r="G117" s="63"/>
      <c r="H117" s="64"/>
      <c r="I117" s="64"/>
      <c r="J117" s="64"/>
      <c r="K117" s="64"/>
      <c r="L117" s="64"/>
      <c r="M117" s="64"/>
      <c r="N117" s="64"/>
      <c r="O117" s="64"/>
      <c r="P117" s="64"/>
      <c r="Q117" s="64"/>
      <c r="R117" s="64"/>
      <c r="S117" s="64"/>
      <c r="T117" s="64"/>
      <c r="U117" s="64"/>
      <c r="V117" s="64"/>
      <c r="W117" s="64"/>
      <c r="X117" s="64"/>
      <c r="Y117" s="64"/>
      <c r="Z117" s="64"/>
    </row>
    <row r="118" ht="12.75" customHeight="1">
      <c r="A118" s="108"/>
      <c r="B118" s="64"/>
      <c r="C118" s="64"/>
      <c r="D118" s="64"/>
      <c r="E118" s="64"/>
      <c r="F118" s="63"/>
      <c r="G118" s="63"/>
      <c r="H118" s="64"/>
      <c r="I118" s="64"/>
      <c r="J118" s="64"/>
      <c r="K118" s="64"/>
      <c r="L118" s="64"/>
      <c r="M118" s="64"/>
      <c r="N118" s="64"/>
      <c r="O118" s="64"/>
      <c r="P118" s="64"/>
      <c r="Q118" s="64"/>
      <c r="R118" s="64"/>
      <c r="S118" s="64"/>
      <c r="T118" s="64"/>
      <c r="U118" s="64"/>
      <c r="V118" s="64"/>
      <c r="W118" s="64"/>
      <c r="X118" s="64"/>
      <c r="Y118" s="64"/>
      <c r="Z118" s="64"/>
    </row>
    <row r="119" ht="12.75" customHeight="1">
      <c r="A119" s="108"/>
      <c r="B119" s="64"/>
      <c r="C119" s="64"/>
      <c r="D119" s="64"/>
      <c r="E119" s="64"/>
      <c r="F119" s="63"/>
      <c r="G119" s="63"/>
      <c r="H119" s="64"/>
      <c r="I119" s="64"/>
      <c r="J119" s="64"/>
      <c r="K119" s="64"/>
      <c r="L119" s="64"/>
      <c r="M119" s="64"/>
      <c r="N119" s="64"/>
      <c r="O119" s="64"/>
      <c r="P119" s="64"/>
      <c r="Q119" s="64"/>
      <c r="R119" s="64"/>
      <c r="S119" s="64"/>
      <c r="T119" s="64"/>
      <c r="U119" s="64"/>
      <c r="V119" s="64"/>
      <c r="W119" s="64"/>
      <c r="X119" s="64"/>
      <c r="Y119" s="64"/>
      <c r="Z119" s="64"/>
    </row>
    <row r="120" ht="12.75" customHeight="1">
      <c r="A120" s="108"/>
      <c r="B120" s="64"/>
      <c r="C120" s="64"/>
      <c r="D120" s="64"/>
      <c r="E120" s="64"/>
      <c r="F120" s="63"/>
      <c r="G120" s="63"/>
      <c r="H120" s="64"/>
      <c r="I120" s="64"/>
      <c r="J120" s="64"/>
      <c r="K120" s="64"/>
      <c r="L120" s="64"/>
      <c r="M120" s="64"/>
      <c r="N120" s="64"/>
      <c r="O120" s="64"/>
      <c r="P120" s="64"/>
      <c r="Q120" s="64"/>
      <c r="R120" s="64"/>
      <c r="S120" s="64"/>
      <c r="T120" s="64"/>
      <c r="U120" s="64"/>
      <c r="V120" s="64"/>
      <c r="W120" s="64"/>
      <c r="X120" s="64"/>
      <c r="Y120" s="64"/>
      <c r="Z120" s="64"/>
    </row>
    <row r="121" ht="12.75" customHeight="1">
      <c r="A121" s="108"/>
      <c r="B121" s="64"/>
      <c r="C121" s="64"/>
      <c r="D121" s="64"/>
      <c r="E121" s="64"/>
      <c r="F121" s="63"/>
      <c r="G121" s="63"/>
      <c r="H121" s="64"/>
      <c r="I121" s="64"/>
      <c r="J121" s="64"/>
      <c r="K121" s="64"/>
      <c r="L121" s="64"/>
      <c r="M121" s="64"/>
      <c r="N121" s="64"/>
      <c r="O121" s="64"/>
      <c r="P121" s="64"/>
      <c r="Q121" s="64"/>
      <c r="R121" s="64"/>
      <c r="S121" s="64"/>
      <c r="T121" s="64"/>
      <c r="U121" s="64"/>
      <c r="V121" s="64"/>
      <c r="W121" s="64"/>
      <c r="X121" s="64"/>
      <c r="Y121" s="64"/>
      <c r="Z121" s="64"/>
    </row>
    <row r="122" ht="12.75" customHeight="1">
      <c r="A122" s="108"/>
      <c r="B122" s="64"/>
      <c r="C122" s="64"/>
      <c r="D122" s="64"/>
      <c r="E122" s="64"/>
      <c r="F122" s="63"/>
      <c r="G122" s="63"/>
      <c r="H122" s="64"/>
      <c r="I122" s="64"/>
      <c r="J122" s="64"/>
      <c r="K122" s="64"/>
      <c r="L122" s="64"/>
      <c r="M122" s="64"/>
      <c r="N122" s="64"/>
      <c r="O122" s="64"/>
      <c r="P122" s="64"/>
      <c r="Q122" s="64"/>
      <c r="R122" s="64"/>
      <c r="S122" s="64"/>
      <c r="T122" s="64"/>
      <c r="U122" s="64"/>
      <c r="V122" s="64"/>
      <c r="W122" s="64"/>
      <c r="X122" s="64"/>
      <c r="Y122" s="64"/>
      <c r="Z122" s="64"/>
    </row>
    <row r="123" ht="12.75" customHeight="1">
      <c r="A123" s="108"/>
      <c r="B123" s="64"/>
      <c r="C123" s="64"/>
      <c r="D123" s="64"/>
      <c r="E123" s="64"/>
      <c r="F123" s="63"/>
      <c r="G123" s="63"/>
      <c r="H123" s="64"/>
      <c r="I123" s="64"/>
      <c r="J123" s="64"/>
      <c r="K123" s="64"/>
      <c r="L123" s="64"/>
      <c r="M123" s="64"/>
      <c r="N123" s="64"/>
      <c r="O123" s="64"/>
      <c r="P123" s="64"/>
      <c r="Q123" s="64"/>
      <c r="R123" s="64"/>
      <c r="S123" s="64"/>
      <c r="T123" s="64"/>
      <c r="U123" s="64"/>
      <c r="V123" s="64"/>
      <c r="W123" s="64"/>
      <c r="X123" s="64"/>
      <c r="Y123" s="64"/>
      <c r="Z123" s="64"/>
    </row>
    <row r="124" ht="12.75" customHeight="1">
      <c r="A124" s="108"/>
      <c r="B124" s="64"/>
      <c r="C124" s="64"/>
      <c r="D124" s="64"/>
      <c r="E124" s="64"/>
      <c r="F124" s="63"/>
      <c r="G124" s="63"/>
      <c r="H124" s="64"/>
      <c r="I124" s="64"/>
      <c r="J124" s="64"/>
      <c r="K124" s="64"/>
      <c r="L124" s="64"/>
      <c r="M124" s="64"/>
      <c r="N124" s="64"/>
      <c r="O124" s="64"/>
      <c r="P124" s="64"/>
      <c r="Q124" s="64"/>
      <c r="R124" s="64"/>
      <c r="S124" s="64"/>
      <c r="T124" s="64"/>
      <c r="U124" s="64"/>
      <c r="V124" s="64"/>
      <c r="W124" s="64"/>
      <c r="X124" s="64"/>
      <c r="Y124" s="64"/>
      <c r="Z124" s="64"/>
    </row>
    <row r="125" ht="12.75" customHeight="1">
      <c r="A125" s="108"/>
      <c r="B125" s="64"/>
      <c r="C125" s="64"/>
      <c r="D125" s="64"/>
      <c r="E125" s="64"/>
      <c r="F125" s="63"/>
      <c r="G125" s="63"/>
      <c r="H125" s="64"/>
      <c r="I125" s="64"/>
      <c r="J125" s="64"/>
      <c r="K125" s="64"/>
      <c r="L125" s="64"/>
      <c r="M125" s="64"/>
      <c r="N125" s="64"/>
      <c r="O125" s="64"/>
      <c r="P125" s="64"/>
      <c r="Q125" s="64"/>
      <c r="R125" s="64"/>
      <c r="S125" s="64"/>
      <c r="T125" s="64"/>
      <c r="U125" s="64"/>
      <c r="V125" s="64"/>
      <c r="W125" s="64"/>
      <c r="X125" s="64"/>
      <c r="Y125" s="64"/>
      <c r="Z125" s="64"/>
    </row>
    <row r="126" ht="12.75" customHeight="1">
      <c r="A126" s="108"/>
      <c r="B126" s="64"/>
      <c r="C126" s="64"/>
      <c r="D126" s="64"/>
      <c r="E126" s="64"/>
      <c r="F126" s="63"/>
      <c r="G126" s="63"/>
      <c r="H126" s="64"/>
      <c r="I126" s="64"/>
      <c r="J126" s="64"/>
      <c r="K126" s="64"/>
      <c r="L126" s="64"/>
      <c r="M126" s="64"/>
      <c r="N126" s="64"/>
      <c r="O126" s="64"/>
      <c r="P126" s="64"/>
      <c r="Q126" s="64"/>
      <c r="R126" s="64"/>
      <c r="S126" s="64"/>
      <c r="T126" s="64"/>
      <c r="U126" s="64"/>
      <c r="V126" s="64"/>
      <c r="W126" s="64"/>
      <c r="X126" s="64"/>
      <c r="Y126" s="64"/>
      <c r="Z126" s="64"/>
    </row>
    <row r="127" ht="12.75" customHeight="1">
      <c r="A127" s="108"/>
      <c r="B127" s="64"/>
      <c r="C127" s="64"/>
      <c r="D127" s="64"/>
      <c r="E127" s="64"/>
      <c r="F127" s="63"/>
      <c r="G127" s="63"/>
      <c r="H127" s="64"/>
      <c r="I127" s="64"/>
      <c r="J127" s="64"/>
      <c r="K127" s="64"/>
      <c r="L127" s="64"/>
      <c r="M127" s="64"/>
      <c r="N127" s="64"/>
      <c r="O127" s="64"/>
      <c r="P127" s="64"/>
      <c r="Q127" s="64"/>
      <c r="R127" s="64"/>
      <c r="S127" s="64"/>
      <c r="T127" s="64"/>
      <c r="U127" s="64"/>
      <c r="V127" s="64"/>
      <c r="W127" s="64"/>
      <c r="X127" s="64"/>
      <c r="Y127" s="64"/>
      <c r="Z127" s="64"/>
    </row>
    <row r="128" ht="12.75" customHeight="1">
      <c r="A128" s="108"/>
      <c r="B128" s="64"/>
      <c r="C128" s="64"/>
      <c r="D128" s="64"/>
      <c r="E128" s="64"/>
      <c r="F128" s="63"/>
      <c r="G128" s="63"/>
      <c r="H128" s="64"/>
      <c r="I128" s="64"/>
      <c r="J128" s="64"/>
      <c r="K128" s="64"/>
      <c r="L128" s="64"/>
      <c r="M128" s="64"/>
      <c r="N128" s="64"/>
      <c r="O128" s="64"/>
      <c r="P128" s="64"/>
      <c r="Q128" s="64"/>
      <c r="R128" s="64"/>
      <c r="S128" s="64"/>
      <c r="T128" s="64"/>
      <c r="U128" s="64"/>
      <c r="V128" s="64"/>
      <c r="W128" s="64"/>
      <c r="X128" s="64"/>
      <c r="Y128" s="64"/>
      <c r="Z128" s="64"/>
    </row>
    <row r="129" ht="12.75" customHeight="1">
      <c r="A129" s="108"/>
      <c r="B129" s="64"/>
      <c r="C129" s="64"/>
      <c r="D129" s="64"/>
      <c r="E129" s="64"/>
      <c r="F129" s="63"/>
      <c r="G129" s="63"/>
      <c r="H129" s="64"/>
      <c r="I129" s="64"/>
      <c r="J129" s="64"/>
      <c r="K129" s="64"/>
      <c r="L129" s="64"/>
      <c r="M129" s="64"/>
      <c r="N129" s="64"/>
      <c r="O129" s="64"/>
      <c r="P129" s="64"/>
      <c r="Q129" s="64"/>
      <c r="R129" s="64"/>
      <c r="S129" s="64"/>
      <c r="T129" s="64"/>
      <c r="U129" s="64"/>
      <c r="V129" s="64"/>
      <c r="W129" s="64"/>
      <c r="X129" s="64"/>
      <c r="Y129" s="64"/>
      <c r="Z129" s="64"/>
    </row>
    <row r="130" ht="12.75" customHeight="1">
      <c r="A130" s="108"/>
      <c r="B130" s="64"/>
      <c r="C130" s="64"/>
      <c r="D130" s="64"/>
      <c r="E130" s="64"/>
      <c r="F130" s="63"/>
      <c r="G130" s="63"/>
      <c r="H130" s="64"/>
      <c r="I130" s="64"/>
      <c r="J130" s="64"/>
      <c r="K130" s="64"/>
      <c r="L130" s="64"/>
      <c r="M130" s="64"/>
      <c r="N130" s="64"/>
      <c r="O130" s="64"/>
      <c r="P130" s="64"/>
      <c r="Q130" s="64"/>
      <c r="R130" s="64"/>
      <c r="S130" s="64"/>
      <c r="T130" s="64"/>
      <c r="U130" s="64"/>
      <c r="V130" s="64"/>
      <c r="W130" s="64"/>
      <c r="X130" s="64"/>
      <c r="Y130" s="64"/>
      <c r="Z130" s="64"/>
    </row>
    <row r="131" ht="12.75" customHeight="1">
      <c r="A131" s="108"/>
      <c r="B131" s="64"/>
      <c r="C131" s="64"/>
      <c r="D131" s="64"/>
      <c r="E131" s="64"/>
      <c r="F131" s="63"/>
      <c r="G131" s="63"/>
      <c r="H131" s="64"/>
      <c r="I131" s="64"/>
      <c r="J131" s="64"/>
      <c r="K131" s="64"/>
      <c r="L131" s="64"/>
      <c r="M131" s="64"/>
      <c r="N131" s="64"/>
      <c r="O131" s="64"/>
      <c r="P131" s="64"/>
      <c r="Q131" s="64"/>
      <c r="R131" s="64"/>
      <c r="S131" s="64"/>
      <c r="T131" s="64"/>
      <c r="U131" s="64"/>
      <c r="V131" s="64"/>
      <c r="W131" s="64"/>
      <c r="X131" s="64"/>
      <c r="Y131" s="64"/>
      <c r="Z131" s="64"/>
    </row>
    <row r="132" ht="12.75" customHeight="1">
      <c r="A132" s="108"/>
      <c r="B132" s="64"/>
      <c r="C132" s="64"/>
      <c r="D132" s="64"/>
      <c r="E132" s="64"/>
      <c r="F132" s="63"/>
      <c r="G132" s="63"/>
      <c r="H132" s="64"/>
      <c r="I132" s="64"/>
      <c r="J132" s="64"/>
      <c r="K132" s="64"/>
      <c r="L132" s="64"/>
      <c r="M132" s="64"/>
      <c r="N132" s="64"/>
      <c r="O132" s="64"/>
      <c r="P132" s="64"/>
      <c r="Q132" s="64"/>
      <c r="R132" s="64"/>
      <c r="S132" s="64"/>
      <c r="T132" s="64"/>
      <c r="U132" s="64"/>
      <c r="V132" s="64"/>
      <c r="W132" s="64"/>
      <c r="X132" s="64"/>
      <c r="Y132" s="64"/>
      <c r="Z132" s="64"/>
    </row>
    <row r="133" ht="12.75" customHeight="1">
      <c r="A133" s="108"/>
      <c r="B133" s="64"/>
      <c r="C133" s="64"/>
      <c r="D133" s="64"/>
      <c r="E133" s="64"/>
      <c r="F133" s="63"/>
      <c r="G133" s="63"/>
      <c r="H133" s="64"/>
      <c r="I133" s="64"/>
      <c r="J133" s="64"/>
      <c r="K133" s="64"/>
      <c r="L133" s="64"/>
      <c r="M133" s="64"/>
      <c r="N133" s="64"/>
      <c r="O133" s="64"/>
      <c r="P133" s="64"/>
      <c r="Q133" s="64"/>
      <c r="R133" s="64"/>
      <c r="S133" s="64"/>
      <c r="T133" s="64"/>
      <c r="U133" s="64"/>
      <c r="V133" s="64"/>
      <c r="W133" s="64"/>
      <c r="X133" s="64"/>
      <c r="Y133" s="64"/>
      <c r="Z133" s="64"/>
    </row>
    <row r="134" ht="12.75" customHeight="1">
      <c r="A134" s="108"/>
      <c r="B134" s="64"/>
      <c r="C134" s="64"/>
      <c r="D134" s="64"/>
      <c r="E134" s="64"/>
      <c r="F134" s="63"/>
      <c r="G134" s="63"/>
      <c r="H134" s="64"/>
      <c r="I134" s="64"/>
      <c r="J134" s="64"/>
      <c r="K134" s="64"/>
      <c r="L134" s="64"/>
      <c r="M134" s="64"/>
      <c r="N134" s="64"/>
      <c r="O134" s="64"/>
      <c r="P134" s="64"/>
      <c r="Q134" s="64"/>
      <c r="R134" s="64"/>
      <c r="S134" s="64"/>
      <c r="T134" s="64"/>
      <c r="U134" s="64"/>
      <c r="V134" s="64"/>
      <c r="W134" s="64"/>
      <c r="X134" s="64"/>
      <c r="Y134" s="64"/>
      <c r="Z134" s="64"/>
    </row>
    <row r="135" ht="12.75" customHeight="1">
      <c r="A135" s="108"/>
      <c r="B135" s="64"/>
      <c r="C135" s="64"/>
      <c r="D135" s="64"/>
      <c r="E135" s="64"/>
      <c r="F135" s="63"/>
      <c r="G135" s="63"/>
      <c r="H135" s="64"/>
      <c r="I135" s="64"/>
      <c r="J135" s="64"/>
      <c r="K135" s="64"/>
      <c r="L135" s="64"/>
      <c r="M135" s="64"/>
      <c r="N135" s="64"/>
      <c r="O135" s="64"/>
      <c r="P135" s="64"/>
      <c r="Q135" s="64"/>
      <c r="R135" s="64"/>
      <c r="S135" s="64"/>
      <c r="T135" s="64"/>
      <c r="U135" s="64"/>
      <c r="V135" s="64"/>
      <c r="W135" s="64"/>
      <c r="X135" s="64"/>
      <c r="Y135" s="64"/>
      <c r="Z135" s="64"/>
    </row>
    <row r="136" ht="12.75" customHeight="1">
      <c r="A136" s="108"/>
      <c r="B136" s="64"/>
      <c r="C136" s="64"/>
      <c r="D136" s="64"/>
      <c r="E136" s="64"/>
      <c r="F136" s="63"/>
      <c r="G136" s="63"/>
      <c r="H136" s="64"/>
      <c r="I136" s="64"/>
      <c r="J136" s="64"/>
      <c r="K136" s="64"/>
      <c r="L136" s="64"/>
      <c r="M136" s="64"/>
      <c r="N136" s="64"/>
      <c r="O136" s="64"/>
      <c r="P136" s="64"/>
      <c r="Q136" s="64"/>
      <c r="R136" s="64"/>
      <c r="S136" s="64"/>
      <c r="T136" s="64"/>
      <c r="U136" s="64"/>
      <c r="V136" s="64"/>
      <c r="W136" s="64"/>
      <c r="X136" s="64"/>
      <c r="Y136" s="64"/>
      <c r="Z136" s="64"/>
    </row>
    <row r="137" ht="12.75" customHeight="1">
      <c r="A137" s="108"/>
      <c r="B137" s="64"/>
      <c r="C137" s="64"/>
      <c r="D137" s="64"/>
      <c r="E137" s="64"/>
      <c r="F137" s="63"/>
      <c r="G137" s="63"/>
      <c r="H137" s="64"/>
      <c r="I137" s="64"/>
      <c r="J137" s="64"/>
      <c r="K137" s="64"/>
      <c r="L137" s="64"/>
      <c r="M137" s="64"/>
      <c r="N137" s="64"/>
      <c r="O137" s="64"/>
      <c r="P137" s="64"/>
      <c r="Q137" s="64"/>
      <c r="R137" s="64"/>
      <c r="S137" s="64"/>
      <c r="T137" s="64"/>
      <c r="U137" s="64"/>
      <c r="V137" s="64"/>
      <c r="W137" s="64"/>
      <c r="X137" s="64"/>
      <c r="Y137" s="64"/>
      <c r="Z137" s="64"/>
    </row>
    <row r="138" ht="12.75" customHeight="1">
      <c r="A138" s="108"/>
      <c r="B138" s="64"/>
      <c r="C138" s="64"/>
      <c r="D138" s="64"/>
      <c r="E138" s="64"/>
      <c r="F138" s="63"/>
      <c r="G138" s="63"/>
      <c r="H138" s="64"/>
      <c r="I138" s="64"/>
      <c r="J138" s="64"/>
      <c r="K138" s="64"/>
      <c r="L138" s="64"/>
      <c r="M138" s="64"/>
      <c r="N138" s="64"/>
      <c r="O138" s="64"/>
      <c r="P138" s="64"/>
      <c r="Q138" s="64"/>
      <c r="R138" s="64"/>
      <c r="S138" s="64"/>
      <c r="T138" s="64"/>
      <c r="U138" s="64"/>
      <c r="V138" s="64"/>
      <c r="W138" s="64"/>
      <c r="X138" s="64"/>
      <c r="Y138" s="64"/>
      <c r="Z138" s="64"/>
    </row>
    <row r="139" ht="12.75" customHeight="1">
      <c r="A139" s="108"/>
      <c r="B139" s="64"/>
      <c r="C139" s="64"/>
      <c r="D139" s="64"/>
      <c r="E139" s="64"/>
      <c r="F139" s="63"/>
      <c r="G139" s="63"/>
      <c r="H139" s="64"/>
      <c r="I139" s="64"/>
      <c r="J139" s="64"/>
      <c r="K139" s="64"/>
      <c r="L139" s="64"/>
      <c r="M139" s="64"/>
      <c r="N139" s="64"/>
      <c r="O139" s="64"/>
      <c r="P139" s="64"/>
      <c r="Q139" s="64"/>
      <c r="R139" s="64"/>
      <c r="S139" s="64"/>
      <c r="T139" s="64"/>
      <c r="U139" s="64"/>
      <c r="V139" s="64"/>
      <c r="W139" s="64"/>
      <c r="X139" s="64"/>
      <c r="Y139" s="64"/>
      <c r="Z139" s="64"/>
    </row>
    <row r="140" ht="12.75" customHeight="1">
      <c r="A140" s="108"/>
      <c r="B140" s="64"/>
      <c r="C140" s="64"/>
      <c r="D140" s="64"/>
      <c r="E140" s="64"/>
      <c r="F140" s="63"/>
      <c r="G140" s="63"/>
      <c r="H140" s="64"/>
      <c r="I140" s="64"/>
      <c r="J140" s="64"/>
      <c r="K140" s="64"/>
      <c r="L140" s="64"/>
      <c r="M140" s="64"/>
      <c r="N140" s="64"/>
      <c r="O140" s="64"/>
      <c r="P140" s="64"/>
      <c r="Q140" s="64"/>
      <c r="R140" s="64"/>
      <c r="S140" s="64"/>
      <c r="T140" s="64"/>
      <c r="U140" s="64"/>
      <c r="V140" s="64"/>
      <c r="W140" s="64"/>
      <c r="X140" s="64"/>
      <c r="Y140" s="64"/>
      <c r="Z140" s="64"/>
    </row>
    <row r="141" ht="12.75" customHeight="1">
      <c r="A141" s="108"/>
      <c r="B141" s="64"/>
      <c r="C141" s="64"/>
      <c r="D141" s="64"/>
      <c r="E141" s="64"/>
      <c r="F141" s="63"/>
      <c r="G141" s="63"/>
      <c r="H141" s="64"/>
      <c r="I141" s="64"/>
      <c r="J141" s="64"/>
      <c r="K141" s="64"/>
      <c r="L141" s="64"/>
      <c r="M141" s="64"/>
      <c r="N141" s="64"/>
      <c r="O141" s="64"/>
      <c r="P141" s="64"/>
      <c r="Q141" s="64"/>
      <c r="R141" s="64"/>
      <c r="S141" s="64"/>
      <c r="T141" s="64"/>
      <c r="U141" s="64"/>
      <c r="V141" s="64"/>
      <c r="W141" s="64"/>
      <c r="X141" s="64"/>
      <c r="Y141" s="64"/>
      <c r="Z141" s="64"/>
    </row>
    <row r="142" ht="12.75" customHeight="1">
      <c r="A142" s="108"/>
      <c r="B142" s="64"/>
      <c r="C142" s="64"/>
      <c r="D142" s="64"/>
      <c r="E142" s="64"/>
      <c r="F142" s="63"/>
      <c r="G142" s="63"/>
      <c r="H142" s="64"/>
      <c r="I142" s="64"/>
      <c r="J142" s="64"/>
      <c r="K142" s="64"/>
      <c r="L142" s="64"/>
      <c r="M142" s="64"/>
      <c r="N142" s="64"/>
      <c r="O142" s="64"/>
      <c r="P142" s="64"/>
      <c r="Q142" s="64"/>
      <c r="R142" s="64"/>
      <c r="S142" s="64"/>
      <c r="T142" s="64"/>
      <c r="U142" s="64"/>
      <c r="V142" s="64"/>
      <c r="W142" s="64"/>
      <c r="X142" s="64"/>
      <c r="Y142" s="64"/>
      <c r="Z142" s="64"/>
    </row>
    <row r="143" ht="12.75" customHeight="1">
      <c r="A143" s="108"/>
      <c r="B143" s="64"/>
      <c r="C143" s="64"/>
      <c r="D143" s="64"/>
      <c r="E143" s="64"/>
      <c r="F143" s="63"/>
      <c r="G143" s="63"/>
      <c r="H143" s="64"/>
      <c r="I143" s="64"/>
      <c r="J143" s="64"/>
      <c r="K143" s="64"/>
      <c r="L143" s="64"/>
      <c r="M143" s="64"/>
      <c r="N143" s="64"/>
      <c r="O143" s="64"/>
      <c r="P143" s="64"/>
      <c r="Q143" s="64"/>
      <c r="R143" s="64"/>
      <c r="S143" s="64"/>
      <c r="T143" s="64"/>
      <c r="U143" s="64"/>
      <c r="V143" s="64"/>
      <c r="W143" s="64"/>
      <c r="X143" s="64"/>
      <c r="Y143" s="64"/>
      <c r="Z143" s="64"/>
    </row>
    <row r="144" ht="12.75" customHeight="1">
      <c r="A144" s="108"/>
      <c r="B144" s="64"/>
      <c r="C144" s="64"/>
      <c r="D144" s="64"/>
      <c r="E144" s="64"/>
      <c r="F144" s="63"/>
      <c r="G144" s="63"/>
      <c r="H144" s="64"/>
      <c r="I144" s="64"/>
      <c r="J144" s="64"/>
      <c r="K144" s="64"/>
      <c r="L144" s="64"/>
      <c r="M144" s="64"/>
      <c r="N144" s="64"/>
      <c r="O144" s="64"/>
      <c r="P144" s="64"/>
      <c r="Q144" s="64"/>
      <c r="R144" s="64"/>
      <c r="S144" s="64"/>
      <c r="T144" s="64"/>
      <c r="U144" s="64"/>
      <c r="V144" s="64"/>
      <c r="W144" s="64"/>
      <c r="X144" s="64"/>
      <c r="Y144" s="64"/>
      <c r="Z144" s="64"/>
    </row>
    <row r="145" ht="12.75" customHeight="1">
      <c r="A145" s="108"/>
      <c r="B145" s="64"/>
      <c r="C145" s="64"/>
      <c r="D145" s="64"/>
      <c r="E145" s="64"/>
      <c r="F145" s="63"/>
      <c r="G145" s="63"/>
      <c r="H145" s="64"/>
      <c r="I145" s="64"/>
      <c r="J145" s="64"/>
      <c r="K145" s="64"/>
      <c r="L145" s="64"/>
      <c r="M145" s="64"/>
      <c r="N145" s="64"/>
      <c r="O145" s="64"/>
      <c r="P145" s="64"/>
      <c r="Q145" s="64"/>
      <c r="R145" s="64"/>
      <c r="S145" s="64"/>
      <c r="T145" s="64"/>
      <c r="U145" s="64"/>
      <c r="V145" s="64"/>
      <c r="W145" s="64"/>
      <c r="X145" s="64"/>
      <c r="Y145" s="64"/>
      <c r="Z145" s="64"/>
    </row>
    <row r="146" ht="12.75" customHeight="1">
      <c r="A146" s="108"/>
      <c r="B146" s="64"/>
      <c r="C146" s="64"/>
      <c r="D146" s="64"/>
      <c r="E146" s="64"/>
      <c r="F146" s="63"/>
      <c r="G146" s="63"/>
      <c r="H146" s="64"/>
      <c r="I146" s="64"/>
      <c r="J146" s="64"/>
      <c r="K146" s="64"/>
      <c r="L146" s="64"/>
      <c r="M146" s="64"/>
      <c r="N146" s="64"/>
      <c r="O146" s="64"/>
      <c r="P146" s="64"/>
      <c r="Q146" s="64"/>
      <c r="R146" s="64"/>
      <c r="S146" s="64"/>
      <c r="T146" s="64"/>
      <c r="U146" s="64"/>
      <c r="V146" s="64"/>
      <c r="W146" s="64"/>
      <c r="X146" s="64"/>
      <c r="Y146" s="64"/>
      <c r="Z146" s="64"/>
    </row>
    <row r="147" ht="12.75" customHeight="1">
      <c r="A147" s="108"/>
      <c r="B147" s="64"/>
      <c r="C147" s="64"/>
      <c r="D147" s="64"/>
      <c r="E147" s="64"/>
      <c r="F147" s="63"/>
      <c r="G147" s="63"/>
      <c r="H147" s="64"/>
      <c r="I147" s="64"/>
      <c r="J147" s="64"/>
      <c r="K147" s="64"/>
      <c r="L147" s="64"/>
      <c r="M147" s="64"/>
      <c r="N147" s="64"/>
      <c r="O147" s="64"/>
      <c r="P147" s="64"/>
      <c r="Q147" s="64"/>
      <c r="R147" s="64"/>
      <c r="S147" s="64"/>
      <c r="T147" s="64"/>
      <c r="U147" s="64"/>
      <c r="V147" s="64"/>
      <c r="W147" s="64"/>
      <c r="X147" s="64"/>
      <c r="Y147" s="64"/>
      <c r="Z147" s="64"/>
    </row>
    <row r="148" ht="12.75" customHeight="1">
      <c r="A148" s="108"/>
      <c r="B148" s="64"/>
      <c r="C148" s="64"/>
      <c r="D148" s="64"/>
      <c r="E148" s="64"/>
      <c r="F148" s="63"/>
      <c r="G148" s="63"/>
      <c r="H148" s="64"/>
      <c r="I148" s="64"/>
      <c r="J148" s="64"/>
      <c r="K148" s="64"/>
      <c r="L148" s="64"/>
      <c r="M148" s="64"/>
      <c r="N148" s="64"/>
      <c r="O148" s="64"/>
      <c r="P148" s="64"/>
      <c r="Q148" s="64"/>
      <c r="R148" s="64"/>
      <c r="S148" s="64"/>
      <c r="T148" s="64"/>
      <c r="U148" s="64"/>
      <c r="V148" s="64"/>
      <c r="W148" s="64"/>
      <c r="X148" s="64"/>
      <c r="Y148" s="64"/>
      <c r="Z148" s="64"/>
    </row>
    <row r="149" ht="12.75" customHeight="1">
      <c r="A149" s="108"/>
      <c r="B149" s="64"/>
      <c r="C149" s="64"/>
      <c r="D149" s="64"/>
      <c r="E149" s="64"/>
      <c r="F149" s="63"/>
      <c r="G149" s="63"/>
      <c r="H149" s="64"/>
      <c r="I149" s="64"/>
      <c r="J149" s="64"/>
      <c r="K149" s="64"/>
      <c r="L149" s="64"/>
      <c r="M149" s="64"/>
      <c r="N149" s="64"/>
      <c r="O149" s="64"/>
      <c r="P149" s="64"/>
      <c r="Q149" s="64"/>
      <c r="R149" s="64"/>
      <c r="S149" s="64"/>
      <c r="T149" s="64"/>
      <c r="U149" s="64"/>
      <c r="V149" s="64"/>
      <c r="W149" s="64"/>
      <c r="X149" s="64"/>
      <c r="Y149" s="64"/>
      <c r="Z149" s="64"/>
    </row>
    <row r="150" ht="12.75" customHeight="1">
      <c r="A150" s="108"/>
      <c r="B150" s="64"/>
      <c r="C150" s="64"/>
      <c r="D150" s="64"/>
      <c r="E150" s="64"/>
      <c r="F150" s="63"/>
      <c r="G150" s="63"/>
      <c r="H150" s="64"/>
      <c r="I150" s="64"/>
      <c r="J150" s="64"/>
      <c r="K150" s="64"/>
      <c r="L150" s="64"/>
      <c r="M150" s="64"/>
      <c r="N150" s="64"/>
      <c r="O150" s="64"/>
      <c r="P150" s="64"/>
      <c r="Q150" s="64"/>
      <c r="R150" s="64"/>
      <c r="S150" s="64"/>
      <c r="T150" s="64"/>
      <c r="U150" s="64"/>
      <c r="V150" s="64"/>
      <c r="W150" s="64"/>
      <c r="X150" s="64"/>
      <c r="Y150" s="64"/>
      <c r="Z150" s="64"/>
    </row>
    <row r="151" ht="12.75" customHeight="1">
      <c r="A151" s="108"/>
      <c r="B151" s="64"/>
      <c r="C151" s="64"/>
      <c r="D151" s="64"/>
      <c r="E151" s="64"/>
      <c r="F151" s="63"/>
      <c r="G151" s="63"/>
      <c r="H151" s="64"/>
      <c r="I151" s="64"/>
      <c r="J151" s="64"/>
      <c r="K151" s="64"/>
      <c r="L151" s="64"/>
      <c r="M151" s="64"/>
      <c r="N151" s="64"/>
      <c r="O151" s="64"/>
      <c r="P151" s="64"/>
      <c r="Q151" s="64"/>
      <c r="R151" s="64"/>
      <c r="S151" s="64"/>
      <c r="T151" s="64"/>
      <c r="U151" s="64"/>
      <c r="V151" s="64"/>
      <c r="W151" s="64"/>
      <c r="X151" s="64"/>
      <c r="Y151" s="64"/>
      <c r="Z151" s="64"/>
    </row>
    <row r="152" ht="12.75" customHeight="1">
      <c r="A152" s="108"/>
      <c r="B152" s="64"/>
      <c r="C152" s="64"/>
      <c r="D152" s="64"/>
      <c r="E152" s="64"/>
      <c r="F152" s="63"/>
      <c r="G152" s="63"/>
      <c r="H152" s="64"/>
      <c r="I152" s="64"/>
      <c r="J152" s="64"/>
      <c r="K152" s="64"/>
      <c r="L152" s="64"/>
      <c r="M152" s="64"/>
      <c r="N152" s="64"/>
      <c r="O152" s="64"/>
      <c r="P152" s="64"/>
      <c r="Q152" s="64"/>
      <c r="R152" s="64"/>
      <c r="S152" s="64"/>
      <c r="T152" s="64"/>
      <c r="U152" s="64"/>
      <c r="V152" s="64"/>
      <c r="W152" s="64"/>
      <c r="X152" s="64"/>
      <c r="Y152" s="64"/>
      <c r="Z152" s="64"/>
    </row>
    <row r="153" ht="12.75" customHeight="1">
      <c r="A153" s="108"/>
      <c r="B153" s="64"/>
      <c r="C153" s="64"/>
      <c r="D153" s="64"/>
      <c r="E153" s="64"/>
      <c r="F153" s="63"/>
      <c r="G153" s="63"/>
      <c r="H153" s="64"/>
      <c r="I153" s="64"/>
      <c r="J153" s="64"/>
      <c r="K153" s="64"/>
      <c r="L153" s="64"/>
      <c r="M153" s="64"/>
      <c r="N153" s="64"/>
      <c r="O153" s="64"/>
      <c r="P153" s="64"/>
      <c r="Q153" s="64"/>
      <c r="R153" s="64"/>
      <c r="S153" s="64"/>
      <c r="T153" s="64"/>
      <c r="U153" s="64"/>
      <c r="V153" s="64"/>
      <c r="W153" s="64"/>
      <c r="X153" s="64"/>
      <c r="Y153" s="64"/>
      <c r="Z153" s="64"/>
    </row>
    <row r="154" ht="12.75" customHeight="1">
      <c r="A154" s="108"/>
      <c r="B154" s="64"/>
      <c r="C154" s="64"/>
      <c r="D154" s="64"/>
      <c r="E154" s="64"/>
      <c r="F154" s="63"/>
      <c r="G154" s="63"/>
      <c r="H154" s="64"/>
      <c r="I154" s="64"/>
      <c r="J154" s="64"/>
      <c r="K154" s="64"/>
      <c r="L154" s="64"/>
      <c r="M154" s="64"/>
      <c r="N154" s="64"/>
      <c r="O154" s="64"/>
      <c r="P154" s="64"/>
      <c r="Q154" s="64"/>
      <c r="R154" s="64"/>
      <c r="S154" s="64"/>
      <c r="T154" s="64"/>
      <c r="U154" s="64"/>
      <c r="V154" s="64"/>
      <c r="W154" s="64"/>
      <c r="X154" s="64"/>
      <c r="Y154" s="64"/>
      <c r="Z154" s="64"/>
    </row>
    <row r="155" ht="12.75" customHeight="1">
      <c r="A155" s="108"/>
      <c r="B155" s="64"/>
      <c r="C155" s="64"/>
      <c r="D155" s="64"/>
      <c r="E155" s="64"/>
      <c r="F155" s="63"/>
      <c r="G155" s="63"/>
      <c r="H155" s="64"/>
      <c r="I155" s="64"/>
      <c r="J155" s="64"/>
      <c r="K155" s="64"/>
      <c r="L155" s="64"/>
      <c r="M155" s="64"/>
      <c r="N155" s="64"/>
      <c r="O155" s="64"/>
      <c r="P155" s="64"/>
      <c r="Q155" s="64"/>
      <c r="R155" s="64"/>
      <c r="S155" s="64"/>
      <c r="T155" s="64"/>
      <c r="U155" s="64"/>
      <c r="V155" s="64"/>
      <c r="W155" s="64"/>
      <c r="X155" s="64"/>
      <c r="Y155" s="64"/>
      <c r="Z155" s="64"/>
    </row>
    <row r="156" ht="12.75" customHeight="1">
      <c r="A156" s="108"/>
      <c r="B156" s="64"/>
      <c r="C156" s="64"/>
      <c r="D156" s="64"/>
      <c r="E156" s="64"/>
      <c r="F156" s="63"/>
      <c r="G156" s="63"/>
      <c r="H156" s="64"/>
      <c r="I156" s="64"/>
      <c r="J156" s="64"/>
      <c r="K156" s="64"/>
      <c r="L156" s="64"/>
      <c r="M156" s="64"/>
      <c r="N156" s="64"/>
      <c r="O156" s="64"/>
      <c r="P156" s="64"/>
      <c r="Q156" s="64"/>
      <c r="R156" s="64"/>
      <c r="S156" s="64"/>
      <c r="T156" s="64"/>
      <c r="U156" s="64"/>
      <c r="V156" s="64"/>
      <c r="W156" s="64"/>
      <c r="X156" s="64"/>
      <c r="Y156" s="64"/>
      <c r="Z156" s="64"/>
    </row>
    <row r="157" ht="12.75" customHeight="1">
      <c r="A157" s="108"/>
      <c r="B157" s="64"/>
      <c r="C157" s="64"/>
      <c r="D157" s="64"/>
      <c r="E157" s="64"/>
      <c r="F157" s="63"/>
      <c r="G157" s="63"/>
      <c r="H157" s="64"/>
      <c r="I157" s="64"/>
      <c r="J157" s="64"/>
      <c r="K157" s="64"/>
      <c r="L157" s="64"/>
      <c r="M157" s="64"/>
      <c r="N157" s="64"/>
      <c r="O157" s="64"/>
      <c r="P157" s="64"/>
      <c r="Q157" s="64"/>
      <c r="R157" s="64"/>
      <c r="S157" s="64"/>
      <c r="T157" s="64"/>
      <c r="U157" s="64"/>
      <c r="V157" s="64"/>
      <c r="W157" s="64"/>
      <c r="X157" s="64"/>
      <c r="Y157" s="64"/>
      <c r="Z157" s="64"/>
    </row>
    <row r="158" ht="12.75" customHeight="1">
      <c r="A158" s="108"/>
      <c r="B158" s="64"/>
      <c r="C158" s="64"/>
      <c r="D158" s="64"/>
      <c r="E158" s="64"/>
      <c r="F158" s="63"/>
      <c r="G158" s="63"/>
      <c r="H158" s="64"/>
      <c r="I158" s="64"/>
      <c r="J158" s="64"/>
      <c r="K158" s="64"/>
      <c r="L158" s="64"/>
      <c r="M158" s="64"/>
      <c r="N158" s="64"/>
      <c r="O158" s="64"/>
      <c r="P158" s="64"/>
      <c r="Q158" s="64"/>
      <c r="R158" s="64"/>
      <c r="S158" s="64"/>
      <c r="T158" s="64"/>
      <c r="U158" s="64"/>
      <c r="V158" s="64"/>
      <c r="W158" s="64"/>
      <c r="X158" s="64"/>
      <c r="Y158" s="64"/>
      <c r="Z158" s="64"/>
    </row>
    <row r="159" ht="12.75" customHeight="1">
      <c r="A159" s="108"/>
      <c r="B159" s="64"/>
      <c r="C159" s="64"/>
      <c r="D159" s="64"/>
      <c r="E159" s="64"/>
      <c r="F159" s="63"/>
      <c r="G159" s="63"/>
      <c r="H159" s="64"/>
      <c r="I159" s="64"/>
      <c r="J159" s="64"/>
      <c r="K159" s="64"/>
      <c r="L159" s="64"/>
      <c r="M159" s="64"/>
      <c r="N159" s="64"/>
      <c r="O159" s="64"/>
      <c r="P159" s="64"/>
      <c r="Q159" s="64"/>
      <c r="R159" s="64"/>
      <c r="S159" s="64"/>
      <c r="T159" s="64"/>
      <c r="U159" s="64"/>
      <c r="V159" s="64"/>
      <c r="W159" s="64"/>
      <c r="X159" s="64"/>
      <c r="Y159" s="64"/>
      <c r="Z159" s="64"/>
    </row>
    <row r="160" ht="12.75" customHeight="1">
      <c r="A160" s="108"/>
      <c r="B160" s="64"/>
      <c r="C160" s="64"/>
      <c r="D160" s="64"/>
      <c r="E160" s="64"/>
      <c r="F160" s="63"/>
      <c r="G160" s="63"/>
      <c r="H160" s="64"/>
      <c r="I160" s="64"/>
      <c r="J160" s="64"/>
      <c r="K160" s="64"/>
      <c r="L160" s="64"/>
      <c r="M160" s="64"/>
      <c r="N160" s="64"/>
      <c r="O160" s="64"/>
      <c r="P160" s="64"/>
      <c r="Q160" s="64"/>
      <c r="R160" s="64"/>
      <c r="S160" s="64"/>
      <c r="T160" s="64"/>
      <c r="U160" s="64"/>
      <c r="V160" s="64"/>
      <c r="W160" s="64"/>
      <c r="X160" s="64"/>
      <c r="Y160" s="64"/>
      <c r="Z160" s="64"/>
    </row>
    <row r="161" ht="12.75" customHeight="1">
      <c r="A161" s="108"/>
      <c r="B161" s="64"/>
      <c r="C161" s="64"/>
      <c r="D161" s="64"/>
      <c r="E161" s="64"/>
      <c r="F161" s="63"/>
      <c r="G161" s="63"/>
      <c r="H161" s="64"/>
      <c r="I161" s="64"/>
      <c r="J161" s="64"/>
      <c r="K161" s="64"/>
      <c r="L161" s="64"/>
      <c r="M161" s="64"/>
      <c r="N161" s="64"/>
      <c r="O161" s="64"/>
      <c r="P161" s="64"/>
      <c r="Q161" s="64"/>
      <c r="R161" s="64"/>
      <c r="S161" s="64"/>
      <c r="T161" s="64"/>
      <c r="U161" s="64"/>
      <c r="V161" s="64"/>
      <c r="W161" s="64"/>
      <c r="X161" s="64"/>
      <c r="Y161" s="64"/>
      <c r="Z161" s="64"/>
    </row>
    <row r="162" ht="12.75" customHeight="1">
      <c r="A162" s="108"/>
      <c r="B162" s="64"/>
      <c r="C162" s="64"/>
      <c r="D162" s="64"/>
      <c r="E162" s="64"/>
      <c r="F162" s="63"/>
      <c r="G162" s="63"/>
      <c r="H162" s="64"/>
      <c r="I162" s="64"/>
      <c r="J162" s="64"/>
      <c r="K162" s="64"/>
      <c r="L162" s="64"/>
      <c r="M162" s="64"/>
      <c r="N162" s="64"/>
      <c r="O162" s="64"/>
      <c r="P162" s="64"/>
      <c r="Q162" s="64"/>
      <c r="R162" s="64"/>
      <c r="S162" s="64"/>
      <c r="T162" s="64"/>
      <c r="U162" s="64"/>
      <c r="V162" s="64"/>
      <c r="W162" s="64"/>
      <c r="X162" s="64"/>
      <c r="Y162" s="64"/>
      <c r="Z162" s="64"/>
    </row>
    <row r="163" ht="12.75" customHeight="1">
      <c r="A163" s="108"/>
      <c r="B163" s="64"/>
      <c r="C163" s="64"/>
      <c r="D163" s="64"/>
      <c r="E163" s="64"/>
      <c r="F163" s="63"/>
      <c r="G163" s="63"/>
      <c r="H163" s="64"/>
      <c r="I163" s="64"/>
      <c r="J163" s="64"/>
      <c r="K163" s="64"/>
      <c r="L163" s="64"/>
      <c r="M163" s="64"/>
      <c r="N163" s="64"/>
      <c r="O163" s="64"/>
      <c r="P163" s="64"/>
      <c r="Q163" s="64"/>
      <c r="R163" s="64"/>
      <c r="S163" s="64"/>
      <c r="T163" s="64"/>
      <c r="U163" s="64"/>
      <c r="V163" s="64"/>
      <c r="W163" s="64"/>
      <c r="X163" s="64"/>
      <c r="Y163" s="64"/>
      <c r="Z163" s="64"/>
    </row>
    <row r="164" ht="12.75" customHeight="1">
      <c r="A164" s="108"/>
      <c r="B164" s="64"/>
      <c r="C164" s="64"/>
      <c r="D164" s="64"/>
      <c r="E164" s="64"/>
      <c r="F164" s="63"/>
      <c r="G164" s="63"/>
      <c r="H164" s="64"/>
      <c r="I164" s="64"/>
      <c r="J164" s="64"/>
      <c r="K164" s="64"/>
      <c r="L164" s="64"/>
      <c r="M164" s="64"/>
      <c r="N164" s="64"/>
      <c r="O164" s="64"/>
      <c r="P164" s="64"/>
      <c r="Q164" s="64"/>
      <c r="R164" s="64"/>
      <c r="S164" s="64"/>
      <c r="T164" s="64"/>
      <c r="U164" s="64"/>
      <c r="V164" s="64"/>
      <c r="W164" s="64"/>
      <c r="X164" s="64"/>
      <c r="Y164" s="64"/>
      <c r="Z164" s="64"/>
    </row>
    <row r="165" ht="12.75" customHeight="1">
      <c r="A165" s="108"/>
      <c r="B165" s="64"/>
      <c r="C165" s="64"/>
      <c r="D165" s="64"/>
      <c r="E165" s="64"/>
      <c r="F165" s="63"/>
      <c r="G165" s="63"/>
      <c r="H165" s="64"/>
      <c r="I165" s="64"/>
      <c r="J165" s="64"/>
      <c r="K165" s="64"/>
      <c r="L165" s="64"/>
      <c r="M165" s="64"/>
      <c r="N165" s="64"/>
      <c r="O165" s="64"/>
      <c r="P165" s="64"/>
      <c r="Q165" s="64"/>
      <c r="R165" s="64"/>
      <c r="S165" s="64"/>
      <c r="T165" s="64"/>
      <c r="U165" s="64"/>
      <c r="V165" s="64"/>
      <c r="W165" s="64"/>
      <c r="X165" s="64"/>
      <c r="Y165" s="64"/>
      <c r="Z165" s="64"/>
    </row>
    <row r="166" ht="12.75" customHeight="1">
      <c r="A166" s="108"/>
      <c r="B166" s="64"/>
      <c r="C166" s="64"/>
      <c r="D166" s="64"/>
      <c r="E166" s="64"/>
      <c r="F166" s="63"/>
      <c r="G166" s="63"/>
      <c r="H166" s="64"/>
      <c r="I166" s="64"/>
      <c r="J166" s="64"/>
      <c r="K166" s="64"/>
      <c r="L166" s="64"/>
      <c r="M166" s="64"/>
      <c r="N166" s="64"/>
      <c r="O166" s="64"/>
      <c r="P166" s="64"/>
      <c r="Q166" s="64"/>
      <c r="R166" s="64"/>
      <c r="S166" s="64"/>
      <c r="T166" s="64"/>
      <c r="U166" s="64"/>
      <c r="V166" s="64"/>
      <c r="W166" s="64"/>
      <c r="X166" s="64"/>
      <c r="Y166" s="64"/>
      <c r="Z166" s="64"/>
    </row>
    <row r="167" ht="12.75" customHeight="1">
      <c r="A167" s="108"/>
      <c r="B167" s="64"/>
      <c r="C167" s="64"/>
      <c r="D167" s="64"/>
      <c r="E167" s="64"/>
      <c r="F167" s="63"/>
      <c r="G167" s="63"/>
      <c r="H167" s="64"/>
      <c r="I167" s="64"/>
      <c r="J167" s="64"/>
      <c r="K167" s="64"/>
      <c r="L167" s="64"/>
      <c r="M167" s="64"/>
      <c r="N167" s="64"/>
      <c r="O167" s="64"/>
      <c r="P167" s="64"/>
      <c r="Q167" s="64"/>
      <c r="R167" s="64"/>
      <c r="S167" s="64"/>
      <c r="T167" s="64"/>
      <c r="U167" s="64"/>
      <c r="V167" s="64"/>
      <c r="W167" s="64"/>
      <c r="X167" s="64"/>
      <c r="Y167" s="64"/>
      <c r="Z167" s="64"/>
    </row>
    <row r="168" ht="12.75" customHeight="1">
      <c r="A168" s="108"/>
      <c r="B168" s="64"/>
      <c r="C168" s="64"/>
      <c r="D168" s="64"/>
      <c r="E168" s="64"/>
      <c r="F168" s="63"/>
      <c r="G168" s="63"/>
      <c r="H168" s="64"/>
      <c r="I168" s="64"/>
      <c r="J168" s="64"/>
      <c r="K168" s="64"/>
      <c r="L168" s="64"/>
      <c r="M168" s="64"/>
      <c r="N168" s="64"/>
      <c r="O168" s="64"/>
      <c r="P168" s="64"/>
      <c r="Q168" s="64"/>
      <c r="R168" s="64"/>
      <c r="S168" s="64"/>
      <c r="T168" s="64"/>
      <c r="U168" s="64"/>
      <c r="V168" s="64"/>
      <c r="W168" s="64"/>
      <c r="X168" s="64"/>
      <c r="Y168" s="64"/>
      <c r="Z168" s="64"/>
    </row>
    <row r="169" ht="12.75" customHeight="1">
      <c r="A169" s="108"/>
      <c r="B169" s="64"/>
      <c r="C169" s="64"/>
      <c r="D169" s="64"/>
      <c r="E169" s="64"/>
      <c r="F169" s="63"/>
      <c r="G169" s="63"/>
      <c r="H169" s="64"/>
      <c r="I169" s="64"/>
      <c r="J169" s="64"/>
      <c r="K169" s="64"/>
      <c r="L169" s="64"/>
      <c r="M169" s="64"/>
      <c r="N169" s="64"/>
      <c r="O169" s="64"/>
      <c r="P169" s="64"/>
      <c r="Q169" s="64"/>
      <c r="R169" s="64"/>
      <c r="S169" s="64"/>
      <c r="T169" s="64"/>
      <c r="U169" s="64"/>
      <c r="V169" s="64"/>
      <c r="W169" s="64"/>
      <c r="X169" s="64"/>
      <c r="Y169" s="64"/>
      <c r="Z169" s="64"/>
    </row>
    <row r="170" ht="12.75" customHeight="1">
      <c r="A170" s="108"/>
      <c r="B170" s="64"/>
      <c r="C170" s="64"/>
      <c r="D170" s="64"/>
      <c r="E170" s="64"/>
      <c r="F170" s="63"/>
      <c r="G170" s="63"/>
      <c r="H170" s="64"/>
      <c r="I170" s="64"/>
      <c r="J170" s="64"/>
      <c r="K170" s="64"/>
      <c r="L170" s="64"/>
      <c r="M170" s="64"/>
      <c r="N170" s="64"/>
      <c r="O170" s="64"/>
      <c r="P170" s="64"/>
      <c r="Q170" s="64"/>
      <c r="R170" s="64"/>
      <c r="S170" s="64"/>
      <c r="T170" s="64"/>
      <c r="U170" s="64"/>
      <c r="V170" s="64"/>
      <c r="W170" s="64"/>
      <c r="X170" s="64"/>
      <c r="Y170" s="64"/>
      <c r="Z170" s="64"/>
    </row>
    <row r="171" ht="12.75" customHeight="1">
      <c r="A171" s="108"/>
      <c r="B171" s="64"/>
      <c r="C171" s="64"/>
      <c r="D171" s="64"/>
      <c r="E171" s="64"/>
      <c r="F171" s="63"/>
      <c r="G171" s="63"/>
      <c r="H171" s="64"/>
      <c r="I171" s="64"/>
      <c r="J171" s="64"/>
      <c r="K171" s="64"/>
      <c r="L171" s="64"/>
      <c r="M171" s="64"/>
      <c r="N171" s="64"/>
      <c r="O171" s="64"/>
      <c r="P171" s="64"/>
      <c r="Q171" s="64"/>
      <c r="R171" s="64"/>
      <c r="S171" s="64"/>
      <c r="T171" s="64"/>
      <c r="U171" s="64"/>
      <c r="V171" s="64"/>
      <c r="W171" s="64"/>
      <c r="X171" s="64"/>
      <c r="Y171" s="64"/>
      <c r="Z171" s="64"/>
    </row>
    <row r="172" ht="12.75" customHeight="1">
      <c r="A172" s="108"/>
      <c r="B172" s="64"/>
      <c r="C172" s="64"/>
      <c r="D172" s="64"/>
      <c r="E172" s="64"/>
      <c r="F172" s="63"/>
      <c r="G172" s="63"/>
      <c r="H172" s="64"/>
      <c r="I172" s="64"/>
      <c r="J172" s="64"/>
      <c r="K172" s="64"/>
      <c r="L172" s="64"/>
      <c r="M172" s="64"/>
      <c r="N172" s="64"/>
      <c r="O172" s="64"/>
      <c r="P172" s="64"/>
      <c r="Q172" s="64"/>
      <c r="R172" s="64"/>
      <c r="S172" s="64"/>
      <c r="T172" s="64"/>
      <c r="U172" s="64"/>
      <c r="V172" s="64"/>
      <c r="W172" s="64"/>
      <c r="X172" s="64"/>
      <c r="Y172" s="64"/>
      <c r="Z172" s="64"/>
    </row>
    <row r="173" ht="12.75" customHeight="1">
      <c r="A173" s="108"/>
      <c r="B173" s="64"/>
      <c r="C173" s="64"/>
      <c r="D173" s="64"/>
      <c r="E173" s="64"/>
      <c r="F173" s="63"/>
      <c r="G173" s="63"/>
      <c r="H173" s="64"/>
      <c r="I173" s="64"/>
      <c r="J173" s="64"/>
      <c r="K173" s="64"/>
      <c r="L173" s="64"/>
      <c r="M173" s="64"/>
      <c r="N173" s="64"/>
      <c r="O173" s="64"/>
      <c r="P173" s="64"/>
      <c r="Q173" s="64"/>
      <c r="R173" s="64"/>
      <c r="S173" s="64"/>
      <c r="T173" s="64"/>
      <c r="U173" s="64"/>
      <c r="V173" s="64"/>
      <c r="W173" s="64"/>
      <c r="X173" s="64"/>
      <c r="Y173" s="64"/>
      <c r="Z173" s="64"/>
    </row>
    <row r="174" ht="12.75" customHeight="1">
      <c r="A174" s="108"/>
      <c r="B174" s="64"/>
      <c r="C174" s="64"/>
      <c r="D174" s="64"/>
      <c r="E174" s="64"/>
      <c r="F174" s="63"/>
      <c r="G174" s="63"/>
      <c r="H174" s="64"/>
      <c r="I174" s="64"/>
      <c r="J174" s="64"/>
      <c r="K174" s="64"/>
      <c r="L174" s="64"/>
      <c r="M174" s="64"/>
      <c r="N174" s="64"/>
      <c r="O174" s="64"/>
      <c r="P174" s="64"/>
      <c r="Q174" s="64"/>
      <c r="R174" s="64"/>
      <c r="S174" s="64"/>
      <c r="T174" s="64"/>
      <c r="U174" s="64"/>
      <c r="V174" s="64"/>
      <c r="W174" s="64"/>
      <c r="X174" s="64"/>
      <c r="Y174" s="64"/>
      <c r="Z174" s="64"/>
    </row>
    <row r="175" ht="12.75" customHeight="1">
      <c r="A175" s="108"/>
      <c r="B175" s="64"/>
      <c r="C175" s="64"/>
      <c r="D175" s="64"/>
      <c r="E175" s="64"/>
      <c r="F175" s="63"/>
      <c r="G175" s="63"/>
      <c r="H175" s="64"/>
      <c r="I175" s="64"/>
      <c r="J175" s="64"/>
      <c r="K175" s="64"/>
      <c r="L175" s="64"/>
      <c r="M175" s="64"/>
      <c r="N175" s="64"/>
      <c r="O175" s="64"/>
      <c r="P175" s="64"/>
      <c r="Q175" s="64"/>
      <c r="R175" s="64"/>
      <c r="S175" s="64"/>
      <c r="T175" s="64"/>
      <c r="U175" s="64"/>
      <c r="V175" s="64"/>
      <c r="W175" s="64"/>
      <c r="X175" s="64"/>
      <c r="Y175" s="64"/>
      <c r="Z175" s="64"/>
    </row>
    <row r="176" ht="12.75" customHeight="1">
      <c r="A176" s="108"/>
      <c r="B176" s="64"/>
      <c r="C176" s="64"/>
      <c r="D176" s="64"/>
      <c r="E176" s="64"/>
      <c r="F176" s="63"/>
      <c r="G176" s="63"/>
      <c r="H176" s="64"/>
      <c r="I176" s="64"/>
      <c r="J176" s="64"/>
      <c r="K176" s="64"/>
      <c r="L176" s="64"/>
      <c r="M176" s="64"/>
      <c r="N176" s="64"/>
      <c r="O176" s="64"/>
      <c r="P176" s="64"/>
      <c r="Q176" s="64"/>
      <c r="R176" s="64"/>
      <c r="S176" s="64"/>
      <c r="T176" s="64"/>
      <c r="U176" s="64"/>
      <c r="V176" s="64"/>
      <c r="W176" s="64"/>
      <c r="X176" s="64"/>
      <c r="Y176" s="64"/>
      <c r="Z176" s="64"/>
    </row>
    <row r="177" ht="12.75" customHeight="1">
      <c r="A177" s="108"/>
      <c r="B177" s="64"/>
      <c r="C177" s="64"/>
      <c r="D177" s="64"/>
      <c r="E177" s="64"/>
      <c r="F177" s="63"/>
      <c r="G177" s="63"/>
      <c r="H177" s="64"/>
      <c r="I177" s="64"/>
      <c r="J177" s="64"/>
      <c r="K177" s="64"/>
      <c r="L177" s="64"/>
      <c r="M177" s="64"/>
      <c r="N177" s="64"/>
      <c r="O177" s="64"/>
      <c r="P177" s="64"/>
      <c r="Q177" s="64"/>
      <c r="R177" s="64"/>
      <c r="S177" s="64"/>
      <c r="T177" s="64"/>
      <c r="U177" s="64"/>
      <c r="V177" s="64"/>
      <c r="W177" s="64"/>
      <c r="X177" s="64"/>
      <c r="Y177" s="64"/>
      <c r="Z177" s="64"/>
    </row>
    <row r="178" ht="12.75" customHeight="1">
      <c r="A178" s="108"/>
      <c r="B178" s="64"/>
      <c r="C178" s="64"/>
      <c r="D178" s="64"/>
      <c r="E178" s="64"/>
      <c r="F178" s="63"/>
      <c r="G178" s="63"/>
      <c r="H178" s="64"/>
      <c r="I178" s="64"/>
      <c r="J178" s="64"/>
      <c r="K178" s="64"/>
      <c r="L178" s="64"/>
      <c r="M178" s="64"/>
      <c r="N178" s="64"/>
      <c r="O178" s="64"/>
      <c r="P178" s="64"/>
      <c r="Q178" s="64"/>
      <c r="R178" s="64"/>
      <c r="S178" s="64"/>
      <c r="T178" s="64"/>
      <c r="U178" s="64"/>
      <c r="V178" s="64"/>
      <c r="W178" s="64"/>
      <c r="X178" s="64"/>
      <c r="Y178" s="64"/>
      <c r="Z178" s="64"/>
    </row>
    <row r="179" ht="12.75" customHeight="1">
      <c r="A179" s="108"/>
      <c r="B179" s="64"/>
      <c r="C179" s="64"/>
      <c r="D179" s="64"/>
      <c r="E179" s="64"/>
      <c r="F179" s="63"/>
      <c r="G179" s="63"/>
      <c r="H179" s="64"/>
      <c r="I179" s="64"/>
      <c r="J179" s="64"/>
      <c r="K179" s="64"/>
      <c r="L179" s="64"/>
      <c r="M179" s="64"/>
      <c r="N179" s="64"/>
      <c r="O179" s="64"/>
      <c r="P179" s="64"/>
      <c r="Q179" s="64"/>
      <c r="R179" s="64"/>
      <c r="S179" s="64"/>
      <c r="T179" s="64"/>
      <c r="U179" s="64"/>
      <c r="V179" s="64"/>
      <c r="W179" s="64"/>
      <c r="X179" s="64"/>
      <c r="Y179" s="64"/>
      <c r="Z179" s="64"/>
    </row>
    <row r="180" ht="12.75" customHeight="1">
      <c r="A180" s="108"/>
      <c r="B180" s="64"/>
      <c r="C180" s="64"/>
      <c r="D180" s="64"/>
      <c r="E180" s="64"/>
      <c r="F180" s="63"/>
      <c r="G180" s="63"/>
      <c r="H180" s="64"/>
      <c r="I180" s="64"/>
      <c r="J180" s="64"/>
      <c r="K180" s="64"/>
      <c r="L180" s="64"/>
      <c r="M180" s="64"/>
      <c r="N180" s="64"/>
      <c r="O180" s="64"/>
      <c r="P180" s="64"/>
      <c r="Q180" s="64"/>
      <c r="R180" s="64"/>
      <c r="S180" s="64"/>
      <c r="T180" s="64"/>
      <c r="U180" s="64"/>
      <c r="V180" s="64"/>
      <c r="W180" s="64"/>
      <c r="X180" s="64"/>
      <c r="Y180" s="64"/>
      <c r="Z180" s="64"/>
    </row>
    <row r="181" ht="12.75" customHeight="1">
      <c r="A181" s="108"/>
      <c r="B181" s="64"/>
      <c r="C181" s="64"/>
      <c r="D181" s="64"/>
      <c r="E181" s="64"/>
      <c r="F181" s="63"/>
      <c r="G181" s="63"/>
      <c r="H181" s="64"/>
      <c r="I181" s="64"/>
      <c r="J181" s="64"/>
      <c r="K181" s="64"/>
      <c r="L181" s="64"/>
      <c r="M181" s="64"/>
      <c r="N181" s="64"/>
      <c r="O181" s="64"/>
      <c r="P181" s="64"/>
      <c r="Q181" s="64"/>
      <c r="R181" s="64"/>
      <c r="S181" s="64"/>
      <c r="T181" s="64"/>
      <c r="U181" s="64"/>
      <c r="V181" s="64"/>
      <c r="W181" s="64"/>
      <c r="X181" s="64"/>
      <c r="Y181" s="64"/>
      <c r="Z181" s="64"/>
    </row>
    <row r="182" ht="12.75" customHeight="1">
      <c r="A182" s="108"/>
      <c r="B182" s="64"/>
      <c r="C182" s="64"/>
      <c r="D182" s="64"/>
      <c r="E182" s="64"/>
      <c r="F182" s="63"/>
      <c r="G182" s="63"/>
      <c r="H182" s="64"/>
      <c r="I182" s="64"/>
      <c r="J182" s="64"/>
      <c r="K182" s="64"/>
      <c r="L182" s="64"/>
      <c r="M182" s="64"/>
      <c r="N182" s="64"/>
      <c r="O182" s="64"/>
      <c r="P182" s="64"/>
      <c r="Q182" s="64"/>
      <c r="R182" s="64"/>
      <c r="S182" s="64"/>
      <c r="T182" s="64"/>
      <c r="U182" s="64"/>
      <c r="V182" s="64"/>
      <c r="W182" s="64"/>
      <c r="X182" s="64"/>
      <c r="Y182" s="64"/>
      <c r="Z182" s="64"/>
    </row>
    <row r="183" ht="12.75" customHeight="1">
      <c r="A183" s="108"/>
      <c r="B183" s="64"/>
      <c r="C183" s="64"/>
      <c r="D183" s="64"/>
      <c r="E183" s="64"/>
      <c r="F183" s="63"/>
      <c r="G183" s="63"/>
      <c r="H183" s="64"/>
      <c r="I183" s="64"/>
      <c r="J183" s="64"/>
      <c r="K183" s="64"/>
      <c r="L183" s="64"/>
      <c r="M183" s="64"/>
      <c r="N183" s="64"/>
      <c r="O183" s="64"/>
      <c r="P183" s="64"/>
      <c r="Q183" s="64"/>
      <c r="R183" s="64"/>
      <c r="S183" s="64"/>
      <c r="T183" s="64"/>
      <c r="U183" s="64"/>
      <c r="V183" s="64"/>
      <c r="W183" s="64"/>
      <c r="X183" s="64"/>
      <c r="Y183" s="64"/>
      <c r="Z183" s="64"/>
    </row>
    <row r="184" ht="12.75" customHeight="1">
      <c r="A184" s="108"/>
      <c r="B184" s="64"/>
      <c r="C184" s="64"/>
      <c r="D184" s="64"/>
      <c r="E184" s="64"/>
      <c r="F184" s="63"/>
      <c r="G184" s="63"/>
      <c r="H184" s="64"/>
      <c r="I184" s="64"/>
      <c r="J184" s="64"/>
      <c r="K184" s="64"/>
      <c r="L184" s="64"/>
      <c r="M184" s="64"/>
      <c r="N184" s="64"/>
      <c r="O184" s="64"/>
      <c r="P184" s="64"/>
      <c r="Q184" s="64"/>
      <c r="R184" s="64"/>
      <c r="S184" s="64"/>
      <c r="T184" s="64"/>
      <c r="U184" s="64"/>
      <c r="V184" s="64"/>
      <c r="W184" s="64"/>
      <c r="X184" s="64"/>
      <c r="Y184" s="64"/>
      <c r="Z184" s="64"/>
    </row>
    <row r="185" ht="12.75" customHeight="1">
      <c r="A185" s="108"/>
      <c r="B185" s="64"/>
      <c r="C185" s="64"/>
      <c r="D185" s="64"/>
      <c r="E185" s="64"/>
      <c r="F185" s="63"/>
      <c r="G185" s="63"/>
      <c r="H185" s="64"/>
      <c r="I185" s="64"/>
      <c r="J185" s="64"/>
      <c r="K185" s="64"/>
      <c r="L185" s="64"/>
      <c r="M185" s="64"/>
      <c r="N185" s="64"/>
      <c r="O185" s="64"/>
      <c r="P185" s="64"/>
      <c r="Q185" s="64"/>
      <c r="R185" s="64"/>
      <c r="S185" s="64"/>
      <c r="T185" s="64"/>
      <c r="U185" s="64"/>
      <c r="V185" s="64"/>
      <c r="W185" s="64"/>
      <c r="X185" s="64"/>
      <c r="Y185" s="64"/>
      <c r="Z185" s="64"/>
    </row>
    <row r="186" ht="12.75" customHeight="1">
      <c r="A186" s="108"/>
      <c r="B186" s="64"/>
      <c r="C186" s="64"/>
      <c r="D186" s="64"/>
      <c r="E186" s="64"/>
      <c r="F186" s="63"/>
      <c r="G186" s="63"/>
      <c r="H186" s="64"/>
      <c r="I186" s="64"/>
      <c r="J186" s="64"/>
      <c r="K186" s="64"/>
      <c r="L186" s="64"/>
      <c r="M186" s="64"/>
      <c r="N186" s="64"/>
      <c r="O186" s="64"/>
      <c r="P186" s="64"/>
      <c r="Q186" s="64"/>
      <c r="R186" s="64"/>
      <c r="S186" s="64"/>
      <c r="T186" s="64"/>
      <c r="U186" s="64"/>
      <c r="V186" s="64"/>
      <c r="W186" s="64"/>
      <c r="X186" s="64"/>
      <c r="Y186" s="64"/>
      <c r="Z186" s="64"/>
    </row>
    <row r="187" ht="12.75" customHeight="1">
      <c r="A187" s="108"/>
      <c r="B187" s="64"/>
      <c r="C187" s="64"/>
      <c r="D187" s="64"/>
      <c r="E187" s="64"/>
      <c r="F187" s="63"/>
      <c r="G187" s="63"/>
      <c r="H187" s="64"/>
      <c r="I187" s="64"/>
      <c r="J187" s="64"/>
      <c r="K187" s="64"/>
      <c r="L187" s="64"/>
      <c r="M187" s="64"/>
      <c r="N187" s="64"/>
      <c r="O187" s="64"/>
      <c r="P187" s="64"/>
      <c r="Q187" s="64"/>
      <c r="R187" s="64"/>
      <c r="S187" s="64"/>
      <c r="T187" s="64"/>
      <c r="U187" s="64"/>
      <c r="V187" s="64"/>
      <c r="W187" s="64"/>
      <c r="X187" s="64"/>
      <c r="Y187" s="64"/>
      <c r="Z187" s="64"/>
    </row>
    <row r="188" ht="12.75" customHeight="1">
      <c r="A188" s="108"/>
      <c r="B188" s="64"/>
      <c r="C188" s="64"/>
      <c r="D188" s="64"/>
      <c r="E188" s="64"/>
      <c r="F188" s="63"/>
      <c r="G188" s="63"/>
      <c r="H188" s="64"/>
      <c r="I188" s="64"/>
      <c r="J188" s="64"/>
      <c r="K188" s="64"/>
      <c r="L188" s="64"/>
      <c r="M188" s="64"/>
      <c r="N188" s="64"/>
      <c r="O188" s="64"/>
      <c r="P188" s="64"/>
      <c r="Q188" s="64"/>
      <c r="R188" s="64"/>
      <c r="S188" s="64"/>
      <c r="T188" s="64"/>
      <c r="U188" s="64"/>
      <c r="V188" s="64"/>
      <c r="W188" s="64"/>
      <c r="X188" s="64"/>
      <c r="Y188" s="64"/>
      <c r="Z188" s="64"/>
    </row>
    <row r="189" ht="12.75" customHeight="1">
      <c r="A189" s="108"/>
      <c r="B189" s="64"/>
      <c r="C189" s="64"/>
      <c r="D189" s="64"/>
      <c r="E189" s="64"/>
      <c r="F189" s="63"/>
      <c r="G189" s="63"/>
      <c r="H189" s="64"/>
      <c r="I189" s="64"/>
      <c r="J189" s="64"/>
      <c r="K189" s="64"/>
      <c r="L189" s="64"/>
      <c r="M189" s="64"/>
      <c r="N189" s="64"/>
      <c r="O189" s="64"/>
      <c r="P189" s="64"/>
      <c r="Q189" s="64"/>
      <c r="R189" s="64"/>
      <c r="S189" s="64"/>
      <c r="T189" s="64"/>
      <c r="U189" s="64"/>
      <c r="V189" s="64"/>
      <c r="W189" s="64"/>
      <c r="X189" s="64"/>
      <c r="Y189" s="64"/>
      <c r="Z189" s="64"/>
    </row>
    <row r="190" ht="12.75" customHeight="1">
      <c r="A190" s="108"/>
      <c r="B190" s="64"/>
      <c r="C190" s="64"/>
      <c r="D190" s="64"/>
      <c r="E190" s="64"/>
      <c r="F190" s="63"/>
      <c r="G190" s="63"/>
      <c r="H190" s="64"/>
      <c r="I190" s="64"/>
      <c r="J190" s="64"/>
      <c r="K190" s="64"/>
      <c r="L190" s="64"/>
      <c r="M190" s="64"/>
      <c r="N190" s="64"/>
      <c r="O190" s="64"/>
      <c r="P190" s="64"/>
      <c r="Q190" s="64"/>
      <c r="R190" s="64"/>
      <c r="S190" s="64"/>
      <c r="T190" s="64"/>
      <c r="U190" s="64"/>
      <c r="V190" s="64"/>
      <c r="W190" s="64"/>
      <c r="X190" s="64"/>
      <c r="Y190" s="64"/>
      <c r="Z190" s="64"/>
    </row>
    <row r="191" ht="12.75" customHeight="1">
      <c r="A191" s="108"/>
      <c r="B191" s="64"/>
      <c r="C191" s="64"/>
      <c r="D191" s="64"/>
      <c r="E191" s="64"/>
      <c r="F191" s="63"/>
      <c r="G191" s="63"/>
      <c r="H191" s="64"/>
      <c r="I191" s="64"/>
      <c r="J191" s="64"/>
      <c r="K191" s="64"/>
      <c r="L191" s="64"/>
      <c r="M191" s="64"/>
      <c r="N191" s="64"/>
      <c r="O191" s="64"/>
      <c r="P191" s="64"/>
      <c r="Q191" s="64"/>
      <c r="R191" s="64"/>
      <c r="S191" s="64"/>
      <c r="T191" s="64"/>
      <c r="U191" s="64"/>
      <c r="V191" s="64"/>
      <c r="W191" s="64"/>
      <c r="X191" s="64"/>
      <c r="Y191" s="64"/>
      <c r="Z191" s="64"/>
    </row>
    <row r="192" ht="12.75" customHeight="1">
      <c r="A192" s="108"/>
      <c r="B192" s="64"/>
      <c r="C192" s="64"/>
      <c r="D192" s="64"/>
      <c r="E192" s="64"/>
      <c r="F192" s="63"/>
      <c r="G192" s="63"/>
      <c r="H192" s="64"/>
      <c r="I192" s="64"/>
      <c r="J192" s="64"/>
      <c r="K192" s="64"/>
      <c r="L192" s="64"/>
      <c r="M192" s="64"/>
      <c r="N192" s="64"/>
      <c r="O192" s="64"/>
      <c r="P192" s="64"/>
      <c r="Q192" s="64"/>
      <c r="R192" s="64"/>
      <c r="S192" s="64"/>
      <c r="T192" s="64"/>
      <c r="U192" s="64"/>
      <c r="V192" s="64"/>
      <c r="W192" s="64"/>
      <c r="X192" s="64"/>
      <c r="Y192" s="64"/>
      <c r="Z192" s="64"/>
    </row>
    <row r="193" ht="12.75" customHeight="1">
      <c r="A193" s="108"/>
      <c r="B193" s="64"/>
      <c r="C193" s="64"/>
      <c r="D193" s="64"/>
      <c r="E193" s="64"/>
      <c r="F193" s="63"/>
      <c r="G193" s="63"/>
      <c r="H193" s="64"/>
      <c r="I193" s="64"/>
      <c r="J193" s="64"/>
      <c r="K193" s="64"/>
      <c r="L193" s="64"/>
      <c r="M193" s="64"/>
      <c r="N193" s="64"/>
      <c r="O193" s="64"/>
      <c r="P193" s="64"/>
      <c r="Q193" s="64"/>
      <c r="R193" s="64"/>
      <c r="S193" s="64"/>
      <c r="T193" s="64"/>
      <c r="U193" s="64"/>
      <c r="V193" s="64"/>
      <c r="W193" s="64"/>
      <c r="X193" s="64"/>
      <c r="Y193" s="64"/>
      <c r="Z193" s="64"/>
    </row>
    <row r="194" ht="12.75" customHeight="1">
      <c r="A194" s="108"/>
      <c r="B194" s="64"/>
      <c r="C194" s="64"/>
      <c r="D194" s="64"/>
      <c r="E194" s="64"/>
      <c r="F194" s="63"/>
      <c r="G194" s="63"/>
      <c r="H194" s="64"/>
      <c r="I194" s="64"/>
      <c r="J194" s="64"/>
      <c r="K194" s="64"/>
      <c r="L194" s="64"/>
      <c r="M194" s="64"/>
      <c r="N194" s="64"/>
      <c r="O194" s="64"/>
      <c r="P194" s="64"/>
      <c r="Q194" s="64"/>
      <c r="R194" s="64"/>
      <c r="S194" s="64"/>
      <c r="T194" s="64"/>
      <c r="U194" s="64"/>
      <c r="V194" s="64"/>
      <c r="W194" s="64"/>
      <c r="X194" s="64"/>
      <c r="Y194" s="64"/>
      <c r="Z194" s="64"/>
    </row>
    <row r="195" ht="12.75" customHeight="1">
      <c r="A195" s="108"/>
      <c r="B195" s="64"/>
      <c r="C195" s="64"/>
      <c r="D195" s="64"/>
      <c r="E195" s="64"/>
      <c r="F195" s="63"/>
      <c r="G195" s="63"/>
      <c r="H195" s="64"/>
      <c r="I195" s="64"/>
      <c r="J195" s="64"/>
      <c r="K195" s="64"/>
      <c r="L195" s="64"/>
      <c r="M195" s="64"/>
      <c r="N195" s="64"/>
      <c r="O195" s="64"/>
      <c r="P195" s="64"/>
      <c r="Q195" s="64"/>
      <c r="R195" s="64"/>
      <c r="S195" s="64"/>
      <c r="T195" s="64"/>
      <c r="U195" s="64"/>
      <c r="V195" s="64"/>
      <c r="W195" s="64"/>
      <c r="X195" s="64"/>
      <c r="Y195" s="64"/>
      <c r="Z195" s="64"/>
    </row>
    <row r="196" ht="12.75" customHeight="1">
      <c r="A196" s="108"/>
      <c r="B196" s="64"/>
      <c r="C196" s="64"/>
      <c r="D196" s="64"/>
      <c r="E196" s="64"/>
      <c r="F196" s="63"/>
      <c r="G196" s="63"/>
      <c r="H196" s="64"/>
      <c r="I196" s="64"/>
      <c r="J196" s="64"/>
      <c r="K196" s="64"/>
      <c r="L196" s="64"/>
      <c r="M196" s="64"/>
      <c r="N196" s="64"/>
      <c r="O196" s="64"/>
      <c r="P196" s="64"/>
      <c r="Q196" s="64"/>
      <c r="R196" s="64"/>
      <c r="S196" s="64"/>
      <c r="T196" s="64"/>
      <c r="U196" s="64"/>
      <c r="V196" s="64"/>
      <c r="W196" s="64"/>
      <c r="X196" s="64"/>
      <c r="Y196" s="64"/>
      <c r="Z196" s="64"/>
    </row>
    <row r="197" ht="12.75" customHeight="1">
      <c r="A197" s="108"/>
      <c r="B197" s="64"/>
      <c r="C197" s="64"/>
      <c r="D197" s="64"/>
      <c r="E197" s="64"/>
      <c r="F197" s="63"/>
      <c r="G197" s="63"/>
      <c r="H197" s="64"/>
      <c r="I197" s="64"/>
      <c r="J197" s="64"/>
      <c r="K197" s="64"/>
      <c r="L197" s="64"/>
      <c r="M197" s="64"/>
      <c r="N197" s="64"/>
      <c r="O197" s="64"/>
      <c r="P197" s="64"/>
      <c r="Q197" s="64"/>
      <c r="R197" s="64"/>
      <c r="S197" s="64"/>
      <c r="T197" s="64"/>
      <c r="U197" s="64"/>
      <c r="V197" s="64"/>
      <c r="W197" s="64"/>
      <c r="X197" s="64"/>
      <c r="Y197" s="64"/>
      <c r="Z197" s="64"/>
    </row>
    <row r="198" ht="12.75" customHeight="1">
      <c r="A198" s="108"/>
      <c r="B198" s="64"/>
      <c r="C198" s="64"/>
      <c r="D198" s="64"/>
      <c r="E198" s="64"/>
      <c r="F198" s="63"/>
      <c r="G198" s="63"/>
      <c r="H198" s="64"/>
      <c r="I198" s="64"/>
      <c r="J198" s="64"/>
      <c r="K198" s="64"/>
      <c r="L198" s="64"/>
      <c r="M198" s="64"/>
      <c r="N198" s="64"/>
      <c r="O198" s="64"/>
      <c r="P198" s="64"/>
      <c r="Q198" s="64"/>
      <c r="R198" s="64"/>
      <c r="S198" s="64"/>
      <c r="T198" s="64"/>
      <c r="U198" s="64"/>
      <c r="V198" s="64"/>
      <c r="W198" s="64"/>
      <c r="X198" s="64"/>
      <c r="Y198" s="64"/>
      <c r="Z198" s="64"/>
    </row>
    <row r="199" ht="12.75" customHeight="1">
      <c r="A199" s="108"/>
      <c r="B199" s="64"/>
      <c r="C199" s="64"/>
      <c r="D199" s="64"/>
      <c r="E199" s="64"/>
      <c r="F199" s="63"/>
      <c r="G199" s="63"/>
      <c r="H199" s="64"/>
      <c r="I199" s="64"/>
      <c r="J199" s="64"/>
      <c r="K199" s="64"/>
      <c r="L199" s="64"/>
      <c r="M199" s="64"/>
      <c r="N199" s="64"/>
      <c r="O199" s="64"/>
      <c r="P199" s="64"/>
      <c r="Q199" s="64"/>
      <c r="R199" s="64"/>
      <c r="S199" s="64"/>
      <c r="T199" s="64"/>
      <c r="U199" s="64"/>
      <c r="V199" s="64"/>
      <c r="W199" s="64"/>
      <c r="X199" s="64"/>
      <c r="Y199" s="64"/>
      <c r="Z199" s="64"/>
    </row>
    <row r="200" ht="12.75" customHeight="1">
      <c r="A200" s="108"/>
      <c r="B200" s="64"/>
      <c r="C200" s="64"/>
      <c r="D200" s="64"/>
      <c r="E200" s="64"/>
      <c r="F200" s="63"/>
      <c r="G200" s="63"/>
      <c r="H200" s="64"/>
      <c r="I200" s="64"/>
      <c r="J200" s="64"/>
      <c r="K200" s="64"/>
      <c r="L200" s="64"/>
      <c r="M200" s="64"/>
      <c r="N200" s="64"/>
      <c r="O200" s="64"/>
      <c r="P200" s="64"/>
      <c r="Q200" s="64"/>
      <c r="R200" s="64"/>
      <c r="S200" s="64"/>
      <c r="T200" s="64"/>
      <c r="U200" s="64"/>
      <c r="V200" s="64"/>
      <c r="W200" s="64"/>
      <c r="X200" s="64"/>
      <c r="Y200" s="64"/>
      <c r="Z200" s="64"/>
    </row>
    <row r="201" ht="12.75" customHeight="1">
      <c r="A201" s="108"/>
      <c r="B201" s="64"/>
      <c r="C201" s="64"/>
      <c r="D201" s="64"/>
      <c r="E201" s="64"/>
      <c r="F201" s="63"/>
      <c r="G201" s="63"/>
      <c r="H201" s="64"/>
      <c r="I201" s="64"/>
      <c r="J201" s="64"/>
      <c r="K201" s="64"/>
      <c r="L201" s="64"/>
      <c r="M201" s="64"/>
      <c r="N201" s="64"/>
      <c r="O201" s="64"/>
      <c r="P201" s="64"/>
      <c r="Q201" s="64"/>
      <c r="R201" s="64"/>
      <c r="S201" s="64"/>
      <c r="T201" s="64"/>
      <c r="U201" s="64"/>
      <c r="V201" s="64"/>
      <c r="W201" s="64"/>
      <c r="X201" s="64"/>
      <c r="Y201" s="64"/>
      <c r="Z201" s="64"/>
    </row>
    <row r="202" ht="12.75" customHeight="1">
      <c r="A202" s="108"/>
      <c r="B202" s="64"/>
      <c r="C202" s="64"/>
      <c r="D202" s="64"/>
      <c r="E202" s="64"/>
      <c r="F202" s="63"/>
      <c r="G202" s="63"/>
      <c r="H202" s="64"/>
      <c r="I202" s="64"/>
      <c r="J202" s="64"/>
      <c r="K202" s="64"/>
      <c r="L202" s="64"/>
      <c r="M202" s="64"/>
      <c r="N202" s="64"/>
      <c r="O202" s="64"/>
      <c r="P202" s="64"/>
      <c r="Q202" s="64"/>
      <c r="R202" s="64"/>
      <c r="S202" s="64"/>
      <c r="T202" s="64"/>
      <c r="U202" s="64"/>
      <c r="V202" s="64"/>
      <c r="W202" s="64"/>
      <c r="X202" s="64"/>
      <c r="Y202" s="64"/>
      <c r="Z202" s="64"/>
    </row>
    <row r="203" ht="12.75" customHeight="1">
      <c r="A203" s="108"/>
      <c r="B203" s="64"/>
      <c r="C203" s="64"/>
      <c r="D203" s="64"/>
      <c r="E203" s="64"/>
      <c r="F203" s="63"/>
      <c r="G203" s="63"/>
      <c r="H203" s="64"/>
      <c r="I203" s="64"/>
      <c r="J203" s="64"/>
      <c r="K203" s="64"/>
      <c r="L203" s="64"/>
      <c r="M203" s="64"/>
      <c r="N203" s="64"/>
      <c r="O203" s="64"/>
      <c r="P203" s="64"/>
      <c r="Q203" s="64"/>
      <c r="R203" s="64"/>
      <c r="S203" s="64"/>
      <c r="T203" s="64"/>
      <c r="U203" s="64"/>
      <c r="V203" s="64"/>
      <c r="W203" s="64"/>
      <c r="X203" s="64"/>
      <c r="Y203" s="64"/>
      <c r="Z203" s="64"/>
    </row>
    <row r="204" ht="12.75" customHeight="1">
      <c r="A204" s="108"/>
      <c r="B204" s="64"/>
      <c r="C204" s="64"/>
      <c r="D204" s="64"/>
      <c r="E204" s="64"/>
      <c r="F204" s="63"/>
      <c r="G204" s="63"/>
      <c r="H204" s="64"/>
      <c r="I204" s="64"/>
      <c r="J204" s="64"/>
      <c r="K204" s="64"/>
      <c r="L204" s="64"/>
      <c r="M204" s="64"/>
      <c r="N204" s="64"/>
      <c r="O204" s="64"/>
      <c r="P204" s="64"/>
      <c r="Q204" s="64"/>
      <c r="R204" s="64"/>
      <c r="S204" s="64"/>
      <c r="T204" s="64"/>
      <c r="U204" s="64"/>
      <c r="V204" s="64"/>
      <c r="W204" s="64"/>
      <c r="X204" s="64"/>
      <c r="Y204" s="64"/>
      <c r="Z204" s="64"/>
    </row>
    <row r="205" ht="12.75" customHeight="1">
      <c r="A205" s="108"/>
      <c r="B205" s="64"/>
      <c r="C205" s="64"/>
      <c r="D205" s="64"/>
      <c r="E205" s="64"/>
      <c r="F205" s="63"/>
      <c r="G205" s="63"/>
      <c r="H205" s="64"/>
      <c r="I205" s="64"/>
      <c r="J205" s="64"/>
      <c r="K205" s="64"/>
      <c r="L205" s="64"/>
      <c r="M205" s="64"/>
      <c r="N205" s="64"/>
      <c r="O205" s="64"/>
      <c r="P205" s="64"/>
      <c r="Q205" s="64"/>
      <c r="R205" s="64"/>
      <c r="S205" s="64"/>
      <c r="T205" s="64"/>
      <c r="U205" s="64"/>
      <c r="V205" s="64"/>
      <c r="W205" s="64"/>
      <c r="X205" s="64"/>
      <c r="Y205" s="64"/>
      <c r="Z205" s="64"/>
    </row>
    <row r="206" ht="12.75" customHeight="1">
      <c r="A206" s="108"/>
      <c r="B206" s="64"/>
      <c r="C206" s="64"/>
      <c r="D206" s="64"/>
      <c r="E206" s="64"/>
      <c r="F206" s="63"/>
      <c r="G206" s="63"/>
      <c r="H206" s="64"/>
      <c r="I206" s="64"/>
      <c r="J206" s="64"/>
      <c r="K206" s="64"/>
      <c r="L206" s="64"/>
      <c r="M206" s="64"/>
      <c r="N206" s="64"/>
      <c r="O206" s="64"/>
      <c r="P206" s="64"/>
      <c r="Q206" s="64"/>
      <c r="R206" s="64"/>
      <c r="S206" s="64"/>
      <c r="T206" s="64"/>
      <c r="U206" s="64"/>
      <c r="V206" s="64"/>
      <c r="W206" s="64"/>
      <c r="X206" s="64"/>
      <c r="Y206" s="64"/>
      <c r="Z206" s="64"/>
    </row>
    <row r="207" ht="12.75" customHeight="1">
      <c r="A207" s="108"/>
      <c r="B207" s="64"/>
      <c r="C207" s="64"/>
      <c r="D207" s="64"/>
      <c r="E207" s="64"/>
      <c r="F207" s="63"/>
      <c r="G207" s="63"/>
      <c r="H207" s="64"/>
      <c r="I207" s="64"/>
      <c r="J207" s="64"/>
      <c r="K207" s="64"/>
      <c r="L207" s="64"/>
      <c r="M207" s="64"/>
      <c r="N207" s="64"/>
      <c r="O207" s="64"/>
      <c r="P207" s="64"/>
      <c r="Q207" s="64"/>
      <c r="R207" s="64"/>
      <c r="S207" s="64"/>
      <c r="T207" s="64"/>
      <c r="U207" s="64"/>
      <c r="V207" s="64"/>
      <c r="W207" s="64"/>
      <c r="X207" s="64"/>
      <c r="Y207" s="64"/>
      <c r="Z207" s="64"/>
    </row>
    <row r="208" ht="12.75" customHeight="1">
      <c r="A208" s="108"/>
      <c r="B208" s="64"/>
      <c r="C208" s="64"/>
      <c r="D208" s="64"/>
      <c r="E208" s="64"/>
      <c r="F208" s="63"/>
      <c r="G208" s="63"/>
      <c r="H208" s="64"/>
      <c r="I208" s="64"/>
      <c r="J208" s="64"/>
      <c r="K208" s="64"/>
      <c r="L208" s="64"/>
      <c r="M208" s="64"/>
      <c r="N208" s="64"/>
      <c r="O208" s="64"/>
      <c r="P208" s="64"/>
      <c r="Q208" s="64"/>
      <c r="R208" s="64"/>
      <c r="S208" s="64"/>
      <c r="T208" s="64"/>
      <c r="U208" s="64"/>
      <c r="V208" s="64"/>
      <c r="W208" s="64"/>
      <c r="X208" s="64"/>
      <c r="Y208" s="64"/>
      <c r="Z208" s="64"/>
    </row>
    <row r="209" ht="12.75" customHeight="1">
      <c r="A209" s="108"/>
      <c r="B209" s="64"/>
      <c r="C209" s="64"/>
      <c r="D209" s="64"/>
      <c r="E209" s="64"/>
      <c r="F209" s="63"/>
      <c r="G209" s="63"/>
      <c r="H209" s="64"/>
      <c r="I209" s="64"/>
      <c r="J209" s="64"/>
      <c r="K209" s="64"/>
      <c r="L209" s="64"/>
      <c r="M209" s="64"/>
      <c r="N209" s="64"/>
      <c r="O209" s="64"/>
      <c r="P209" s="64"/>
      <c r="Q209" s="64"/>
      <c r="R209" s="64"/>
      <c r="S209" s="64"/>
      <c r="T209" s="64"/>
      <c r="U209" s="64"/>
      <c r="V209" s="64"/>
      <c r="W209" s="64"/>
      <c r="X209" s="64"/>
      <c r="Y209" s="64"/>
      <c r="Z209" s="64"/>
    </row>
    <row r="210" ht="12.75" customHeight="1">
      <c r="A210" s="108"/>
      <c r="B210" s="64"/>
      <c r="C210" s="64"/>
      <c r="D210" s="64"/>
      <c r="E210" s="64"/>
      <c r="F210" s="63"/>
      <c r="G210" s="63"/>
      <c r="H210" s="64"/>
      <c r="I210" s="64"/>
      <c r="J210" s="64"/>
      <c r="K210" s="64"/>
      <c r="L210" s="64"/>
      <c r="M210" s="64"/>
      <c r="N210" s="64"/>
      <c r="O210" s="64"/>
      <c r="P210" s="64"/>
      <c r="Q210" s="64"/>
      <c r="R210" s="64"/>
      <c r="S210" s="64"/>
      <c r="T210" s="64"/>
      <c r="U210" s="64"/>
      <c r="V210" s="64"/>
      <c r="W210" s="64"/>
      <c r="X210" s="64"/>
      <c r="Y210" s="64"/>
      <c r="Z210" s="64"/>
    </row>
    <row r="211" ht="12.75" customHeight="1">
      <c r="A211" s="108"/>
      <c r="B211" s="64"/>
      <c r="C211" s="64"/>
      <c r="D211" s="64"/>
      <c r="E211" s="64"/>
      <c r="F211" s="63"/>
      <c r="G211" s="63"/>
      <c r="H211" s="64"/>
      <c r="I211" s="64"/>
      <c r="J211" s="64"/>
      <c r="K211" s="64"/>
      <c r="L211" s="64"/>
      <c r="M211" s="64"/>
      <c r="N211" s="64"/>
      <c r="O211" s="64"/>
      <c r="P211" s="64"/>
      <c r="Q211" s="64"/>
      <c r="R211" s="64"/>
      <c r="S211" s="64"/>
      <c r="T211" s="64"/>
      <c r="U211" s="64"/>
      <c r="V211" s="64"/>
      <c r="W211" s="64"/>
      <c r="X211" s="64"/>
      <c r="Y211" s="64"/>
      <c r="Z211" s="64"/>
    </row>
    <row r="212" ht="12.75" customHeight="1">
      <c r="A212" s="108"/>
      <c r="B212" s="64"/>
      <c r="C212" s="64"/>
      <c r="D212" s="64"/>
      <c r="E212" s="64"/>
      <c r="F212" s="63"/>
      <c r="G212" s="63"/>
      <c r="H212" s="64"/>
      <c r="I212" s="64"/>
      <c r="J212" s="64"/>
      <c r="K212" s="64"/>
      <c r="L212" s="64"/>
      <c r="M212" s="64"/>
      <c r="N212" s="64"/>
      <c r="O212" s="64"/>
      <c r="P212" s="64"/>
      <c r="Q212" s="64"/>
      <c r="R212" s="64"/>
      <c r="S212" s="64"/>
      <c r="T212" s="64"/>
      <c r="U212" s="64"/>
      <c r="V212" s="64"/>
      <c r="W212" s="64"/>
      <c r="X212" s="64"/>
      <c r="Y212" s="64"/>
      <c r="Z212" s="64"/>
    </row>
    <row r="213" ht="12.75" customHeight="1">
      <c r="A213" s="108"/>
      <c r="B213" s="64"/>
      <c r="C213" s="64"/>
      <c r="D213" s="64"/>
      <c r="E213" s="64"/>
      <c r="F213" s="63"/>
      <c r="G213" s="63"/>
      <c r="H213" s="64"/>
      <c r="I213" s="64"/>
      <c r="J213" s="64"/>
      <c r="K213" s="64"/>
      <c r="L213" s="64"/>
      <c r="M213" s="64"/>
      <c r="N213" s="64"/>
      <c r="O213" s="64"/>
      <c r="P213" s="64"/>
      <c r="Q213" s="64"/>
      <c r="R213" s="64"/>
      <c r="S213" s="64"/>
      <c r="T213" s="64"/>
      <c r="U213" s="64"/>
      <c r="V213" s="64"/>
      <c r="W213" s="64"/>
      <c r="X213" s="64"/>
      <c r="Y213" s="64"/>
      <c r="Z213" s="64"/>
    </row>
    <row r="214" ht="12.75" customHeight="1">
      <c r="A214" s="108"/>
      <c r="B214" s="64"/>
      <c r="C214" s="64"/>
      <c r="D214" s="64"/>
      <c r="E214" s="64"/>
      <c r="F214" s="63"/>
      <c r="G214" s="63"/>
      <c r="H214" s="64"/>
      <c r="I214" s="64"/>
      <c r="J214" s="64"/>
      <c r="K214" s="64"/>
      <c r="L214" s="64"/>
      <c r="M214" s="64"/>
      <c r="N214" s="64"/>
      <c r="O214" s="64"/>
      <c r="P214" s="64"/>
      <c r="Q214" s="64"/>
      <c r="R214" s="64"/>
      <c r="S214" s="64"/>
      <c r="T214" s="64"/>
      <c r="U214" s="64"/>
      <c r="V214" s="64"/>
      <c r="W214" s="64"/>
      <c r="X214" s="64"/>
      <c r="Y214" s="64"/>
      <c r="Z214" s="64"/>
    </row>
    <row r="215" ht="12.75" customHeight="1">
      <c r="A215" s="108"/>
      <c r="B215" s="64"/>
      <c r="C215" s="64"/>
      <c r="D215" s="64"/>
      <c r="E215" s="64"/>
      <c r="F215" s="63"/>
      <c r="G215" s="63"/>
      <c r="H215" s="64"/>
      <c r="I215" s="64"/>
      <c r="J215" s="64"/>
      <c r="K215" s="64"/>
      <c r="L215" s="64"/>
      <c r="M215" s="64"/>
      <c r="N215" s="64"/>
      <c r="O215" s="64"/>
      <c r="P215" s="64"/>
      <c r="Q215" s="64"/>
      <c r="R215" s="64"/>
      <c r="S215" s="64"/>
      <c r="T215" s="64"/>
      <c r="U215" s="64"/>
      <c r="V215" s="64"/>
      <c r="W215" s="64"/>
      <c r="X215" s="64"/>
      <c r="Y215" s="64"/>
      <c r="Z215" s="64"/>
    </row>
    <row r="216" ht="12.75" customHeight="1">
      <c r="A216" s="108"/>
      <c r="B216" s="64"/>
      <c r="C216" s="64"/>
      <c r="D216" s="64"/>
      <c r="E216" s="64"/>
      <c r="F216" s="63"/>
      <c r="G216" s="63"/>
      <c r="H216" s="64"/>
      <c r="I216" s="64"/>
      <c r="J216" s="64"/>
      <c r="K216" s="64"/>
      <c r="L216" s="64"/>
      <c r="M216" s="64"/>
      <c r="N216" s="64"/>
      <c r="O216" s="64"/>
      <c r="P216" s="64"/>
      <c r="Q216" s="64"/>
      <c r="R216" s="64"/>
      <c r="S216" s="64"/>
      <c r="T216" s="64"/>
      <c r="U216" s="64"/>
      <c r="V216" s="64"/>
      <c r="W216" s="64"/>
      <c r="X216" s="64"/>
      <c r="Y216" s="64"/>
      <c r="Z216" s="64"/>
    </row>
    <row r="217" ht="12.75" customHeight="1">
      <c r="A217" s="108"/>
      <c r="B217" s="64"/>
      <c r="C217" s="64"/>
      <c r="D217" s="64"/>
      <c r="E217" s="64"/>
      <c r="F217" s="63"/>
      <c r="G217" s="63"/>
      <c r="H217" s="64"/>
      <c r="I217" s="64"/>
      <c r="J217" s="64"/>
      <c r="K217" s="64"/>
      <c r="L217" s="64"/>
      <c r="M217" s="64"/>
      <c r="N217" s="64"/>
      <c r="O217" s="64"/>
      <c r="P217" s="64"/>
      <c r="Q217" s="64"/>
      <c r="R217" s="64"/>
      <c r="S217" s="64"/>
      <c r="T217" s="64"/>
      <c r="U217" s="64"/>
      <c r="V217" s="64"/>
      <c r="W217" s="64"/>
      <c r="X217" s="64"/>
      <c r="Y217" s="64"/>
      <c r="Z217" s="64"/>
    </row>
    <row r="218" ht="12.75" customHeight="1">
      <c r="A218" s="108"/>
      <c r="B218" s="64"/>
      <c r="C218" s="64"/>
      <c r="D218" s="64"/>
      <c r="E218" s="64"/>
      <c r="F218" s="63"/>
      <c r="G218" s="63"/>
      <c r="H218" s="64"/>
      <c r="I218" s="64"/>
      <c r="J218" s="64"/>
      <c r="K218" s="64"/>
      <c r="L218" s="64"/>
      <c r="M218" s="64"/>
      <c r="N218" s="64"/>
      <c r="O218" s="64"/>
      <c r="P218" s="64"/>
      <c r="Q218" s="64"/>
      <c r="R218" s="64"/>
      <c r="S218" s="64"/>
      <c r="T218" s="64"/>
      <c r="U218" s="64"/>
      <c r="V218" s="64"/>
      <c r="W218" s="64"/>
      <c r="X218" s="64"/>
      <c r="Y218" s="64"/>
      <c r="Z218" s="64"/>
    </row>
    <row r="219" ht="12.75" customHeight="1">
      <c r="A219" s="108"/>
      <c r="B219" s="64"/>
      <c r="C219" s="64"/>
      <c r="D219" s="64"/>
      <c r="E219" s="64"/>
      <c r="F219" s="63"/>
      <c r="G219" s="63"/>
      <c r="H219" s="64"/>
      <c r="I219" s="64"/>
      <c r="J219" s="64"/>
      <c r="K219" s="64"/>
      <c r="L219" s="64"/>
      <c r="M219" s="64"/>
      <c r="N219" s="64"/>
      <c r="O219" s="64"/>
      <c r="P219" s="64"/>
      <c r="Q219" s="64"/>
      <c r="R219" s="64"/>
      <c r="S219" s="64"/>
      <c r="T219" s="64"/>
      <c r="U219" s="64"/>
      <c r="V219" s="64"/>
      <c r="W219" s="64"/>
      <c r="X219" s="64"/>
      <c r="Y219" s="64"/>
      <c r="Z219" s="64"/>
    </row>
    <row r="220" ht="12.75" customHeight="1">
      <c r="A220" s="108"/>
      <c r="B220" s="64"/>
      <c r="C220" s="64"/>
      <c r="D220" s="64"/>
      <c r="E220" s="64"/>
      <c r="F220" s="63"/>
      <c r="G220" s="63"/>
      <c r="H220" s="64"/>
      <c r="I220" s="64"/>
      <c r="J220" s="64"/>
      <c r="K220" s="64"/>
      <c r="L220" s="64"/>
      <c r="M220" s="64"/>
      <c r="N220" s="64"/>
      <c r="O220" s="64"/>
      <c r="P220" s="64"/>
      <c r="Q220" s="64"/>
      <c r="R220" s="64"/>
      <c r="S220" s="64"/>
      <c r="T220" s="64"/>
      <c r="U220" s="64"/>
      <c r="V220" s="64"/>
      <c r="W220" s="64"/>
      <c r="X220" s="64"/>
      <c r="Y220" s="64"/>
      <c r="Z220" s="64"/>
    </row>
    <row r="221" ht="12.75" customHeight="1">
      <c r="A221" s="108"/>
      <c r="B221" s="64"/>
      <c r="C221" s="64"/>
      <c r="D221" s="64"/>
      <c r="E221" s="64"/>
      <c r="F221" s="63"/>
      <c r="G221" s="63"/>
      <c r="H221" s="64"/>
      <c r="I221" s="64"/>
      <c r="J221" s="64"/>
      <c r="K221" s="64"/>
      <c r="L221" s="64"/>
      <c r="M221" s="64"/>
      <c r="N221" s="64"/>
      <c r="O221" s="64"/>
      <c r="P221" s="64"/>
      <c r="Q221" s="64"/>
      <c r="R221" s="64"/>
      <c r="S221" s="64"/>
      <c r="T221" s="64"/>
      <c r="U221" s="64"/>
      <c r="V221" s="64"/>
      <c r="W221" s="64"/>
      <c r="X221" s="64"/>
      <c r="Y221" s="64"/>
      <c r="Z221" s="64"/>
    </row>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mergeCells count="10">
    <mergeCell ref="C19:D19"/>
    <mergeCell ref="C20:D20"/>
    <mergeCell ref="C21:D21"/>
    <mergeCell ref="C12:D12"/>
    <mergeCell ref="C13:D13"/>
    <mergeCell ref="C14:D14"/>
    <mergeCell ref="C15:D15"/>
    <mergeCell ref="C16:D16"/>
    <mergeCell ref="C17:D17"/>
    <mergeCell ref="C18:D18"/>
  </mergeCells>
  <conditionalFormatting sqref="C6:D6">
    <cfRule type="expression" dxfId="0" priority="1">
      <formula>$A6&lt;&gt;""</formula>
    </cfRule>
  </conditionalFormatting>
  <conditionalFormatting sqref="C6:D6">
    <cfRule type="expression" dxfId="1" priority="2">
      <formula>$A6=""</formula>
    </cfRule>
  </conditionalFormatting>
  <dataValidations>
    <dataValidation type="decimal" allowBlank="1" showErrorMessage="1" sqref="F13:F20">
      <formula1>0.0</formula1>
      <formula2>50.0</formula2>
    </dataValidation>
  </dataValidations>
  <printOptions/>
  <pageMargins bottom="0.75" footer="0.0" header="0.0" left="0.7" right="0.7" top="0.75"/>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4A3B8"/>
    <pageSetUpPr/>
  </sheetPr>
  <sheetViews>
    <sheetView showGridLines="0" workbookViewId="0"/>
  </sheetViews>
  <sheetFormatPr customHeight="1" defaultColWidth="12.63" defaultRowHeight="15.0"/>
  <cols>
    <col customWidth="1" min="1" max="1" width="16.13"/>
    <col customWidth="1" min="2" max="2" width="47.13"/>
    <col customWidth="1" min="3" max="3" width="27.38"/>
    <col customWidth="1" min="4" max="4" width="14.88"/>
    <col customWidth="1" min="5" max="5" width="24.13"/>
    <col customWidth="1" min="6" max="6" width="17.38"/>
    <col customWidth="1" min="7" max="7" width="15.0"/>
    <col customWidth="1" min="8" max="26" width="9.13"/>
  </cols>
  <sheetData>
    <row r="1" ht="12.75" customHeight="1">
      <c r="A1" s="105" t="s">
        <v>260</v>
      </c>
      <c r="B1" s="77" t="s">
        <v>184</v>
      </c>
      <c r="C1" s="78"/>
      <c r="D1" s="78"/>
      <c r="E1" s="64"/>
      <c r="F1" s="63"/>
      <c r="G1" s="63"/>
      <c r="H1" s="64"/>
      <c r="I1" s="64"/>
      <c r="J1" s="64"/>
      <c r="K1" s="64"/>
      <c r="L1" s="64"/>
      <c r="M1" s="64"/>
      <c r="N1" s="64"/>
      <c r="O1" s="64"/>
      <c r="P1" s="64"/>
      <c r="Q1" s="64"/>
      <c r="R1" s="64"/>
      <c r="S1" s="64"/>
      <c r="T1" s="64"/>
      <c r="U1" s="64"/>
      <c r="V1" s="64"/>
      <c r="W1" s="64"/>
      <c r="X1" s="64"/>
      <c r="Y1" s="64"/>
      <c r="Z1" s="64"/>
    </row>
    <row r="2" ht="12.75" customHeight="1">
      <c r="A2" s="110" t="s">
        <v>5</v>
      </c>
      <c r="B2" s="62" t="str">
        <f t="array" ref="B2">IFERROR(INDEX(Sessions!$C$2:$C$173,MATCH($B$1,Sessions!$B$2:$B$173,0))&amp;"","")</f>
        <v>Human-Centered Computing and Interaction Design</v>
      </c>
      <c r="C2" s="64"/>
      <c r="D2" s="64"/>
      <c r="E2" s="64"/>
      <c r="F2" s="63"/>
      <c r="G2" s="63"/>
      <c r="H2" s="64"/>
      <c r="I2" s="64"/>
      <c r="J2" s="64"/>
      <c r="K2" s="64"/>
      <c r="L2" s="64"/>
      <c r="M2" s="64"/>
      <c r="N2" s="64"/>
      <c r="O2" s="64"/>
      <c r="P2" s="64"/>
      <c r="Q2" s="64"/>
      <c r="R2" s="64"/>
      <c r="S2" s="64"/>
      <c r="T2" s="64"/>
      <c r="U2" s="64"/>
      <c r="V2" s="64"/>
      <c r="W2" s="64"/>
      <c r="X2" s="64"/>
      <c r="Y2" s="64"/>
      <c r="Z2" s="64"/>
    </row>
    <row r="3" ht="12.75" customHeight="1">
      <c r="A3" s="112" t="s">
        <v>704</v>
      </c>
      <c r="B3" s="86" t="str">
        <f>IF(LEFT($B$1,2)="T1",Schedule!$A$4&amp;", "&amp;Schedule!$A$10,IF(LEFT($B$1,2)="T2",Schedule!$A$4&amp;", "&amp;Schedule!$A$12,IF(LEFT($B$1,2)="T3",Schedule!$A$4&amp;", "&amp;#REF!,IF(LEFT($B$1,2)="T4",Schedule!$A$16&amp;", "&amp;Schedule!$A$18,IF($B$1="Keynote 1",Schedule!$A$4&amp;", "&amp;Schedule!$A$8,IF($B$1="Keynote 2",Schedule!$A$4&amp;", "&amp;Schedule!$A$13,IF($B$1="Keynote 3",Schedule!$A$16&amp;", "&amp;Schedule!$A$19,IF($B$1="IEEE Workshop",Schedule!$A$16&amp;", "&amp;#REF!,""))))))))</f>
        <v>Day 2, 11:00-13:00</v>
      </c>
      <c r="C3" s="80"/>
      <c r="D3" s="80"/>
      <c r="E3" s="64"/>
      <c r="F3" s="63"/>
      <c r="G3" s="63"/>
      <c r="H3" s="64"/>
      <c r="I3" s="64"/>
      <c r="J3" s="64"/>
      <c r="K3" s="64"/>
      <c r="L3" s="64"/>
      <c r="M3" s="64"/>
      <c r="N3" s="64"/>
      <c r="O3" s="64"/>
      <c r="P3" s="64"/>
      <c r="Q3" s="64"/>
      <c r="R3" s="64"/>
      <c r="S3" s="64"/>
      <c r="T3" s="64"/>
      <c r="U3" s="64"/>
      <c r="V3" s="64"/>
      <c r="W3" s="64"/>
      <c r="X3" s="64"/>
      <c r="Y3" s="64"/>
      <c r="Z3" s="64"/>
    </row>
    <row r="4" ht="12.75" customHeight="1">
      <c r="A4" s="112" t="s">
        <v>11</v>
      </c>
      <c r="B4" s="126" t="str">
        <f t="array" ref="B4">IFERROR(INDEX(Sessions!$D$2:$D$173,MATCH($B$1,Sessions!$B$2:$B$173,0))&amp;"","")</f>
        <v>https://bdren.zoom.us/j/6484705712?pwd=r2vMz5RDbK87nBoCzOyaSvbW4H3hy1.1&amp;omn=96422492579</v>
      </c>
      <c r="C4" s="80"/>
      <c r="D4" s="80"/>
      <c r="E4" s="64"/>
      <c r="F4" s="63"/>
      <c r="G4" s="63"/>
      <c r="H4" s="64"/>
      <c r="I4" s="64"/>
      <c r="J4" s="64"/>
      <c r="K4" s="64"/>
      <c r="L4" s="64"/>
      <c r="M4" s="64"/>
      <c r="N4" s="64"/>
      <c r="O4" s="64"/>
      <c r="P4" s="64"/>
      <c r="Q4" s="64"/>
      <c r="R4" s="64"/>
      <c r="S4" s="64"/>
      <c r="T4" s="64"/>
      <c r="U4" s="64"/>
      <c r="V4" s="64"/>
      <c r="W4" s="64"/>
      <c r="X4" s="64"/>
      <c r="Y4" s="64"/>
      <c r="Z4" s="64"/>
    </row>
    <row r="5" ht="12.75" customHeight="1">
      <c r="A5" s="114" t="s">
        <v>725</v>
      </c>
      <c r="B5" s="118" t="s">
        <v>252</v>
      </c>
      <c r="C5" s="8" t="s">
        <v>254</v>
      </c>
      <c r="D5" s="59" t="s">
        <v>255</v>
      </c>
      <c r="E5" s="64"/>
      <c r="F5" s="63"/>
      <c r="G5" s="63"/>
      <c r="H5" s="64"/>
      <c r="I5" s="64"/>
      <c r="J5" s="64"/>
      <c r="K5" s="64"/>
      <c r="L5" s="64"/>
      <c r="M5" s="64"/>
      <c r="N5" s="64"/>
      <c r="O5" s="64"/>
      <c r="P5" s="64"/>
      <c r="Q5" s="64"/>
      <c r="R5" s="64"/>
      <c r="S5" s="64"/>
      <c r="T5" s="64"/>
      <c r="U5" s="64"/>
      <c r="V5" s="64"/>
      <c r="W5" s="64"/>
      <c r="X5" s="64"/>
      <c r="Y5" s="64"/>
      <c r="Z5" s="64"/>
    </row>
    <row r="6" ht="12.75" customHeight="1">
      <c r="A6" s="114" t="s">
        <v>726</v>
      </c>
      <c r="B6" s="118" t="s">
        <v>269</v>
      </c>
      <c r="C6" s="8" t="s">
        <v>271</v>
      </c>
      <c r="D6" s="59" t="s">
        <v>272</v>
      </c>
      <c r="E6" s="64"/>
      <c r="F6" s="63"/>
      <c r="G6" s="63"/>
      <c r="H6" s="64"/>
      <c r="I6" s="64"/>
      <c r="J6" s="64"/>
      <c r="K6" s="64"/>
      <c r="L6" s="64"/>
      <c r="M6" s="64"/>
      <c r="N6" s="64"/>
      <c r="O6" s="64"/>
      <c r="P6" s="64"/>
      <c r="Q6" s="64"/>
      <c r="R6" s="64"/>
      <c r="S6" s="64"/>
      <c r="T6" s="64"/>
      <c r="U6" s="64"/>
      <c r="V6" s="64"/>
      <c r="W6" s="64"/>
      <c r="X6" s="64"/>
      <c r="Y6" s="64"/>
      <c r="Z6" s="64"/>
    </row>
    <row r="7" ht="12.75" customHeight="1">
      <c r="A7" s="112" t="s">
        <v>709</v>
      </c>
      <c r="B7" s="118" t="s">
        <v>734</v>
      </c>
      <c r="C7" s="8" t="s">
        <v>240</v>
      </c>
      <c r="D7" s="127" t="s">
        <v>241</v>
      </c>
      <c r="E7" s="64"/>
      <c r="F7" s="63"/>
      <c r="G7" s="63"/>
      <c r="H7" s="64"/>
      <c r="I7" s="64"/>
      <c r="J7" s="64"/>
      <c r="K7" s="64"/>
      <c r="L7" s="64"/>
      <c r="M7" s="64"/>
      <c r="N7" s="64"/>
      <c r="O7" s="64"/>
      <c r="P7" s="64"/>
      <c r="Q7" s="64"/>
      <c r="R7" s="64"/>
      <c r="S7" s="64"/>
      <c r="T7" s="64"/>
      <c r="U7" s="64"/>
      <c r="V7" s="64"/>
      <c r="W7" s="64"/>
      <c r="X7" s="64"/>
      <c r="Y7" s="64"/>
      <c r="Z7" s="64"/>
    </row>
    <row r="8" ht="12.75" customHeight="1">
      <c r="A8" s="112" t="s">
        <v>713</v>
      </c>
      <c r="B8" s="118" t="s">
        <v>225</v>
      </c>
      <c r="C8" s="8" t="s">
        <v>226</v>
      </c>
      <c r="D8" s="127" t="s">
        <v>227</v>
      </c>
      <c r="E8" s="64"/>
      <c r="F8" s="63"/>
      <c r="G8" s="63"/>
      <c r="H8" s="64"/>
      <c r="I8" s="64"/>
      <c r="J8" s="64"/>
      <c r="K8" s="64"/>
      <c r="L8" s="64"/>
      <c r="M8" s="64"/>
      <c r="N8" s="64"/>
      <c r="O8" s="64"/>
      <c r="P8" s="64"/>
      <c r="Q8" s="64"/>
      <c r="R8" s="64"/>
      <c r="S8" s="64"/>
      <c r="T8" s="64"/>
      <c r="U8" s="64"/>
      <c r="V8" s="64"/>
      <c r="W8" s="64"/>
      <c r="X8" s="64"/>
      <c r="Y8" s="64"/>
      <c r="Z8" s="64"/>
    </row>
    <row r="9" ht="12.75" customHeight="1">
      <c r="A9" s="119" t="s">
        <v>714</v>
      </c>
      <c r="B9" s="95" t="str">
        <f t="array" ref="B9">IFERROR(INDEX('Junior Faculty'!$J$2:$J$401,MATCH(1,INDEX(('Junior Faculty'!$K$2:$K$401=$B$1)*('Junior Faculty'!$N$2:$N$401=2),0),0)),"")</f>
        <v/>
      </c>
      <c r="C9" s="95" t="str">
        <f t="array" ref="C9">IFERROR(INDEX('Junior Faculty'!$L$2:$L$401,MATCH(1,INDEX(('Junior Faculty'!$K$2:$K$401=$B$1)*('Junior Faculty'!$N$2:$N$401=2),0),0))&amp;"","")</f>
        <v/>
      </c>
      <c r="D9" s="95" t="str">
        <f t="array" ref="D9">IFERROR(INDEX('Junior Faculty'!$M$2:$M$401,MATCH(1,INDEX(('Junior Faculty'!$K$2:$K$401=$B$1)*('Junior Faculty'!$N$2:$N$401=2),0),0))&amp;"","")</f>
        <v/>
      </c>
      <c r="E9" s="64"/>
      <c r="F9" s="63"/>
      <c r="G9" s="63"/>
      <c r="H9" s="64"/>
      <c r="I9" s="64"/>
      <c r="J9" s="64"/>
      <c r="K9" s="64"/>
      <c r="L9" s="64"/>
      <c r="M9" s="64"/>
      <c r="N9" s="64"/>
      <c r="O9" s="64"/>
      <c r="P9" s="64"/>
      <c r="Q9" s="64"/>
      <c r="R9" s="64"/>
      <c r="S9" s="64"/>
      <c r="T9" s="64"/>
      <c r="U9" s="64"/>
      <c r="V9" s="64"/>
      <c r="W9" s="64"/>
      <c r="X9" s="64"/>
      <c r="Y9" s="64"/>
      <c r="Z9" s="64"/>
    </row>
    <row r="10" ht="12.75" customHeight="1">
      <c r="A10" s="108"/>
      <c r="B10" s="64"/>
      <c r="C10" s="64"/>
      <c r="D10" s="64"/>
      <c r="E10" s="64"/>
      <c r="F10" s="63"/>
      <c r="G10" s="63"/>
      <c r="H10" s="64"/>
      <c r="I10" s="64"/>
      <c r="J10" s="64"/>
      <c r="K10" s="64"/>
      <c r="L10" s="64"/>
      <c r="M10" s="64"/>
      <c r="N10" s="64"/>
      <c r="O10" s="64"/>
      <c r="P10" s="64"/>
      <c r="Q10" s="64"/>
      <c r="R10" s="64"/>
      <c r="S10" s="64"/>
      <c r="T10" s="64"/>
      <c r="U10" s="64"/>
      <c r="V10" s="64"/>
      <c r="W10" s="64"/>
      <c r="X10" s="64"/>
      <c r="Y10" s="64"/>
      <c r="Z10" s="64"/>
    </row>
    <row r="11" ht="12.75" customHeight="1">
      <c r="A11" s="121" t="s">
        <v>727</v>
      </c>
      <c r="B11" s="86"/>
      <c r="C11" s="86"/>
      <c r="D11" s="86"/>
      <c r="E11" s="64"/>
      <c r="F11" s="63"/>
      <c r="G11" s="63"/>
      <c r="H11" s="64"/>
      <c r="I11" s="64"/>
      <c r="J11" s="64"/>
      <c r="K11" s="64"/>
      <c r="L11" s="64"/>
      <c r="M11" s="64"/>
      <c r="N11" s="64"/>
      <c r="O11" s="64"/>
      <c r="P11" s="64"/>
      <c r="Q11" s="64"/>
      <c r="R11" s="64"/>
      <c r="S11" s="64"/>
      <c r="T11" s="64"/>
      <c r="U11" s="64"/>
      <c r="V11" s="64"/>
      <c r="W11" s="64"/>
      <c r="X11" s="64"/>
      <c r="Y11" s="64"/>
      <c r="Z11" s="64"/>
    </row>
    <row r="12" ht="15.0" customHeight="1">
      <c r="A12" s="122" t="s">
        <v>174</v>
      </c>
      <c r="B12" s="122" t="s">
        <v>256</v>
      </c>
      <c r="C12" s="123" t="s">
        <v>257</v>
      </c>
      <c r="D12" s="124"/>
      <c r="E12" s="61" t="s">
        <v>258</v>
      </c>
      <c r="F12" s="60" t="s">
        <v>265</v>
      </c>
      <c r="G12" s="64"/>
      <c r="H12" s="64"/>
      <c r="I12" s="64"/>
      <c r="J12" s="64"/>
      <c r="K12" s="64"/>
      <c r="L12" s="64"/>
      <c r="M12" s="64"/>
      <c r="N12" s="64"/>
      <c r="O12" s="64"/>
      <c r="P12" s="64"/>
      <c r="Q12" s="64"/>
      <c r="R12" s="64"/>
      <c r="S12" s="64"/>
      <c r="T12" s="64"/>
      <c r="U12" s="64"/>
      <c r="V12" s="64"/>
      <c r="W12" s="64"/>
      <c r="X12" s="64"/>
      <c r="Y12" s="64"/>
      <c r="Z12" s="64"/>
    </row>
    <row r="13" ht="12.75" customHeight="1">
      <c r="A13" s="113">
        <f t="array" ref="A13">IFERROR(INDEX(Papers!$A$2:$A$201,MATCH(1,INDEX((Papers!$G$2:$G$201=$B$1)*(Papers!$I$2:$I$201=1),0),0)),"")</f>
        <v>251</v>
      </c>
      <c r="B13" s="113" t="str">
        <f t="array" ref="B13">IFERROR(INDEX(Papers!$C$2:$C$201,MATCH(1,INDEX((Papers!$G$2:$G$201=$B$1)*(Papers!$I$2:$I$201=1),0),0)),"")</f>
        <v>Continuous Bengali Sign Language Recognition from Sentence-Level Videos Using Deep Learning Architectures</v>
      </c>
      <c r="C13" s="113" t="str">
        <f t="array" ref="C13">IFERROR(INDEX(Papers!$D$2:$D$201,MATCH(1,INDEX((Papers!$G$2:$G$201=$B$1)*(Papers!$I$2:$I$201=1),0),0)),"")</f>
        <v>Md. Minhazul Islam (University of Liberal Arts Bangladesh); Shakhar Das Rony (University of Liberal Arts Bangladesh); Tamim Hasan (	University of Liberal Arts Bangladesh); Jannatul Ferdous Ruma (University of Liberal Arts Bangladesh)*</v>
      </c>
      <c r="D13" s="125"/>
      <c r="E13" s="86" t="str">
        <f t="array" ref="E13">IFERROR(INDEX(Papers!$E$2:$E$201,MATCH(1,INDEX((Papers!$G$2:$G$201=$B$1)*(Papers!$I$2:$I$201=1),0),0)),"")</f>
        <v>minhazul.islam1.cse@ulab.edu.bd; shakhar.das.cse@ulab.edu.bd; tamim.hasan1.cse@ulab.edu.bd; jannatul.ferdous1@ulab.edu.bd</v>
      </c>
      <c r="F13" s="67"/>
      <c r="G13" s="64"/>
      <c r="H13" s="64"/>
      <c r="I13" s="64"/>
      <c r="J13" s="64"/>
      <c r="K13" s="64"/>
      <c r="L13" s="64"/>
      <c r="M13" s="64"/>
      <c r="N13" s="64"/>
      <c r="O13" s="64"/>
      <c r="P13" s="64"/>
      <c r="Q13" s="64"/>
      <c r="R13" s="64"/>
      <c r="S13" s="64"/>
      <c r="T13" s="64"/>
      <c r="U13" s="64"/>
      <c r="V13" s="64"/>
      <c r="W13" s="64"/>
      <c r="X13" s="64"/>
      <c r="Y13" s="64"/>
      <c r="Z13" s="64"/>
    </row>
    <row r="14" ht="12.75" customHeight="1">
      <c r="A14" s="113">
        <f t="array" ref="A14">IFERROR(INDEX(Papers!$A$2:$A$201,MATCH(1,INDEX((Papers!$G$2:$G$201=$B$1)*(Papers!$I$2:$I$201=2),0),0)),"")</f>
        <v>265</v>
      </c>
      <c r="B14" s="113" t="str">
        <f t="array" ref="B14">IFERROR(INDEX(Papers!$C$2:$C$201,MATCH(1,INDEX((Papers!$G$2:$G$201=$B$1)*(Papers!$I$2:$I$201=2),0),0)),"")</f>
        <v>VNetLS: Supervised 3D VNet-Based MRI Enhancement with Loss Optimization</v>
      </c>
      <c r="C14" s="113" t="str">
        <f t="array" ref="C14">IFERROR(INDEX(Papers!$D$2:$D$201,MATCH(1,INDEX((Papers!$G$2:$G$201=$B$1)*(Papers!$I$2:$I$201=2),0),0)),"")</f>
        <v>Syeda Sunehra Sakhawat (	University of Liberal Arts Bangladesh); Nusrat Tithy (University of Liberal Arts Bangladesh)*; Romana Sultana (University of Liberal Arts Bangladesh); Kazi Ifat Jahan Zim (University of Liberal Arts Bangladesh); Meherun Nessa Eva (University of Liberal Arts Bangladesh); Ehasan Ahmed (	University of Liberal Arts Bangladesh); Nafees Mansoor (	University of Liberal Arts Bangladesh)</v>
      </c>
      <c r="D14" s="125"/>
      <c r="E14" s="86" t="str">
        <f t="array" ref="E14">IFERROR(INDEX(Papers!$E$2:$E$201,MATCH(1,INDEX((Papers!$G$2:$G$201=$B$1)*(Papers!$I$2:$I$201=2),0),0)),"")</f>
        <v>sunehra.sakhawat.cse@ulab.edu.bd; nusrat.jannat.cse@ulab.edu.bd; romana.sultana.cse@ulab.edu.bd; ifat.jahan.cse@ulab.edu.bd; meherun.nessa.cse@ulab.edu.bd; ehasan.ahmed.cse@ulab.edu.bd; nafees.mansoor@ulab.edu.bd</v>
      </c>
      <c r="F14" s="67"/>
      <c r="G14" s="64"/>
      <c r="H14" s="64"/>
      <c r="I14" s="64"/>
      <c r="J14" s="64"/>
      <c r="K14" s="64"/>
      <c r="L14" s="64"/>
      <c r="M14" s="64"/>
      <c r="N14" s="64"/>
      <c r="O14" s="64"/>
      <c r="P14" s="64"/>
      <c r="Q14" s="64"/>
      <c r="R14" s="64"/>
      <c r="S14" s="64"/>
      <c r="T14" s="64"/>
      <c r="U14" s="64"/>
      <c r="V14" s="64"/>
      <c r="W14" s="64"/>
      <c r="X14" s="64"/>
      <c r="Y14" s="64"/>
      <c r="Z14" s="64"/>
    </row>
    <row r="15" ht="12.75" customHeight="1">
      <c r="A15" s="113">
        <f t="array" ref="A15">IFERROR(INDEX(Papers!$A$2:$A$201,MATCH(1,INDEX((Papers!$G$2:$G$201=$B$1)*(Papers!$I$2:$I$201=3),0),0)),"")</f>
        <v>266</v>
      </c>
      <c r="B15" s="113" t="str">
        <f t="array" ref="B15">IFERROR(INDEX(Papers!$C$2:$C$201,MATCH(1,INDEX((Papers!$G$2:$G$201=$B$1)*(Papers!$I$2:$I$201=3),0),0)),"")</f>
        <v>Cartographer: Transforming Code Repositories into LLM-Optimized Semantic Graphs</v>
      </c>
      <c r="C15" s="113" t="str">
        <f t="array" ref="C15">IFERROR(INDEX(Papers!$D$2:$D$201,MATCH(1,INDEX((Papers!$G$2:$G$201=$B$1)*(Papers!$I$2:$I$201=3),0),0)),"")</f>
        <v>Ehasan Ahmed (University of Liberal Arts Bangladesh)*; Nafess Mansoor (University of Liberal Arts Bangladesh)</v>
      </c>
      <c r="D15" s="125"/>
      <c r="E15" s="86" t="str">
        <f t="array" ref="E15">IFERROR(INDEX(Papers!$E$2:$E$201,MATCH(1,INDEX((Papers!$G$2:$G$201=$B$1)*(Papers!$I$2:$I$201=3),0),0)),"")</f>
        <v>ehasan.ahmed.cse@ulab.edu.bd; nafees.mansoor@ulab.edu.bd</v>
      </c>
      <c r="F15" s="67"/>
      <c r="G15" s="64"/>
      <c r="H15" s="64"/>
      <c r="I15" s="64"/>
      <c r="J15" s="64"/>
      <c r="K15" s="64"/>
      <c r="L15" s="64"/>
      <c r="M15" s="64"/>
      <c r="N15" s="64"/>
      <c r="O15" s="64"/>
      <c r="P15" s="64"/>
      <c r="Q15" s="64"/>
      <c r="R15" s="64"/>
      <c r="S15" s="64"/>
      <c r="T15" s="64"/>
      <c r="U15" s="64"/>
      <c r="V15" s="64"/>
      <c r="W15" s="64"/>
      <c r="X15" s="64"/>
      <c r="Y15" s="64"/>
      <c r="Z15" s="64"/>
    </row>
    <row r="16" ht="12.75" customHeight="1">
      <c r="A16" s="113">
        <f t="array" ref="A16">IFERROR(INDEX(Papers!$A$2:$A$201,MATCH(1,INDEX((Papers!$G$2:$G$201=$B$1)*(Papers!$I$2:$I$201=4),0),0)),"")</f>
        <v>362</v>
      </c>
      <c r="B16" s="113" t="str">
        <f t="array" ref="B16">IFERROR(INDEX(Papers!$C$2:$C$201,MATCH(1,INDEX((Papers!$G$2:$G$201=$B$1)*(Papers!$I$2:$I$201=4),0),0)),"")</f>
        <v>Graph Attention Versus Tabular Models for Early Liver Fibrosis Staging: A Leakage-Controlled Multi-Cohort Benchmark</v>
      </c>
      <c r="C16" s="113" t="str">
        <f t="array" ref="C16">IFERROR(INDEX(Papers!$D$2:$D$201,MATCH(1,INDEX((Papers!$G$2:$G$201=$B$1)*(Papers!$I$2:$I$201=4),0),0)),"")</f>
        <v>Samiha Zaman (BRAC University)*; Rudra Joyti Maitra Soham (BRAC University); Ismaeel Ghani (BRAC University); Lubaina Afra Islam (BRAC University); Samira Ahmed (BRAC University); Azwad Aziz (BRAC University); Amitabha Chakrabarty (BRAC University)</v>
      </c>
      <c r="D16" s="125"/>
      <c r="E16" s="86" t="str">
        <f t="array" ref="E16">IFERROR(INDEX(Papers!$E$2:$E$201,MATCH(1,INDEX((Papers!$G$2:$G$201=$B$1)*(Papers!$I$2:$I$201=4),0),0)),"")</f>
        <v>samihabintezaman25@gmail.com; rudrajoyti.maitra.soham@g.bracu.ac.bd; ismaeel.ghani@g.bracu.ac.bd; lubaina.afra.islam@g.bracu.ac.bd; samira.ahmed.naahee@g.bracu.ac.bd; azwad.aziz@g.bracu.ac.bd; amitabha@bracu.ac.bd</v>
      </c>
      <c r="F16" s="67"/>
      <c r="G16" s="64"/>
      <c r="H16" s="64"/>
      <c r="I16" s="64"/>
      <c r="J16" s="64"/>
      <c r="K16" s="64"/>
      <c r="L16" s="64"/>
      <c r="M16" s="64"/>
      <c r="N16" s="64"/>
      <c r="O16" s="64"/>
      <c r="P16" s="64"/>
      <c r="Q16" s="64"/>
      <c r="R16" s="64"/>
      <c r="S16" s="64"/>
      <c r="T16" s="64"/>
      <c r="U16" s="64"/>
      <c r="V16" s="64"/>
      <c r="W16" s="64"/>
      <c r="X16" s="64"/>
      <c r="Y16" s="64"/>
      <c r="Z16" s="64"/>
    </row>
    <row r="17" ht="12.75" customHeight="1">
      <c r="A17" s="113">
        <f t="array" ref="A17">IFERROR(INDEX(Papers!$A$2:$A$201,MATCH(1,INDEX((Papers!$G$2:$G$201=$B$1)*(Papers!$I$2:$I$201=5),0),0)),"")</f>
        <v>283</v>
      </c>
      <c r="B17" s="113" t="str">
        <f t="array" ref="B17">IFERROR(INDEX(Papers!$C$2:$C$201,MATCH(1,INDEX((Papers!$G$2:$G$201=$B$1)*(Papers!$I$2:$I$201=5),0),0)),"")</f>
        <v>An Integrated Gradient-boosting and Session-based  Deep Learning Framework for Demand forecasting and Customer Personalization</v>
      </c>
      <c r="C17" s="113" t="str">
        <f t="array" ref="C17">IFERROR(INDEX(Papers!$D$2:$D$201,MATCH(1,INDEX((Papers!$G$2:$G$201=$B$1)*(Papers!$I$2:$I$201=5),0),0)),"")</f>
        <v>Sultana Razia (Greenwhich University)*</v>
      </c>
      <c r="D17" s="125"/>
      <c r="E17" s="86" t="str">
        <f t="array" ref="E17">IFERROR(INDEX(Papers!$E$2:$E$201,MATCH(1,INDEX((Papers!$G$2:$G$201=$B$1)*(Papers!$I$2:$I$201=5),0),0)),"")</f>
        <v>sultanarofficial@gmail.com</v>
      </c>
      <c r="F17" s="67"/>
      <c r="G17" s="64"/>
      <c r="H17" s="64"/>
      <c r="I17" s="64"/>
      <c r="J17" s="64"/>
      <c r="K17" s="64"/>
      <c r="L17" s="64"/>
      <c r="M17" s="64"/>
      <c r="N17" s="64"/>
      <c r="O17" s="64"/>
      <c r="P17" s="64"/>
      <c r="Q17" s="64"/>
      <c r="R17" s="64"/>
      <c r="S17" s="64"/>
      <c r="T17" s="64"/>
      <c r="U17" s="64"/>
      <c r="V17" s="64"/>
      <c r="W17" s="64"/>
      <c r="X17" s="64"/>
      <c r="Y17" s="64"/>
      <c r="Z17" s="64"/>
    </row>
    <row r="18" ht="12.75" customHeight="1">
      <c r="A18" s="113" t="str">
        <f t="array" ref="A18">IFERROR(INDEX(Papers!$A$2:$A$201,MATCH(1,INDEX((Papers!$G$2:$G$201=$B$1)*(Papers!$I$2:$I$201=6),0),0)),"")</f>
        <v/>
      </c>
      <c r="B18" s="113" t="str">
        <f t="array" ref="B18">IFERROR(INDEX(Papers!$C$2:$C$201,MATCH(1,INDEX((Papers!$G$2:$G$201=$B$1)*(Papers!$I$2:$I$201=6),0),0)),"")</f>
        <v/>
      </c>
      <c r="C18" s="113" t="str">
        <f t="array" ref="C18">IFERROR(INDEX(Papers!$D$2:$D$201,MATCH(1,INDEX((Papers!$G$2:$G$201=$B$1)*(Papers!$I$2:$I$201=6),0),0)),"")</f>
        <v/>
      </c>
      <c r="D18" s="125"/>
      <c r="E18" s="86" t="str">
        <f t="array" ref="E18">IFERROR(INDEX(Papers!$E$2:$E$201,MATCH(1,INDEX((Papers!$G$2:$G$201=$B$1)*(Papers!$I$2:$I$201=6),0),0)),"")</f>
        <v/>
      </c>
      <c r="F18" s="67"/>
      <c r="G18" s="64"/>
      <c r="H18" s="64"/>
      <c r="I18" s="64"/>
      <c r="J18" s="64"/>
      <c r="K18" s="64"/>
      <c r="L18" s="64"/>
      <c r="M18" s="64"/>
      <c r="N18" s="64"/>
      <c r="O18" s="64"/>
      <c r="P18" s="64"/>
      <c r="Q18" s="64"/>
      <c r="R18" s="64"/>
      <c r="S18" s="64"/>
      <c r="T18" s="64"/>
      <c r="U18" s="64"/>
      <c r="V18" s="64"/>
      <c r="W18" s="64"/>
      <c r="X18" s="64"/>
      <c r="Y18" s="64"/>
      <c r="Z18" s="64"/>
    </row>
    <row r="19" ht="12.75" customHeight="1">
      <c r="A19" s="113" t="str">
        <f t="array" ref="A19">IFERROR(INDEX(Papers!$A$2:$A$201,MATCH(1,INDEX((Papers!$G$2:$G$201=$B$1)*(Papers!$I$2:$I$201=7),0),0)),"")</f>
        <v/>
      </c>
      <c r="B19" s="113" t="str">
        <f t="array" ref="B19">IFERROR(INDEX(Papers!$C$2:$C$201,MATCH(1,INDEX((Papers!$G$2:$G$201=$B$1)*(Papers!$I$2:$I$201=7),0),0)),"")</f>
        <v/>
      </c>
      <c r="C19" s="113" t="str">
        <f t="array" ref="C19">IFERROR(INDEX(Papers!$D$2:$D$201,MATCH(1,INDEX((Papers!$G$2:$G$201=$B$1)*(Papers!$I$2:$I$201=7),0),0)),"")</f>
        <v/>
      </c>
      <c r="D19" s="125"/>
      <c r="E19" s="86" t="str">
        <f t="array" ref="E19">IFERROR(INDEX(Papers!$E$2:$E$201,MATCH(1,INDEX((Papers!$G$2:$G$201=$B$1)*(Papers!$I$2:$I$201=7),0),0)),"")</f>
        <v/>
      </c>
      <c r="F19" s="67"/>
      <c r="G19" s="64"/>
      <c r="H19" s="64"/>
      <c r="I19" s="64"/>
      <c r="J19" s="64"/>
      <c r="K19" s="64"/>
      <c r="L19" s="64"/>
      <c r="M19" s="64"/>
      <c r="N19" s="64"/>
      <c r="O19" s="64"/>
      <c r="P19" s="64"/>
      <c r="Q19" s="64"/>
      <c r="R19" s="64"/>
      <c r="S19" s="64"/>
      <c r="T19" s="64"/>
      <c r="U19" s="64"/>
      <c r="V19" s="64"/>
      <c r="W19" s="64"/>
      <c r="X19" s="64"/>
      <c r="Y19" s="64"/>
      <c r="Z19" s="64"/>
    </row>
    <row r="20" ht="12.75" customHeight="1">
      <c r="A20" s="113" t="str">
        <f t="array" ref="A20">IFERROR(INDEX(Papers!$A$2:$A$201,MATCH(1,INDEX((Papers!$G$2:$G$201=$B$1)*(Papers!$I$2:$I$201=8),0),0)),"")</f>
        <v/>
      </c>
      <c r="B20" s="113" t="str">
        <f t="array" ref="B20">IFERROR(INDEX(Papers!$C$2:$C$201,MATCH(1,INDEX((Papers!$G$2:$G$201=$B$1)*(Papers!$I$2:$I$201=8),0),0)),"")</f>
        <v/>
      </c>
      <c r="C20" s="113" t="str">
        <f t="array" ref="C20">IFERROR(INDEX(Papers!$D$2:$D$201,MATCH(1,INDEX((Papers!$G$2:$G$201=$B$1)*(Papers!$I$2:$I$201=8),0),0)),"")</f>
        <v/>
      </c>
      <c r="D20" s="125"/>
      <c r="E20" s="86" t="str">
        <f t="array" ref="E20">IFERROR(INDEX(Papers!$E$2:$E$201,MATCH(1,INDEX((Papers!$G$2:$G$201=$B$1)*(Papers!$I$2:$I$201=8),0),0)),"")</f>
        <v/>
      </c>
      <c r="F20" s="67"/>
      <c r="G20" s="64"/>
      <c r="H20" s="64"/>
      <c r="I20" s="64"/>
      <c r="J20" s="64"/>
      <c r="K20" s="64"/>
      <c r="L20" s="64"/>
      <c r="M20" s="64"/>
      <c r="N20" s="64"/>
      <c r="O20" s="64"/>
      <c r="P20" s="64"/>
      <c r="Q20" s="64"/>
      <c r="R20" s="64"/>
      <c r="S20" s="64"/>
      <c r="T20" s="64"/>
      <c r="U20" s="64"/>
      <c r="V20" s="64"/>
      <c r="W20" s="64"/>
      <c r="X20" s="64"/>
      <c r="Y20" s="64"/>
      <c r="Z20" s="64"/>
    </row>
    <row r="21" ht="12.75" customHeight="1">
      <c r="A21" s="108"/>
      <c r="B21" s="64"/>
      <c r="C21" s="64"/>
      <c r="E21" s="64"/>
      <c r="F21" s="63"/>
      <c r="G21" s="64"/>
      <c r="H21" s="64"/>
      <c r="I21" s="64"/>
      <c r="J21" s="64"/>
      <c r="K21" s="64"/>
      <c r="L21" s="64"/>
      <c r="M21" s="64"/>
      <c r="N21" s="64"/>
      <c r="O21" s="64"/>
      <c r="P21" s="64"/>
      <c r="Q21" s="64"/>
      <c r="R21" s="64"/>
      <c r="S21" s="64"/>
      <c r="T21" s="64"/>
      <c r="U21" s="64"/>
      <c r="V21" s="64"/>
      <c r="W21" s="64"/>
      <c r="X21" s="64"/>
      <c r="Y21" s="64"/>
      <c r="Z21" s="64"/>
    </row>
    <row r="22" ht="12.75" customHeight="1">
      <c r="A22" s="108"/>
      <c r="B22" s="64"/>
      <c r="C22" s="64"/>
      <c r="D22" s="64"/>
      <c r="E22" s="64"/>
      <c r="F22" s="63"/>
      <c r="G22" s="63"/>
      <c r="H22" s="64"/>
      <c r="I22" s="64"/>
      <c r="J22" s="64"/>
      <c r="K22" s="64"/>
      <c r="L22" s="64"/>
      <c r="M22" s="64"/>
      <c r="N22" s="64"/>
      <c r="O22" s="64"/>
      <c r="P22" s="64"/>
      <c r="Q22" s="64"/>
      <c r="R22" s="64"/>
      <c r="S22" s="64"/>
      <c r="T22" s="64"/>
      <c r="U22" s="64"/>
      <c r="V22" s="64"/>
      <c r="W22" s="64"/>
      <c r="X22" s="64"/>
      <c r="Y22" s="64"/>
      <c r="Z22" s="64"/>
    </row>
    <row r="23" ht="12.75" customHeight="1">
      <c r="A23" s="108"/>
      <c r="B23" s="64"/>
      <c r="C23" s="64"/>
      <c r="D23" s="64"/>
      <c r="E23" s="64"/>
      <c r="F23" s="63"/>
      <c r="G23" s="63"/>
      <c r="H23" s="64"/>
      <c r="I23" s="64"/>
      <c r="J23" s="64"/>
      <c r="K23" s="64"/>
      <c r="L23" s="64"/>
      <c r="M23" s="64"/>
      <c r="N23" s="64"/>
      <c r="O23" s="64"/>
      <c r="P23" s="64"/>
      <c r="Q23" s="64"/>
      <c r="R23" s="64"/>
      <c r="S23" s="64"/>
      <c r="T23" s="64"/>
      <c r="U23" s="64"/>
      <c r="V23" s="64"/>
      <c r="W23" s="64"/>
      <c r="X23" s="64"/>
      <c r="Y23" s="64"/>
      <c r="Z23" s="64"/>
    </row>
    <row r="24" ht="12.75" customHeight="1">
      <c r="A24" s="108"/>
      <c r="B24" s="64"/>
      <c r="C24" s="64"/>
      <c r="D24" s="64"/>
      <c r="E24" s="64"/>
      <c r="F24" s="63"/>
      <c r="G24" s="63"/>
      <c r="H24" s="64"/>
      <c r="I24" s="64"/>
      <c r="J24" s="64"/>
      <c r="K24" s="64"/>
      <c r="L24" s="64"/>
      <c r="M24" s="64"/>
      <c r="N24" s="64"/>
      <c r="O24" s="64"/>
      <c r="P24" s="64"/>
      <c r="Q24" s="64"/>
      <c r="R24" s="64"/>
      <c r="S24" s="64"/>
      <c r="T24" s="64"/>
      <c r="U24" s="64"/>
      <c r="V24" s="64"/>
      <c r="W24" s="64"/>
      <c r="X24" s="64"/>
      <c r="Y24" s="64"/>
      <c r="Z24" s="64"/>
    </row>
    <row r="25" ht="12.75" customHeight="1">
      <c r="A25" s="108"/>
      <c r="B25" s="64"/>
      <c r="C25" s="64"/>
      <c r="D25" s="64"/>
      <c r="E25" s="64"/>
      <c r="F25" s="63"/>
      <c r="G25" s="63"/>
      <c r="H25" s="64"/>
      <c r="I25" s="64"/>
      <c r="J25" s="64"/>
      <c r="K25" s="64"/>
      <c r="L25" s="64"/>
      <c r="M25" s="64"/>
      <c r="N25" s="64"/>
      <c r="O25" s="64"/>
      <c r="P25" s="64"/>
      <c r="Q25" s="64"/>
      <c r="R25" s="64"/>
      <c r="S25" s="64"/>
      <c r="T25" s="64"/>
      <c r="U25" s="64"/>
      <c r="V25" s="64"/>
      <c r="W25" s="64"/>
      <c r="X25" s="64"/>
      <c r="Y25" s="64"/>
      <c r="Z25" s="64"/>
    </row>
    <row r="26" ht="12.75" customHeight="1">
      <c r="A26" s="108"/>
      <c r="B26" s="64"/>
      <c r="C26" s="64"/>
      <c r="D26" s="64"/>
      <c r="E26" s="64"/>
      <c r="F26" s="63"/>
      <c r="G26" s="63"/>
      <c r="H26" s="64"/>
      <c r="I26" s="64"/>
      <c r="J26" s="64"/>
      <c r="K26" s="64"/>
      <c r="L26" s="64"/>
      <c r="M26" s="64"/>
      <c r="N26" s="64"/>
      <c r="O26" s="64"/>
      <c r="P26" s="64"/>
      <c r="Q26" s="64"/>
      <c r="R26" s="64"/>
      <c r="S26" s="64"/>
      <c r="T26" s="64"/>
      <c r="U26" s="64"/>
      <c r="V26" s="64"/>
      <c r="W26" s="64"/>
      <c r="X26" s="64"/>
      <c r="Y26" s="64"/>
      <c r="Z26" s="64"/>
    </row>
    <row r="27" ht="12.75" customHeight="1">
      <c r="A27" s="108"/>
      <c r="B27" s="64"/>
      <c r="C27" s="64"/>
      <c r="D27" s="64"/>
      <c r="E27" s="64"/>
      <c r="F27" s="63"/>
      <c r="G27" s="63"/>
      <c r="H27" s="64"/>
      <c r="I27" s="64"/>
      <c r="J27" s="64"/>
      <c r="K27" s="64"/>
      <c r="L27" s="64"/>
      <c r="M27" s="64"/>
      <c r="N27" s="64"/>
      <c r="O27" s="64"/>
      <c r="P27" s="64"/>
      <c r="Q27" s="64"/>
      <c r="R27" s="64"/>
      <c r="S27" s="64"/>
      <c r="T27" s="64"/>
      <c r="U27" s="64"/>
      <c r="V27" s="64"/>
      <c r="W27" s="64"/>
      <c r="X27" s="64"/>
      <c r="Y27" s="64"/>
      <c r="Z27" s="64"/>
    </row>
    <row r="28" ht="12.75" customHeight="1">
      <c r="A28" s="108"/>
      <c r="B28" s="64"/>
      <c r="C28" s="64"/>
      <c r="D28" s="64"/>
      <c r="E28" s="64"/>
      <c r="F28" s="63"/>
      <c r="G28" s="63"/>
      <c r="H28" s="64"/>
      <c r="I28" s="64"/>
      <c r="J28" s="64"/>
      <c r="K28" s="64"/>
      <c r="L28" s="64"/>
      <c r="M28" s="64"/>
      <c r="N28" s="64"/>
      <c r="O28" s="64"/>
      <c r="P28" s="64"/>
      <c r="Q28" s="64"/>
      <c r="R28" s="64"/>
      <c r="S28" s="64"/>
      <c r="T28" s="64"/>
      <c r="U28" s="64"/>
      <c r="V28" s="64"/>
      <c r="W28" s="64"/>
      <c r="X28" s="64"/>
      <c r="Y28" s="64"/>
      <c r="Z28" s="64"/>
    </row>
    <row r="29" ht="12.75" customHeight="1">
      <c r="A29" s="108"/>
      <c r="B29" s="64"/>
      <c r="C29" s="64"/>
      <c r="D29" s="64"/>
      <c r="E29" s="64"/>
      <c r="F29" s="63"/>
      <c r="G29" s="63"/>
      <c r="H29" s="64"/>
      <c r="I29" s="64"/>
      <c r="J29" s="64"/>
      <c r="K29" s="64"/>
      <c r="L29" s="64"/>
      <c r="M29" s="64"/>
      <c r="N29" s="64"/>
      <c r="O29" s="64"/>
      <c r="P29" s="64"/>
      <c r="Q29" s="64"/>
      <c r="R29" s="64"/>
      <c r="S29" s="64"/>
      <c r="T29" s="64"/>
      <c r="U29" s="64"/>
      <c r="V29" s="64"/>
      <c r="W29" s="64"/>
      <c r="X29" s="64"/>
      <c r="Y29" s="64"/>
      <c r="Z29" s="64"/>
    </row>
    <row r="30" ht="12.75" customHeight="1">
      <c r="A30" s="108"/>
      <c r="B30" s="64"/>
      <c r="C30" s="64"/>
      <c r="D30" s="64"/>
      <c r="E30" s="64"/>
      <c r="F30" s="63"/>
      <c r="G30" s="63"/>
      <c r="H30" s="64"/>
      <c r="I30" s="64"/>
      <c r="J30" s="64"/>
      <c r="K30" s="64"/>
      <c r="L30" s="64"/>
      <c r="M30" s="64"/>
      <c r="N30" s="64"/>
      <c r="O30" s="64"/>
      <c r="P30" s="64"/>
      <c r="Q30" s="64"/>
      <c r="R30" s="64"/>
      <c r="S30" s="64"/>
      <c r="T30" s="64"/>
      <c r="U30" s="64"/>
      <c r="V30" s="64"/>
      <c r="W30" s="64"/>
      <c r="X30" s="64"/>
      <c r="Y30" s="64"/>
      <c r="Z30" s="64"/>
    </row>
    <row r="31" ht="12.75" customHeight="1">
      <c r="A31" s="108"/>
      <c r="B31" s="64"/>
      <c r="C31" s="64"/>
      <c r="D31" s="64"/>
      <c r="E31" s="64"/>
      <c r="F31" s="63"/>
      <c r="G31" s="63"/>
      <c r="H31" s="64"/>
      <c r="I31" s="64"/>
      <c r="J31" s="64"/>
      <c r="K31" s="64"/>
      <c r="L31" s="64"/>
      <c r="M31" s="64"/>
      <c r="N31" s="64"/>
      <c r="O31" s="64"/>
      <c r="P31" s="64"/>
      <c r="Q31" s="64"/>
      <c r="R31" s="64"/>
      <c r="S31" s="64"/>
      <c r="T31" s="64"/>
      <c r="U31" s="64"/>
      <c r="V31" s="64"/>
      <c r="W31" s="64"/>
      <c r="X31" s="64"/>
      <c r="Y31" s="64"/>
      <c r="Z31" s="64"/>
    </row>
    <row r="32" ht="12.75" customHeight="1">
      <c r="A32" s="108"/>
      <c r="B32" s="64"/>
      <c r="C32" s="64"/>
      <c r="D32" s="64"/>
      <c r="E32" s="64"/>
      <c r="F32" s="63"/>
      <c r="G32" s="63"/>
      <c r="H32" s="64"/>
      <c r="I32" s="64"/>
      <c r="J32" s="64"/>
      <c r="K32" s="64"/>
      <c r="L32" s="64"/>
      <c r="M32" s="64"/>
      <c r="N32" s="64"/>
      <c r="O32" s="64"/>
      <c r="P32" s="64"/>
      <c r="Q32" s="64"/>
      <c r="R32" s="64"/>
      <c r="S32" s="64"/>
      <c r="T32" s="64"/>
      <c r="U32" s="64"/>
      <c r="V32" s="64"/>
      <c r="W32" s="64"/>
      <c r="X32" s="64"/>
      <c r="Y32" s="64"/>
      <c r="Z32" s="64"/>
    </row>
    <row r="33" ht="12.75" customHeight="1">
      <c r="A33" s="108"/>
      <c r="B33" s="64"/>
      <c r="C33" s="64"/>
      <c r="D33" s="64"/>
      <c r="E33" s="64"/>
      <c r="F33" s="63"/>
      <c r="G33" s="63"/>
      <c r="H33" s="64"/>
      <c r="I33" s="64"/>
      <c r="J33" s="64"/>
      <c r="K33" s="64"/>
      <c r="L33" s="64"/>
      <c r="M33" s="64"/>
      <c r="N33" s="64"/>
      <c r="O33" s="64"/>
      <c r="P33" s="64"/>
      <c r="Q33" s="64"/>
      <c r="R33" s="64"/>
      <c r="S33" s="64"/>
      <c r="T33" s="64"/>
      <c r="U33" s="64"/>
      <c r="V33" s="64"/>
      <c r="W33" s="64"/>
      <c r="X33" s="64"/>
      <c r="Y33" s="64"/>
      <c r="Z33" s="64"/>
    </row>
    <row r="34" ht="12.75" customHeight="1">
      <c r="A34" s="108"/>
      <c r="B34" s="64"/>
      <c r="C34" s="64"/>
      <c r="D34" s="64"/>
      <c r="E34" s="64"/>
      <c r="F34" s="63"/>
      <c r="G34" s="63"/>
      <c r="H34" s="64"/>
      <c r="I34" s="64"/>
      <c r="J34" s="64"/>
      <c r="K34" s="64"/>
      <c r="L34" s="64"/>
      <c r="M34" s="64"/>
      <c r="N34" s="64"/>
      <c r="O34" s="64"/>
      <c r="P34" s="64"/>
      <c r="Q34" s="64"/>
      <c r="R34" s="64"/>
      <c r="S34" s="64"/>
      <c r="T34" s="64"/>
      <c r="U34" s="64"/>
      <c r="V34" s="64"/>
      <c r="W34" s="64"/>
      <c r="X34" s="64"/>
      <c r="Y34" s="64"/>
      <c r="Z34" s="64"/>
    </row>
    <row r="35" ht="12.75" customHeight="1">
      <c r="A35" s="108"/>
      <c r="B35" s="64"/>
      <c r="C35" s="64"/>
      <c r="D35" s="64"/>
      <c r="E35" s="64"/>
      <c r="F35" s="63"/>
      <c r="G35" s="63"/>
      <c r="H35" s="64"/>
      <c r="I35" s="64"/>
      <c r="J35" s="64"/>
      <c r="K35" s="64"/>
      <c r="L35" s="64"/>
      <c r="M35" s="64"/>
      <c r="N35" s="64"/>
      <c r="O35" s="64"/>
      <c r="P35" s="64"/>
      <c r="Q35" s="64"/>
      <c r="R35" s="64"/>
      <c r="S35" s="64"/>
      <c r="T35" s="64"/>
      <c r="U35" s="64"/>
      <c r="V35" s="64"/>
      <c r="W35" s="64"/>
      <c r="X35" s="64"/>
      <c r="Y35" s="64"/>
      <c r="Z35" s="64"/>
    </row>
    <row r="36" ht="12.75" customHeight="1">
      <c r="A36" s="108"/>
      <c r="B36" s="64"/>
      <c r="C36" s="64"/>
      <c r="D36" s="64"/>
      <c r="E36" s="64"/>
      <c r="F36" s="63"/>
      <c r="G36" s="63"/>
      <c r="H36" s="64"/>
      <c r="I36" s="64"/>
      <c r="J36" s="64"/>
      <c r="K36" s="64"/>
      <c r="L36" s="64"/>
      <c r="M36" s="64"/>
      <c r="N36" s="64"/>
      <c r="O36" s="64"/>
      <c r="P36" s="64"/>
      <c r="Q36" s="64"/>
      <c r="R36" s="64"/>
      <c r="S36" s="64"/>
      <c r="T36" s="64"/>
      <c r="U36" s="64"/>
      <c r="V36" s="64"/>
      <c r="W36" s="64"/>
      <c r="X36" s="64"/>
      <c r="Y36" s="64"/>
      <c r="Z36" s="64"/>
    </row>
    <row r="37" ht="12.75" customHeight="1">
      <c r="A37" s="108"/>
      <c r="B37" s="64"/>
      <c r="C37" s="64"/>
      <c r="D37" s="64"/>
      <c r="E37" s="64"/>
      <c r="F37" s="63"/>
      <c r="G37" s="63"/>
      <c r="H37" s="64"/>
      <c r="I37" s="64"/>
      <c r="J37" s="64"/>
      <c r="K37" s="64"/>
      <c r="L37" s="64"/>
      <c r="M37" s="64"/>
      <c r="N37" s="64"/>
      <c r="O37" s="64"/>
      <c r="P37" s="64"/>
      <c r="Q37" s="64"/>
      <c r="R37" s="64"/>
      <c r="S37" s="64"/>
      <c r="T37" s="64"/>
      <c r="U37" s="64"/>
      <c r="V37" s="64"/>
      <c r="W37" s="64"/>
      <c r="X37" s="64"/>
      <c r="Y37" s="64"/>
      <c r="Z37" s="64"/>
    </row>
    <row r="38" ht="12.75" customHeight="1">
      <c r="A38" s="108"/>
      <c r="B38" s="64"/>
      <c r="C38" s="64"/>
      <c r="D38" s="64"/>
      <c r="E38" s="64"/>
      <c r="F38" s="63"/>
      <c r="G38" s="63"/>
      <c r="H38" s="64"/>
      <c r="I38" s="64"/>
      <c r="J38" s="64"/>
      <c r="K38" s="64"/>
      <c r="L38" s="64"/>
      <c r="M38" s="64"/>
      <c r="N38" s="64"/>
      <c r="O38" s="64"/>
      <c r="P38" s="64"/>
      <c r="Q38" s="64"/>
      <c r="R38" s="64"/>
      <c r="S38" s="64"/>
      <c r="T38" s="64"/>
      <c r="U38" s="64"/>
      <c r="V38" s="64"/>
      <c r="W38" s="64"/>
      <c r="X38" s="64"/>
      <c r="Y38" s="64"/>
      <c r="Z38" s="64"/>
    </row>
    <row r="39" ht="12.75" customHeight="1">
      <c r="A39" s="108"/>
      <c r="B39" s="64"/>
      <c r="C39" s="64"/>
      <c r="D39" s="64"/>
      <c r="E39" s="64"/>
      <c r="F39" s="63"/>
      <c r="G39" s="63"/>
      <c r="H39" s="64"/>
      <c r="I39" s="64"/>
      <c r="J39" s="64"/>
      <c r="K39" s="64"/>
      <c r="L39" s="64"/>
      <c r="M39" s="64"/>
      <c r="N39" s="64"/>
      <c r="O39" s="64"/>
      <c r="P39" s="64"/>
      <c r="Q39" s="64"/>
      <c r="R39" s="64"/>
      <c r="S39" s="64"/>
      <c r="T39" s="64"/>
      <c r="U39" s="64"/>
      <c r="V39" s="64"/>
      <c r="W39" s="64"/>
      <c r="X39" s="64"/>
      <c r="Y39" s="64"/>
      <c r="Z39" s="64"/>
    </row>
    <row r="40" ht="12.75" customHeight="1">
      <c r="A40" s="108"/>
      <c r="B40" s="64"/>
      <c r="C40" s="64"/>
      <c r="D40" s="64"/>
      <c r="E40" s="64"/>
      <c r="F40" s="63"/>
      <c r="G40" s="63"/>
      <c r="H40" s="64"/>
      <c r="I40" s="64"/>
      <c r="J40" s="64"/>
      <c r="K40" s="64"/>
      <c r="L40" s="64"/>
      <c r="M40" s="64"/>
      <c r="N40" s="64"/>
      <c r="O40" s="64"/>
      <c r="P40" s="64"/>
      <c r="Q40" s="64"/>
      <c r="R40" s="64"/>
      <c r="S40" s="64"/>
      <c r="T40" s="64"/>
      <c r="U40" s="64"/>
      <c r="V40" s="64"/>
      <c r="W40" s="64"/>
      <c r="X40" s="64"/>
      <c r="Y40" s="64"/>
      <c r="Z40" s="64"/>
    </row>
    <row r="41" ht="12.75" customHeight="1">
      <c r="A41" s="108"/>
      <c r="B41" s="64"/>
      <c r="C41" s="64"/>
      <c r="D41" s="64"/>
      <c r="E41" s="64"/>
      <c r="F41" s="63"/>
      <c r="G41" s="63"/>
      <c r="H41" s="64"/>
      <c r="I41" s="64"/>
      <c r="J41" s="64"/>
      <c r="K41" s="64"/>
      <c r="L41" s="64"/>
      <c r="M41" s="64"/>
      <c r="N41" s="64"/>
      <c r="O41" s="64"/>
      <c r="P41" s="64"/>
      <c r="Q41" s="64"/>
      <c r="R41" s="64"/>
      <c r="S41" s="64"/>
      <c r="T41" s="64"/>
      <c r="U41" s="64"/>
      <c r="V41" s="64"/>
      <c r="W41" s="64"/>
      <c r="X41" s="64"/>
      <c r="Y41" s="64"/>
      <c r="Z41" s="64"/>
    </row>
    <row r="42" ht="12.75" customHeight="1">
      <c r="A42" s="108"/>
      <c r="B42" s="64"/>
      <c r="C42" s="64"/>
      <c r="D42" s="64"/>
      <c r="E42" s="64"/>
      <c r="F42" s="63"/>
      <c r="G42" s="63"/>
      <c r="H42" s="64"/>
      <c r="I42" s="64"/>
      <c r="J42" s="64"/>
      <c r="K42" s="64"/>
      <c r="L42" s="64"/>
      <c r="M42" s="64"/>
      <c r="N42" s="64"/>
      <c r="O42" s="64"/>
      <c r="P42" s="64"/>
      <c r="Q42" s="64"/>
      <c r="R42" s="64"/>
      <c r="S42" s="64"/>
      <c r="T42" s="64"/>
      <c r="U42" s="64"/>
      <c r="V42" s="64"/>
      <c r="W42" s="64"/>
      <c r="X42" s="64"/>
      <c r="Y42" s="64"/>
      <c r="Z42" s="64"/>
    </row>
    <row r="43" ht="12.75" customHeight="1">
      <c r="A43" s="108"/>
      <c r="B43" s="64"/>
      <c r="C43" s="64"/>
      <c r="D43" s="64"/>
      <c r="E43" s="64"/>
      <c r="F43" s="63"/>
      <c r="G43" s="63"/>
      <c r="H43" s="64"/>
      <c r="I43" s="64"/>
      <c r="J43" s="64"/>
      <c r="K43" s="64"/>
      <c r="L43" s="64"/>
      <c r="M43" s="64"/>
      <c r="N43" s="64"/>
      <c r="O43" s="64"/>
      <c r="P43" s="64"/>
      <c r="Q43" s="64"/>
      <c r="R43" s="64"/>
      <c r="S43" s="64"/>
      <c r="T43" s="64"/>
      <c r="U43" s="64"/>
      <c r="V43" s="64"/>
      <c r="W43" s="64"/>
      <c r="X43" s="64"/>
      <c r="Y43" s="64"/>
      <c r="Z43" s="64"/>
    </row>
    <row r="44" ht="12.75" customHeight="1">
      <c r="A44" s="108"/>
      <c r="B44" s="64"/>
      <c r="C44" s="64"/>
      <c r="D44" s="64"/>
      <c r="E44" s="64"/>
      <c r="F44" s="63"/>
      <c r="G44" s="63"/>
      <c r="H44" s="64"/>
      <c r="I44" s="64"/>
      <c r="J44" s="64"/>
      <c r="K44" s="64"/>
      <c r="L44" s="64"/>
      <c r="M44" s="64"/>
      <c r="N44" s="64"/>
      <c r="O44" s="64"/>
      <c r="P44" s="64"/>
      <c r="Q44" s="64"/>
      <c r="R44" s="64"/>
      <c r="S44" s="64"/>
      <c r="T44" s="64"/>
      <c r="U44" s="64"/>
      <c r="V44" s="64"/>
      <c r="W44" s="64"/>
      <c r="X44" s="64"/>
      <c r="Y44" s="64"/>
      <c r="Z44" s="64"/>
    </row>
    <row r="45" ht="12.75" customHeight="1">
      <c r="A45" s="108"/>
      <c r="B45" s="64"/>
      <c r="C45" s="64"/>
      <c r="D45" s="64"/>
      <c r="E45" s="64"/>
      <c r="F45" s="63"/>
      <c r="G45" s="63"/>
      <c r="H45" s="64"/>
      <c r="I45" s="64"/>
      <c r="J45" s="64"/>
      <c r="K45" s="64"/>
      <c r="L45" s="64"/>
      <c r="M45" s="64"/>
      <c r="N45" s="64"/>
      <c r="O45" s="64"/>
      <c r="P45" s="64"/>
      <c r="Q45" s="64"/>
      <c r="R45" s="64"/>
      <c r="S45" s="64"/>
      <c r="T45" s="64"/>
      <c r="U45" s="64"/>
      <c r="V45" s="64"/>
      <c r="W45" s="64"/>
      <c r="X45" s="64"/>
      <c r="Y45" s="64"/>
      <c r="Z45" s="64"/>
    </row>
    <row r="46" ht="12.75" customHeight="1">
      <c r="A46" s="108"/>
      <c r="B46" s="64"/>
      <c r="C46" s="64"/>
      <c r="D46" s="64"/>
      <c r="E46" s="64"/>
      <c r="F46" s="63"/>
      <c r="G46" s="63"/>
      <c r="H46" s="64"/>
      <c r="I46" s="64"/>
      <c r="J46" s="64"/>
      <c r="K46" s="64"/>
      <c r="L46" s="64"/>
      <c r="M46" s="64"/>
      <c r="N46" s="64"/>
      <c r="O46" s="64"/>
      <c r="P46" s="64"/>
      <c r="Q46" s="64"/>
      <c r="R46" s="64"/>
      <c r="S46" s="64"/>
      <c r="T46" s="64"/>
      <c r="U46" s="64"/>
      <c r="V46" s="64"/>
      <c r="W46" s="64"/>
      <c r="X46" s="64"/>
      <c r="Y46" s="64"/>
      <c r="Z46" s="64"/>
    </row>
    <row r="47" ht="12.75" customHeight="1">
      <c r="A47" s="108"/>
      <c r="B47" s="64"/>
      <c r="C47" s="64"/>
      <c r="D47" s="64"/>
      <c r="E47" s="64"/>
      <c r="F47" s="63"/>
      <c r="G47" s="63"/>
      <c r="H47" s="64"/>
      <c r="I47" s="64"/>
      <c r="J47" s="64"/>
      <c r="K47" s="64"/>
      <c r="L47" s="64"/>
      <c r="M47" s="64"/>
      <c r="N47" s="64"/>
      <c r="O47" s="64"/>
      <c r="P47" s="64"/>
      <c r="Q47" s="64"/>
      <c r="R47" s="64"/>
      <c r="S47" s="64"/>
      <c r="T47" s="64"/>
      <c r="U47" s="64"/>
      <c r="V47" s="64"/>
      <c r="W47" s="64"/>
      <c r="X47" s="64"/>
      <c r="Y47" s="64"/>
      <c r="Z47" s="64"/>
    </row>
    <row r="48" ht="12.75" customHeight="1">
      <c r="A48" s="108"/>
      <c r="B48" s="64"/>
      <c r="C48" s="64"/>
      <c r="D48" s="64"/>
      <c r="E48" s="64"/>
      <c r="F48" s="63"/>
      <c r="G48" s="63"/>
      <c r="H48" s="64"/>
      <c r="I48" s="64"/>
      <c r="J48" s="64"/>
      <c r="K48" s="64"/>
      <c r="L48" s="64"/>
      <c r="M48" s="64"/>
      <c r="N48" s="64"/>
      <c r="O48" s="64"/>
      <c r="P48" s="64"/>
      <c r="Q48" s="64"/>
      <c r="R48" s="64"/>
      <c r="S48" s="64"/>
      <c r="T48" s="64"/>
      <c r="U48" s="64"/>
      <c r="V48" s="64"/>
      <c r="W48" s="64"/>
      <c r="X48" s="64"/>
      <c r="Y48" s="64"/>
      <c r="Z48" s="64"/>
    </row>
    <row r="49" ht="12.75" customHeight="1">
      <c r="A49" s="108"/>
      <c r="B49" s="64"/>
      <c r="C49" s="64"/>
      <c r="D49" s="64"/>
      <c r="E49" s="64"/>
      <c r="F49" s="63"/>
      <c r="G49" s="63"/>
      <c r="H49" s="64"/>
      <c r="I49" s="64"/>
      <c r="J49" s="64"/>
      <c r="K49" s="64"/>
      <c r="L49" s="64"/>
      <c r="M49" s="64"/>
      <c r="N49" s="64"/>
      <c r="O49" s="64"/>
      <c r="P49" s="64"/>
      <c r="Q49" s="64"/>
      <c r="R49" s="64"/>
      <c r="S49" s="64"/>
      <c r="T49" s="64"/>
      <c r="U49" s="64"/>
      <c r="V49" s="64"/>
      <c r="W49" s="64"/>
      <c r="X49" s="64"/>
      <c r="Y49" s="64"/>
      <c r="Z49" s="64"/>
    </row>
    <row r="50" ht="12.75" customHeight="1">
      <c r="A50" s="108"/>
      <c r="B50" s="64"/>
      <c r="C50" s="64"/>
      <c r="D50" s="64"/>
      <c r="E50" s="64"/>
      <c r="F50" s="63"/>
      <c r="G50" s="63"/>
      <c r="H50" s="64"/>
      <c r="I50" s="64"/>
      <c r="J50" s="64"/>
      <c r="K50" s="64"/>
      <c r="L50" s="64"/>
      <c r="M50" s="64"/>
      <c r="N50" s="64"/>
      <c r="O50" s="64"/>
      <c r="P50" s="64"/>
      <c r="Q50" s="64"/>
      <c r="R50" s="64"/>
      <c r="S50" s="64"/>
      <c r="T50" s="64"/>
      <c r="U50" s="64"/>
      <c r="V50" s="64"/>
      <c r="W50" s="64"/>
      <c r="X50" s="64"/>
      <c r="Y50" s="64"/>
      <c r="Z50" s="64"/>
    </row>
    <row r="51" ht="12.75" customHeight="1">
      <c r="A51" s="108"/>
      <c r="B51" s="64"/>
      <c r="C51" s="64"/>
      <c r="D51" s="64"/>
      <c r="E51" s="64"/>
      <c r="F51" s="63"/>
      <c r="G51" s="63"/>
      <c r="H51" s="64"/>
      <c r="I51" s="64"/>
      <c r="J51" s="64"/>
      <c r="K51" s="64"/>
      <c r="L51" s="64"/>
      <c r="M51" s="64"/>
      <c r="N51" s="64"/>
      <c r="O51" s="64"/>
      <c r="P51" s="64"/>
      <c r="Q51" s="64"/>
      <c r="R51" s="64"/>
      <c r="S51" s="64"/>
      <c r="T51" s="64"/>
      <c r="U51" s="64"/>
      <c r="V51" s="64"/>
      <c r="W51" s="64"/>
      <c r="X51" s="64"/>
      <c r="Y51" s="64"/>
      <c r="Z51" s="64"/>
    </row>
    <row r="52" ht="12.75" customHeight="1">
      <c r="A52" s="108"/>
      <c r="B52" s="64"/>
      <c r="C52" s="64"/>
      <c r="D52" s="64"/>
      <c r="E52" s="64"/>
      <c r="F52" s="63"/>
      <c r="G52" s="63"/>
      <c r="H52" s="64"/>
      <c r="I52" s="64"/>
      <c r="J52" s="64"/>
      <c r="K52" s="64"/>
      <c r="L52" s="64"/>
      <c r="M52" s="64"/>
      <c r="N52" s="64"/>
      <c r="O52" s="64"/>
      <c r="P52" s="64"/>
      <c r="Q52" s="64"/>
      <c r="R52" s="64"/>
      <c r="S52" s="64"/>
      <c r="T52" s="64"/>
      <c r="U52" s="64"/>
      <c r="V52" s="64"/>
      <c r="W52" s="64"/>
      <c r="X52" s="64"/>
      <c r="Y52" s="64"/>
      <c r="Z52" s="64"/>
    </row>
    <row r="53" ht="12.75" customHeight="1">
      <c r="A53" s="108"/>
      <c r="B53" s="64"/>
      <c r="C53" s="64"/>
      <c r="D53" s="64"/>
      <c r="E53" s="64"/>
      <c r="F53" s="63"/>
      <c r="G53" s="63"/>
      <c r="H53" s="64"/>
      <c r="I53" s="64"/>
      <c r="J53" s="64"/>
      <c r="K53" s="64"/>
      <c r="L53" s="64"/>
      <c r="M53" s="64"/>
      <c r="N53" s="64"/>
      <c r="O53" s="64"/>
      <c r="P53" s="64"/>
      <c r="Q53" s="64"/>
      <c r="R53" s="64"/>
      <c r="S53" s="64"/>
      <c r="T53" s="64"/>
      <c r="U53" s="64"/>
      <c r="V53" s="64"/>
      <c r="W53" s="64"/>
      <c r="X53" s="64"/>
      <c r="Y53" s="64"/>
      <c r="Z53" s="64"/>
    </row>
    <row r="54" ht="12.75" customHeight="1">
      <c r="A54" s="108"/>
      <c r="B54" s="64"/>
      <c r="C54" s="64"/>
      <c r="D54" s="64"/>
      <c r="E54" s="64"/>
      <c r="F54" s="63"/>
      <c r="G54" s="63"/>
      <c r="H54" s="64"/>
      <c r="I54" s="64"/>
      <c r="J54" s="64"/>
      <c r="K54" s="64"/>
      <c r="L54" s="64"/>
      <c r="M54" s="64"/>
      <c r="N54" s="64"/>
      <c r="O54" s="64"/>
      <c r="P54" s="64"/>
      <c r="Q54" s="64"/>
      <c r="R54" s="64"/>
      <c r="S54" s="64"/>
      <c r="T54" s="64"/>
      <c r="U54" s="64"/>
      <c r="V54" s="64"/>
      <c r="W54" s="64"/>
      <c r="X54" s="64"/>
      <c r="Y54" s="64"/>
      <c r="Z54" s="64"/>
    </row>
    <row r="55" ht="12.75" customHeight="1">
      <c r="A55" s="108"/>
      <c r="B55" s="64"/>
      <c r="C55" s="64"/>
      <c r="D55" s="64"/>
      <c r="E55" s="64"/>
      <c r="F55" s="63"/>
      <c r="G55" s="63"/>
      <c r="H55" s="64"/>
      <c r="I55" s="64"/>
      <c r="J55" s="64"/>
      <c r="K55" s="64"/>
      <c r="L55" s="64"/>
      <c r="M55" s="64"/>
      <c r="N55" s="64"/>
      <c r="O55" s="64"/>
      <c r="P55" s="64"/>
      <c r="Q55" s="64"/>
      <c r="R55" s="64"/>
      <c r="S55" s="64"/>
      <c r="T55" s="64"/>
      <c r="U55" s="64"/>
      <c r="V55" s="64"/>
      <c r="W55" s="64"/>
      <c r="X55" s="64"/>
      <c r="Y55" s="64"/>
      <c r="Z55" s="64"/>
    </row>
    <row r="56" ht="12.75" customHeight="1">
      <c r="A56" s="108"/>
      <c r="B56" s="64"/>
      <c r="C56" s="64"/>
      <c r="D56" s="64"/>
      <c r="E56" s="64"/>
      <c r="F56" s="63"/>
      <c r="G56" s="63"/>
      <c r="H56" s="64"/>
      <c r="I56" s="64"/>
      <c r="J56" s="64"/>
      <c r="K56" s="64"/>
      <c r="L56" s="64"/>
      <c r="M56" s="64"/>
      <c r="N56" s="64"/>
      <c r="O56" s="64"/>
      <c r="P56" s="64"/>
      <c r="Q56" s="64"/>
      <c r="R56" s="64"/>
      <c r="S56" s="64"/>
      <c r="T56" s="64"/>
      <c r="U56" s="64"/>
      <c r="V56" s="64"/>
      <c r="W56" s="64"/>
      <c r="X56" s="64"/>
      <c r="Y56" s="64"/>
      <c r="Z56" s="64"/>
    </row>
    <row r="57" ht="12.75" customHeight="1">
      <c r="A57" s="108"/>
      <c r="B57" s="64"/>
      <c r="C57" s="64"/>
      <c r="D57" s="64"/>
      <c r="E57" s="64"/>
      <c r="F57" s="63"/>
      <c r="G57" s="63"/>
      <c r="H57" s="64"/>
      <c r="I57" s="64"/>
      <c r="J57" s="64"/>
      <c r="K57" s="64"/>
      <c r="L57" s="64"/>
      <c r="M57" s="64"/>
      <c r="N57" s="64"/>
      <c r="O57" s="64"/>
      <c r="P57" s="64"/>
      <c r="Q57" s="64"/>
      <c r="R57" s="64"/>
      <c r="S57" s="64"/>
      <c r="T57" s="64"/>
      <c r="U57" s="64"/>
      <c r="V57" s="64"/>
      <c r="W57" s="64"/>
      <c r="X57" s="64"/>
      <c r="Y57" s="64"/>
      <c r="Z57" s="64"/>
    </row>
    <row r="58" ht="12.75" customHeight="1">
      <c r="A58" s="108"/>
      <c r="B58" s="64"/>
      <c r="C58" s="64"/>
      <c r="D58" s="64"/>
      <c r="E58" s="64"/>
      <c r="F58" s="63"/>
      <c r="G58" s="63"/>
      <c r="H58" s="64"/>
      <c r="I58" s="64"/>
      <c r="J58" s="64"/>
      <c r="K58" s="64"/>
      <c r="L58" s="64"/>
      <c r="M58" s="64"/>
      <c r="N58" s="64"/>
      <c r="O58" s="64"/>
      <c r="P58" s="64"/>
      <c r="Q58" s="64"/>
      <c r="R58" s="64"/>
      <c r="S58" s="64"/>
      <c r="T58" s="64"/>
      <c r="U58" s="64"/>
      <c r="V58" s="64"/>
      <c r="W58" s="64"/>
      <c r="X58" s="64"/>
      <c r="Y58" s="64"/>
      <c r="Z58" s="64"/>
    </row>
    <row r="59" ht="12.75" customHeight="1">
      <c r="A59" s="108"/>
      <c r="B59" s="64"/>
      <c r="C59" s="64"/>
      <c r="D59" s="64"/>
      <c r="E59" s="64"/>
      <c r="F59" s="63"/>
      <c r="G59" s="63"/>
      <c r="H59" s="64"/>
      <c r="I59" s="64"/>
      <c r="J59" s="64"/>
      <c r="K59" s="64"/>
      <c r="L59" s="64"/>
      <c r="M59" s="64"/>
      <c r="N59" s="64"/>
      <c r="O59" s="64"/>
      <c r="P59" s="64"/>
      <c r="Q59" s="64"/>
      <c r="R59" s="64"/>
      <c r="S59" s="64"/>
      <c r="T59" s="64"/>
      <c r="U59" s="64"/>
      <c r="V59" s="64"/>
      <c r="W59" s="64"/>
      <c r="X59" s="64"/>
      <c r="Y59" s="64"/>
      <c r="Z59" s="64"/>
    </row>
    <row r="60" ht="12.75" customHeight="1">
      <c r="A60" s="108"/>
      <c r="B60" s="64"/>
      <c r="C60" s="64"/>
      <c r="D60" s="64"/>
      <c r="E60" s="64"/>
      <c r="F60" s="63"/>
      <c r="G60" s="63"/>
      <c r="H60" s="64"/>
      <c r="I60" s="64"/>
      <c r="J60" s="64"/>
      <c r="K60" s="64"/>
      <c r="L60" s="64"/>
      <c r="M60" s="64"/>
      <c r="N60" s="64"/>
      <c r="O60" s="64"/>
      <c r="P60" s="64"/>
      <c r="Q60" s="64"/>
      <c r="R60" s="64"/>
      <c r="S60" s="64"/>
      <c r="T60" s="64"/>
      <c r="U60" s="64"/>
      <c r="V60" s="64"/>
      <c r="W60" s="64"/>
      <c r="X60" s="64"/>
      <c r="Y60" s="64"/>
      <c r="Z60" s="64"/>
    </row>
    <row r="61" ht="12.75" customHeight="1">
      <c r="A61" s="108"/>
      <c r="B61" s="64"/>
      <c r="C61" s="64"/>
      <c r="D61" s="64"/>
      <c r="E61" s="64"/>
      <c r="F61" s="63"/>
      <c r="G61" s="63"/>
      <c r="H61" s="64"/>
      <c r="I61" s="64"/>
      <c r="J61" s="64"/>
      <c r="K61" s="64"/>
      <c r="L61" s="64"/>
      <c r="M61" s="64"/>
      <c r="N61" s="64"/>
      <c r="O61" s="64"/>
      <c r="P61" s="64"/>
      <c r="Q61" s="64"/>
      <c r="R61" s="64"/>
      <c r="S61" s="64"/>
      <c r="T61" s="64"/>
      <c r="U61" s="64"/>
      <c r="V61" s="64"/>
      <c r="W61" s="64"/>
      <c r="X61" s="64"/>
      <c r="Y61" s="64"/>
      <c r="Z61" s="64"/>
    </row>
    <row r="62" ht="12.75" customHeight="1">
      <c r="A62" s="108"/>
      <c r="B62" s="64"/>
      <c r="C62" s="64"/>
      <c r="D62" s="64"/>
      <c r="E62" s="64"/>
      <c r="F62" s="63"/>
      <c r="G62" s="63"/>
      <c r="H62" s="64"/>
      <c r="I62" s="64"/>
      <c r="J62" s="64"/>
      <c r="K62" s="64"/>
      <c r="L62" s="64"/>
      <c r="M62" s="64"/>
      <c r="N62" s="64"/>
      <c r="O62" s="64"/>
      <c r="P62" s="64"/>
      <c r="Q62" s="64"/>
      <c r="R62" s="64"/>
      <c r="S62" s="64"/>
      <c r="T62" s="64"/>
      <c r="U62" s="64"/>
      <c r="V62" s="64"/>
      <c r="W62" s="64"/>
      <c r="X62" s="64"/>
      <c r="Y62" s="64"/>
      <c r="Z62" s="64"/>
    </row>
    <row r="63" ht="12.75" customHeight="1">
      <c r="A63" s="108"/>
      <c r="B63" s="64"/>
      <c r="C63" s="64"/>
      <c r="D63" s="64"/>
      <c r="E63" s="64"/>
      <c r="F63" s="63"/>
      <c r="G63" s="63"/>
      <c r="H63" s="64"/>
      <c r="I63" s="64"/>
      <c r="J63" s="64"/>
      <c r="K63" s="64"/>
      <c r="L63" s="64"/>
      <c r="M63" s="64"/>
      <c r="N63" s="64"/>
      <c r="O63" s="64"/>
      <c r="P63" s="64"/>
      <c r="Q63" s="64"/>
      <c r="R63" s="64"/>
      <c r="S63" s="64"/>
      <c r="T63" s="64"/>
      <c r="U63" s="64"/>
      <c r="V63" s="64"/>
      <c r="W63" s="64"/>
      <c r="X63" s="64"/>
      <c r="Y63" s="64"/>
      <c r="Z63" s="64"/>
    </row>
    <row r="64" ht="12.75" customHeight="1">
      <c r="A64" s="108"/>
      <c r="B64" s="64"/>
      <c r="C64" s="64"/>
      <c r="D64" s="64"/>
      <c r="E64" s="64"/>
      <c r="F64" s="63"/>
      <c r="G64" s="63"/>
      <c r="H64" s="64"/>
      <c r="I64" s="64"/>
      <c r="J64" s="64"/>
      <c r="K64" s="64"/>
      <c r="L64" s="64"/>
      <c r="M64" s="64"/>
      <c r="N64" s="64"/>
      <c r="O64" s="64"/>
      <c r="P64" s="64"/>
      <c r="Q64" s="64"/>
      <c r="R64" s="64"/>
      <c r="S64" s="64"/>
      <c r="T64" s="64"/>
      <c r="U64" s="64"/>
      <c r="V64" s="64"/>
      <c r="W64" s="64"/>
      <c r="X64" s="64"/>
      <c r="Y64" s="64"/>
      <c r="Z64" s="64"/>
    </row>
    <row r="65" ht="12.75" customHeight="1">
      <c r="A65" s="108"/>
      <c r="B65" s="64"/>
      <c r="C65" s="64"/>
      <c r="D65" s="64"/>
      <c r="E65" s="64"/>
      <c r="F65" s="63"/>
      <c r="G65" s="63"/>
      <c r="H65" s="64"/>
      <c r="I65" s="64"/>
      <c r="J65" s="64"/>
      <c r="K65" s="64"/>
      <c r="L65" s="64"/>
      <c r="M65" s="64"/>
      <c r="N65" s="64"/>
      <c r="O65" s="64"/>
      <c r="P65" s="64"/>
      <c r="Q65" s="64"/>
      <c r="R65" s="64"/>
      <c r="S65" s="64"/>
      <c r="T65" s="64"/>
      <c r="U65" s="64"/>
      <c r="V65" s="64"/>
      <c r="W65" s="64"/>
      <c r="X65" s="64"/>
      <c r="Y65" s="64"/>
      <c r="Z65" s="64"/>
    </row>
    <row r="66" ht="12.75" customHeight="1">
      <c r="A66" s="108"/>
      <c r="B66" s="64"/>
      <c r="C66" s="64"/>
      <c r="D66" s="64"/>
      <c r="E66" s="64"/>
      <c r="F66" s="63"/>
      <c r="G66" s="63"/>
      <c r="H66" s="64"/>
      <c r="I66" s="64"/>
      <c r="J66" s="64"/>
      <c r="K66" s="64"/>
      <c r="L66" s="64"/>
      <c r="M66" s="64"/>
      <c r="N66" s="64"/>
      <c r="O66" s="64"/>
      <c r="P66" s="64"/>
      <c r="Q66" s="64"/>
      <c r="R66" s="64"/>
      <c r="S66" s="64"/>
      <c r="T66" s="64"/>
      <c r="U66" s="64"/>
      <c r="V66" s="64"/>
      <c r="W66" s="64"/>
      <c r="X66" s="64"/>
      <c r="Y66" s="64"/>
      <c r="Z66" s="64"/>
    </row>
    <row r="67" ht="12.75" customHeight="1">
      <c r="A67" s="108"/>
      <c r="B67" s="64"/>
      <c r="C67" s="64"/>
      <c r="D67" s="64"/>
      <c r="E67" s="64"/>
      <c r="F67" s="63"/>
      <c r="G67" s="63"/>
      <c r="H67" s="64"/>
      <c r="I67" s="64"/>
      <c r="J67" s="64"/>
      <c r="K67" s="64"/>
      <c r="L67" s="64"/>
      <c r="M67" s="64"/>
      <c r="N67" s="64"/>
      <c r="O67" s="64"/>
      <c r="P67" s="64"/>
      <c r="Q67" s="64"/>
      <c r="R67" s="64"/>
      <c r="S67" s="64"/>
      <c r="T67" s="64"/>
      <c r="U67" s="64"/>
      <c r="V67" s="64"/>
      <c r="W67" s="64"/>
      <c r="X67" s="64"/>
      <c r="Y67" s="64"/>
      <c r="Z67" s="64"/>
    </row>
    <row r="68" ht="12.75" customHeight="1">
      <c r="A68" s="108"/>
      <c r="B68" s="64"/>
      <c r="C68" s="64"/>
      <c r="D68" s="64"/>
      <c r="E68" s="64"/>
      <c r="F68" s="63"/>
      <c r="G68" s="63"/>
      <c r="H68" s="64"/>
      <c r="I68" s="64"/>
      <c r="J68" s="64"/>
      <c r="K68" s="64"/>
      <c r="L68" s="64"/>
      <c r="M68" s="64"/>
      <c r="N68" s="64"/>
      <c r="O68" s="64"/>
      <c r="P68" s="64"/>
      <c r="Q68" s="64"/>
      <c r="R68" s="64"/>
      <c r="S68" s="64"/>
      <c r="T68" s="64"/>
      <c r="U68" s="64"/>
      <c r="V68" s="64"/>
      <c r="W68" s="64"/>
      <c r="X68" s="64"/>
      <c r="Y68" s="64"/>
      <c r="Z68" s="64"/>
    </row>
    <row r="69" ht="12.75" customHeight="1">
      <c r="A69" s="108"/>
      <c r="B69" s="64"/>
      <c r="C69" s="64"/>
      <c r="D69" s="64"/>
      <c r="E69" s="64"/>
      <c r="F69" s="63"/>
      <c r="G69" s="63"/>
      <c r="H69" s="64"/>
      <c r="I69" s="64"/>
      <c r="J69" s="64"/>
      <c r="K69" s="64"/>
      <c r="L69" s="64"/>
      <c r="M69" s="64"/>
      <c r="N69" s="64"/>
      <c r="O69" s="64"/>
      <c r="P69" s="64"/>
      <c r="Q69" s="64"/>
      <c r="R69" s="64"/>
      <c r="S69" s="64"/>
      <c r="T69" s="64"/>
      <c r="U69" s="64"/>
      <c r="V69" s="64"/>
      <c r="W69" s="64"/>
      <c r="X69" s="64"/>
      <c r="Y69" s="64"/>
      <c r="Z69" s="64"/>
    </row>
    <row r="70" ht="12.75" customHeight="1">
      <c r="A70" s="108"/>
      <c r="B70" s="64"/>
      <c r="C70" s="64"/>
      <c r="D70" s="64"/>
      <c r="E70" s="64"/>
      <c r="F70" s="63"/>
      <c r="G70" s="63"/>
      <c r="H70" s="64"/>
      <c r="I70" s="64"/>
      <c r="J70" s="64"/>
      <c r="K70" s="64"/>
      <c r="L70" s="64"/>
      <c r="M70" s="64"/>
      <c r="N70" s="64"/>
      <c r="O70" s="64"/>
      <c r="P70" s="64"/>
      <c r="Q70" s="64"/>
      <c r="R70" s="64"/>
      <c r="S70" s="64"/>
      <c r="T70" s="64"/>
      <c r="U70" s="64"/>
      <c r="V70" s="64"/>
      <c r="W70" s="64"/>
      <c r="X70" s="64"/>
      <c r="Y70" s="64"/>
      <c r="Z70" s="64"/>
    </row>
    <row r="71" ht="12.75" customHeight="1">
      <c r="A71" s="108"/>
      <c r="B71" s="64"/>
      <c r="C71" s="64"/>
      <c r="D71" s="64"/>
      <c r="E71" s="64"/>
      <c r="F71" s="63"/>
      <c r="G71" s="63"/>
      <c r="H71" s="64"/>
      <c r="I71" s="64"/>
      <c r="J71" s="64"/>
      <c r="K71" s="64"/>
      <c r="L71" s="64"/>
      <c r="M71" s="64"/>
      <c r="N71" s="64"/>
      <c r="O71" s="64"/>
      <c r="P71" s="64"/>
      <c r="Q71" s="64"/>
      <c r="R71" s="64"/>
      <c r="S71" s="64"/>
      <c r="T71" s="64"/>
      <c r="U71" s="64"/>
      <c r="V71" s="64"/>
      <c r="W71" s="64"/>
      <c r="X71" s="64"/>
      <c r="Y71" s="64"/>
      <c r="Z71" s="64"/>
    </row>
    <row r="72" ht="12.75" customHeight="1">
      <c r="A72" s="108"/>
      <c r="B72" s="64"/>
      <c r="C72" s="64"/>
      <c r="D72" s="64"/>
      <c r="E72" s="64"/>
      <c r="F72" s="63"/>
      <c r="G72" s="63"/>
      <c r="H72" s="64"/>
      <c r="I72" s="64"/>
      <c r="J72" s="64"/>
      <c r="K72" s="64"/>
      <c r="L72" s="64"/>
      <c r="M72" s="64"/>
      <c r="N72" s="64"/>
      <c r="O72" s="64"/>
      <c r="P72" s="64"/>
      <c r="Q72" s="64"/>
      <c r="R72" s="64"/>
      <c r="S72" s="64"/>
      <c r="T72" s="64"/>
      <c r="U72" s="64"/>
      <c r="V72" s="64"/>
      <c r="W72" s="64"/>
      <c r="X72" s="64"/>
      <c r="Y72" s="64"/>
      <c r="Z72" s="64"/>
    </row>
    <row r="73" ht="12.75" customHeight="1">
      <c r="A73" s="108"/>
      <c r="B73" s="64"/>
      <c r="C73" s="64"/>
      <c r="D73" s="64"/>
      <c r="E73" s="64"/>
      <c r="F73" s="63"/>
      <c r="G73" s="63"/>
      <c r="H73" s="64"/>
      <c r="I73" s="64"/>
      <c r="J73" s="64"/>
      <c r="K73" s="64"/>
      <c r="L73" s="64"/>
      <c r="M73" s="64"/>
      <c r="N73" s="64"/>
      <c r="O73" s="64"/>
      <c r="P73" s="64"/>
      <c r="Q73" s="64"/>
      <c r="R73" s="64"/>
      <c r="S73" s="64"/>
      <c r="T73" s="64"/>
      <c r="U73" s="64"/>
      <c r="V73" s="64"/>
      <c r="W73" s="64"/>
      <c r="X73" s="64"/>
      <c r="Y73" s="64"/>
      <c r="Z73" s="64"/>
    </row>
    <row r="74" ht="12.75" customHeight="1">
      <c r="A74" s="108"/>
      <c r="B74" s="64"/>
      <c r="C74" s="64"/>
      <c r="D74" s="64"/>
      <c r="E74" s="64"/>
      <c r="F74" s="63"/>
      <c r="G74" s="63"/>
      <c r="H74" s="64"/>
      <c r="I74" s="64"/>
      <c r="J74" s="64"/>
      <c r="K74" s="64"/>
      <c r="L74" s="64"/>
      <c r="M74" s="64"/>
      <c r="N74" s="64"/>
      <c r="O74" s="64"/>
      <c r="P74" s="64"/>
      <c r="Q74" s="64"/>
      <c r="R74" s="64"/>
      <c r="S74" s="64"/>
      <c r="T74" s="64"/>
      <c r="U74" s="64"/>
      <c r="V74" s="64"/>
      <c r="W74" s="64"/>
      <c r="X74" s="64"/>
      <c r="Y74" s="64"/>
      <c r="Z74" s="64"/>
    </row>
    <row r="75" ht="12.75" customHeight="1">
      <c r="A75" s="108"/>
      <c r="B75" s="64"/>
      <c r="C75" s="64"/>
      <c r="D75" s="64"/>
      <c r="E75" s="64"/>
      <c r="F75" s="63"/>
      <c r="G75" s="63"/>
      <c r="H75" s="64"/>
      <c r="I75" s="64"/>
      <c r="J75" s="64"/>
      <c r="K75" s="64"/>
      <c r="L75" s="64"/>
      <c r="M75" s="64"/>
      <c r="N75" s="64"/>
      <c r="O75" s="64"/>
      <c r="P75" s="64"/>
      <c r="Q75" s="64"/>
      <c r="R75" s="64"/>
      <c r="S75" s="64"/>
      <c r="T75" s="64"/>
      <c r="U75" s="64"/>
      <c r="V75" s="64"/>
      <c r="W75" s="64"/>
      <c r="X75" s="64"/>
      <c r="Y75" s="64"/>
      <c r="Z75" s="64"/>
    </row>
    <row r="76" ht="12.75" customHeight="1">
      <c r="A76" s="108"/>
      <c r="B76" s="64"/>
      <c r="C76" s="64"/>
      <c r="D76" s="64"/>
      <c r="E76" s="64"/>
      <c r="F76" s="63"/>
      <c r="G76" s="63"/>
      <c r="H76" s="64"/>
      <c r="I76" s="64"/>
      <c r="J76" s="64"/>
      <c r="K76" s="64"/>
      <c r="L76" s="64"/>
      <c r="M76" s="64"/>
      <c r="N76" s="64"/>
      <c r="O76" s="64"/>
      <c r="P76" s="64"/>
      <c r="Q76" s="64"/>
      <c r="R76" s="64"/>
      <c r="S76" s="64"/>
      <c r="T76" s="64"/>
      <c r="U76" s="64"/>
      <c r="V76" s="64"/>
      <c r="W76" s="64"/>
      <c r="X76" s="64"/>
      <c r="Y76" s="64"/>
      <c r="Z76" s="64"/>
    </row>
    <row r="77" ht="12.75" customHeight="1">
      <c r="A77" s="108"/>
      <c r="B77" s="64"/>
      <c r="C77" s="64"/>
      <c r="D77" s="64"/>
      <c r="E77" s="64"/>
      <c r="F77" s="63"/>
      <c r="G77" s="63"/>
      <c r="H77" s="64"/>
      <c r="I77" s="64"/>
      <c r="J77" s="64"/>
      <c r="K77" s="64"/>
      <c r="L77" s="64"/>
      <c r="M77" s="64"/>
      <c r="N77" s="64"/>
      <c r="O77" s="64"/>
      <c r="P77" s="64"/>
      <c r="Q77" s="64"/>
      <c r="R77" s="64"/>
      <c r="S77" s="64"/>
      <c r="T77" s="64"/>
      <c r="U77" s="64"/>
      <c r="V77" s="64"/>
      <c r="W77" s="64"/>
      <c r="X77" s="64"/>
      <c r="Y77" s="64"/>
      <c r="Z77" s="64"/>
    </row>
    <row r="78" ht="12.75" customHeight="1">
      <c r="A78" s="108"/>
      <c r="B78" s="64"/>
      <c r="C78" s="64"/>
      <c r="D78" s="64"/>
      <c r="E78" s="64"/>
      <c r="F78" s="63"/>
      <c r="G78" s="63"/>
      <c r="H78" s="64"/>
      <c r="I78" s="64"/>
      <c r="J78" s="64"/>
      <c r="K78" s="64"/>
      <c r="L78" s="64"/>
      <c r="M78" s="64"/>
      <c r="N78" s="64"/>
      <c r="O78" s="64"/>
      <c r="P78" s="64"/>
      <c r="Q78" s="64"/>
      <c r="R78" s="64"/>
      <c r="S78" s="64"/>
      <c r="T78" s="64"/>
      <c r="U78" s="64"/>
      <c r="V78" s="64"/>
      <c r="W78" s="64"/>
      <c r="X78" s="64"/>
      <c r="Y78" s="64"/>
      <c r="Z78" s="64"/>
    </row>
    <row r="79" ht="12.75" customHeight="1">
      <c r="A79" s="108"/>
      <c r="B79" s="64"/>
      <c r="C79" s="64"/>
      <c r="D79" s="64"/>
      <c r="E79" s="64"/>
      <c r="F79" s="63"/>
      <c r="G79" s="63"/>
      <c r="H79" s="64"/>
      <c r="I79" s="64"/>
      <c r="J79" s="64"/>
      <c r="K79" s="64"/>
      <c r="L79" s="64"/>
      <c r="M79" s="64"/>
      <c r="N79" s="64"/>
      <c r="O79" s="64"/>
      <c r="P79" s="64"/>
      <c r="Q79" s="64"/>
      <c r="R79" s="64"/>
      <c r="S79" s="64"/>
      <c r="T79" s="64"/>
      <c r="U79" s="64"/>
      <c r="V79" s="64"/>
      <c r="W79" s="64"/>
      <c r="X79" s="64"/>
      <c r="Y79" s="64"/>
      <c r="Z79" s="64"/>
    </row>
    <row r="80" ht="12.75" customHeight="1">
      <c r="A80" s="108"/>
      <c r="B80" s="64"/>
      <c r="C80" s="64"/>
      <c r="D80" s="64"/>
      <c r="E80" s="64"/>
      <c r="F80" s="63"/>
      <c r="G80" s="63"/>
      <c r="H80" s="64"/>
      <c r="I80" s="64"/>
      <c r="J80" s="64"/>
      <c r="K80" s="64"/>
      <c r="L80" s="64"/>
      <c r="M80" s="64"/>
      <c r="N80" s="64"/>
      <c r="O80" s="64"/>
      <c r="P80" s="64"/>
      <c r="Q80" s="64"/>
      <c r="R80" s="64"/>
      <c r="S80" s="64"/>
      <c r="T80" s="64"/>
      <c r="U80" s="64"/>
      <c r="V80" s="64"/>
      <c r="W80" s="64"/>
      <c r="X80" s="64"/>
      <c r="Y80" s="64"/>
      <c r="Z80" s="64"/>
    </row>
    <row r="81" ht="12.75" customHeight="1">
      <c r="A81" s="108"/>
      <c r="B81" s="64"/>
      <c r="C81" s="64"/>
      <c r="D81" s="64"/>
      <c r="E81" s="64"/>
      <c r="F81" s="63"/>
      <c r="G81" s="63"/>
      <c r="H81" s="64"/>
      <c r="I81" s="64"/>
      <c r="J81" s="64"/>
      <c r="K81" s="64"/>
      <c r="L81" s="64"/>
      <c r="M81" s="64"/>
      <c r="N81" s="64"/>
      <c r="O81" s="64"/>
      <c r="P81" s="64"/>
      <c r="Q81" s="64"/>
      <c r="R81" s="64"/>
      <c r="S81" s="64"/>
      <c r="T81" s="64"/>
      <c r="U81" s="64"/>
      <c r="V81" s="64"/>
      <c r="W81" s="64"/>
      <c r="X81" s="64"/>
      <c r="Y81" s="64"/>
      <c r="Z81" s="64"/>
    </row>
    <row r="82" ht="12.75" customHeight="1">
      <c r="A82" s="108"/>
      <c r="B82" s="64"/>
      <c r="C82" s="64"/>
      <c r="D82" s="64"/>
      <c r="E82" s="64"/>
      <c r="F82" s="63"/>
      <c r="G82" s="63"/>
      <c r="H82" s="64"/>
      <c r="I82" s="64"/>
      <c r="J82" s="64"/>
      <c r="K82" s="64"/>
      <c r="L82" s="64"/>
      <c r="M82" s="64"/>
      <c r="N82" s="64"/>
      <c r="O82" s="64"/>
      <c r="P82" s="64"/>
      <c r="Q82" s="64"/>
      <c r="R82" s="64"/>
      <c r="S82" s="64"/>
      <c r="T82" s="64"/>
      <c r="U82" s="64"/>
      <c r="V82" s="64"/>
      <c r="W82" s="64"/>
      <c r="X82" s="64"/>
      <c r="Y82" s="64"/>
      <c r="Z82" s="64"/>
    </row>
    <row r="83" ht="12.75" customHeight="1">
      <c r="A83" s="108"/>
      <c r="B83" s="64"/>
      <c r="C83" s="64"/>
      <c r="D83" s="64"/>
      <c r="E83" s="64"/>
      <c r="F83" s="63"/>
      <c r="G83" s="63"/>
      <c r="H83" s="64"/>
      <c r="I83" s="64"/>
      <c r="J83" s="64"/>
      <c r="K83" s="64"/>
      <c r="L83" s="64"/>
      <c r="M83" s="64"/>
      <c r="N83" s="64"/>
      <c r="O83" s="64"/>
      <c r="P83" s="64"/>
      <c r="Q83" s="64"/>
      <c r="R83" s="64"/>
      <c r="S83" s="64"/>
      <c r="T83" s="64"/>
      <c r="U83" s="64"/>
      <c r="V83" s="64"/>
      <c r="W83" s="64"/>
      <c r="X83" s="64"/>
      <c r="Y83" s="64"/>
      <c r="Z83" s="64"/>
    </row>
    <row r="84" ht="12.75" customHeight="1">
      <c r="A84" s="108"/>
      <c r="B84" s="64"/>
      <c r="C84" s="64"/>
      <c r="D84" s="64"/>
      <c r="E84" s="64"/>
      <c r="F84" s="63"/>
      <c r="G84" s="63"/>
      <c r="H84" s="64"/>
      <c r="I84" s="64"/>
      <c r="J84" s="64"/>
      <c r="K84" s="64"/>
      <c r="L84" s="64"/>
      <c r="M84" s="64"/>
      <c r="N84" s="64"/>
      <c r="O84" s="64"/>
      <c r="P84" s="64"/>
      <c r="Q84" s="64"/>
      <c r="R84" s="64"/>
      <c r="S84" s="64"/>
      <c r="T84" s="64"/>
      <c r="U84" s="64"/>
      <c r="V84" s="64"/>
      <c r="W84" s="64"/>
      <c r="X84" s="64"/>
      <c r="Y84" s="64"/>
      <c r="Z84" s="64"/>
    </row>
    <row r="85" ht="12.75" customHeight="1">
      <c r="A85" s="108"/>
      <c r="B85" s="64"/>
      <c r="C85" s="64"/>
      <c r="D85" s="64"/>
      <c r="E85" s="64"/>
      <c r="F85" s="63"/>
      <c r="G85" s="63"/>
      <c r="H85" s="64"/>
      <c r="I85" s="64"/>
      <c r="J85" s="64"/>
      <c r="K85" s="64"/>
      <c r="L85" s="64"/>
      <c r="M85" s="64"/>
      <c r="N85" s="64"/>
      <c r="O85" s="64"/>
      <c r="P85" s="64"/>
      <c r="Q85" s="64"/>
      <c r="R85" s="64"/>
      <c r="S85" s="64"/>
      <c r="T85" s="64"/>
      <c r="U85" s="64"/>
      <c r="V85" s="64"/>
      <c r="W85" s="64"/>
      <c r="X85" s="64"/>
      <c r="Y85" s="64"/>
      <c r="Z85" s="64"/>
    </row>
    <row r="86" ht="12.75" customHeight="1">
      <c r="A86" s="108"/>
      <c r="B86" s="64"/>
      <c r="C86" s="64"/>
      <c r="D86" s="64"/>
      <c r="E86" s="64"/>
      <c r="F86" s="63"/>
      <c r="G86" s="63"/>
      <c r="H86" s="64"/>
      <c r="I86" s="64"/>
      <c r="J86" s="64"/>
      <c r="K86" s="64"/>
      <c r="L86" s="64"/>
      <c r="M86" s="64"/>
      <c r="N86" s="64"/>
      <c r="O86" s="64"/>
      <c r="P86" s="64"/>
      <c r="Q86" s="64"/>
      <c r="R86" s="64"/>
      <c r="S86" s="64"/>
      <c r="T86" s="64"/>
      <c r="U86" s="64"/>
      <c r="V86" s="64"/>
      <c r="W86" s="64"/>
      <c r="X86" s="64"/>
      <c r="Y86" s="64"/>
      <c r="Z86" s="64"/>
    </row>
    <row r="87" ht="12.75" customHeight="1">
      <c r="A87" s="108"/>
      <c r="B87" s="64"/>
      <c r="C87" s="64"/>
      <c r="D87" s="64"/>
      <c r="E87" s="64"/>
      <c r="F87" s="63"/>
      <c r="G87" s="63"/>
      <c r="H87" s="64"/>
      <c r="I87" s="64"/>
      <c r="J87" s="64"/>
      <c r="K87" s="64"/>
      <c r="L87" s="64"/>
      <c r="M87" s="64"/>
      <c r="N87" s="64"/>
      <c r="O87" s="64"/>
      <c r="P87" s="64"/>
      <c r="Q87" s="64"/>
      <c r="R87" s="64"/>
      <c r="S87" s="64"/>
      <c r="T87" s="64"/>
      <c r="U87" s="64"/>
      <c r="V87" s="64"/>
      <c r="W87" s="64"/>
      <c r="X87" s="64"/>
      <c r="Y87" s="64"/>
      <c r="Z87" s="64"/>
    </row>
    <row r="88" ht="12.75" customHeight="1">
      <c r="A88" s="108"/>
      <c r="B88" s="64"/>
      <c r="C88" s="64"/>
      <c r="D88" s="64"/>
      <c r="E88" s="64"/>
      <c r="F88" s="63"/>
      <c r="G88" s="63"/>
      <c r="H88" s="64"/>
      <c r="I88" s="64"/>
      <c r="J88" s="64"/>
      <c r="K88" s="64"/>
      <c r="L88" s="64"/>
      <c r="M88" s="64"/>
      <c r="N88" s="64"/>
      <c r="O88" s="64"/>
      <c r="P88" s="64"/>
      <c r="Q88" s="64"/>
      <c r="R88" s="64"/>
      <c r="S88" s="64"/>
      <c r="T88" s="64"/>
      <c r="U88" s="64"/>
      <c r="V88" s="64"/>
      <c r="W88" s="64"/>
      <c r="X88" s="64"/>
      <c r="Y88" s="64"/>
      <c r="Z88" s="64"/>
    </row>
    <row r="89" ht="12.75" customHeight="1">
      <c r="A89" s="108"/>
      <c r="B89" s="64"/>
      <c r="C89" s="64"/>
      <c r="D89" s="64"/>
      <c r="E89" s="64"/>
      <c r="F89" s="63"/>
      <c r="G89" s="63"/>
      <c r="H89" s="64"/>
      <c r="I89" s="64"/>
      <c r="J89" s="64"/>
      <c r="K89" s="64"/>
      <c r="L89" s="64"/>
      <c r="M89" s="64"/>
      <c r="N89" s="64"/>
      <c r="O89" s="64"/>
      <c r="P89" s="64"/>
      <c r="Q89" s="64"/>
      <c r="R89" s="64"/>
      <c r="S89" s="64"/>
      <c r="T89" s="64"/>
      <c r="U89" s="64"/>
      <c r="V89" s="64"/>
      <c r="W89" s="64"/>
      <c r="X89" s="64"/>
      <c r="Y89" s="64"/>
      <c r="Z89" s="64"/>
    </row>
    <row r="90" ht="12.75" customHeight="1">
      <c r="A90" s="108"/>
      <c r="B90" s="64"/>
      <c r="C90" s="64"/>
      <c r="D90" s="64"/>
      <c r="E90" s="64"/>
      <c r="F90" s="63"/>
      <c r="G90" s="63"/>
      <c r="H90" s="64"/>
      <c r="I90" s="64"/>
      <c r="J90" s="64"/>
      <c r="K90" s="64"/>
      <c r="L90" s="64"/>
      <c r="M90" s="64"/>
      <c r="N90" s="64"/>
      <c r="O90" s="64"/>
      <c r="P90" s="64"/>
      <c r="Q90" s="64"/>
      <c r="R90" s="64"/>
      <c r="S90" s="64"/>
      <c r="T90" s="64"/>
      <c r="U90" s="64"/>
      <c r="V90" s="64"/>
      <c r="W90" s="64"/>
      <c r="X90" s="64"/>
      <c r="Y90" s="64"/>
      <c r="Z90" s="64"/>
    </row>
    <row r="91" ht="12.75" customHeight="1">
      <c r="A91" s="108"/>
      <c r="B91" s="64"/>
      <c r="C91" s="64"/>
      <c r="D91" s="64"/>
      <c r="E91" s="64"/>
      <c r="F91" s="63"/>
      <c r="G91" s="63"/>
      <c r="H91" s="64"/>
      <c r="I91" s="64"/>
      <c r="J91" s="64"/>
      <c r="K91" s="64"/>
      <c r="L91" s="64"/>
      <c r="M91" s="64"/>
      <c r="N91" s="64"/>
      <c r="O91" s="64"/>
      <c r="P91" s="64"/>
      <c r="Q91" s="64"/>
      <c r="R91" s="64"/>
      <c r="S91" s="64"/>
      <c r="T91" s="64"/>
      <c r="U91" s="64"/>
      <c r="V91" s="64"/>
      <c r="W91" s="64"/>
      <c r="X91" s="64"/>
      <c r="Y91" s="64"/>
      <c r="Z91" s="64"/>
    </row>
    <row r="92" ht="12.75" customHeight="1">
      <c r="A92" s="108"/>
      <c r="B92" s="64"/>
      <c r="C92" s="64"/>
      <c r="D92" s="64"/>
      <c r="E92" s="64"/>
      <c r="F92" s="63"/>
      <c r="G92" s="63"/>
      <c r="H92" s="64"/>
      <c r="I92" s="64"/>
      <c r="J92" s="64"/>
      <c r="K92" s="64"/>
      <c r="L92" s="64"/>
      <c r="M92" s="64"/>
      <c r="N92" s="64"/>
      <c r="O92" s="64"/>
      <c r="P92" s="64"/>
      <c r="Q92" s="64"/>
      <c r="R92" s="64"/>
      <c r="S92" s="64"/>
      <c r="T92" s="64"/>
      <c r="U92" s="64"/>
      <c r="V92" s="64"/>
      <c r="W92" s="64"/>
      <c r="X92" s="64"/>
      <c r="Y92" s="64"/>
      <c r="Z92" s="64"/>
    </row>
    <row r="93" ht="12.75" customHeight="1">
      <c r="A93" s="108"/>
      <c r="B93" s="64"/>
      <c r="C93" s="64"/>
      <c r="D93" s="64"/>
      <c r="E93" s="64"/>
      <c r="F93" s="63"/>
      <c r="G93" s="63"/>
      <c r="H93" s="64"/>
      <c r="I93" s="64"/>
      <c r="J93" s="64"/>
      <c r="K93" s="64"/>
      <c r="L93" s="64"/>
      <c r="M93" s="64"/>
      <c r="N93" s="64"/>
      <c r="O93" s="64"/>
      <c r="P93" s="64"/>
      <c r="Q93" s="64"/>
      <c r="R93" s="64"/>
      <c r="S93" s="64"/>
      <c r="T93" s="64"/>
      <c r="U93" s="64"/>
      <c r="V93" s="64"/>
      <c r="W93" s="64"/>
      <c r="X93" s="64"/>
      <c r="Y93" s="64"/>
      <c r="Z93" s="64"/>
    </row>
    <row r="94" ht="12.75" customHeight="1">
      <c r="A94" s="108"/>
      <c r="B94" s="64"/>
      <c r="C94" s="64"/>
      <c r="D94" s="64"/>
      <c r="E94" s="64"/>
      <c r="F94" s="63"/>
      <c r="G94" s="63"/>
      <c r="H94" s="64"/>
      <c r="I94" s="64"/>
      <c r="J94" s="64"/>
      <c r="K94" s="64"/>
      <c r="L94" s="64"/>
      <c r="M94" s="64"/>
      <c r="N94" s="64"/>
      <c r="O94" s="64"/>
      <c r="P94" s="64"/>
      <c r="Q94" s="64"/>
      <c r="R94" s="64"/>
      <c r="S94" s="64"/>
      <c r="T94" s="64"/>
      <c r="U94" s="64"/>
      <c r="V94" s="64"/>
      <c r="W94" s="64"/>
      <c r="X94" s="64"/>
      <c r="Y94" s="64"/>
      <c r="Z94" s="64"/>
    </row>
    <row r="95" ht="12.75" customHeight="1">
      <c r="A95" s="108"/>
      <c r="B95" s="64"/>
      <c r="C95" s="64"/>
      <c r="D95" s="64"/>
      <c r="E95" s="64"/>
      <c r="F95" s="63"/>
      <c r="G95" s="63"/>
      <c r="H95" s="64"/>
      <c r="I95" s="64"/>
      <c r="J95" s="64"/>
      <c r="K95" s="64"/>
      <c r="L95" s="64"/>
      <c r="M95" s="64"/>
      <c r="N95" s="64"/>
      <c r="O95" s="64"/>
      <c r="P95" s="64"/>
      <c r="Q95" s="64"/>
      <c r="R95" s="64"/>
      <c r="S95" s="64"/>
      <c r="T95" s="64"/>
      <c r="U95" s="64"/>
      <c r="V95" s="64"/>
      <c r="W95" s="64"/>
      <c r="X95" s="64"/>
      <c r="Y95" s="64"/>
      <c r="Z95" s="64"/>
    </row>
    <row r="96" ht="12.75" customHeight="1">
      <c r="A96" s="108"/>
      <c r="B96" s="64"/>
      <c r="C96" s="64"/>
      <c r="D96" s="64"/>
      <c r="E96" s="64"/>
      <c r="F96" s="63"/>
      <c r="G96" s="63"/>
      <c r="H96" s="64"/>
      <c r="I96" s="64"/>
      <c r="J96" s="64"/>
      <c r="K96" s="64"/>
      <c r="L96" s="64"/>
      <c r="M96" s="64"/>
      <c r="N96" s="64"/>
      <c r="O96" s="64"/>
      <c r="P96" s="64"/>
      <c r="Q96" s="64"/>
      <c r="R96" s="64"/>
      <c r="S96" s="64"/>
      <c r="T96" s="64"/>
      <c r="U96" s="64"/>
      <c r="V96" s="64"/>
      <c r="W96" s="64"/>
      <c r="X96" s="64"/>
      <c r="Y96" s="64"/>
      <c r="Z96" s="64"/>
    </row>
    <row r="97" ht="12.75" customHeight="1">
      <c r="A97" s="108"/>
      <c r="B97" s="64"/>
      <c r="C97" s="64"/>
      <c r="D97" s="64"/>
      <c r="E97" s="64"/>
      <c r="F97" s="63"/>
      <c r="G97" s="63"/>
      <c r="H97" s="64"/>
      <c r="I97" s="64"/>
      <c r="J97" s="64"/>
      <c r="K97" s="64"/>
      <c r="L97" s="64"/>
      <c r="M97" s="64"/>
      <c r="N97" s="64"/>
      <c r="O97" s="64"/>
      <c r="P97" s="64"/>
      <c r="Q97" s="64"/>
      <c r="R97" s="64"/>
      <c r="S97" s="64"/>
      <c r="T97" s="64"/>
      <c r="U97" s="64"/>
      <c r="V97" s="64"/>
      <c r="W97" s="64"/>
      <c r="X97" s="64"/>
      <c r="Y97" s="64"/>
      <c r="Z97" s="64"/>
    </row>
    <row r="98" ht="12.75" customHeight="1">
      <c r="A98" s="108"/>
      <c r="B98" s="64"/>
      <c r="C98" s="64"/>
      <c r="D98" s="64"/>
      <c r="E98" s="64"/>
      <c r="F98" s="63"/>
      <c r="G98" s="63"/>
      <c r="H98" s="64"/>
      <c r="I98" s="64"/>
      <c r="J98" s="64"/>
      <c r="K98" s="64"/>
      <c r="L98" s="64"/>
      <c r="M98" s="64"/>
      <c r="N98" s="64"/>
      <c r="O98" s="64"/>
      <c r="P98" s="64"/>
      <c r="Q98" s="64"/>
      <c r="R98" s="64"/>
      <c r="S98" s="64"/>
      <c r="T98" s="64"/>
      <c r="U98" s="64"/>
      <c r="V98" s="64"/>
      <c r="W98" s="64"/>
      <c r="X98" s="64"/>
      <c r="Y98" s="64"/>
      <c r="Z98" s="64"/>
    </row>
    <row r="99" ht="12.75" customHeight="1">
      <c r="A99" s="108"/>
      <c r="B99" s="64"/>
      <c r="C99" s="64"/>
      <c r="D99" s="64"/>
      <c r="E99" s="64"/>
      <c r="F99" s="63"/>
      <c r="G99" s="63"/>
      <c r="H99" s="64"/>
      <c r="I99" s="64"/>
      <c r="J99" s="64"/>
      <c r="K99" s="64"/>
      <c r="L99" s="64"/>
      <c r="M99" s="64"/>
      <c r="N99" s="64"/>
      <c r="O99" s="64"/>
      <c r="P99" s="64"/>
      <c r="Q99" s="64"/>
      <c r="R99" s="64"/>
      <c r="S99" s="64"/>
      <c r="T99" s="64"/>
      <c r="U99" s="64"/>
      <c r="V99" s="64"/>
      <c r="W99" s="64"/>
      <c r="X99" s="64"/>
      <c r="Y99" s="64"/>
      <c r="Z99" s="64"/>
    </row>
    <row r="100" ht="12.75" customHeight="1">
      <c r="A100" s="108"/>
      <c r="B100" s="64"/>
      <c r="C100" s="64"/>
      <c r="D100" s="64"/>
      <c r="E100" s="64"/>
      <c r="F100" s="63"/>
      <c r="G100" s="63"/>
      <c r="H100" s="64"/>
      <c r="I100" s="64"/>
      <c r="J100" s="64"/>
      <c r="K100" s="64"/>
      <c r="L100" s="64"/>
      <c r="M100" s="64"/>
      <c r="N100" s="64"/>
      <c r="O100" s="64"/>
      <c r="P100" s="64"/>
      <c r="Q100" s="64"/>
      <c r="R100" s="64"/>
      <c r="S100" s="64"/>
      <c r="T100" s="64"/>
      <c r="U100" s="64"/>
      <c r="V100" s="64"/>
      <c r="W100" s="64"/>
      <c r="X100" s="64"/>
      <c r="Y100" s="64"/>
      <c r="Z100" s="64"/>
    </row>
    <row r="101" ht="12.75" customHeight="1">
      <c r="A101" s="108"/>
      <c r="B101" s="64"/>
      <c r="C101" s="64"/>
      <c r="D101" s="64"/>
      <c r="E101" s="64"/>
      <c r="F101" s="63"/>
      <c r="G101" s="63"/>
      <c r="H101" s="64"/>
      <c r="I101" s="64"/>
      <c r="J101" s="64"/>
      <c r="K101" s="64"/>
      <c r="L101" s="64"/>
      <c r="M101" s="64"/>
      <c r="N101" s="64"/>
      <c r="O101" s="64"/>
      <c r="P101" s="64"/>
      <c r="Q101" s="64"/>
      <c r="R101" s="64"/>
      <c r="S101" s="64"/>
      <c r="T101" s="64"/>
      <c r="U101" s="64"/>
      <c r="V101" s="64"/>
      <c r="W101" s="64"/>
      <c r="X101" s="64"/>
      <c r="Y101" s="64"/>
      <c r="Z101" s="64"/>
    </row>
    <row r="102" ht="12.75" customHeight="1">
      <c r="A102" s="108"/>
      <c r="B102" s="64"/>
      <c r="C102" s="64"/>
      <c r="D102" s="64"/>
      <c r="E102" s="64"/>
      <c r="F102" s="63"/>
      <c r="G102" s="63"/>
      <c r="H102" s="64"/>
      <c r="I102" s="64"/>
      <c r="J102" s="64"/>
      <c r="K102" s="64"/>
      <c r="L102" s="64"/>
      <c r="M102" s="64"/>
      <c r="N102" s="64"/>
      <c r="O102" s="64"/>
      <c r="P102" s="64"/>
      <c r="Q102" s="64"/>
      <c r="R102" s="64"/>
      <c r="S102" s="64"/>
      <c r="T102" s="64"/>
      <c r="U102" s="64"/>
      <c r="V102" s="64"/>
      <c r="W102" s="64"/>
      <c r="X102" s="64"/>
      <c r="Y102" s="64"/>
      <c r="Z102" s="64"/>
    </row>
    <row r="103" ht="12.75" customHeight="1">
      <c r="A103" s="108"/>
      <c r="B103" s="64"/>
      <c r="C103" s="64"/>
      <c r="D103" s="64"/>
      <c r="E103" s="64"/>
      <c r="F103" s="63"/>
      <c r="G103" s="63"/>
      <c r="H103" s="64"/>
      <c r="I103" s="64"/>
      <c r="J103" s="64"/>
      <c r="K103" s="64"/>
      <c r="L103" s="64"/>
      <c r="M103" s="64"/>
      <c r="N103" s="64"/>
      <c r="O103" s="64"/>
      <c r="P103" s="64"/>
      <c r="Q103" s="64"/>
      <c r="R103" s="64"/>
      <c r="S103" s="64"/>
      <c r="T103" s="64"/>
      <c r="U103" s="64"/>
      <c r="V103" s="64"/>
      <c r="W103" s="64"/>
      <c r="X103" s="64"/>
      <c r="Y103" s="64"/>
      <c r="Z103" s="64"/>
    </row>
    <row r="104" ht="12.75" customHeight="1">
      <c r="A104" s="108"/>
      <c r="B104" s="64"/>
      <c r="C104" s="64"/>
      <c r="D104" s="64"/>
      <c r="E104" s="64"/>
      <c r="F104" s="63"/>
      <c r="G104" s="63"/>
      <c r="H104" s="64"/>
      <c r="I104" s="64"/>
      <c r="J104" s="64"/>
      <c r="K104" s="64"/>
      <c r="L104" s="64"/>
      <c r="M104" s="64"/>
      <c r="N104" s="64"/>
      <c r="O104" s="64"/>
      <c r="P104" s="64"/>
      <c r="Q104" s="64"/>
      <c r="R104" s="64"/>
      <c r="S104" s="64"/>
      <c r="T104" s="64"/>
      <c r="U104" s="64"/>
      <c r="V104" s="64"/>
      <c r="W104" s="64"/>
      <c r="X104" s="64"/>
      <c r="Y104" s="64"/>
      <c r="Z104" s="64"/>
    </row>
    <row r="105" ht="12.75" customHeight="1">
      <c r="A105" s="108"/>
      <c r="B105" s="64"/>
      <c r="C105" s="64"/>
      <c r="D105" s="64"/>
      <c r="E105" s="64"/>
      <c r="F105" s="63"/>
      <c r="G105" s="63"/>
      <c r="H105" s="64"/>
      <c r="I105" s="64"/>
      <c r="J105" s="64"/>
      <c r="K105" s="64"/>
      <c r="L105" s="64"/>
      <c r="M105" s="64"/>
      <c r="N105" s="64"/>
      <c r="O105" s="64"/>
      <c r="P105" s="64"/>
      <c r="Q105" s="64"/>
      <c r="R105" s="64"/>
      <c r="S105" s="64"/>
      <c r="T105" s="64"/>
      <c r="U105" s="64"/>
      <c r="V105" s="64"/>
      <c r="W105" s="64"/>
      <c r="X105" s="64"/>
      <c r="Y105" s="64"/>
      <c r="Z105" s="64"/>
    </row>
    <row r="106" ht="12.75" customHeight="1">
      <c r="A106" s="108"/>
      <c r="B106" s="64"/>
      <c r="C106" s="64"/>
      <c r="D106" s="64"/>
      <c r="E106" s="64"/>
      <c r="F106" s="63"/>
      <c r="G106" s="63"/>
      <c r="H106" s="64"/>
      <c r="I106" s="64"/>
      <c r="J106" s="64"/>
      <c r="K106" s="64"/>
      <c r="L106" s="64"/>
      <c r="M106" s="64"/>
      <c r="N106" s="64"/>
      <c r="O106" s="64"/>
      <c r="P106" s="64"/>
      <c r="Q106" s="64"/>
      <c r="R106" s="64"/>
      <c r="S106" s="64"/>
      <c r="T106" s="64"/>
      <c r="U106" s="64"/>
      <c r="V106" s="64"/>
      <c r="W106" s="64"/>
      <c r="X106" s="64"/>
      <c r="Y106" s="64"/>
      <c r="Z106" s="64"/>
    </row>
    <row r="107" ht="12.75" customHeight="1">
      <c r="A107" s="108"/>
      <c r="B107" s="64"/>
      <c r="C107" s="64"/>
      <c r="D107" s="64"/>
      <c r="E107" s="64"/>
      <c r="F107" s="63"/>
      <c r="G107" s="63"/>
      <c r="H107" s="64"/>
      <c r="I107" s="64"/>
      <c r="J107" s="64"/>
      <c r="K107" s="64"/>
      <c r="L107" s="64"/>
      <c r="M107" s="64"/>
      <c r="N107" s="64"/>
      <c r="O107" s="64"/>
      <c r="P107" s="64"/>
      <c r="Q107" s="64"/>
      <c r="R107" s="64"/>
      <c r="S107" s="64"/>
      <c r="T107" s="64"/>
      <c r="U107" s="64"/>
      <c r="V107" s="64"/>
      <c r="W107" s="64"/>
      <c r="X107" s="64"/>
      <c r="Y107" s="64"/>
      <c r="Z107" s="64"/>
    </row>
    <row r="108" ht="12.75" customHeight="1">
      <c r="A108" s="108"/>
      <c r="B108" s="64"/>
      <c r="C108" s="64"/>
      <c r="D108" s="64"/>
      <c r="E108" s="64"/>
      <c r="F108" s="63"/>
      <c r="G108" s="63"/>
      <c r="H108" s="64"/>
      <c r="I108" s="64"/>
      <c r="J108" s="64"/>
      <c r="K108" s="64"/>
      <c r="L108" s="64"/>
      <c r="M108" s="64"/>
      <c r="N108" s="64"/>
      <c r="O108" s="64"/>
      <c r="P108" s="64"/>
      <c r="Q108" s="64"/>
      <c r="R108" s="64"/>
      <c r="S108" s="64"/>
      <c r="T108" s="64"/>
      <c r="U108" s="64"/>
      <c r="V108" s="64"/>
      <c r="W108" s="64"/>
      <c r="X108" s="64"/>
      <c r="Y108" s="64"/>
      <c r="Z108" s="64"/>
    </row>
    <row r="109" ht="12.75" customHeight="1">
      <c r="A109" s="108"/>
      <c r="B109" s="64"/>
      <c r="C109" s="64"/>
      <c r="D109" s="64"/>
      <c r="E109" s="64"/>
      <c r="F109" s="63"/>
      <c r="G109" s="63"/>
      <c r="H109" s="64"/>
      <c r="I109" s="64"/>
      <c r="J109" s="64"/>
      <c r="K109" s="64"/>
      <c r="L109" s="64"/>
      <c r="M109" s="64"/>
      <c r="N109" s="64"/>
      <c r="O109" s="64"/>
      <c r="P109" s="64"/>
      <c r="Q109" s="64"/>
      <c r="R109" s="64"/>
      <c r="S109" s="64"/>
      <c r="T109" s="64"/>
      <c r="U109" s="64"/>
      <c r="V109" s="64"/>
      <c r="W109" s="64"/>
      <c r="X109" s="64"/>
      <c r="Y109" s="64"/>
      <c r="Z109" s="64"/>
    </row>
    <row r="110" ht="12.75" customHeight="1">
      <c r="A110" s="108"/>
      <c r="B110" s="64"/>
      <c r="C110" s="64"/>
      <c r="D110" s="64"/>
      <c r="E110" s="64"/>
      <c r="F110" s="63"/>
      <c r="G110" s="63"/>
      <c r="H110" s="64"/>
      <c r="I110" s="64"/>
      <c r="J110" s="64"/>
      <c r="K110" s="64"/>
      <c r="L110" s="64"/>
      <c r="M110" s="64"/>
      <c r="N110" s="64"/>
      <c r="O110" s="64"/>
      <c r="P110" s="64"/>
      <c r="Q110" s="64"/>
      <c r="R110" s="64"/>
      <c r="S110" s="64"/>
      <c r="T110" s="64"/>
      <c r="U110" s="64"/>
      <c r="V110" s="64"/>
      <c r="W110" s="64"/>
      <c r="X110" s="64"/>
      <c r="Y110" s="64"/>
      <c r="Z110" s="64"/>
    </row>
    <row r="111" ht="12.75" customHeight="1">
      <c r="A111" s="108"/>
      <c r="B111" s="64"/>
      <c r="C111" s="64"/>
      <c r="D111" s="64"/>
      <c r="E111" s="64"/>
      <c r="F111" s="63"/>
      <c r="G111" s="63"/>
      <c r="H111" s="64"/>
      <c r="I111" s="64"/>
      <c r="J111" s="64"/>
      <c r="K111" s="64"/>
      <c r="L111" s="64"/>
      <c r="M111" s="64"/>
      <c r="N111" s="64"/>
      <c r="O111" s="64"/>
      <c r="P111" s="64"/>
      <c r="Q111" s="64"/>
      <c r="R111" s="64"/>
      <c r="S111" s="64"/>
      <c r="T111" s="64"/>
      <c r="U111" s="64"/>
      <c r="V111" s="64"/>
      <c r="W111" s="64"/>
      <c r="X111" s="64"/>
      <c r="Y111" s="64"/>
      <c r="Z111" s="64"/>
    </row>
    <row r="112" ht="12.75" customHeight="1">
      <c r="A112" s="108"/>
      <c r="B112" s="64"/>
      <c r="C112" s="64"/>
      <c r="D112" s="64"/>
      <c r="E112" s="64"/>
      <c r="F112" s="63"/>
      <c r="G112" s="63"/>
      <c r="H112" s="64"/>
      <c r="I112" s="64"/>
      <c r="J112" s="64"/>
      <c r="K112" s="64"/>
      <c r="L112" s="64"/>
      <c r="M112" s="64"/>
      <c r="N112" s="64"/>
      <c r="O112" s="64"/>
      <c r="P112" s="64"/>
      <c r="Q112" s="64"/>
      <c r="R112" s="64"/>
      <c r="S112" s="64"/>
      <c r="T112" s="64"/>
      <c r="U112" s="64"/>
      <c r="V112" s="64"/>
      <c r="W112" s="64"/>
      <c r="X112" s="64"/>
      <c r="Y112" s="64"/>
      <c r="Z112" s="64"/>
    </row>
    <row r="113" ht="12.75" customHeight="1">
      <c r="A113" s="108"/>
      <c r="B113" s="64"/>
      <c r="C113" s="64"/>
      <c r="D113" s="64"/>
      <c r="E113" s="64"/>
      <c r="F113" s="63"/>
      <c r="G113" s="63"/>
      <c r="H113" s="64"/>
      <c r="I113" s="64"/>
      <c r="J113" s="64"/>
      <c r="K113" s="64"/>
      <c r="L113" s="64"/>
      <c r="M113" s="64"/>
      <c r="N113" s="64"/>
      <c r="O113" s="64"/>
      <c r="P113" s="64"/>
      <c r="Q113" s="64"/>
      <c r="R113" s="64"/>
      <c r="S113" s="64"/>
      <c r="T113" s="64"/>
      <c r="U113" s="64"/>
      <c r="V113" s="64"/>
      <c r="W113" s="64"/>
      <c r="X113" s="64"/>
      <c r="Y113" s="64"/>
      <c r="Z113" s="64"/>
    </row>
    <row r="114" ht="12.75" customHeight="1">
      <c r="A114" s="108"/>
      <c r="B114" s="64"/>
      <c r="C114" s="64"/>
      <c r="D114" s="64"/>
      <c r="E114" s="64"/>
      <c r="F114" s="63"/>
      <c r="G114" s="63"/>
      <c r="H114" s="64"/>
      <c r="I114" s="64"/>
      <c r="J114" s="64"/>
      <c r="K114" s="64"/>
      <c r="L114" s="64"/>
      <c r="M114" s="64"/>
      <c r="N114" s="64"/>
      <c r="O114" s="64"/>
      <c r="P114" s="64"/>
      <c r="Q114" s="64"/>
      <c r="R114" s="64"/>
      <c r="S114" s="64"/>
      <c r="T114" s="64"/>
      <c r="U114" s="64"/>
      <c r="V114" s="64"/>
      <c r="W114" s="64"/>
      <c r="X114" s="64"/>
      <c r="Y114" s="64"/>
      <c r="Z114" s="64"/>
    </row>
    <row r="115" ht="12.75" customHeight="1">
      <c r="A115" s="108"/>
      <c r="B115" s="64"/>
      <c r="C115" s="64"/>
      <c r="D115" s="64"/>
      <c r="E115" s="64"/>
      <c r="F115" s="63"/>
      <c r="G115" s="63"/>
      <c r="H115" s="64"/>
      <c r="I115" s="64"/>
      <c r="J115" s="64"/>
      <c r="K115" s="64"/>
      <c r="L115" s="64"/>
      <c r="M115" s="64"/>
      <c r="N115" s="64"/>
      <c r="O115" s="64"/>
      <c r="P115" s="64"/>
      <c r="Q115" s="64"/>
      <c r="R115" s="64"/>
      <c r="S115" s="64"/>
      <c r="T115" s="64"/>
      <c r="U115" s="64"/>
      <c r="V115" s="64"/>
      <c r="W115" s="64"/>
      <c r="X115" s="64"/>
      <c r="Y115" s="64"/>
      <c r="Z115" s="64"/>
    </row>
    <row r="116" ht="12.75" customHeight="1">
      <c r="A116" s="108"/>
      <c r="B116" s="64"/>
      <c r="C116" s="64"/>
      <c r="D116" s="64"/>
      <c r="E116" s="64"/>
      <c r="F116" s="63"/>
      <c r="G116" s="63"/>
      <c r="H116" s="64"/>
      <c r="I116" s="64"/>
      <c r="J116" s="64"/>
      <c r="K116" s="64"/>
      <c r="L116" s="64"/>
      <c r="M116" s="64"/>
      <c r="N116" s="64"/>
      <c r="O116" s="64"/>
      <c r="P116" s="64"/>
      <c r="Q116" s="64"/>
      <c r="R116" s="64"/>
      <c r="S116" s="64"/>
      <c r="T116" s="64"/>
      <c r="U116" s="64"/>
      <c r="V116" s="64"/>
      <c r="W116" s="64"/>
      <c r="X116" s="64"/>
      <c r="Y116" s="64"/>
      <c r="Z116" s="64"/>
    </row>
    <row r="117" ht="12.75" customHeight="1">
      <c r="A117" s="108"/>
      <c r="B117" s="64"/>
      <c r="C117" s="64"/>
      <c r="D117" s="64"/>
      <c r="E117" s="64"/>
      <c r="F117" s="63"/>
      <c r="G117" s="63"/>
      <c r="H117" s="64"/>
      <c r="I117" s="64"/>
      <c r="J117" s="64"/>
      <c r="K117" s="64"/>
      <c r="L117" s="64"/>
      <c r="M117" s="64"/>
      <c r="N117" s="64"/>
      <c r="O117" s="64"/>
      <c r="P117" s="64"/>
      <c r="Q117" s="64"/>
      <c r="R117" s="64"/>
      <c r="S117" s="64"/>
      <c r="T117" s="64"/>
      <c r="U117" s="64"/>
      <c r="V117" s="64"/>
      <c r="W117" s="64"/>
      <c r="X117" s="64"/>
      <c r="Y117" s="64"/>
      <c r="Z117" s="64"/>
    </row>
    <row r="118" ht="12.75" customHeight="1">
      <c r="A118" s="108"/>
      <c r="B118" s="64"/>
      <c r="C118" s="64"/>
      <c r="D118" s="64"/>
      <c r="E118" s="64"/>
      <c r="F118" s="63"/>
      <c r="G118" s="63"/>
      <c r="H118" s="64"/>
      <c r="I118" s="64"/>
      <c r="J118" s="64"/>
      <c r="K118" s="64"/>
      <c r="L118" s="64"/>
      <c r="M118" s="64"/>
      <c r="N118" s="64"/>
      <c r="O118" s="64"/>
      <c r="P118" s="64"/>
      <c r="Q118" s="64"/>
      <c r="R118" s="64"/>
      <c r="S118" s="64"/>
      <c r="T118" s="64"/>
      <c r="U118" s="64"/>
      <c r="V118" s="64"/>
      <c r="W118" s="64"/>
      <c r="X118" s="64"/>
      <c r="Y118" s="64"/>
      <c r="Z118" s="64"/>
    </row>
    <row r="119" ht="12.75" customHeight="1">
      <c r="A119" s="108"/>
      <c r="B119" s="64"/>
      <c r="C119" s="64"/>
      <c r="D119" s="64"/>
      <c r="E119" s="64"/>
      <c r="F119" s="63"/>
      <c r="G119" s="63"/>
      <c r="H119" s="64"/>
      <c r="I119" s="64"/>
      <c r="J119" s="64"/>
      <c r="K119" s="64"/>
      <c r="L119" s="64"/>
      <c r="M119" s="64"/>
      <c r="N119" s="64"/>
      <c r="O119" s="64"/>
      <c r="P119" s="64"/>
      <c r="Q119" s="64"/>
      <c r="R119" s="64"/>
      <c r="S119" s="64"/>
      <c r="T119" s="64"/>
      <c r="U119" s="64"/>
      <c r="V119" s="64"/>
      <c r="W119" s="64"/>
      <c r="X119" s="64"/>
      <c r="Y119" s="64"/>
      <c r="Z119" s="64"/>
    </row>
    <row r="120" ht="12.75" customHeight="1">
      <c r="A120" s="108"/>
      <c r="B120" s="64"/>
      <c r="C120" s="64"/>
      <c r="D120" s="64"/>
      <c r="E120" s="64"/>
      <c r="F120" s="63"/>
      <c r="G120" s="63"/>
      <c r="H120" s="64"/>
      <c r="I120" s="64"/>
      <c r="J120" s="64"/>
      <c r="K120" s="64"/>
      <c r="L120" s="64"/>
      <c r="M120" s="64"/>
      <c r="N120" s="64"/>
      <c r="O120" s="64"/>
      <c r="P120" s="64"/>
      <c r="Q120" s="64"/>
      <c r="R120" s="64"/>
      <c r="S120" s="64"/>
      <c r="T120" s="64"/>
      <c r="U120" s="64"/>
      <c r="V120" s="64"/>
      <c r="W120" s="64"/>
      <c r="X120" s="64"/>
      <c r="Y120" s="64"/>
      <c r="Z120" s="64"/>
    </row>
    <row r="121" ht="12.75" customHeight="1">
      <c r="A121" s="108"/>
      <c r="B121" s="64"/>
      <c r="C121" s="64"/>
      <c r="D121" s="64"/>
      <c r="E121" s="64"/>
      <c r="F121" s="63"/>
      <c r="G121" s="63"/>
      <c r="H121" s="64"/>
      <c r="I121" s="64"/>
      <c r="J121" s="64"/>
      <c r="K121" s="64"/>
      <c r="L121" s="64"/>
      <c r="M121" s="64"/>
      <c r="N121" s="64"/>
      <c r="O121" s="64"/>
      <c r="P121" s="64"/>
      <c r="Q121" s="64"/>
      <c r="R121" s="64"/>
      <c r="S121" s="64"/>
      <c r="T121" s="64"/>
      <c r="U121" s="64"/>
      <c r="V121" s="64"/>
      <c r="W121" s="64"/>
      <c r="X121" s="64"/>
      <c r="Y121" s="64"/>
      <c r="Z121" s="64"/>
    </row>
    <row r="122" ht="12.75" customHeight="1">
      <c r="A122" s="108"/>
      <c r="B122" s="64"/>
      <c r="C122" s="64"/>
      <c r="D122" s="64"/>
      <c r="E122" s="64"/>
      <c r="F122" s="63"/>
      <c r="G122" s="63"/>
      <c r="H122" s="64"/>
      <c r="I122" s="64"/>
      <c r="J122" s="64"/>
      <c r="K122" s="64"/>
      <c r="L122" s="64"/>
      <c r="M122" s="64"/>
      <c r="N122" s="64"/>
      <c r="O122" s="64"/>
      <c r="P122" s="64"/>
      <c r="Q122" s="64"/>
      <c r="R122" s="64"/>
      <c r="S122" s="64"/>
      <c r="T122" s="64"/>
      <c r="U122" s="64"/>
      <c r="V122" s="64"/>
      <c r="W122" s="64"/>
      <c r="X122" s="64"/>
      <c r="Y122" s="64"/>
      <c r="Z122" s="64"/>
    </row>
    <row r="123" ht="12.75" customHeight="1">
      <c r="A123" s="108"/>
      <c r="B123" s="64"/>
      <c r="C123" s="64"/>
      <c r="D123" s="64"/>
      <c r="E123" s="64"/>
      <c r="F123" s="63"/>
      <c r="G123" s="63"/>
      <c r="H123" s="64"/>
      <c r="I123" s="64"/>
      <c r="J123" s="64"/>
      <c r="K123" s="64"/>
      <c r="L123" s="64"/>
      <c r="M123" s="64"/>
      <c r="N123" s="64"/>
      <c r="O123" s="64"/>
      <c r="P123" s="64"/>
      <c r="Q123" s="64"/>
      <c r="R123" s="64"/>
      <c r="S123" s="64"/>
      <c r="T123" s="64"/>
      <c r="U123" s="64"/>
      <c r="V123" s="64"/>
      <c r="W123" s="64"/>
      <c r="X123" s="64"/>
      <c r="Y123" s="64"/>
      <c r="Z123" s="64"/>
    </row>
    <row r="124" ht="12.75" customHeight="1">
      <c r="A124" s="108"/>
      <c r="B124" s="64"/>
      <c r="C124" s="64"/>
      <c r="D124" s="64"/>
      <c r="E124" s="64"/>
      <c r="F124" s="63"/>
      <c r="G124" s="63"/>
      <c r="H124" s="64"/>
      <c r="I124" s="64"/>
      <c r="J124" s="64"/>
      <c r="K124" s="64"/>
      <c r="L124" s="64"/>
      <c r="M124" s="64"/>
      <c r="N124" s="64"/>
      <c r="O124" s="64"/>
      <c r="P124" s="64"/>
      <c r="Q124" s="64"/>
      <c r="R124" s="64"/>
      <c r="S124" s="64"/>
      <c r="T124" s="64"/>
      <c r="U124" s="64"/>
      <c r="V124" s="64"/>
      <c r="W124" s="64"/>
      <c r="X124" s="64"/>
      <c r="Y124" s="64"/>
      <c r="Z124" s="64"/>
    </row>
    <row r="125" ht="12.75" customHeight="1">
      <c r="A125" s="108"/>
      <c r="B125" s="64"/>
      <c r="C125" s="64"/>
      <c r="D125" s="64"/>
      <c r="E125" s="64"/>
      <c r="F125" s="63"/>
      <c r="G125" s="63"/>
      <c r="H125" s="64"/>
      <c r="I125" s="64"/>
      <c r="J125" s="64"/>
      <c r="K125" s="64"/>
      <c r="L125" s="64"/>
      <c r="M125" s="64"/>
      <c r="N125" s="64"/>
      <c r="O125" s="64"/>
      <c r="P125" s="64"/>
      <c r="Q125" s="64"/>
      <c r="R125" s="64"/>
      <c r="S125" s="64"/>
      <c r="T125" s="64"/>
      <c r="U125" s="64"/>
      <c r="V125" s="64"/>
      <c r="W125" s="64"/>
      <c r="X125" s="64"/>
      <c r="Y125" s="64"/>
      <c r="Z125" s="64"/>
    </row>
    <row r="126" ht="12.75" customHeight="1">
      <c r="A126" s="108"/>
      <c r="B126" s="64"/>
      <c r="C126" s="64"/>
      <c r="D126" s="64"/>
      <c r="E126" s="64"/>
      <c r="F126" s="63"/>
      <c r="G126" s="63"/>
      <c r="H126" s="64"/>
      <c r="I126" s="64"/>
      <c r="J126" s="64"/>
      <c r="K126" s="64"/>
      <c r="L126" s="64"/>
      <c r="M126" s="64"/>
      <c r="N126" s="64"/>
      <c r="O126" s="64"/>
      <c r="P126" s="64"/>
      <c r="Q126" s="64"/>
      <c r="R126" s="64"/>
      <c r="S126" s="64"/>
      <c r="T126" s="64"/>
      <c r="U126" s="64"/>
      <c r="V126" s="64"/>
      <c r="W126" s="64"/>
      <c r="X126" s="64"/>
      <c r="Y126" s="64"/>
      <c r="Z126" s="64"/>
    </row>
    <row r="127" ht="12.75" customHeight="1">
      <c r="A127" s="108"/>
      <c r="B127" s="64"/>
      <c r="C127" s="64"/>
      <c r="D127" s="64"/>
      <c r="E127" s="64"/>
      <c r="F127" s="63"/>
      <c r="G127" s="63"/>
      <c r="H127" s="64"/>
      <c r="I127" s="64"/>
      <c r="J127" s="64"/>
      <c r="K127" s="64"/>
      <c r="L127" s="64"/>
      <c r="M127" s="64"/>
      <c r="N127" s="64"/>
      <c r="O127" s="64"/>
      <c r="P127" s="64"/>
      <c r="Q127" s="64"/>
      <c r="R127" s="64"/>
      <c r="S127" s="64"/>
      <c r="T127" s="64"/>
      <c r="U127" s="64"/>
      <c r="V127" s="64"/>
      <c r="W127" s="64"/>
      <c r="X127" s="64"/>
      <c r="Y127" s="64"/>
      <c r="Z127" s="64"/>
    </row>
    <row r="128" ht="12.75" customHeight="1">
      <c r="A128" s="108"/>
      <c r="B128" s="64"/>
      <c r="C128" s="64"/>
      <c r="D128" s="64"/>
      <c r="E128" s="64"/>
      <c r="F128" s="63"/>
      <c r="G128" s="63"/>
      <c r="H128" s="64"/>
      <c r="I128" s="64"/>
      <c r="J128" s="64"/>
      <c r="K128" s="64"/>
      <c r="L128" s="64"/>
      <c r="M128" s="64"/>
      <c r="N128" s="64"/>
      <c r="O128" s="64"/>
      <c r="P128" s="64"/>
      <c r="Q128" s="64"/>
      <c r="R128" s="64"/>
      <c r="S128" s="64"/>
      <c r="T128" s="64"/>
      <c r="U128" s="64"/>
      <c r="V128" s="64"/>
      <c r="W128" s="64"/>
      <c r="X128" s="64"/>
      <c r="Y128" s="64"/>
      <c r="Z128" s="64"/>
    </row>
    <row r="129" ht="12.75" customHeight="1">
      <c r="A129" s="108"/>
      <c r="B129" s="64"/>
      <c r="C129" s="64"/>
      <c r="D129" s="64"/>
      <c r="E129" s="64"/>
      <c r="F129" s="63"/>
      <c r="G129" s="63"/>
      <c r="H129" s="64"/>
      <c r="I129" s="64"/>
      <c r="J129" s="64"/>
      <c r="K129" s="64"/>
      <c r="L129" s="64"/>
      <c r="M129" s="64"/>
      <c r="N129" s="64"/>
      <c r="O129" s="64"/>
      <c r="P129" s="64"/>
      <c r="Q129" s="64"/>
      <c r="R129" s="64"/>
      <c r="S129" s="64"/>
      <c r="T129" s="64"/>
      <c r="U129" s="64"/>
      <c r="V129" s="64"/>
      <c r="W129" s="64"/>
      <c r="X129" s="64"/>
      <c r="Y129" s="64"/>
      <c r="Z129" s="64"/>
    </row>
    <row r="130" ht="12.75" customHeight="1">
      <c r="A130" s="108"/>
      <c r="B130" s="64"/>
      <c r="C130" s="64"/>
      <c r="D130" s="64"/>
      <c r="E130" s="64"/>
      <c r="F130" s="63"/>
      <c r="G130" s="63"/>
      <c r="H130" s="64"/>
      <c r="I130" s="64"/>
      <c r="J130" s="64"/>
      <c r="K130" s="64"/>
      <c r="L130" s="64"/>
      <c r="M130" s="64"/>
      <c r="N130" s="64"/>
      <c r="O130" s="64"/>
      <c r="P130" s="64"/>
      <c r="Q130" s="64"/>
      <c r="R130" s="64"/>
      <c r="S130" s="64"/>
      <c r="T130" s="64"/>
      <c r="U130" s="64"/>
      <c r="V130" s="64"/>
      <c r="W130" s="64"/>
      <c r="X130" s="64"/>
      <c r="Y130" s="64"/>
      <c r="Z130" s="64"/>
    </row>
    <row r="131" ht="12.75" customHeight="1">
      <c r="A131" s="108"/>
      <c r="B131" s="64"/>
      <c r="C131" s="64"/>
      <c r="D131" s="64"/>
      <c r="E131" s="64"/>
      <c r="F131" s="63"/>
      <c r="G131" s="63"/>
      <c r="H131" s="64"/>
      <c r="I131" s="64"/>
      <c r="J131" s="64"/>
      <c r="K131" s="64"/>
      <c r="L131" s="64"/>
      <c r="M131" s="64"/>
      <c r="N131" s="64"/>
      <c r="O131" s="64"/>
      <c r="P131" s="64"/>
      <c r="Q131" s="64"/>
      <c r="R131" s="64"/>
      <c r="S131" s="64"/>
      <c r="T131" s="64"/>
      <c r="U131" s="64"/>
      <c r="V131" s="64"/>
      <c r="W131" s="64"/>
      <c r="X131" s="64"/>
      <c r="Y131" s="64"/>
      <c r="Z131" s="64"/>
    </row>
    <row r="132" ht="12.75" customHeight="1">
      <c r="A132" s="108"/>
      <c r="B132" s="64"/>
      <c r="C132" s="64"/>
      <c r="D132" s="64"/>
      <c r="E132" s="64"/>
      <c r="F132" s="63"/>
      <c r="G132" s="63"/>
      <c r="H132" s="64"/>
      <c r="I132" s="64"/>
      <c r="J132" s="64"/>
      <c r="K132" s="64"/>
      <c r="L132" s="64"/>
      <c r="M132" s="64"/>
      <c r="N132" s="64"/>
      <c r="O132" s="64"/>
      <c r="P132" s="64"/>
      <c r="Q132" s="64"/>
      <c r="R132" s="64"/>
      <c r="S132" s="64"/>
      <c r="T132" s="64"/>
      <c r="U132" s="64"/>
      <c r="V132" s="64"/>
      <c r="W132" s="64"/>
      <c r="X132" s="64"/>
      <c r="Y132" s="64"/>
      <c r="Z132" s="64"/>
    </row>
    <row r="133" ht="12.75" customHeight="1">
      <c r="A133" s="108"/>
      <c r="B133" s="64"/>
      <c r="C133" s="64"/>
      <c r="D133" s="64"/>
      <c r="E133" s="64"/>
      <c r="F133" s="63"/>
      <c r="G133" s="63"/>
      <c r="H133" s="64"/>
      <c r="I133" s="64"/>
      <c r="J133" s="64"/>
      <c r="K133" s="64"/>
      <c r="L133" s="64"/>
      <c r="M133" s="64"/>
      <c r="N133" s="64"/>
      <c r="O133" s="64"/>
      <c r="P133" s="64"/>
      <c r="Q133" s="64"/>
      <c r="R133" s="64"/>
      <c r="S133" s="64"/>
      <c r="T133" s="64"/>
      <c r="U133" s="64"/>
      <c r="V133" s="64"/>
      <c r="W133" s="64"/>
      <c r="X133" s="64"/>
      <c r="Y133" s="64"/>
      <c r="Z133" s="64"/>
    </row>
    <row r="134" ht="12.75" customHeight="1">
      <c r="A134" s="108"/>
      <c r="B134" s="64"/>
      <c r="C134" s="64"/>
      <c r="D134" s="64"/>
      <c r="E134" s="64"/>
      <c r="F134" s="63"/>
      <c r="G134" s="63"/>
      <c r="H134" s="64"/>
      <c r="I134" s="64"/>
      <c r="J134" s="64"/>
      <c r="K134" s="64"/>
      <c r="L134" s="64"/>
      <c r="M134" s="64"/>
      <c r="N134" s="64"/>
      <c r="O134" s="64"/>
      <c r="P134" s="64"/>
      <c r="Q134" s="64"/>
      <c r="R134" s="64"/>
      <c r="S134" s="64"/>
      <c r="T134" s="64"/>
      <c r="U134" s="64"/>
      <c r="V134" s="64"/>
      <c r="W134" s="64"/>
      <c r="X134" s="64"/>
      <c r="Y134" s="64"/>
      <c r="Z134" s="64"/>
    </row>
    <row r="135" ht="12.75" customHeight="1">
      <c r="A135" s="108"/>
      <c r="B135" s="64"/>
      <c r="C135" s="64"/>
      <c r="D135" s="64"/>
      <c r="E135" s="64"/>
      <c r="F135" s="63"/>
      <c r="G135" s="63"/>
      <c r="H135" s="64"/>
      <c r="I135" s="64"/>
      <c r="J135" s="64"/>
      <c r="K135" s="64"/>
      <c r="L135" s="64"/>
      <c r="M135" s="64"/>
      <c r="N135" s="64"/>
      <c r="O135" s="64"/>
      <c r="P135" s="64"/>
      <c r="Q135" s="64"/>
      <c r="R135" s="64"/>
      <c r="S135" s="64"/>
      <c r="T135" s="64"/>
      <c r="U135" s="64"/>
      <c r="V135" s="64"/>
      <c r="W135" s="64"/>
      <c r="X135" s="64"/>
      <c r="Y135" s="64"/>
      <c r="Z135" s="64"/>
    </row>
    <row r="136" ht="12.75" customHeight="1">
      <c r="A136" s="108"/>
      <c r="B136" s="64"/>
      <c r="C136" s="64"/>
      <c r="D136" s="64"/>
      <c r="E136" s="64"/>
      <c r="F136" s="63"/>
      <c r="G136" s="63"/>
      <c r="H136" s="64"/>
      <c r="I136" s="64"/>
      <c r="J136" s="64"/>
      <c r="K136" s="64"/>
      <c r="L136" s="64"/>
      <c r="M136" s="64"/>
      <c r="N136" s="64"/>
      <c r="O136" s="64"/>
      <c r="P136" s="64"/>
      <c r="Q136" s="64"/>
      <c r="R136" s="64"/>
      <c r="S136" s="64"/>
      <c r="T136" s="64"/>
      <c r="U136" s="64"/>
      <c r="V136" s="64"/>
      <c r="W136" s="64"/>
      <c r="X136" s="64"/>
      <c r="Y136" s="64"/>
      <c r="Z136" s="64"/>
    </row>
    <row r="137" ht="12.75" customHeight="1">
      <c r="A137" s="108"/>
      <c r="B137" s="64"/>
      <c r="C137" s="64"/>
      <c r="D137" s="64"/>
      <c r="E137" s="64"/>
      <c r="F137" s="63"/>
      <c r="G137" s="63"/>
      <c r="H137" s="64"/>
      <c r="I137" s="64"/>
      <c r="J137" s="64"/>
      <c r="K137" s="64"/>
      <c r="L137" s="64"/>
      <c r="M137" s="64"/>
      <c r="N137" s="64"/>
      <c r="O137" s="64"/>
      <c r="P137" s="64"/>
      <c r="Q137" s="64"/>
      <c r="R137" s="64"/>
      <c r="S137" s="64"/>
      <c r="T137" s="64"/>
      <c r="U137" s="64"/>
      <c r="V137" s="64"/>
      <c r="W137" s="64"/>
      <c r="X137" s="64"/>
      <c r="Y137" s="64"/>
      <c r="Z137" s="64"/>
    </row>
    <row r="138" ht="12.75" customHeight="1">
      <c r="A138" s="108"/>
      <c r="B138" s="64"/>
      <c r="C138" s="64"/>
      <c r="D138" s="64"/>
      <c r="E138" s="64"/>
      <c r="F138" s="63"/>
      <c r="G138" s="63"/>
      <c r="H138" s="64"/>
      <c r="I138" s="64"/>
      <c r="J138" s="64"/>
      <c r="K138" s="64"/>
      <c r="L138" s="64"/>
      <c r="M138" s="64"/>
      <c r="N138" s="64"/>
      <c r="O138" s="64"/>
      <c r="P138" s="64"/>
      <c r="Q138" s="64"/>
      <c r="R138" s="64"/>
      <c r="S138" s="64"/>
      <c r="T138" s="64"/>
      <c r="U138" s="64"/>
      <c r="V138" s="64"/>
      <c r="W138" s="64"/>
      <c r="X138" s="64"/>
      <c r="Y138" s="64"/>
      <c r="Z138" s="64"/>
    </row>
    <row r="139" ht="12.75" customHeight="1">
      <c r="A139" s="108"/>
      <c r="B139" s="64"/>
      <c r="C139" s="64"/>
      <c r="D139" s="64"/>
      <c r="E139" s="64"/>
      <c r="F139" s="63"/>
      <c r="G139" s="63"/>
      <c r="H139" s="64"/>
      <c r="I139" s="64"/>
      <c r="J139" s="64"/>
      <c r="K139" s="64"/>
      <c r="L139" s="64"/>
      <c r="M139" s="64"/>
      <c r="N139" s="64"/>
      <c r="O139" s="64"/>
      <c r="P139" s="64"/>
      <c r="Q139" s="64"/>
      <c r="R139" s="64"/>
      <c r="S139" s="64"/>
      <c r="T139" s="64"/>
      <c r="U139" s="64"/>
      <c r="V139" s="64"/>
      <c r="W139" s="64"/>
      <c r="X139" s="64"/>
      <c r="Y139" s="64"/>
      <c r="Z139" s="64"/>
    </row>
    <row r="140" ht="12.75" customHeight="1">
      <c r="A140" s="108"/>
      <c r="B140" s="64"/>
      <c r="C140" s="64"/>
      <c r="D140" s="64"/>
      <c r="E140" s="64"/>
      <c r="F140" s="63"/>
      <c r="G140" s="63"/>
      <c r="H140" s="64"/>
      <c r="I140" s="64"/>
      <c r="J140" s="64"/>
      <c r="K140" s="64"/>
      <c r="L140" s="64"/>
      <c r="M140" s="64"/>
      <c r="N140" s="64"/>
      <c r="O140" s="64"/>
      <c r="P140" s="64"/>
      <c r="Q140" s="64"/>
      <c r="R140" s="64"/>
      <c r="S140" s="64"/>
      <c r="T140" s="64"/>
      <c r="U140" s="64"/>
      <c r="V140" s="64"/>
      <c r="W140" s="64"/>
      <c r="X140" s="64"/>
      <c r="Y140" s="64"/>
      <c r="Z140" s="64"/>
    </row>
    <row r="141" ht="12.75" customHeight="1">
      <c r="A141" s="108"/>
      <c r="B141" s="64"/>
      <c r="C141" s="64"/>
      <c r="D141" s="64"/>
      <c r="E141" s="64"/>
      <c r="F141" s="63"/>
      <c r="G141" s="63"/>
      <c r="H141" s="64"/>
      <c r="I141" s="64"/>
      <c r="J141" s="64"/>
      <c r="K141" s="64"/>
      <c r="L141" s="64"/>
      <c r="M141" s="64"/>
      <c r="N141" s="64"/>
      <c r="O141" s="64"/>
      <c r="P141" s="64"/>
      <c r="Q141" s="64"/>
      <c r="R141" s="64"/>
      <c r="S141" s="64"/>
      <c r="T141" s="64"/>
      <c r="U141" s="64"/>
      <c r="V141" s="64"/>
      <c r="W141" s="64"/>
      <c r="X141" s="64"/>
      <c r="Y141" s="64"/>
      <c r="Z141" s="64"/>
    </row>
    <row r="142" ht="12.75" customHeight="1">
      <c r="A142" s="108"/>
      <c r="B142" s="64"/>
      <c r="C142" s="64"/>
      <c r="D142" s="64"/>
      <c r="E142" s="64"/>
      <c r="F142" s="63"/>
      <c r="G142" s="63"/>
      <c r="H142" s="64"/>
      <c r="I142" s="64"/>
      <c r="J142" s="64"/>
      <c r="K142" s="64"/>
      <c r="L142" s="64"/>
      <c r="M142" s="64"/>
      <c r="N142" s="64"/>
      <c r="O142" s="64"/>
      <c r="P142" s="64"/>
      <c r="Q142" s="64"/>
      <c r="R142" s="64"/>
      <c r="S142" s="64"/>
      <c r="T142" s="64"/>
      <c r="U142" s="64"/>
      <c r="V142" s="64"/>
      <c r="W142" s="64"/>
      <c r="X142" s="64"/>
      <c r="Y142" s="64"/>
      <c r="Z142" s="64"/>
    </row>
    <row r="143" ht="12.75" customHeight="1">
      <c r="A143" s="108"/>
      <c r="B143" s="64"/>
      <c r="C143" s="64"/>
      <c r="D143" s="64"/>
      <c r="E143" s="64"/>
      <c r="F143" s="63"/>
      <c r="G143" s="63"/>
      <c r="H143" s="64"/>
      <c r="I143" s="64"/>
      <c r="J143" s="64"/>
      <c r="K143" s="64"/>
      <c r="L143" s="64"/>
      <c r="M143" s="64"/>
      <c r="N143" s="64"/>
      <c r="O143" s="64"/>
      <c r="P143" s="64"/>
      <c r="Q143" s="64"/>
      <c r="R143" s="64"/>
      <c r="S143" s="64"/>
      <c r="T143" s="64"/>
      <c r="U143" s="64"/>
      <c r="V143" s="64"/>
      <c r="W143" s="64"/>
      <c r="X143" s="64"/>
      <c r="Y143" s="64"/>
      <c r="Z143" s="64"/>
    </row>
    <row r="144" ht="12.75" customHeight="1">
      <c r="A144" s="108"/>
      <c r="B144" s="64"/>
      <c r="C144" s="64"/>
      <c r="D144" s="64"/>
      <c r="E144" s="64"/>
      <c r="F144" s="63"/>
      <c r="G144" s="63"/>
      <c r="H144" s="64"/>
      <c r="I144" s="64"/>
      <c r="J144" s="64"/>
      <c r="K144" s="64"/>
      <c r="L144" s="64"/>
      <c r="M144" s="64"/>
      <c r="N144" s="64"/>
      <c r="O144" s="64"/>
      <c r="P144" s="64"/>
      <c r="Q144" s="64"/>
      <c r="R144" s="64"/>
      <c r="S144" s="64"/>
      <c r="T144" s="64"/>
      <c r="U144" s="64"/>
      <c r="V144" s="64"/>
      <c r="W144" s="64"/>
      <c r="X144" s="64"/>
      <c r="Y144" s="64"/>
      <c r="Z144" s="64"/>
    </row>
    <row r="145" ht="12.75" customHeight="1">
      <c r="A145" s="108"/>
      <c r="B145" s="64"/>
      <c r="C145" s="64"/>
      <c r="D145" s="64"/>
      <c r="E145" s="64"/>
      <c r="F145" s="63"/>
      <c r="G145" s="63"/>
      <c r="H145" s="64"/>
      <c r="I145" s="64"/>
      <c r="J145" s="64"/>
      <c r="K145" s="64"/>
      <c r="L145" s="64"/>
      <c r="M145" s="64"/>
      <c r="N145" s="64"/>
      <c r="O145" s="64"/>
      <c r="P145" s="64"/>
      <c r="Q145" s="64"/>
      <c r="R145" s="64"/>
      <c r="S145" s="64"/>
      <c r="T145" s="64"/>
      <c r="U145" s="64"/>
      <c r="V145" s="64"/>
      <c r="W145" s="64"/>
      <c r="X145" s="64"/>
      <c r="Y145" s="64"/>
      <c r="Z145" s="64"/>
    </row>
    <row r="146" ht="12.75" customHeight="1">
      <c r="A146" s="108"/>
      <c r="B146" s="64"/>
      <c r="C146" s="64"/>
      <c r="D146" s="64"/>
      <c r="E146" s="64"/>
      <c r="F146" s="63"/>
      <c r="G146" s="63"/>
      <c r="H146" s="64"/>
      <c r="I146" s="64"/>
      <c r="J146" s="64"/>
      <c r="K146" s="64"/>
      <c r="L146" s="64"/>
      <c r="M146" s="64"/>
      <c r="N146" s="64"/>
      <c r="O146" s="64"/>
      <c r="P146" s="64"/>
      <c r="Q146" s="64"/>
      <c r="R146" s="64"/>
      <c r="S146" s="64"/>
      <c r="T146" s="64"/>
      <c r="U146" s="64"/>
      <c r="V146" s="64"/>
      <c r="W146" s="64"/>
      <c r="X146" s="64"/>
      <c r="Y146" s="64"/>
      <c r="Z146" s="64"/>
    </row>
    <row r="147" ht="12.75" customHeight="1">
      <c r="A147" s="108"/>
      <c r="B147" s="64"/>
      <c r="C147" s="64"/>
      <c r="D147" s="64"/>
      <c r="E147" s="64"/>
      <c r="F147" s="63"/>
      <c r="G147" s="63"/>
      <c r="H147" s="64"/>
      <c r="I147" s="64"/>
      <c r="J147" s="64"/>
      <c r="K147" s="64"/>
      <c r="L147" s="64"/>
      <c r="M147" s="64"/>
      <c r="N147" s="64"/>
      <c r="O147" s="64"/>
      <c r="P147" s="64"/>
      <c r="Q147" s="64"/>
      <c r="R147" s="64"/>
      <c r="S147" s="64"/>
      <c r="T147" s="64"/>
      <c r="U147" s="64"/>
      <c r="V147" s="64"/>
      <c r="W147" s="64"/>
      <c r="X147" s="64"/>
      <c r="Y147" s="64"/>
      <c r="Z147" s="64"/>
    </row>
    <row r="148" ht="12.75" customHeight="1">
      <c r="A148" s="108"/>
      <c r="B148" s="64"/>
      <c r="C148" s="64"/>
      <c r="D148" s="64"/>
      <c r="E148" s="64"/>
      <c r="F148" s="63"/>
      <c r="G148" s="63"/>
      <c r="H148" s="64"/>
      <c r="I148" s="64"/>
      <c r="J148" s="64"/>
      <c r="K148" s="64"/>
      <c r="L148" s="64"/>
      <c r="M148" s="64"/>
      <c r="N148" s="64"/>
      <c r="O148" s="64"/>
      <c r="P148" s="64"/>
      <c r="Q148" s="64"/>
      <c r="R148" s="64"/>
      <c r="S148" s="64"/>
      <c r="T148" s="64"/>
      <c r="U148" s="64"/>
      <c r="V148" s="64"/>
      <c r="W148" s="64"/>
      <c r="X148" s="64"/>
      <c r="Y148" s="64"/>
      <c r="Z148" s="64"/>
    </row>
    <row r="149" ht="12.75" customHeight="1">
      <c r="A149" s="108"/>
      <c r="B149" s="64"/>
      <c r="C149" s="64"/>
      <c r="D149" s="64"/>
      <c r="E149" s="64"/>
      <c r="F149" s="63"/>
      <c r="G149" s="63"/>
      <c r="H149" s="64"/>
      <c r="I149" s="64"/>
      <c r="J149" s="64"/>
      <c r="K149" s="64"/>
      <c r="L149" s="64"/>
      <c r="M149" s="64"/>
      <c r="N149" s="64"/>
      <c r="O149" s="64"/>
      <c r="P149" s="64"/>
      <c r="Q149" s="64"/>
      <c r="R149" s="64"/>
      <c r="S149" s="64"/>
      <c r="T149" s="64"/>
      <c r="U149" s="64"/>
      <c r="V149" s="64"/>
      <c r="W149" s="64"/>
      <c r="X149" s="64"/>
      <c r="Y149" s="64"/>
      <c r="Z149" s="64"/>
    </row>
    <row r="150" ht="12.75" customHeight="1">
      <c r="A150" s="108"/>
      <c r="B150" s="64"/>
      <c r="C150" s="64"/>
      <c r="D150" s="64"/>
      <c r="E150" s="64"/>
      <c r="F150" s="63"/>
      <c r="G150" s="63"/>
      <c r="H150" s="64"/>
      <c r="I150" s="64"/>
      <c r="J150" s="64"/>
      <c r="K150" s="64"/>
      <c r="L150" s="64"/>
      <c r="M150" s="64"/>
      <c r="N150" s="64"/>
      <c r="O150" s="64"/>
      <c r="P150" s="64"/>
      <c r="Q150" s="64"/>
      <c r="R150" s="64"/>
      <c r="S150" s="64"/>
      <c r="T150" s="64"/>
      <c r="U150" s="64"/>
      <c r="V150" s="64"/>
      <c r="W150" s="64"/>
      <c r="X150" s="64"/>
      <c r="Y150" s="64"/>
      <c r="Z150" s="64"/>
    </row>
    <row r="151" ht="12.75" customHeight="1">
      <c r="A151" s="108"/>
      <c r="B151" s="64"/>
      <c r="C151" s="64"/>
      <c r="D151" s="64"/>
      <c r="E151" s="64"/>
      <c r="F151" s="63"/>
      <c r="G151" s="63"/>
      <c r="H151" s="64"/>
      <c r="I151" s="64"/>
      <c r="J151" s="64"/>
      <c r="K151" s="64"/>
      <c r="L151" s="64"/>
      <c r="M151" s="64"/>
      <c r="N151" s="64"/>
      <c r="O151" s="64"/>
      <c r="P151" s="64"/>
      <c r="Q151" s="64"/>
      <c r="R151" s="64"/>
      <c r="S151" s="64"/>
      <c r="T151" s="64"/>
      <c r="U151" s="64"/>
      <c r="V151" s="64"/>
      <c r="W151" s="64"/>
      <c r="X151" s="64"/>
      <c r="Y151" s="64"/>
      <c r="Z151" s="64"/>
    </row>
    <row r="152" ht="12.75" customHeight="1">
      <c r="A152" s="108"/>
      <c r="B152" s="64"/>
      <c r="C152" s="64"/>
      <c r="D152" s="64"/>
      <c r="E152" s="64"/>
      <c r="F152" s="63"/>
      <c r="G152" s="63"/>
      <c r="H152" s="64"/>
      <c r="I152" s="64"/>
      <c r="J152" s="64"/>
      <c r="K152" s="64"/>
      <c r="L152" s="64"/>
      <c r="M152" s="64"/>
      <c r="N152" s="64"/>
      <c r="O152" s="64"/>
      <c r="P152" s="64"/>
      <c r="Q152" s="64"/>
      <c r="R152" s="64"/>
      <c r="S152" s="64"/>
      <c r="T152" s="64"/>
      <c r="U152" s="64"/>
      <c r="V152" s="64"/>
      <c r="W152" s="64"/>
      <c r="X152" s="64"/>
      <c r="Y152" s="64"/>
      <c r="Z152" s="64"/>
    </row>
    <row r="153" ht="12.75" customHeight="1">
      <c r="A153" s="108"/>
      <c r="B153" s="64"/>
      <c r="C153" s="64"/>
      <c r="D153" s="64"/>
      <c r="E153" s="64"/>
      <c r="F153" s="63"/>
      <c r="G153" s="63"/>
      <c r="H153" s="64"/>
      <c r="I153" s="64"/>
      <c r="J153" s="64"/>
      <c r="K153" s="64"/>
      <c r="L153" s="64"/>
      <c r="M153" s="64"/>
      <c r="N153" s="64"/>
      <c r="O153" s="64"/>
      <c r="P153" s="64"/>
      <c r="Q153" s="64"/>
      <c r="R153" s="64"/>
      <c r="S153" s="64"/>
      <c r="T153" s="64"/>
      <c r="U153" s="64"/>
      <c r="V153" s="64"/>
      <c r="W153" s="64"/>
      <c r="X153" s="64"/>
      <c r="Y153" s="64"/>
      <c r="Z153" s="64"/>
    </row>
    <row r="154" ht="12.75" customHeight="1">
      <c r="A154" s="108"/>
      <c r="B154" s="64"/>
      <c r="C154" s="64"/>
      <c r="D154" s="64"/>
      <c r="E154" s="64"/>
      <c r="F154" s="63"/>
      <c r="G154" s="63"/>
      <c r="H154" s="64"/>
      <c r="I154" s="64"/>
      <c r="J154" s="64"/>
      <c r="K154" s="64"/>
      <c r="L154" s="64"/>
      <c r="M154" s="64"/>
      <c r="N154" s="64"/>
      <c r="O154" s="64"/>
      <c r="P154" s="64"/>
      <c r="Q154" s="64"/>
      <c r="R154" s="64"/>
      <c r="S154" s="64"/>
      <c r="T154" s="64"/>
      <c r="U154" s="64"/>
      <c r="V154" s="64"/>
      <c r="W154" s="64"/>
      <c r="X154" s="64"/>
      <c r="Y154" s="64"/>
      <c r="Z154" s="64"/>
    </row>
    <row r="155" ht="12.75" customHeight="1">
      <c r="A155" s="108"/>
      <c r="B155" s="64"/>
      <c r="C155" s="64"/>
      <c r="D155" s="64"/>
      <c r="E155" s="64"/>
      <c r="F155" s="63"/>
      <c r="G155" s="63"/>
      <c r="H155" s="64"/>
      <c r="I155" s="64"/>
      <c r="J155" s="64"/>
      <c r="K155" s="64"/>
      <c r="L155" s="64"/>
      <c r="M155" s="64"/>
      <c r="N155" s="64"/>
      <c r="O155" s="64"/>
      <c r="P155" s="64"/>
      <c r="Q155" s="64"/>
      <c r="R155" s="64"/>
      <c r="S155" s="64"/>
      <c r="T155" s="64"/>
      <c r="U155" s="64"/>
      <c r="V155" s="64"/>
      <c r="W155" s="64"/>
      <c r="X155" s="64"/>
      <c r="Y155" s="64"/>
      <c r="Z155" s="64"/>
    </row>
    <row r="156" ht="12.75" customHeight="1">
      <c r="A156" s="108"/>
      <c r="B156" s="64"/>
      <c r="C156" s="64"/>
      <c r="D156" s="64"/>
      <c r="E156" s="64"/>
      <c r="F156" s="63"/>
      <c r="G156" s="63"/>
      <c r="H156" s="64"/>
      <c r="I156" s="64"/>
      <c r="J156" s="64"/>
      <c r="K156" s="64"/>
      <c r="L156" s="64"/>
      <c r="M156" s="64"/>
      <c r="N156" s="64"/>
      <c r="O156" s="64"/>
      <c r="P156" s="64"/>
      <c r="Q156" s="64"/>
      <c r="R156" s="64"/>
      <c r="S156" s="64"/>
      <c r="T156" s="64"/>
      <c r="U156" s="64"/>
      <c r="V156" s="64"/>
      <c r="W156" s="64"/>
      <c r="X156" s="64"/>
      <c r="Y156" s="64"/>
      <c r="Z156" s="64"/>
    </row>
    <row r="157" ht="12.75" customHeight="1">
      <c r="A157" s="108"/>
      <c r="B157" s="64"/>
      <c r="C157" s="64"/>
      <c r="D157" s="64"/>
      <c r="E157" s="64"/>
      <c r="F157" s="63"/>
      <c r="G157" s="63"/>
      <c r="H157" s="64"/>
      <c r="I157" s="64"/>
      <c r="J157" s="64"/>
      <c r="K157" s="64"/>
      <c r="L157" s="64"/>
      <c r="M157" s="64"/>
      <c r="N157" s="64"/>
      <c r="O157" s="64"/>
      <c r="P157" s="64"/>
      <c r="Q157" s="64"/>
      <c r="R157" s="64"/>
      <c r="S157" s="64"/>
      <c r="T157" s="64"/>
      <c r="U157" s="64"/>
      <c r="V157" s="64"/>
      <c r="W157" s="64"/>
      <c r="X157" s="64"/>
      <c r="Y157" s="64"/>
      <c r="Z157" s="64"/>
    </row>
    <row r="158" ht="12.75" customHeight="1">
      <c r="A158" s="108"/>
      <c r="B158" s="64"/>
      <c r="C158" s="64"/>
      <c r="D158" s="64"/>
      <c r="E158" s="64"/>
      <c r="F158" s="63"/>
      <c r="G158" s="63"/>
      <c r="H158" s="64"/>
      <c r="I158" s="64"/>
      <c r="J158" s="64"/>
      <c r="K158" s="64"/>
      <c r="L158" s="64"/>
      <c r="M158" s="64"/>
      <c r="N158" s="64"/>
      <c r="O158" s="64"/>
      <c r="P158" s="64"/>
      <c r="Q158" s="64"/>
      <c r="R158" s="64"/>
      <c r="S158" s="64"/>
      <c r="T158" s="64"/>
      <c r="U158" s="64"/>
      <c r="V158" s="64"/>
      <c r="W158" s="64"/>
      <c r="X158" s="64"/>
      <c r="Y158" s="64"/>
      <c r="Z158" s="64"/>
    </row>
    <row r="159" ht="12.75" customHeight="1">
      <c r="A159" s="108"/>
      <c r="B159" s="64"/>
      <c r="C159" s="64"/>
      <c r="D159" s="64"/>
      <c r="E159" s="64"/>
      <c r="F159" s="63"/>
      <c r="G159" s="63"/>
      <c r="H159" s="64"/>
      <c r="I159" s="64"/>
      <c r="J159" s="64"/>
      <c r="K159" s="64"/>
      <c r="L159" s="64"/>
      <c r="M159" s="64"/>
      <c r="N159" s="64"/>
      <c r="O159" s="64"/>
      <c r="P159" s="64"/>
      <c r="Q159" s="64"/>
      <c r="R159" s="64"/>
      <c r="S159" s="64"/>
      <c r="T159" s="64"/>
      <c r="U159" s="64"/>
      <c r="V159" s="64"/>
      <c r="W159" s="64"/>
      <c r="X159" s="64"/>
      <c r="Y159" s="64"/>
      <c r="Z159" s="64"/>
    </row>
    <row r="160" ht="12.75" customHeight="1">
      <c r="A160" s="108"/>
      <c r="B160" s="64"/>
      <c r="C160" s="64"/>
      <c r="D160" s="64"/>
      <c r="E160" s="64"/>
      <c r="F160" s="63"/>
      <c r="G160" s="63"/>
      <c r="H160" s="64"/>
      <c r="I160" s="64"/>
      <c r="J160" s="64"/>
      <c r="K160" s="64"/>
      <c r="L160" s="64"/>
      <c r="M160" s="64"/>
      <c r="N160" s="64"/>
      <c r="O160" s="64"/>
      <c r="P160" s="64"/>
      <c r="Q160" s="64"/>
      <c r="R160" s="64"/>
      <c r="S160" s="64"/>
      <c r="T160" s="64"/>
      <c r="U160" s="64"/>
      <c r="V160" s="64"/>
      <c r="W160" s="64"/>
      <c r="X160" s="64"/>
      <c r="Y160" s="64"/>
      <c r="Z160" s="64"/>
    </row>
    <row r="161" ht="12.75" customHeight="1">
      <c r="A161" s="108"/>
      <c r="B161" s="64"/>
      <c r="C161" s="64"/>
      <c r="D161" s="64"/>
      <c r="E161" s="64"/>
      <c r="F161" s="63"/>
      <c r="G161" s="63"/>
      <c r="H161" s="64"/>
      <c r="I161" s="64"/>
      <c r="J161" s="64"/>
      <c r="K161" s="64"/>
      <c r="L161" s="64"/>
      <c r="M161" s="64"/>
      <c r="N161" s="64"/>
      <c r="O161" s="64"/>
      <c r="P161" s="64"/>
      <c r="Q161" s="64"/>
      <c r="R161" s="64"/>
      <c r="S161" s="64"/>
      <c r="T161" s="64"/>
      <c r="U161" s="64"/>
      <c r="V161" s="64"/>
      <c r="W161" s="64"/>
      <c r="X161" s="64"/>
      <c r="Y161" s="64"/>
      <c r="Z161" s="64"/>
    </row>
    <row r="162" ht="12.75" customHeight="1">
      <c r="A162" s="108"/>
      <c r="B162" s="64"/>
      <c r="C162" s="64"/>
      <c r="D162" s="64"/>
      <c r="E162" s="64"/>
      <c r="F162" s="63"/>
      <c r="G162" s="63"/>
      <c r="H162" s="64"/>
      <c r="I162" s="64"/>
      <c r="J162" s="64"/>
      <c r="K162" s="64"/>
      <c r="L162" s="64"/>
      <c r="M162" s="64"/>
      <c r="N162" s="64"/>
      <c r="O162" s="64"/>
      <c r="P162" s="64"/>
      <c r="Q162" s="64"/>
      <c r="R162" s="64"/>
      <c r="S162" s="64"/>
      <c r="T162" s="64"/>
      <c r="U162" s="64"/>
      <c r="V162" s="64"/>
      <c r="W162" s="64"/>
      <c r="X162" s="64"/>
      <c r="Y162" s="64"/>
      <c r="Z162" s="64"/>
    </row>
    <row r="163" ht="12.75" customHeight="1">
      <c r="A163" s="108"/>
      <c r="B163" s="64"/>
      <c r="C163" s="64"/>
      <c r="D163" s="64"/>
      <c r="E163" s="64"/>
      <c r="F163" s="63"/>
      <c r="G163" s="63"/>
      <c r="H163" s="64"/>
      <c r="I163" s="64"/>
      <c r="J163" s="64"/>
      <c r="K163" s="64"/>
      <c r="L163" s="64"/>
      <c r="M163" s="64"/>
      <c r="N163" s="64"/>
      <c r="O163" s="64"/>
      <c r="P163" s="64"/>
      <c r="Q163" s="64"/>
      <c r="R163" s="64"/>
      <c r="S163" s="64"/>
      <c r="T163" s="64"/>
      <c r="U163" s="64"/>
      <c r="V163" s="64"/>
      <c r="W163" s="64"/>
      <c r="X163" s="64"/>
      <c r="Y163" s="64"/>
      <c r="Z163" s="64"/>
    </row>
    <row r="164" ht="12.75" customHeight="1">
      <c r="A164" s="108"/>
      <c r="B164" s="64"/>
      <c r="C164" s="64"/>
      <c r="D164" s="64"/>
      <c r="E164" s="64"/>
      <c r="F164" s="63"/>
      <c r="G164" s="63"/>
      <c r="H164" s="64"/>
      <c r="I164" s="64"/>
      <c r="J164" s="64"/>
      <c r="K164" s="64"/>
      <c r="L164" s="64"/>
      <c r="M164" s="64"/>
      <c r="N164" s="64"/>
      <c r="O164" s="64"/>
      <c r="P164" s="64"/>
      <c r="Q164" s="64"/>
      <c r="R164" s="64"/>
      <c r="S164" s="64"/>
      <c r="T164" s="64"/>
      <c r="U164" s="64"/>
      <c r="V164" s="64"/>
      <c r="W164" s="64"/>
      <c r="X164" s="64"/>
      <c r="Y164" s="64"/>
      <c r="Z164" s="64"/>
    </row>
    <row r="165" ht="12.75" customHeight="1">
      <c r="A165" s="108"/>
      <c r="B165" s="64"/>
      <c r="C165" s="64"/>
      <c r="D165" s="64"/>
      <c r="E165" s="64"/>
      <c r="F165" s="63"/>
      <c r="G165" s="63"/>
      <c r="H165" s="64"/>
      <c r="I165" s="64"/>
      <c r="J165" s="64"/>
      <c r="K165" s="64"/>
      <c r="L165" s="64"/>
      <c r="M165" s="64"/>
      <c r="N165" s="64"/>
      <c r="O165" s="64"/>
      <c r="P165" s="64"/>
      <c r="Q165" s="64"/>
      <c r="R165" s="64"/>
      <c r="S165" s="64"/>
      <c r="T165" s="64"/>
      <c r="U165" s="64"/>
      <c r="V165" s="64"/>
      <c r="W165" s="64"/>
      <c r="X165" s="64"/>
      <c r="Y165" s="64"/>
      <c r="Z165" s="64"/>
    </row>
    <row r="166" ht="12.75" customHeight="1">
      <c r="A166" s="108"/>
      <c r="B166" s="64"/>
      <c r="C166" s="64"/>
      <c r="D166" s="64"/>
      <c r="E166" s="64"/>
      <c r="F166" s="63"/>
      <c r="G166" s="63"/>
      <c r="H166" s="64"/>
      <c r="I166" s="64"/>
      <c r="J166" s="64"/>
      <c r="K166" s="64"/>
      <c r="L166" s="64"/>
      <c r="M166" s="64"/>
      <c r="N166" s="64"/>
      <c r="O166" s="64"/>
      <c r="P166" s="64"/>
      <c r="Q166" s="64"/>
      <c r="R166" s="64"/>
      <c r="S166" s="64"/>
      <c r="T166" s="64"/>
      <c r="U166" s="64"/>
      <c r="V166" s="64"/>
      <c r="W166" s="64"/>
      <c r="X166" s="64"/>
      <c r="Y166" s="64"/>
      <c r="Z166" s="64"/>
    </row>
    <row r="167" ht="12.75" customHeight="1">
      <c r="A167" s="108"/>
      <c r="B167" s="64"/>
      <c r="C167" s="64"/>
      <c r="D167" s="64"/>
      <c r="E167" s="64"/>
      <c r="F167" s="63"/>
      <c r="G167" s="63"/>
      <c r="H167" s="64"/>
      <c r="I167" s="64"/>
      <c r="J167" s="64"/>
      <c r="K167" s="64"/>
      <c r="L167" s="64"/>
      <c r="M167" s="64"/>
      <c r="N167" s="64"/>
      <c r="O167" s="64"/>
      <c r="P167" s="64"/>
      <c r="Q167" s="64"/>
      <c r="R167" s="64"/>
      <c r="S167" s="64"/>
      <c r="T167" s="64"/>
      <c r="U167" s="64"/>
      <c r="V167" s="64"/>
      <c r="W167" s="64"/>
      <c r="X167" s="64"/>
      <c r="Y167" s="64"/>
      <c r="Z167" s="64"/>
    </row>
    <row r="168" ht="12.75" customHeight="1">
      <c r="A168" s="108"/>
      <c r="B168" s="64"/>
      <c r="C168" s="64"/>
      <c r="D168" s="64"/>
      <c r="E168" s="64"/>
      <c r="F168" s="63"/>
      <c r="G168" s="63"/>
      <c r="H168" s="64"/>
      <c r="I168" s="64"/>
      <c r="J168" s="64"/>
      <c r="K168" s="64"/>
      <c r="L168" s="64"/>
      <c r="M168" s="64"/>
      <c r="N168" s="64"/>
      <c r="O168" s="64"/>
      <c r="P168" s="64"/>
      <c r="Q168" s="64"/>
      <c r="R168" s="64"/>
      <c r="S168" s="64"/>
      <c r="T168" s="64"/>
      <c r="U168" s="64"/>
      <c r="V168" s="64"/>
      <c r="W168" s="64"/>
      <c r="X168" s="64"/>
      <c r="Y168" s="64"/>
      <c r="Z168" s="64"/>
    </row>
    <row r="169" ht="12.75" customHeight="1">
      <c r="A169" s="108"/>
      <c r="B169" s="64"/>
      <c r="C169" s="64"/>
      <c r="D169" s="64"/>
      <c r="E169" s="64"/>
      <c r="F169" s="63"/>
      <c r="G169" s="63"/>
      <c r="H169" s="64"/>
      <c r="I169" s="64"/>
      <c r="J169" s="64"/>
      <c r="K169" s="64"/>
      <c r="L169" s="64"/>
      <c r="M169" s="64"/>
      <c r="N169" s="64"/>
      <c r="O169" s="64"/>
      <c r="P169" s="64"/>
      <c r="Q169" s="64"/>
      <c r="R169" s="64"/>
      <c r="S169" s="64"/>
      <c r="T169" s="64"/>
      <c r="U169" s="64"/>
      <c r="V169" s="64"/>
      <c r="W169" s="64"/>
      <c r="X169" s="64"/>
      <c r="Y169" s="64"/>
      <c r="Z169" s="64"/>
    </row>
    <row r="170" ht="12.75" customHeight="1">
      <c r="A170" s="108"/>
      <c r="B170" s="64"/>
      <c r="C170" s="64"/>
      <c r="D170" s="64"/>
      <c r="E170" s="64"/>
      <c r="F170" s="63"/>
      <c r="G170" s="63"/>
      <c r="H170" s="64"/>
      <c r="I170" s="64"/>
      <c r="J170" s="64"/>
      <c r="K170" s="64"/>
      <c r="L170" s="64"/>
      <c r="M170" s="64"/>
      <c r="N170" s="64"/>
      <c r="O170" s="64"/>
      <c r="P170" s="64"/>
      <c r="Q170" s="64"/>
      <c r="R170" s="64"/>
      <c r="S170" s="64"/>
      <c r="T170" s="64"/>
      <c r="U170" s="64"/>
      <c r="V170" s="64"/>
      <c r="W170" s="64"/>
      <c r="X170" s="64"/>
      <c r="Y170" s="64"/>
      <c r="Z170" s="64"/>
    </row>
    <row r="171" ht="12.75" customHeight="1">
      <c r="A171" s="108"/>
      <c r="B171" s="64"/>
      <c r="C171" s="64"/>
      <c r="D171" s="64"/>
      <c r="E171" s="64"/>
      <c r="F171" s="63"/>
      <c r="G171" s="63"/>
      <c r="H171" s="64"/>
      <c r="I171" s="64"/>
      <c r="J171" s="64"/>
      <c r="K171" s="64"/>
      <c r="L171" s="64"/>
      <c r="M171" s="64"/>
      <c r="N171" s="64"/>
      <c r="O171" s="64"/>
      <c r="P171" s="64"/>
      <c r="Q171" s="64"/>
      <c r="R171" s="64"/>
      <c r="S171" s="64"/>
      <c r="T171" s="64"/>
      <c r="U171" s="64"/>
      <c r="V171" s="64"/>
      <c r="W171" s="64"/>
      <c r="X171" s="64"/>
      <c r="Y171" s="64"/>
      <c r="Z171" s="64"/>
    </row>
    <row r="172" ht="12.75" customHeight="1">
      <c r="A172" s="108"/>
      <c r="B172" s="64"/>
      <c r="C172" s="64"/>
      <c r="D172" s="64"/>
      <c r="E172" s="64"/>
      <c r="F172" s="63"/>
      <c r="G172" s="63"/>
      <c r="H172" s="64"/>
      <c r="I172" s="64"/>
      <c r="J172" s="64"/>
      <c r="K172" s="64"/>
      <c r="L172" s="64"/>
      <c r="M172" s="64"/>
      <c r="N172" s="64"/>
      <c r="O172" s="64"/>
      <c r="P172" s="64"/>
      <c r="Q172" s="64"/>
      <c r="R172" s="64"/>
      <c r="S172" s="64"/>
      <c r="T172" s="64"/>
      <c r="U172" s="64"/>
      <c r="V172" s="64"/>
      <c r="W172" s="64"/>
      <c r="X172" s="64"/>
      <c r="Y172" s="64"/>
      <c r="Z172" s="64"/>
    </row>
    <row r="173" ht="12.75" customHeight="1">
      <c r="A173" s="108"/>
      <c r="B173" s="64"/>
      <c r="C173" s="64"/>
      <c r="D173" s="64"/>
      <c r="E173" s="64"/>
      <c r="F173" s="63"/>
      <c r="G173" s="63"/>
      <c r="H173" s="64"/>
      <c r="I173" s="64"/>
      <c r="J173" s="64"/>
      <c r="K173" s="64"/>
      <c r="L173" s="64"/>
      <c r="M173" s="64"/>
      <c r="N173" s="64"/>
      <c r="O173" s="64"/>
      <c r="P173" s="64"/>
      <c r="Q173" s="64"/>
      <c r="R173" s="64"/>
      <c r="S173" s="64"/>
      <c r="T173" s="64"/>
      <c r="U173" s="64"/>
      <c r="V173" s="64"/>
      <c r="W173" s="64"/>
      <c r="X173" s="64"/>
      <c r="Y173" s="64"/>
      <c r="Z173" s="64"/>
    </row>
    <row r="174" ht="12.75" customHeight="1">
      <c r="A174" s="108"/>
      <c r="B174" s="64"/>
      <c r="C174" s="64"/>
      <c r="D174" s="64"/>
      <c r="E174" s="64"/>
      <c r="F174" s="63"/>
      <c r="G174" s="63"/>
      <c r="H174" s="64"/>
      <c r="I174" s="64"/>
      <c r="J174" s="64"/>
      <c r="K174" s="64"/>
      <c r="L174" s="64"/>
      <c r="M174" s="64"/>
      <c r="N174" s="64"/>
      <c r="O174" s="64"/>
      <c r="P174" s="64"/>
      <c r="Q174" s="64"/>
      <c r="R174" s="64"/>
      <c r="S174" s="64"/>
      <c r="T174" s="64"/>
      <c r="U174" s="64"/>
      <c r="V174" s="64"/>
      <c r="W174" s="64"/>
      <c r="X174" s="64"/>
      <c r="Y174" s="64"/>
      <c r="Z174" s="64"/>
    </row>
    <row r="175" ht="12.75" customHeight="1">
      <c r="A175" s="108"/>
      <c r="B175" s="64"/>
      <c r="C175" s="64"/>
      <c r="D175" s="64"/>
      <c r="E175" s="64"/>
      <c r="F175" s="63"/>
      <c r="G175" s="63"/>
      <c r="H175" s="64"/>
      <c r="I175" s="64"/>
      <c r="J175" s="64"/>
      <c r="K175" s="64"/>
      <c r="L175" s="64"/>
      <c r="M175" s="64"/>
      <c r="N175" s="64"/>
      <c r="O175" s="64"/>
      <c r="P175" s="64"/>
      <c r="Q175" s="64"/>
      <c r="R175" s="64"/>
      <c r="S175" s="64"/>
      <c r="T175" s="64"/>
      <c r="U175" s="64"/>
      <c r="V175" s="64"/>
      <c r="W175" s="64"/>
      <c r="X175" s="64"/>
      <c r="Y175" s="64"/>
      <c r="Z175" s="64"/>
    </row>
    <row r="176" ht="12.75" customHeight="1">
      <c r="A176" s="108"/>
      <c r="B176" s="64"/>
      <c r="C176" s="64"/>
      <c r="D176" s="64"/>
      <c r="E176" s="64"/>
      <c r="F176" s="63"/>
      <c r="G176" s="63"/>
      <c r="H176" s="64"/>
      <c r="I176" s="64"/>
      <c r="J176" s="64"/>
      <c r="K176" s="64"/>
      <c r="L176" s="64"/>
      <c r="M176" s="64"/>
      <c r="N176" s="64"/>
      <c r="O176" s="64"/>
      <c r="P176" s="64"/>
      <c r="Q176" s="64"/>
      <c r="R176" s="64"/>
      <c r="S176" s="64"/>
      <c r="T176" s="64"/>
      <c r="U176" s="64"/>
      <c r="V176" s="64"/>
      <c r="W176" s="64"/>
      <c r="X176" s="64"/>
      <c r="Y176" s="64"/>
      <c r="Z176" s="64"/>
    </row>
    <row r="177" ht="12.75" customHeight="1">
      <c r="A177" s="108"/>
      <c r="B177" s="64"/>
      <c r="C177" s="64"/>
      <c r="D177" s="64"/>
      <c r="E177" s="64"/>
      <c r="F177" s="63"/>
      <c r="G177" s="63"/>
      <c r="H177" s="64"/>
      <c r="I177" s="64"/>
      <c r="J177" s="64"/>
      <c r="K177" s="64"/>
      <c r="L177" s="64"/>
      <c r="M177" s="64"/>
      <c r="N177" s="64"/>
      <c r="O177" s="64"/>
      <c r="P177" s="64"/>
      <c r="Q177" s="64"/>
      <c r="R177" s="64"/>
      <c r="S177" s="64"/>
      <c r="T177" s="64"/>
      <c r="U177" s="64"/>
      <c r="V177" s="64"/>
      <c r="W177" s="64"/>
      <c r="X177" s="64"/>
      <c r="Y177" s="64"/>
      <c r="Z177" s="64"/>
    </row>
    <row r="178" ht="12.75" customHeight="1">
      <c r="A178" s="108"/>
      <c r="B178" s="64"/>
      <c r="C178" s="64"/>
      <c r="D178" s="64"/>
      <c r="E178" s="64"/>
      <c r="F178" s="63"/>
      <c r="G178" s="63"/>
      <c r="H178" s="64"/>
      <c r="I178" s="64"/>
      <c r="J178" s="64"/>
      <c r="K178" s="64"/>
      <c r="L178" s="64"/>
      <c r="M178" s="64"/>
      <c r="N178" s="64"/>
      <c r="O178" s="64"/>
      <c r="P178" s="64"/>
      <c r="Q178" s="64"/>
      <c r="R178" s="64"/>
      <c r="S178" s="64"/>
      <c r="T178" s="64"/>
      <c r="U178" s="64"/>
      <c r="V178" s="64"/>
      <c r="W178" s="64"/>
      <c r="X178" s="64"/>
      <c r="Y178" s="64"/>
      <c r="Z178" s="64"/>
    </row>
    <row r="179" ht="12.75" customHeight="1">
      <c r="A179" s="108"/>
      <c r="B179" s="64"/>
      <c r="C179" s="64"/>
      <c r="D179" s="64"/>
      <c r="E179" s="64"/>
      <c r="F179" s="63"/>
      <c r="G179" s="63"/>
      <c r="H179" s="64"/>
      <c r="I179" s="64"/>
      <c r="J179" s="64"/>
      <c r="K179" s="64"/>
      <c r="L179" s="64"/>
      <c r="M179" s="64"/>
      <c r="N179" s="64"/>
      <c r="O179" s="64"/>
      <c r="P179" s="64"/>
      <c r="Q179" s="64"/>
      <c r="R179" s="64"/>
      <c r="S179" s="64"/>
      <c r="T179" s="64"/>
      <c r="U179" s="64"/>
      <c r="V179" s="64"/>
      <c r="W179" s="64"/>
      <c r="X179" s="64"/>
      <c r="Y179" s="64"/>
      <c r="Z179" s="64"/>
    </row>
    <row r="180" ht="12.75" customHeight="1">
      <c r="A180" s="108"/>
      <c r="B180" s="64"/>
      <c r="C180" s="64"/>
      <c r="D180" s="64"/>
      <c r="E180" s="64"/>
      <c r="F180" s="63"/>
      <c r="G180" s="63"/>
      <c r="H180" s="64"/>
      <c r="I180" s="64"/>
      <c r="J180" s="64"/>
      <c r="K180" s="64"/>
      <c r="L180" s="64"/>
      <c r="M180" s="64"/>
      <c r="N180" s="64"/>
      <c r="O180" s="64"/>
      <c r="P180" s="64"/>
      <c r="Q180" s="64"/>
      <c r="R180" s="64"/>
      <c r="S180" s="64"/>
      <c r="T180" s="64"/>
      <c r="U180" s="64"/>
      <c r="V180" s="64"/>
      <c r="W180" s="64"/>
      <c r="X180" s="64"/>
      <c r="Y180" s="64"/>
      <c r="Z180" s="64"/>
    </row>
    <row r="181" ht="12.75" customHeight="1">
      <c r="A181" s="108"/>
      <c r="B181" s="64"/>
      <c r="C181" s="64"/>
      <c r="D181" s="64"/>
      <c r="E181" s="64"/>
      <c r="F181" s="63"/>
      <c r="G181" s="63"/>
      <c r="H181" s="64"/>
      <c r="I181" s="64"/>
      <c r="J181" s="64"/>
      <c r="K181" s="64"/>
      <c r="L181" s="64"/>
      <c r="M181" s="64"/>
      <c r="N181" s="64"/>
      <c r="O181" s="64"/>
      <c r="P181" s="64"/>
      <c r="Q181" s="64"/>
      <c r="R181" s="64"/>
      <c r="S181" s="64"/>
      <c r="T181" s="64"/>
      <c r="U181" s="64"/>
      <c r="V181" s="64"/>
      <c r="W181" s="64"/>
      <c r="X181" s="64"/>
      <c r="Y181" s="64"/>
      <c r="Z181" s="64"/>
    </row>
    <row r="182" ht="12.75" customHeight="1">
      <c r="A182" s="108"/>
      <c r="B182" s="64"/>
      <c r="C182" s="64"/>
      <c r="D182" s="64"/>
      <c r="E182" s="64"/>
      <c r="F182" s="63"/>
      <c r="G182" s="63"/>
      <c r="H182" s="64"/>
      <c r="I182" s="64"/>
      <c r="J182" s="64"/>
      <c r="K182" s="64"/>
      <c r="L182" s="64"/>
      <c r="M182" s="64"/>
      <c r="N182" s="64"/>
      <c r="O182" s="64"/>
      <c r="P182" s="64"/>
      <c r="Q182" s="64"/>
      <c r="R182" s="64"/>
      <c r="S182" s="64"/>
      <c r="T182" s="64"/>
      <c r="U182" s="64"/>
      <c r="V182" s="64"/>
      <c r="W182" s="64"/>
      <c r="X182" s="64"/>
      <c r="Y182" s="64"/>
      <c r="Z182" s="64"/>
    </row>
    <row r="183" ht="12.75" customHeight="1">
      <c r="A183" s="108"/>
      <c r="B183" s="64"/>
      <c r="C183" s="64"/>
      <c r="D183" s="64"/>
      <c r="E183" s="64"/>
      <c r="F183" s="63"/>
      <c r="G183" s="63"/>
      <c r="H183" s="64"/>
      <c r="I183" s="64"/>
      <c r="J183" s="64"/>
      <c r="K183" s="64"/>
      <c r="L183" s="64"/>
      <c r="M183" s="64"/>
      <c r="N183" s="64"/>
      <c r="O183" s="64"/>
      <c r="P183" s="64"/>
      <c r="Q183" s="64"/>
      <c r="R183" s="64"/>
      <c r="S183" s="64"/>
      <c r="T183" s="64"/>
      <c r="U183" s="64"/>
      <c r="V183" s="64"/>
      <c r="W183" s="64"/>
      <c r="X183" s="64"/>
      <c r="Y183" s="64"/>
      <c r="Z183" s="64"/>
    </row>
    <row r="184" ht="12.75" customHeight="1">
      <c r="A184" s="108"/>
      <c r="B184" s="64"/>
      <c r="C184" s="64"/>
      <c r="D184" s="64"/>
      <c r="E184" s="64"/>
      <c r="F184" s="63"/>
      <c r="G184" s="63"/>
      <c r="H184" s="64"/>
      <c r="I184" s="64"/>
      <c r="J184" s="64"/>
      <c r="K184" s="64"/>
      <c r="L184" s="64"/>
      <c r="M184" s="64"/>
      <c r="N184" s="64"/>
      <c r="O184" s="64"/>
      <c r="P184" s="64"/>
      <c r="Q184" s="64"/>
      <c r="R184" s="64"/>
      <c r="S184" s="64"/>
      <c r="T184" s="64"/>
      <c r="U184" s="64"/>
      <c r="V184" s="64"/>
      <c r="W184" s="64"/>
      <c r="X184" s="64"/>
      <c r="Y184" s="64"/>
      <c r="Z184" s="64"/>
    </row>
    <row r="185" ht="12.75" customHeight="1">
      <c r="A185" s="108"/>
      <c r="B185" s="64"/>
      <c r="C185" s="64"/>
      <c r="D185" s="64"/>
      <c r="E185" s="64"/>
      <c r="F185" s="63"/>
      <c r="G185" s="63"/>
      <c r="H185" s="64"/>
      <c r="I185" s="64"/>
      <c r="J185" s="64"/>
      <c r="K185" s="64"/>
      <c r="L185" s="64"/>
      <c r="M185" s="64"/>
      <c r="N185" s="64"/>
      <c r="O185" s="64"/>
      <c r="P185" s="64"/>
      <c r="Q185" s="64"/>
      <c r="R185" s="64"/>
      <c r="S185" s="64"/>
      <c r="T185" s="64"/>
      <c r="U185" s="64"/>
      <c r="V185" s="64"/>
      <c r="W185" s="64"/>
      <c r="X185" s="64"/>
      <c r="Y185" s="64"/>
      <c r="Z185" s="64"/>
    </row>
    <row r="186" ht="12.75" customHeight="1">
      <c r="A186" s="108"/>
      <c r="B186" s="64"/>
      <c r="C186" s="64"/>
      <c r="D186" s="64"/>
      <c r="E186" s="64"/>
      <c r="F186" s="63"/>
      <c r="G186" s="63"/>
      <c r="H186" s="64"/>
      <c r="I186" s="64"/>
      <c r="J186" s="64"/>
      <c r="K186" s="64"/>
      <c r="L186" s="64"/>
      <c r="M186" s="64"/>
      <c r="N186" s="64"/>
      <c r="O186" s="64"/>
      <c r="P186" s="64"/>
      <c r="Q186" s="64"/>
      <c r="R186" s="64"/>
      <c r="S186" s="64"/>
      <c r="T186" s="64"/>
      <c r="U186" s="64"/>
      <c r="V186" s="64"/>
      <c r="W186" s="64"/>
      <c r="X186" s="64"/>
      <c r="Y186" s="64"/>
      <c r="Z186" s="64"/>
    </row>
    <row r="187" ht="12.75" customHeight="1">
      <c r="A187" s="108"/>
      <c r="B187" s="64"/>
      <c r="C187" s="64"/>
      <c r="D187" s="64"/>
      <c r="E187" s="64"/>
      <c r="F187" s="63"/>
      <c r="G187" s="63"/>
      <c r="H187" s="64"/>
      <c r="I187" s="64"/>
      <c r="J187" s="64"/>
      <c r="K187" s="64"/>
      <c r="L187" s="64"/>
      <c r="M187" s="64"/>
      <c r="N187" s="64"/>
      <c r="O187" s="64"/>
      <c r="P187" s="64"/>
      <c r="Q187" s="64"/>
      <c r="R187" s="64"/>
      <c r="S187" s="64"/>
      <c r="T187" s="64"/>
      <c r="U187" s="64"/>
      <c r="V187" s="64"/>
      <c r="W187" s="64"/>
      <c r="X187" s="64"/>
      <c r="Y187" s="64"/>
      <c r="Z187" s="64"/>
    </row>
    <row r="188" ht="12.75" customHeight="1">
      <c r="A188" s="108"/>
      <c r="B188" s="64"/>
      <c r="C188" s="64"/>
      <c r="D188" s="64"/>
      <c r="E188" s="64"/>
      <c r="F188" s="63"/>
      <c r="G188" s="63"/>
      <c r="H188" s="64"/>
      <c r="I188" s="64"/>
      <c r="J188" s="64"/>
      <c r="K188" s="64"/>
      <c r="L188" s="64"/>
      <c r="M188" s="64"/>
      <c r="N188" s="64"/>
      <c r="O188" s="64"/>
      <c r="P188" s="64"/>
      <c r="Q188" s="64"/>
      <c r="R188" s="64"/>
      <c r="S188" s="64"/>
      <c r="T188" s="64"/>
      <c r="U188" s="64"/>
      <c r="V188" s="64"/>
      <c r="W188" s="64"/>
      <c r="X188" s="64"/>
      <c r="Y188" s="64"/>
      <c r="Z188" s="64"/>
    </row>
    <row r="189" ht="12.75" customHeight="1">
      <c r="A189" s="108"/>
      <c r="B189" s="64"/>
      <c r="C189" s="64"/>
      <c r="D189" s="64"/>
      <c r="E189" s="64"/>
      <c r="F189" s="63"/>
      <c r="G189" s="63"/>
      <c r="H189" s="64"/>
      <c r="I189" s="64"/>
      <c r="J189" s="64"/>
      <c r="K189" s="64"/>
      <c r="L189" s="64"/>
      <c r="M189" s="64"/>
      <c r="N189" s="64"/>
      <c r="O189" s="64"/>
      <c r="P189" s="64"/>
      <c r="Q189" s="64"/>
      <c r="R189" s="64"/>
      <c r="S189" s="64"/>
      <c r="T189" s="64"/>
      <c r="U189" s="64"/>
      <c r="V189" s="64"/>
      <c r="W189" s="64"/>
      <c r="X189" s="64"/>
      <c r="Y189" s="64"/>
      <c r="Z189" s="64"/>
    </row>
    <row r="190" ht="12.75" customHeight="1">
      <c r="A190" s="108"/>
      <c r="B190" s="64"/>
      <c r="C190" s="64"/>
      <c r="D190" s="64"/>
      <c r="E190" s="64"/>
      <c r="F190" s="63"/>
      <c r="G190" s="63"/>
      <c r="H190" s="64"/>
      <c r="I190" s="64"/>
      <c r="J190" s="64"/>
      <c r="K190" s="64"/>
      <c r="L190" s="64"/>
      <c r="M190" s="64"/>
      <c r="N190" s="64"/>
      <c r="O190" s="64"/>
      <c r="P190" s="64"/>
      <c r="Q190" s="64"/>
      <c r="R190" s="64"/>
      <c r="S190" s="64"/>
      <c r="T190" s="64"/>
      <c r="U190" s="64"/>
      <c r="V190" s="64"/>
      <c r="W190" s="64"/>
      <c r="X190" s="64"/>
      <c r="Y190" s="64"/>
      <c r="Z190" s="64"/>
    </row>
    <row r="191" ht="12.75" customHeight="1">
      <c r="A191" s="108"/>
      <c r="B191" s="64"/>
      <c r="C191" s="64"/>
      <c r="D191" s="64"/>
      <c r="E191" s="64"/>
      <c r="F191" s="63"/>
      <c r="G191" s="63"/>
      <c r="H191" s="64"/>
      <c r="I191" s="64"/>
      <c r="J191" s="64"/>
      <c r="K191" s="64"/>
      <c r="L191" s="64"/>
      <c r="M191" s="64"/>
      <c r="N191" s="64"/>
      <c r="O191" s="64"/>
      <c r="P191" s="64"/>
      <c r="Q191" s="64"/>
      <c r="R191" s="64"/>
      <c r="S191" s="64"/>
      <c r="T191" s="64"/>
      <c r="U191" s="64"/>
      <c r="V191" s="64"/>
      <c r="W191" s="64"/>
      <c r="X191" s="64"/>
      <c r="Y191" s="64"/>
      <c r="Z191" s="64"/>
    </row>
    <row r="192" ht="12.75" customHeight="1">
      <c r="A192" s="108"/>
      <c r="B192" s="64"/>
      <c r="C192" s="64"/>
      <c r="D192" s="64"/>
      <c r="E192" s="64"/>
      <c r="F192" s="63"/>
      <c r="G192" s="63"/>
      <c r="H192" s="64"/>
      <c r="I192" s="64"/>
      <c r="J192" s="64"/>
      <c r="K192" s="64"/>
      <c r="L192" s="64"/>
      <c r="M192" s="64"/>
      <c r="N192" s="64"/>
      <c r="O192" s="64"/>
      <c r="P192" s="64"/>
      <c r="Q192" s="64"/>
      <c r="R192" s="64"/>
      <c r="S192" s="64"/>
      <c r="T192" s="64"/>
      <c r="U192" s="64"/>
      <c r="V192" s="64"/>
      <c r="W192" s="64"/>
      <c r="X192" s="64"/>
      <c r="Y192" s="64"/>
      <c r="Z192" s="64"/>
    </row>
    <row r="193" ht="12.75" customHeight="1">
      <c r="A193" s="108"/>
      <c r="B193" s="64"/>
      <c r="C193" s="64"/>
      <c r="D193" s="64"/>
      <c r="E193" s="64"/>
      <c r="F193" s="63"/>
      <c r="G193" s="63"/>
      <c r="H193" s="64"/>
      <c r="I193" s="64"/>
      <c r="J193" s="64"/>
      <c r="K193" s="64"/>
      <c r="L193" s="64"/>
      <c r="M193" s="64"/>
      <c r="N193" s="64"/>
      <c r="O193" s="64"/>
      <c r="P193" s="64"/>
      <c r="Q193" s="64"/>
      <c r="R193" s="64"/>
      <c r="S193" s="64"/>
      <c r="T193" s="64"/>
      <c r="U193" s="64"/>
      <c r="V193" s="64"/>
      <c r="W193" s="64"/>
      <c r="X193" s="64"/>
      <c r="Y193" s="64"/>
      <c r="Z193" s="64"/>
    </row>
    <row r="194" ht="12.75" customHeight="1">
      <c r="A194" s="108"/>
      <c r="B194" s="64"/>
      <c r="C194" s="64"/>
      <c r="D194" s="64"/>
      <c r="E194" s="64"/>
      <c r="F194" s="63"/>
      <c r="G194" s="63"/>
      <c r="H194" s="64"/>
      <c r="I194" s="64"/>
      <c r="J194" s="64"/>
      <c r="K194" s="64"/>
      <c r="L194" s="64"/>
      <c r="M194" s="64"/>
      <c r="N194" s="64"/>
      <c r="O194" s="64"/>
      <c r="P194" s="64"/>
      <c r="Q194" s="64"/>
      <c r="R194" s="64"/>
      <c r="S194" s="64"/>
      <c r="T194" s="64"/>
      <c r="U194" s="64"/>
      <c r="V194" s="64"/>
      <c r="W194" s="64"/>
      <c r="X194" s="64"/>
      <c r="Y194" s="64"/>
      <c r="Z194" s="64"/>
    </row>
    <row r="195" ht="12.75" customHeight="1">
      <c r="A195" s="108"/>
      <c r="B195" s="64"/>
      <c r="C195" s="64"/>
      <c r="D195" s="64"/>
      <c r="E195" s="64"/>
      <c r="F195" s="63"/>
      <c r="G195" s="63"/>
      <c r="H195" s="64"/>
      <c r="I195" s="64"/>
      <c r="J195" s="64"/>
      <c r="K195" s="64"/>
      <c r="L195" s="64"/>
      <c r="M195" s="64"/>
      <c r="N195" s="64"/>
      <c r="O195" s="64"/>
      <c r="P195" s="64"/>
      <c r="Q195" s="64"/>
      <c r="R195" s="64"/>
      <c r="S195" s="64"/>
      <c r="T195" s="64"/>
      <c r="U195" s="64"/>
      <c r="V195" s="64"/>
      <c r="W195" s="64"/>
      <c r="X195" s="64"/>
      <c r="Y195" s="64"/>
      <c r="Z195" s="64"/>
    </row>
    <row r="196" ht="12.75" customHeight="1">
      <c r="A196" s="108"/>
      <c r="B196" s="64"/>
      <c r="C196" s="64"/>
      <c r="D196" s="64"/>
      <c r="E196" s="64"/>
      <c r="F196" s="63"/>
      <c r="G196" s="63"/>
      <c r="H196" s="64"/>
      <c r="I196" s="64"/>
      <c r="J196" s="64"/>
      <c r="K196" s="64"/>
      <c r="L196" s="64"/>
      <c r="M196" s="64"/>
      <c r="N196" s="64"/>
      <c r="O196" s="64"/>
      <c r="P196" s="64"/>
      <c r="Q196" s="64"/>
      <c r="R196" s="64"/>
      <c r="S196" s="64"/>
      <c r="T196" s="64"/>
      <c r="U196" s="64"/>
      <c r="V196" s="64"/>
      <c r="W196" s="64"/>
      <c r="X196" s="64"/>
      <c r="Y196" s="64"/>
      <c r="Z196" s="64"/>
    </row>
    <row r="197" ht="12.75" customHeight="1">
      <c r="A197" s="108"/>
      <c r="B197" s="64"/>
      <c r="C197" s="64"/>
      <c r="D197" s="64"/>
      <c r="E197" s="64"/>
      <c r="F197" s="63"/>
      <c r="G197" s="63"/>
      <c r="H197" s="64"/>
      <c r="I197" s="64"/>
      <c r="J197" s="64"/>
      <c r="K197" s="64"/>
      <c r="L197" s="64"/>
      <c r="M197" s="64"/>
      <c r="N197" s="64"/>
      <c r="O197" s="64"/>
      <c r="P197" s="64"/>
      <c r="Q197" s="64"/>
      <c r="R197" s="64"/>
      <c r="S197" s="64"/>
      <c r="T197" s="64"/>
      <c r="U197" s="64"/>
      <c r="V197" s="64"/>
      <c r="W197" s="64"/>
      <c r="X197" s="64"/>
      <c r="Y197" s="64"/>
      <c r="Z197" s="64"/>
    </row>
    <row r="198" ht="12.75" customHeight="1">
      <c r="A198" s="108"/>
      <c r="B198" s="64"/>
      <c r="C198" s="64"/>
      <c r="D198" s="64"/>
      <c r="E198" s="64"/>
      <c r="F198" s="63"/>
      <c r="G198" s="63"/>
      <c r="H198" s="64"/>
      <c r="I198" s="64"/>
      <c r="J198" s="64"/>
      <c r="K198" s="64"/>
      <c r="L198" s="64"/>
      <c r="M198" s="64"/>
      <c r="N198" s="64"/>
      <c r="O198" s="64"/>
      <c r="P198" s="64"/>
      <c r="Q198" s="64"/>
      <c r="R198" s="64"/>
      <c r="S198" s="64"/>
      <c r="T198" s="64"/>
      <c r="U198" s="64"/>
      <c r="V198" s="64"/>
      <c r="W198" s="64"/>
      <c r="X198" s="64"/>
      <c r="Y198" s="64"/>
      <c r="Z198" s="64"/>
    </row>
    <row r="199" ht="12.75" customHeight="1">
      <c r="A199" s="108"/>
      <c r="B199" s="64"/>
      <c r="C199" s="64"/>
      <c r="D199" s="64"/>
      <c r="E199" s="64"/>
      <c r="F199" s="63"/>
      <c r="G199" s="63"/>
      <c r="H199" s="64"/>
      <c r="I199" s="64"/>
      <c r="J199" s="64"/>
      <c r="K199" s="64"/>
      <c r="L199" s="64"/>
      <c r="M199" s="64"/>
      <c r="N199" s="64"/>
      <c r="O199" s="64"/>
      <c r="P199" s="64"/>
      <c r="Q199" s="64"/>
      <c r="R199" s="64"/>
      <c r="S199" s="64"/>
      <c r="T199" s="64"/>
      <c r="U199" s="64"/>
      <c r="V199" s="64"/>
      <c r="W199" s="64"/>
      <c r="X199" s="64"/>
      <c r="Y199" s="64"/>
      <c r="Z199" s="64"/>
    </row>
    <row r="200" ht="12.75" customHeight="1">
      <c r="A200" s="108"/>
      <c r="B200" s="64"/>
      <c r="C200" s="64"/>
      <c r="D200" s="64"/>
      <c r="E200" s="64"/>
      <c r="F200" s="63"/>
      <c r="G200" s="63"/>
      <c r="H200" s="64"/>
      <c r="I200" s="64"/>
      <c r="J200" s="64"/>
      <c r="K200" s="64"/>
      <c r="L200" s="64"/>
      <c r="M200" s="64"/>
      <c r="N200" s="64"/>
      <c r="O200" s="64"/>
      <c r="P200" s="64"/>
      <c r="Q200" s="64"/>
      <c r="R200" s="64"/>
      <c r="S200" s="64"/>
      <c r="T200" s="64"/>
      <c r="U200" s="64"/>
      <c r="V200" s="64"/>
      <c r="W200" s="64"/>
      <c r="X200" s="64"/>
      <c r="Y200" s="64"/>
      <c r="Z200" s="64"/>
    </row>
    <row r="201" ht="12.75" customHeight="1">
      <c r="A201" s="108"/>
      <c r="B201" s="64"/>
      <c r="C201" s="64"/>
      <c r="D201" s="64"/>
      <c r="E201" s="64"/>
      <c r="F201" s="63"/>
      <c r="G201" s="63"/>
      <c r="H201" s="64"/>
      <c r="I201" s="64"/>
      <c r="J201" s="64"/>
      <c r="K201" s="64"/>
      <c r="L201" s="64"/>
      <c r="M201" s="64"/>
      <c r="N201" s="64"/>
      <c r="O201" s="64"/>
      <c r="P201" s="64"/>
      <c r="Q201" s="64"/>
      <c r="R201" s="64"/>
      <c r="S201" s="64"/>
      <c r="T201" s="64"/>
      <c r="U201" s="64"/>
      <c r="V201" s="64"/>
      <c r="W201" s="64"/>
      <c r="X201" s="64"/>
      <c r="Y201" s="64"/>
      <c r="Z201" s="64"/>
    </row>
    <row r="202" ht="12.75" customHeight="1">
      <c r="A202" s="108"/>
      <c r="B202" s="64"/>
      <c r="C202" s="64"/>
      <c r="D202" s="64"/>
      <c r="E202" s="64"/>
      <c r="F202" s="63"/>
      <c r="G202" s="63"/>
      <c r="H202" s="64"/>
      <c r="I202" s="64"/>
      <c r="J202" s="64"/>
      <c r="K202" s="64"/>
      <c r="L202" s="64"/>
      <c r="M202" s="64"/>
      <c r="N202" s="64"/>
      <c r="O202" s="64"/>
      <c r="P202" s="64"/>
      <c r="Q202" s="64"/>
      <c r="R202" s="64"/>
      <c r="S202" s="64"/>
      <c r="T202" s="64"/>
      <c r="U202" s="64"/>
      <c r="V202" s="64"/>
      <c r="W202" s="64"/>
      <c r="X202" s="64"/>
      <c r="Y202" s="64"/>
      <c r="Z202" s="64"/>
    </row>
    <row r="203" ht="12.75" customHeight="1">
      <c r="A203" s="108"/>
      <c r="B203" s="64"/>
      <c r="C203" s="64"/>
      <c r="D203" s="64"/>
      <c r="E203" s="64"/>
      <c r="F203" s="63"/>
      <c r="G203" s="63"/>
      <c r="H203" s="64"/>
      <c r="I203" s="64"/>
      <c r="J203" s="64"/>
      <c r="K203" s="64"/>
      <c r="L203" s="64"/>
      <c r="M203" s="64"/>
      <c r="N203" s="64"/>
      <c r="O203" s="64"/>
      <c r="P203" s="64"/>
      <c r="Q203" s="64"/>
      <c r="R203" s="64"/>
      <c r="S203" s="64"/>
      <c r="T203" s="64"/>
      <c r="U203" s="64"/>
      <c r="V203" s="64"/>
      <c r="W203" s="64"/>
      <c r="X203" s="64"/>
      <c r="Y203" s="64"/>
      <c r="Z203" s="64"/>
    </row>
    <row r="204" ht="12.75" customHeight="1">
      <c r="A204" s="108"/>
      <c r="B204" s="64"/>
      <c r="C204" s="64"/>
      <c r="D204" s="64"/>
      <c r="E204" s="64"/>
      <c r="F204" s="63"/>
      <c r="G204" s="63"/>
      <c r="H204" s="64"/>
      <c r="I204" s="64"/>
      <c r="J204" s="64"/>
      <c r="K204" s="64"/>
      <c r="L204" s="64"/>
      <c r="M204" s="64"/>
      <c r="N204" s="64"/>
      <c r="O204" s="64"/>
      <c r="P204" s="64"/>
      <c r="Q204" s="64"/>
      <c r="R204" s="64"/>
      <c r="S204" s="64"/>
      <c r="T204" s="64"/>
      <c r="U204" s="64"/>
      <c r="V204" s="64"/>
      <c r="W204" s="64"/>
      <c r="X204" s="64"/>
      <c r="Y204" s="64"/>
      <c r="Z204" s="64"/>
    </row>
    <row r="205" ht="12.75" customHeight="1">
      <c r="A205" s="108"/>
      <c r="B205" s="64"/>
      <c r="C205" s="64"/>
      <c r="D205" s="64"/>
      <c r="E205" s="64"/>
      <c r="F205" s="63"/>
      <c r="G205" s="63"/>
      <c r="H205" s="64"/>
      <c r="I205" s="64"/>
      <c r="J205" s="64"/>
      <c r="K205" s="64"/>
      <c r="L205" s="64"/>
      <c r="M205" s="64"/>
      <c r="N205" s="64"/>
      <c r="O205" s="64"/>
      <c r="P205" s="64"/>
      <c r="Q205" s="64"/>
      <c r="R205" s="64"/>
      <c r="S205" s="64"/>
      <c r="T205" s="64"/>
      <c r="U205" s="64"/>
      <c r="V205" s="64"/>
      <c r="W205" s="64"/>
      <c r="X205" s="64"/>
      <c r="Y205" s="64"/>
      <c r="Z205" s="64"/>
    </row>
    <row r="206" ht="12.75" customHeight="1">
      <c r="A206" s="108"/>
      <c r="B206" s="64"/>
      <c r="C206" s="64"/>
      <c r="D206" s="64"/>
      <c r="E206" s="64"/>
      <c r="F206" s="63"/>
      <c r="G206" s="63"/>
      <c r="H206" s="64"/>
      <c r="I206" s="64"/>
      <c r="J206" s="64"/>
      <c r="K206" s="64"/>
      <c r="L206" s="64"/>
      <c r="M206" s="64"/>
      <c r="N206" s="64"/>
      <c r="O206" s="64"/>
      <c r="P206" s="64"/>
      <c r="Q206" s="64"/>
      <c r="R206" s="64"/>
      <c r="S206" s="64"/>
      <c r="T206" s="64"/>
      <c r="U206" s="64"/>
      <c r="V206" s="64"/>
      <c r="W206" s="64"/>
      <c r="X206" s="64"/>
      <c r="Y206" s="64"/>
      <c r="Z206" s="64"/>
    </row>
    <row r="207" ht="12.75" customHeight="1">
      <c r="A207" s="108"/>
      <c r="B207" s="64"/>
      <c r="C207" s="64"/>
      <c r="D207" s="64"/>
      <c r="E207" s="64"/>
      <c r="F207" s="63"/>
      <c r="G207" s="63"/>
      <c r="H207" s="64"/>
      <c r="I207" s="64"/>
      <c r="J207" s="64"/>
      <c r="K207" s="64"/>
      <c r="L207" s="64"/>
      <c r="M207" s="64"/>
      <c r="N207" s="64"/>
      <c r="O207" s="64"/>
      <c r="P207" s="64"/>
      <c r="Q207" s="64"/>
      <c r="R207" s="64"/>
      <c r="S207" s="64"/>
      <c r="T207" s="64"/>
      <c r="U207" s="64"/>
      <c r="V207" s="64"/>
      <c r="W207" s="64"/>
      <c r="X207" s="64"/>
      <c r="Y207" s="64"/>
      <c r="Z207" s="64"/>
    </row>
    <row r="208" ht="12.75" customHeight="1">
      <c r="A208" s="108"/>
      <c r="B208" s="64"/>
      <c r="C208" s="64"/>
      <c r="D208" s="64"/>
      <c r="E208" s="64"/>
      <c r="F208" s="63"/>
      <c r="G208" s="63"/>
      <c r="H208" s="64"/>
      <c r="I208" s="64"/>
      <c r="J208" s="64"/>
      <c r="K208" s="64"/>
      <c r="L208" s="64"/>
      <c r="M208" s="64"/>
      <c r="N208" s="64"/>
      <c r="O208" s="64"/>
      <c r="P208" s="64"/>
      <c r="Q208" s="64"/>
      <c r="R208" s="64"/>
      <c r="S208" s="64"/>
      <c r="T208" s="64"/>
      <c r="U208" s="64"/>
      <c r="V208" s="64"/>
      <c r="W208" s="64"/>
      <c r="X208" s="64"/>
      <c r="Y208" s="64"/>
      <c r="Z208" s="64"/>
    </row>
    <row r="209" ht="12.75" customHeight="1">
      <c r="A209" s="108"/>
      <c r="B209" s="64"/>
      <c r="C209" s="64"/>
      <c r="D209" s="64"/>
      <c r="E209" s="64"/>
      <c r="F209" s="63"/>
      <c r="G209" s="63"/>
      <c r="H209" s="64"/>
      <c r="I209" s="64"/>
      <c r="J209" s="64"/>
      <c r="K209" s="64"/>
      <c r="L209" s="64"/>
      <c r="M209" s="64"/>
      <c r="N209" s="64"/>
      <c r="O209" s="64"/>
      <c r="P209" s="64"/>
      <c r="Q209" s="64"/>
      <c r="R209" s="64"/>
      <c r="S209" s="64"/>
      <c r="T209" s="64"/>
      <c r="U209" s="64"/>
      <c r="V209" s="64"/>
      <c r="W209" s="64"/>
      <c r="X209" s="64"/>
      <c r="Y209" s="64"/>
      <c r="Z209" s="64"/>
    </row>
    <row r="210" ht="12.75" customHeight="1">
      <c r="A210" s="108"/>
      <c r="B210" s="64"/>
      <c r="C210" s="64"/>
      <c r="D210" s="64"/>
      <c r="E210" s="64"/>
      <c r="F210" s="63"/>
      <c r="G210" s="63"/>
      <c r="H210" s="64"/>
      <c r="I210" s="64"/>
      <c r="J210" s="64"/>
      <c r="K210" s="64"/>
      <c r="L210" s="64"/>
      <c r="M210" s="64"/>
      <c r="N210" s="64"/>
      <c r="O210" s="64"/>
      <c r="P210" s="64"/>
      <c r="Q210" s="64"/>
      <c r="R210" s="64"/>
      <c r="S210" s="64"/>
      <c r="T210" s="64"/>
      <c r="U210" s="64"/>
      <c r="V210" s="64"/>
      <c r="W210" s="64"/>
      <c r="X210" s="64"/>
      <c r="Y210" s="64"/>
      <c r="Z210" s="64"/>
    </row>
    <row r="211" ht="12.75" customHeight="1">
      <c r="A211" s="108"/>
      <c r="B211" s="64"/>
      <c r="C211" s="64"/>
      <c r="D211" s="64"/>
      <c r="E211" s="64"/>
      <c r="F211" s="63"/>
      <c r="G211" s="63"/>
      <c r="H211" s="64"/>
      <c r="I211" s="64"/>
      <c r="J211" s="64"/>
      <c r="K211" s="64"/>
      <c r="L211" s="64"/>
      <c r="M211" s="64"/>
      <c r="N211" s="64"/>
      <c r="O211" s="64"/>
      <c r="P211" s="64"/>
      <c r="Q211" s="64"/>
      <c r="R211" s="64"/>
      <c r="S211" s="64"/>
      <c r="T211" s="64"/>
      <c r="U211" s="64"/>
      <c r="V211" s="64"/>
      <c r="W211" s="64"/>
      <c r="X211" s="64"/>
      <c r="Y211" s="64"/>
      <c r="Z211" s="64"/>
    </row>
    <row r="212" ht="12.75" customHeight="1">
      <c r="A212" s="108"/>
      <c r="B212" s="64"/>
      <c r="C212" s="64"/>
      <c r="D212" s="64"/>
      <c r="E212" s="64"/>
      <c r="F212" s="63"/>
      <c r="G212" s="63"/>
      <c r="H212" s="64"/>
      <c r="I212" s="64"/>
      <c r="J212" s="64"/>
      <c r="K212" s="64"/>
      <c r="L212" s="64"/>
      <c r="M212" s="64"/>
      <c r="N212" s="64"/>
      <c r="O212" s="64"/>
      <c r="P212" s="64"/>
      <c r="Q212" s="64"/>
      <c r="R212" s="64"/>
      <c r="S212" s="64"/>
      <c r="T212" s="64"/>
      <c r="U212" s="64"/>
      <c r="V212" s="64"/>
      <c r="W212" s="64"/>
      <c r="X212" s="64"/>
      <c r="Y212" s="64"/>
      <c r="Z212" s="64"/>
    </row>
    <row r="213" ht="12.75" customHeight="1">
      <c r="A213" s="108"/>
      <c r="B213" s="64"/>
      <c r="C213" s="64"/>
      <c r="D213" s="64"/>
      <c r="E213" s="64"/>
      <c r="F213" s="63"/>
      <c r="G213" s="63"/>
      <c r="H213" s="64"/>
      <c r="I213" s="64"/>
      <c r="J213" s="64"/>
      <c r="K213" s="64"/>
      <c r="L213" s="64"/>
      <c r="M213" s="64"/>
      <c r="N213" s="64"/>
      <c r="O213" s="64"/>
      <c r="P213" s="64"/>
      <c r="Q213" s="64"/>
      <c r="R213" s="64"/>
      <c r="S213" s="64"/>
      <c r="T213" s="64"/>
      <c r="U213" s="64"/>
      <c r="V213" s="64"/>
      <c r="W213" s="64"/>
      <c r="X213" s="64"/>
      <c r="Y213" s="64"/>
      <c r="Z213" s="64"/>
    </row>
    <row r="214" ht="12.75" customHeight="1">
      <c r="A214" s="108"/>
      <c r="B214" s="64"/>
      <c r="C214" s="64"/>
      <c r="D214" s="64"/>
      <c r="E214" s="64"/>
      <c r="F214" s="63"/>
      <c r="G214" s="63"/>
      <c r="H214" s="64"/>
      <c r="I214" s="64"/>
      <c r="J214" s="64"/>
      <c r="K214" s="64"/>
      <c r="L214" s="64"/>
      <c r="M214" s="64"/>
      <c r="N214" s="64"/>
      <c r="O214" s="64"/>
      <c r="P214" s="64"/>
      <c r="Q214" s="64"/>
      <c r="R214" s="64"/>
      <c r="S214" s="64"/>
      <c r="T214" s="64"/>
      <c r="U214" s="64"/>
      <c r="V214" s="64"/>
      <c r="W214" s="64"/>
      <c r="X214" s="64"/>
      <c r="Y214" s="64"/>
      <c r="Z214" s="64"/>
    </row>
    <row r="215" ht="12.75" customHeight="1">
      <c r="A215" s="108"/>
      <c r="B215" s="64"/>
      <c r="C215" s="64"/>
      <c r="D215" s="64"/>
      <c r="E215" s="64"/>
      <c r="F215" s="63"/>
      <c r="G215" s="63"/>
      <c r="H215" s="64"/>
      <c r="I215" s="64"/>
      <c r="J215" s="64"/>
      <c r="K215" s="64"/>
      <c r="L215" s="64"/>
      <c r="M215" s="64"/>
      <c r="N215" s="64"/>
      <c r="O215" s="64"/>
      <c r="P215" s="64"/>
      <c r="Q215" s="64"/>
      <c r="R215" s="64"/>
      <c r="S215" s="64"/>
      <c r="T215" s="64"/>
      <c r="U215" s="64"/>
      <c r="V215" s="64"/>
      <c r="W215" s="64"/>
      <c r="X215" s="64"/>
      <c r="Y215" s="64"/>
      <c r="Z215" s="64"/>
    </row>
    <row r="216" ht="12.75" customHeight="1">
      <c r="A216" s="108"/>
      <c r="B216" s="64"/>
      <c r="C216" s="64"/>
      <c r="D216" s="64"/>
      <c r="E216" s="64"/>
      <c r="F216" s="63"/>
      <c r="G216" s="63"/>
      <c r="H216" s="64"/>
      <c r="I216" s="64"/>
      <c r="J216" s="64"/>
      <c r="K216" s="64"/>
      <c r="L216" s="64"/>
      <c r="M216" s="64"/>
      <c r="N216" s="64"/>
      <c r="O216" s="64"/>
      <c r="P216" s="64"/>
      <c r="Q216" s="64"/>
      <c r="R216" s="64"/>
      <c r="S216" s="64"/>
      <c r="T216" s="64"/>
      <c r="U216" s="64"/>
      <c r="V216" s="64"/>
      <c r="W216" s="64"/>
      <c r="X216" s="64"/>
      <c r="Y216" s="64"/>
      <c r="Z216" s="64"/>
    </row>
    <row r="217" ht="12.75" customHeight="1">
      <c r="A217" s="108"/>
      <c r="B217" s="64"/>
      <c r="C217" s="64"/>
      <c r="D217" s="64"/>
      <c r="E217" s="64"/>
      <c r="F217" s="63"/>
      <c r="G217" s="63"/>
      <c r="H217" s="64"/>
      <c r="I217" s="64"/>
      <c r="J217" s="64"/>
      <c r="K217" s="64"/>
      <c r="L217" s="64"/>
      <c r="M217" s="64"/>
      <c r="N217" s="64"/>
      <c r="O217" s="64"/>
      <c r="P217" s="64"/>
      <c r="Q217" s="64"/>
      <c r="R217" s="64"/>
      <c r="S217" s="64"/>
      <c r="T217" s="64"/>
      <c r="U217" s="64"/>
      <c r="V217" s="64"/>
      <c r="W217" s="64"/>
      <c r="X217" s="64"/>
      <c r="Y217" s="64"/>
      <c r="Z217" s="64"/>
    </row>
    <row r="218" ht="12.75" customHeight="1">
      <c r="A218" s="108"/>
      <c r="B218" s="64"/>
      <c r="C218" s="64"/>
      <c r="D218" s="64"/>
      <c r="E218" s="64"/>
      <c r="F218" s="63"/>
      <c r="G218" s="63"/>
      <c r="H218" s="64"/>
      <c r="I218" s="64"/>
      <c r="J218" s="64"/>
      <c r="K218" s="64"/>
      <c r="L218" s="64"/>
      <c r="M218" s="64"/>
      <c r="N218" s="64"/>
      <c r="O218" s="64"/>
      <c r="P218" s="64"/>
      <c r="Q218" s="64"/>
      <c r="R218" s="64"/>
      <c r="S218" s="64"/>
      <c r="T218" s="64"/>
      <c r="U218" s="64"/>
      <c r="V218" s="64"/>
      <c r="W218" s="64"/>
      <c r="X218" s="64"/>
      <c r="Y218" s="64"/>
      <c r="Z218" s="64"/>
    </row>
    <row r="219" ht="12.75" customHeight="1">
      <c r="A219" s="108"/>
      <c r="B219" s="64"/>
      <c r="C219" s="64"/>
      <c r="D219" s="64"/>
      <c r="E219" s="64"/>
      <c r="F219" s="63"/>
      <c r="G219" s="63"/>
      <c r="H219" s="64"/>
      <c r="I219" s="64"/>
      <c r="J219" s="64"/>
      <c r="K219" s="64"/>
      <c r="L219" s="64"/>
      <c r="M219" s="64"/>
      <c r="N219" s="64"/>
      <c r="O219" s="64"/>
      <c r="P219" s="64"/>
      <c r="Q219" s="64"/>
      <c r="R219" s="64"/>
      <c r="S219" s="64"/>
      <c r="T219" s="64"/>
      <c r="U219" s="64"/>
      <c r="V219" s="64"/>
      <c r="W219" s="64"/>
      <c r="X219" s="64"/>
      <c r="Y219" s="64"/>
      <c r="Z219" s="64"/>
    </row>
    <row r="220" ht="12.75" customHeight="1">
      <c r="A220" s="108"/>
      <c r="B220" s="64"/>
      <c r="C220" s="64"/>
      <c r="D220" s="64"/>
      <c r="E220" s="64"/>
      <c r="F220" s="63"/>
      <c r="G220" s="63"/>
      <c r="H220" s="64"/>
      <c r="I220" s="64"/>
      <c r="J220" s="64"/>
      <c r="K220" s="64"/>
      <c r="L220" s="64"/>
      <c r="M220" s="64"/>
      <c r="N220" s="64"/>
      <c r="O220" s="64"/>
      <c r="P220" s="64"/>
      <c r="Q220" s="64"/>
      <c r="R220" s="64"/>
      <c r="S220" s="64"/>
      <c r="T220" s="64"/>
      <c r="U220" s="64"/>
      <c r="V220" s="64"/>
      <c r="W220" s="64"/>
      <c r="X220" s="64"/>
      <c r="Y220" s="64"/>
      <c r="Z220" s="64"/>
    </row>
    <row r="221" ht="12.75" customHeight="1">
      <c r="A221" s="108"/>
      <c r="B221" s="64"/>
      <c r="C221" s="64"/>
      <c r="D221" s="64"/>
      <c r="E221" s="64"/>
      <c r="F221" s="63"/>
      <c r="G221" s="63"/>
      <c r="H221" s="64"/>
      <c r="I221" s="64"/>
      <c r="J221" s="64"/>
      <c r="K221" s="64"/>
      <c r="L221" s="64"/>
      <c r="M221" s="64"/>
      <c r="N221" s="64"/>
      <c r="O221" s="64"/>
      <c r="P221" s="64"/>
      <c r="Q221" s="64"/>
      <c r="R221" s="64"/>
      <c r="S221" s="64"/>
      <c r="T221" s="64"/>
      <c r="U221" s="64"/>
      <c r="V221" s="64"/>
      <c r="W221" s="64"/>
      <c r="X221" s="64"/>
      <c r="Y221" s="64"/>
      <c r="Z221" s="64"/>
    </row>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mergeCells count="10">
    <mergeCell ref="C19:D19"/>
    <mergeCell ref="C20:D20"/>
    <mergeCell ref="C21:D21"/>
    <mergeCell ref="C12:D12"/>
    <mergeCell ref="C13:D13"/>
    <mergeCell ref="C14:D14"/>
    <mergeCell ref="C15:D15"/>
    <mergeCell ref="C16:D16"/>
    <mergeCell ref="C17:D17"/>
    <mergeCell ref="C18:D18"/>
  </mergeCells>
  <conditionalFormatting sqref="C5:D8">
    <cfRule type="expression" dxfId="0" priority="1">
      <formula>$A5&lt;&gt;""</formula>
    </cfRule>
  </conditionalFormatting>
  <conditionalFormatting sqref="C5:D8">
    <cfRule type="expression" dxfId="1" priority="2">
      <formula>$A5=""</formula>
    </cfRule>
  </conditionalFormatting>
  <dataValidations>
    <dataValidation type="decimal" allowBlank="1" showErrorMessage="1" sqref="F13:F20">
      <formula1>0.0</formula1>
      <formula2>50.0</formula2>
    </dataValidation>
  </dataValidations>
  <printOptions/>
  <pageMargins bottom="0.75" footer="0.0" header="0.0" left="0.7" right="0.7" top="0.75"/>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4A3B8"/>
    <pageSetUpPr/>
  </sheetPr>
  <sheetViews>
    <sheetView showGridLines="0" workbookViewId="0"/>
  </sheetViews>
  <sheetFormatPr customHeight="1" defaultColWidth="12.63" defaultRowHeight="15.0"/>
  <cols>
    <col customWidth="1" min="1" max="1" width="16.13"/>
    <col customWidth="1" min="2" max="2" width="47.13"/>
    <col customWidth="1" min="3" max="3" width="27.38"/>
    <col customWidth="1" min="4" max="4" width="14.88"/>
    <col customWidth="1" min="5" max="5" width="24.13"/>
    <col customWidth="1" min="6" max="6" width="17.38"/>
    <col customWidth="1" min="7" max="7" width="15.0"/>
    <col customWidth="1" min="8" max="26" width="9.13"/>
  </cols>
  <sheetData>
    <row r="1" ht="12.75" customHeight="1">
      <c r="A1" s="105" t="s">
        <v>260</v>
      </c>
      <c r="B1" s="77" t="s">
        <v>166</v>
      </c>
      <c r="C1" s="78"/>
      <c r="D1" s="78"/>
      <c r="E1" s="64"/>
      <c r="F1" s="63"/>
      <c r="G1" s="63"/>
      <c r="H1" s="64"/>
      <c r="I1" s="64"/>
      <c r="J1" s="64"/>
      <c r="K1" s="64"/>
      <c r="L1" s="64"/>
      <c r="M1" s="64"/>
      <c r="N1" s="64"/>
      <c r="O1" s="64"/>
      <c r="P1" s="64"/>
      <c r="Q1" s="64"/>
      <c r="R1" s="64"/>
      <c r="S1" s="64"/>
      <c r="T1" s="64"/>
      <c r="U1" s="64"/>
      <c r="V1" s="64"/>
      <c r="W1" s="64"/>
      <c r="X1" s="64"/>
      <c r="Y1" s="64"/>
      <c r="Z1" s="64"/>
    </row>
    <row r="2" ht="12.75" customHeight="1">
      <c r="A2" s="110" t="s">
        <v>5</v>
      </c>
      <c r="B2" s="62" t="str">
        <f t="array" ref="B2">IFERROR(INDEX(Sessions!$C$2:$C$173,MATCH($B$1,Sessions!$B$2:$B$173,0))&amp;"","")</f>
        <v>Emerging Topics in Computing and Intelligent Systems</v>
      </c>
      <c r="C2" s="64"/>
      <c r="D2" s="64"/>
      <c r="E2" s="64"/>
      <c r="F2" s="63"/>
      <c r="G2" s="63"/>
      <c r="H2" s="64"/>
      <c r="I2" s="64"/>
      <c r="J2" s="64"/>
      <c r="K2" s="64"/>
      <c r="L2" s="64"/>
      <c r="M2" s="64"/>
      <c r="N2" s="64"/>
      <c r="O2" s="64"/>
      <c r="P2" s="64"/>
      <c r="Q2" s="64"/>
      <c r="R2" s="64"/>
      <c r="S2" s="64"/>
      <c r="T2" s="64"/>
      <c r="U2" s="64"/>
      <c r="V2" s="64"/>
      <c r="W2" s="64"/>
      <c r="X2" s="64"/>
      <c r="Y2" s="64"/>
      <c r="Z2" s="64"/>
    </row>
    <row r="3" ht="12.75" customHeight="1">
      <c r="A3" s="112" t="s">
        <v>704</v>
      </c>
      <c r="B3" s="86" t="str">
        <f>IF(LEFT($B$1,2)="T1",Schedule!$A$4&amp;", "&amp;Schedule!$A$10,IF(LEFT($B$1,2)="T2",Schedule!$A$4&amp;", "&amp;Schedule!$A$12,IF(LEFT($B$1,2)="T3",Schedule!$A$4&amp;", "&amp;#REF!,IF(LEFT($B$1,2)="T4",Schedule!$A$16&amp;", "&amp;Schedule!$A$18,IF($B$1="Keynote 1",Schedule!$A$4&amp;", "&amp;Schedule!$A$8,IF($B$1="Keynote 2",Schedule!$A$4&amp;", "&amp;Schedule!$A$13,IF($B$1="Keynote 3",Schedule!$A$16&amp;", "&amp;Schedule!$A$19,IF($B$1="IEEE Workshop",Schedule!$A$16&amp;", "&amp;#REF!,""))))))))</f>
        <v>Day 2, 11:00-13:00</v>
      </c>
      <c r="C3" s="80"/>
      <c r="D3" s="80"/>
      <c r="E3" s="64"/>
      <c r="F3" s="63"/>
      <c r="G3" s="63"/>
      <c r="H3" s="64"/>
      <c r="I3" s="64"/>
      <c r="J3" s="64"/>
      <c r="K3" s="64"/>
      <c r="L3" s="64"/>
      <c r="M3" s="64"/>
      <c r="N3" s="64"/>
      <c r="O3" s="64"/>
      <c r="P3" s="64"/>
      <c r="Q3" s="64"/>
      <c r="R3" s="64"/>
      <c r="S3" s="64"/>
      <c r="T3" s="64"/>
      <c r="U3" s="64"/>
      <c r="V3" s="64"/>
      <c r="W3" s="64"/>
      <c r="X3" s="64"/>
      <c r="Y3" s="64"/>
      <c r="Z3" s="64"/>
    </row>
    <row r="4" ht="12.75" customHeight="1">
      <c r="A4" s="112" t="s">
        <v>11</v>
      </c>
      <c r="B4" s="126" t="str">
        <f t="array" ref="B4">IFERROR(INDEX(Sessions!$D$2:$D$173,MATCH($B$1,Sessions!$B$2:$B$173,0))&amp;"","")</f>
        <v>https://meet.google.com/warndfcavc
</v>
      </c>
      <c r="C4" s="80"/>
      <c r="D4" s="80"/>
      <c r="E4" s="64"/>
      <c r="F4" s="63"/>
      <c r="G4" s="63"/>
      <c r="H4" s="64"/>
      <c r="I4" s="64"/>
      <c r="J4" s="64"/>
      <c r="K4" s="64"/>
      <c r="L4" s="64"/>
      <c r="M4" s="64"/>
      <c r="N4" s="64"/>
      <c r="O4" s="64"/>
      <c r="P4" s="64"/>
      <c r="Q4" s="64"/>
      <c r="R4" s="64"/>
      <c r="S4" s="64"/>
      <c r="T4" s="64"/>
      <c r="U4" s="64"/>
      <c r="V4" s="64"/>
      <c r="W4" s="64"/>
      <c r="X4" s="64"/>
      <c r="Y4" s="64"/>
      <c r="Z4" s="64"/>
    </row>
    <row r="5" ht="12.75" customHeight="1">
      <c r="A5" s="114" t="s">
        <v>725</v>
      </c>
      <c r="B5" s="86" t="str">
        <f t="array" ref="B5">IFERROR(INDEX(Chairs!$J$2:$J$359,MATCH(1,INDEX((Chairs!$K$2:$K$359=$B$1)*(Chairs!$N$2:$N$359=1),0),0)),"")</f>
        <v>Dr. Md. Ashraful Haque, PhD</v>
      </c>
      <c r="C5" s="86" t="str">
        <f t="array" ref="C5">IFERROR(INDEX(Chairs!$L$2:$L$359,MATCH(1,INDEX((Chairs!$K$2:$K$359=$B$1)*(Chairs!$N$2:$N$359=1),0),0))&amp;"","")</f>
        <v>ashraful.haque1@ulab.edu.bd</v>
      </c>
      <c r="D5" s="86" t="str">
        <f t="array" ref="D5">IFERROR(INDEX(Chairs!$M$2:$M$359,MATCH(1,INDEX((Chairs!$K$2:$K$359=$B$1)*(Chairs!$N$2:$N$359=1),0),0))&amp;"","")</f>
        <v>01675011109</v>
      </c>
      <c r="E5" s="64"/>
      <c r="F5" s="63"/>
      <c r="G5" s="63"/>
      <c r="H5" s="64"/>
      <c r="I5" s="64"/>
      <c r="J5" s="64"/>
      <c r="K5" s="64"/>
      <c r="L5" s="64"/>
      <c r="M5" s="64"/>
      <c r="N5" s="64"/>
      <c r="O5" s="64"/>
      <c r="P5" s="64"/>
      <c r="Q5" s="64"/>
      <c r="R5" s="64"/>
      <c r="S5" s="64"/>
      <c r="T5" s="64"/>
      <c r="U5" s="64"/>
      <c r="V5" s="64"/>
      <c r="W5" s="64"/>
      <c r="X5" s="64"/>
      <c r="Y5" s="64"/>
      <c r="Z5" s="64"/>
    </row>
    <row r="6" ht="12.75" customHeight="1">
      <c r="A6" s="114" t="s">
        <v>726</v>
      </c>
      <c r="B6" s="118" t="s">
        <v>735</v>
      </c>
      <c r="C6" s="8" t="s">
        <v>211</v>
      </c>
      <c r="D6" s="59" t="s">
        <v>212</v>
      </c>
      <c r="E6" s="64"/>
      <c r="F6" s="63"/>
      <c r="G6" s="63"/>
      <c r="H6" s="64"/>
      <c r="I6" s="64"/>
      <c r="J6" s="64"/>
      <c r="K6" s="64"/>
      <c r="L6" s="64"/>
      <c r="M6" s="64"/>
      <c r="N6" s="64"/>
      <c r="O6" s="64"/>
      <c r="P6" s="64"/>
      <c r="Q6" s="64"/>
      <c r="R6" s="64"/>
      <c r="S6" s="64"/>
      <c r="T6" s="64"/>
      <c r="U6" s="64"/>
      <c r="V6" s="64"/>
      <c r="W6" s="64"/>
      <c r="X6" s="64"/>
      <c r="Y6" s="64"/>
      <c r="Z6" s="64"/>
    </row>
    <row r="7" ht="12.75" customHeight="1">
      <c r="A7" s="112" t="s">
        <v>709</v>
      </c>
      <c r="B7" s="86" t="str">
        <f t="array" ref="B7">IFERROR(INDEX('Senior Faculty'!$J$2:$J$401,MATCH(1,INDEX(('Senior Faculty'!$K$2:$K$401=$B$1)*('Senior Faculty'!$N$2:$N$401=1),0),0)),"")</f>
        <v>Jannatul Ferdous Ruma</v>
      </c>
      <c r="C7" s="86" t="str">
        <f t="array" ref="C7">IFERROR(INDEX('Senior Faculty'!$L$2:$L$401,MATCH(1,INDEX(('Senior Faculty'!$K$2:$K$401=$B$1)*('Senior Faculty'!$N$2:$N$401=1),0),0))&amp;"","")</f>
        <v>jannatul.ferdous1@ulab.edu.bd</v>
      </c>
      <c r="D7" s="86" t="str">
        <f t="array" ref="D7">IFERROR(INDEX('Senior Faculty'!$M$2:$M$401,MATCH(1,INDEX(('Senior Faculty'!$K$2:$K$401=$B$1)*('Senior Faculty'!$N$2:$N$401=1),0),0))&amp;"","")</f>
        <v>01710954167</v>
      </c>
      <c r="E7" s="64"/>
      <c r="F7" s="63"/>
      <c r="G7" s="63"/>
      <c r="H7" s="64"/>
      <c r="I7" s="64"/>
      <c r="J7" s="64"/>
      <c r="K7" s="64"/>
      <c r="L7" s="64"/>
      <c r="M7" s="64"/>
      <c r="N7" s="64"/>
      <c r="O7" s="64"/>
      <c r="P7" s="64"/>
      <c r="Q7" s="64"/>
      <c r="R7" s="64"/>
      <c r="S7" s="64"/>
      <c r="T7" s="64"/>
      <c r="U7" s="64"/>
      <c r="V7" s="64"/>
      <c r="W7" s="64"/>
      <c r="X7" s="64"/>
      <c r="Y7" s="64"/>
      <c r="Z7" s="64"/>
    </row>
    <row r="8" ht="12.75" customHeight="1">
      <c r="A8" s="112" t="s">
        <v>713</v>
      </c>
      <c r="B8" s="118" t="s">
        <v>216</v>
      </c>
      <c r="C8" s="8" t="s">
        <v>217</v>
      </c>
      <c r="D8" s="127" t="s">
        <v>218</v>
      </c>
      <c r="E8" s="64"/>
      <c r="F8" s="63"/>
      <c r="G8" s="63"/>
      <c r="H8" s="64"/>
      <c r="I8" s="64"/>
      <c r="J8" s="64"/>
      <c r="K8" s="64"/>
      <c r="L8" s="64"/>
      <c r="M8" s="64"/>
      <c r="N8" s="64"/>
      <c r="O8" s="64"/>
      <c r="P8" s="64"/>
      <c r="Q8" s="64"/>
      <c r="R8" s="64"/>
      <c r="S8" s="64"/>
      <c r="T8" s="64"/>
      <c r="U8" s="64"/>
      <c r="V8" s="64"/>
      <c r="W8" s="64"/>
      <c r="X8" s="64"/>
      <c r="Y8" s="64"/>
      <c r="Z8" s="64"/>
    </row>
    <row r="9" ht="12.75" customHeight="1">
      <c r="A9" s="119" t="s">
        <v>714</v>
      </c>
      <c r="B9" s="95" t="str">
        <f t="array" ref="B9">IFERROR(INDEX('Junior Faculty'!$J$2:$J$401,MATCH(1,INDEX(('Junior Faculty'!$K$2:$K$401=$B$1)*('Junior Faculty'!$N$2:$N$401=2),0),0)),"")</f>
        <v/>
      </c>
      <c r="C9" s="95" t="str">
        <f t="array" ref="C9">IFERROR(INDEX('Junior Faculty'!$L$2:$L$401,MATCH(1,INDEX(('Junior Faculty'!$K$2:$K$401=$B$1)*('Junior Faculty'!$N$2:$N$401=2),0),0))&amp;"","")</f>
        <v/>
      </c>
      <c r="D9" s="95" t="str">
        <f t="array" ref="D9">IFERROR(INDEX('Junior Faculty'!$M$2:$M$401,MATCH(1,INDEX(('Junior Faculty'!$K$2:$K$401=$B$1)*('Junior Faculty'!$N$2:$N$401=2),0),0))&amp;"","")</f>
        <v/>
      </c>
      <c r="E9" s="64"/>
      <c r="F9" s="63"/>
      <c r="G9" s="63"/>
      <c r="H9" s="64"/>
      <c r="I9" s="64"/>
      <c r="J9" s="64"/>
      <c r="K9" s="64"/>
      <c r="L9" s="64"/>
      <c r="M9" s="64"/>
      <c r="N9" s="64"/>
      <c r="O9" s="64"/>
      <c r="P9" s="64"/>
      <c r="Q9" s="64"/>
      <c r="R9" s="64"/>
      <c r="S9" s="64"/>
      <c r="T9" s="64"/>
      <c r="U9" s="64"/>
      <c r="V9" s="64"/>
      <c r="W9" s="64"/>
      <c r="X9" s="64"/>
      <c r="Y9" s="64"/>
      <c r="Z9" s="64"/>
    </row>
    <row r="10" ht="12.75" customHeight="1">
      <c r="A10" s="108"/>
      <c r="B10" s="64"/>
      <c r="C10" s="64"/>
      <c r="D10" s="64"/>
      <c r="E10" s="64"/>
      <c r="F10" s="63"/>
      <c r="G10" s="63"/>
      <c r="H10" s="64"/>
      <c r="I10" s="64"/>
      <c r="J10" s="64"/>
      <c r="K10" s="64"/>
      <c r="L10" s="64"/>
      <c r="M10" s="64"/>
      <c r="N10" s="64"/>
      <c r="O10" s="64"/>
      <c r="P10" s="64"/>
      <c r="Q10" s="64"/>
      <c r="R10" s="64"/>
      <c r="S10" s="64"/>
      <c r="T10" s="64"/>
      <c r="U10" s="64"/>
      <c r="V10" s="64"/>
      <c r="W10" s="64"/>
      <c r="X10" s="64"/>
      <c r="Y10" s="64"/>
      <c r="Z10" s="64"/>
    </row>
    <row r="11" ht="12.75" customHeight="1">
      <c r="A11" s="121" t="s">
        <v>727</v>
      </c>
      <c r="B11" s="86"/>
      <c r="C11" s="86"/>
      <c r="D11" s="86"/>
      <c r="E11" s="64"/>
      <c r="F11" s="63"/>
      <c r="G11" s="63"/>
      <c r="H11" s="64"/>
      <c r="I11" s="64"/>
      <c r="J11" s="64"/>
      <c r="K11" s="64"/>
      <c r="L11" s="64"/>
      <c r="M11" s="64"/>
      <c r="N11" s="64"/>
      <c r="O11" s="64"/>
      <c r="P11" s="64"/>
      <c r="Q11" s="64"/>
      <c r="R11" s="64"/>
      <c r="S11" s="64"/>
      <c r="T11" s="64"/>
      <c r="U11" s="64"/>
      <c r="V11" s="64"/>
      <c r="W11" s="64"/>
      <c r="X11" s="64"/>
      <c r="Y11" s="64"/>
      <c r="Z11" s="64"/>
    </row>
    <row r="12" ht="15.0" customHeight="1">
      <c r="A12" s="122" t="s">
        <v>174</v>
      </c>
      <c r="B12" s="122" t="s">
        <v>256</v>
      </c>
      <c r="C12" s="123" t="s">
        <v>257</v>
      </c>
      <c r="D12" s="124"/>
      <c r="E12" s="61" t="s">
        <v>258</v>
      </c>
      <c r="F12" s="60" t="s">
        <v>265</v>
      </c>
      <c r="G12" s="64"/>
      <c r="H12" s="64"/>
      <c r="I12" s="64"/>
      <c r="J12" s="64"/>
      <c r="K12" s="64"/>
      <c r="L12" s="64"/>
      <c r="M12" s="64"/>
      <c r="N12" s="64"/>
      <c r="O12" s="64"/>
      <c r="P12" s="64"/>
      <c r="Q12" s="64"/>
      <c r="R12" s="64"/>
      <c r="S12" s="64"/>
      <c r="T12" s="64"/>
      <c r="U12" s="64"/>
      <c r="V12" s="64"/>
      <c r="W12" s="64"/>
      <c r="X12" s="64"/>
      <c r="Y12" s="64"/>
      <c r="Z12" s="64"/>
    </row>
    <row r="13" ht="12.75" customHeight="1">
      <c r="A13" s="113">
        <f t="array" ref="A13">IFERROR(INDEX(Papers!$A$2:$A$201,MATCH(1,INDEX((Papers!$G$2:$G$201=$B$1)*(Papers!$I$2:$I$201=1),0),0)),"")</f>
        <v>79</v>
      </c>
      <c r="B13" s="113" t="str">
        <f t="array" ref="B13">IFERROR(INDEX(Papers!$C$2:$C$201,MATCH(1,INDEX((Papers!$G$2:$G$201=$B$1)*(Papers!$I$2:$I$201=1),0),0)),"")</f>
        <v>Dual-Input ConvNeXt with Spatial Cross-Attention for Colonoscopy Mayo Scoring</v>
      </c>
      <c r="C13" s="113" t="str">
        <f t="array" ref="C13">IFERROR(INDEX(Papers!$D$2:$D$201,MATCH(1,INDEX((Papers!$G$2:$G$201=$B$1)*(Papers!$I$2:$I$201=1),0),0)),"")</f>
        <v>Md. Mamun  Hossain ( 	Khwaja Yunus Ali University); Md.Abu  Raihan ( 	Khwaja Yunus Ali University); Jarziz  Ahmed ( 	Khwaja Yunus Ali University); F M Javed Mehedi Shamrat (Khwaja Yunus Ali University)*; Md. Asraf  Ali (Khwaja Yunus Ali University)</v>
      </c>
      <c r="D13" s="125"/>
      <c r="E13" s="86" t="str">
        <f t="array" ref="E13">IFERROR(INDEX(Papers!$E$2:$E$201,MATCH(1,INDEX((Papers!$G$2:$G$201=$B$1)*(Papers!$I$2:$I$201=1),0),0)),"")</f>
        <v>muhammed.mamun.131@gmail.com; raihan.cse@kyau.edu.bd; jarzizcse13th.kyau@gmail.com; shamrat.cse@kyau.edu.bd; asrafali@kyau.edu.bd</v>
      </c>
      <c r="F13" s="67"/>
      <c r="G13" s="64"/>
      <c r="H13" s="64"/>
      <c r="I13" s="64"/>
      <c r="J13" s="64"/>
      <c r="K13" s="64"/>
      <c r="L13" s="64"/>
      <c r="M13" s="64"/>
      <c r="N13" s="64"/>
      <c r="O13" s="64"/>
      <c r="P13" s="64"/>
      <c r="Q13" s="64"/>
      <c r="R13" s="64"/>
      <c r="S13" s="64"/>
      <c r="T13" s="64"/>
      <c r="U13" s="64"/>
      <c r="V13" s="64"/>
      <c r="W13" s="64"/>
      <c r="X13" s="64"/>
      <c r="Y13" s="64"/>
      <c r="Z13" s="64"/>
    </row>
    <row r="14" ht="12.75" customHeight="1">
      <c r="A14" s="113">
        <f t="array" ref="A14">IFERROR(INDEX(Papers!$A$2:$A$201,MATCH(1,INDEX((Papers!$G$2:$G$201=$B$1)*(Papers!$I$2:$I$201=2),0),0)),"")</f>
        <v>135</v>
      </c>
      <c r="B14" s="113" t="str">
        <f t="array" ref="B14">IFERROR(INDEX(Papers!$C$2:$C$201,MATCH(1,INDEX((Papers!$G$2:$G$201=$B$1)*(Papers!$I$2:$I$201=2),0),0)),"")</f>
        <v>FairHireATS: An Intersectional Bias Detection and Mitigation Framework for Automated Resume Screening</v>
      </c>
      <c r="C14" s="113" t="str">
        <f t="array" ref="C14">IFERROR(INDEX(Papers!$D$2:$D$201,MATCH(1,INDEX((Papers!$G$2:$G$201=$B$1)*(Papers!$I$2:$I$201=2),0),0)),"")</f>
        <v>Fahmida Salma (Sylhet Engineering College)*; Fariha Zarin (Sylhet Engineering College); Zarin Chowdhury (Sylhet Engineering College); Md. Lysuzzaman (Sylhet Engineering College)</v>
      </c>
      <c r="D14" s="125"/>
      <c r="E14" s="86" t="str">
        <f t="array" ref="E14">IFERROR(INDEX(Papers!$E$2:$E$201,MATCH(1,INDEX((Papers!$G$2:$G$201=$B$1)*(Papers!$I$2:$I$201=2),0),0)),"")</f>
        <v>fahmidasalma071@sec.ac.bd; farihazrn@sec.ac.bd; ztasnim263@sec.ac.bd; l.zaman.cse@sec.ac.bd</v>
      </c>
      <c r="F14" s="67"/>
      <c r="G14" s="64"/>
      <c r="H14" s="64"/>
      <c r="I14" s="64"/>
      <c r="J14" s="64"/>
      <c r="K14" s="64"/>
      <c r="L14" s="64"/>
      <c r="M14" s="64"/>
      <c r="N14" s="64"/>
      <c r="O14" s="64"/>
      <c r="P14" s="64"/>
      <c r="Q14" s="64"/>
      <c r="R14" s="64"/>
      <c r="S14" s="64"/>
      <c r="T14" s="64"/>
      <c r="U14" s="64"/>
      <c r="V14" s="64"/>
      <c r="W14" s="64"/>
      <c r="X14" s="64"/>
      <c r="Y14" s="64"/>
      <c r="Z14" s="64"/>
    </row>
    <row r="15" ht="12.75" customHeight="1">
      <c r="A15" s="113">
        <f t="array" ref="A15">IFERROR(INDEX(Papers!$A$2:$A$201,MATCH(1,INDEX((Papers!$G$2:$G$201=$B$1)*(Papers!$I$2:$I$201=3),0),0)),"")</f>
        <v>166</v>
      </c>
      <c r="B15" s="113" t="str">
        <f t="array" ref="B15">IFERROR(INDEX(Papers!$C$2:$C$201,MATCH(1,INDEX((Papers!$G$2:$G$201=$B$1)*(Papers!$I$2:$I$201=3),0),0)),"")</f>
        <v>Explainable Machine Learning and Country-Level Trade Segmentation for Global Electric Vehicle Trade</v>
      </c>
      <c r="C15" s="113" t="str">
        <f t="array" ref="C15">IFERROR(INDEX(Papers!$D$2:$D$201,MATCH(1,INDEX((Papers!$G$2:$G$201=$B$1)*(Papers!$I$2:$I$201=3),0),0)),"")</f>
        <v>Tashida Yeasmin (Atish Dipankar University of Science &amp; Technology)*; Ismot Ara (Atish Dipankar University of Science &amp; Technology)</v>
      </c>
      <c r="D15" s="125"/>
      <c r="E15" s="86" t="str">
        <f t="array" ref="E15">IFERROR(INDEX(Papers!$E$2:$E$201,MATCH(1,INDEX((Papers!$G$2:$G$201=$B$1)*(Papers!$I$2:$I$201=3),0),0)),"")</f>
        <v>tashida@adust.edu.bd; ismot.ara@adust.edu.bd</v>
      </c>
      <c r="F15" s="67"/>
      <c r="G15" s="64"/>
      <c r="H15" s="64"/>
      <c r="I15" s="64"/>
      <c r="J15" s="64"/>
      <c r="K15" s="64"/>
      <c r="L15" s="64"/>
      <c r="M15" s="64"/>
      <c r="N15" s="64"/>
      <c r="O15" s="64"/>
      <c r="P15" s="64"/>
      <c r="Q15" s="64"/>
      <c r="R15" s="64"/>
      <c r="S15" s="64"/>
      <c r="T15" s="64"/>
      <c r="U15" s="64"/>
      <c r="V15" s="64"/>
      <c r="W15" s="64"/>
      <c r="X15" s="64"/>
      <c r="Y15" s="64"/>
      <c r="Z15" s="64"/>
    </row>
    <row r="16" ht="12.75" customHeight="1">
      <c r="A16" s="113">
        <f t="array" ref="A16">IFERROR(INDEX(Papers!$A$2:$A$201,MATCH(1,INDEX((Papers!$G$2:$G$201=$B$1)*(Papers!$I$2:$I$201=4),0),0)),"")</f>
        <v>167</v>
      </c>
      <c r="B16" s="113" t="str">
        <f t="array" ref="B16">IFERROR(INDEX(Papers!$C$2:$C$201,MATCH(1,INDEX((Papers!$G$2:$G$201=$B$1)*(Papers!$I$2:$I$201=4),0),0)),"")</f>
        <v>Linux Malware Detection using API Call Graphs with Graph2Vec and GraphSAGE Model</v>
      </c>
      <c r="C16" s="113" t="str">
        <f t="array" ref="C16">IFERROR(INDEX(Papers!$D$2:$D$201,MATCH(1,INDEX((Papers!$G$2:$G$201=$B$1)*(Papers!$I$2:$I$201=4),0),0)),"")</f>
        <v>Sadman  Chowdhury (Daffodil International University); Mohammad Sarwar Hossain Mollah (Daffodil International University)*; MD. RUHUL  KUDDUS  (Daffodil International University); Rakibul Hasan Nirob (Daffodil International University); Sanjana Noor  Disha (Daffodil International University)</v>
      </c>
      <c r="D16" s="125"/>
      <c r="E16" s="86" t="str">
        <f t="array" ref="E16">IFERROR(INDEX(Papers!$E$2:$E$201,MATCH(1,INDEX((Papers!$G$2:$G$201=$B$1)*(Papers!$I$2:$I$201=4),0),0)),"")</f>
        <v>chowdhury16-662@s.diu.edu.bd; headcis@daffodilvarsity.edu.bd; ruhul16-555@diu.edu.bd; nirob16-615@diu.edu.bd; disha2312091002@diu.edu.bd</v>
      </c>
      <c r="F16" s="67"/>
      <c r="G16" s="64"/>
      <c r="H16" s="64"/>
      <c r="I16" s="64"/>
      <c r="J16" s="64"/>
      <c r="K16" s="64"/>
      <c r="L16" s="64"/>
      <c r="M16" s="64"/>
      <c r="N16" s="64"/>
      <c r="O16" s="64"/>
      <c r="P16" s="64"/>
      <c r="Q16" s="64"/>
      <c r="R16" s="64"/>
      <c r="S16" s="64"/>
      <c r="T16" s="64"/>
      <c r="U16" s="64"/>
      <c r="V16" s="64"/>
      <c r="W16" s="64"/>
      <c r="X16" s="64"/>
      <c r="Y16" s="64"/>
      <c r="Z16" s="64"/>
    </row>
    <row r="17" ht="12.75" customHeight="1">
      <c r="A17" s="113">
        <f t="array" ref="A17">IFERROR(INDEX(Papers!$A$2:$A$201,MATCH(1,INDEX((Papers!$G$2:$G$201=$B$1)*(Papers!$I$2:$I$201=5),0),0)),"")</f>
        <v>354</v>
      </c>
      <c r="B17" s="113" t="str">
        <f t="array" ref="B17">IFERROR(INDEX(Papers!$C$2:$C$201,MATCH(1,INDEX((Papers!$G$2:$G$201=$B$1)*(Papers!$I$2:$I$201=5),0),0)),"")</f>
        <v>Integrated Machine Learning and Deep Learning Pipeline for Discovering Diagnostic and Prognostic Biomarkers of Colon Cancer</v>
      </c>
      <c r="C17" s="113" t="str">
        <f t="array" ref="C17">IFERROR(INDEX(Papers!$D$2:$D$201,MATCH(1,INDEX((Papers!$G$2:$G$201=$B$1)*(Papers!$I$2:$I$201=5),0),0)),"")</f>
        <v>Mst. Moriam Khatun Mim (Green University of Bangladesh); Md. Sakhawat Hossain Rabbi (Green University of Bangladesh); Susmita Paul Tisha (Green University of Bangladesh); Mahenoor Akhter (Green University of Bangladesh); Wahia Tasnim (Green University of Bangladesh); Humayan Kabir Rana (Green University of Bangladesh)*</v>
      </c>
      <c r="D17" s="125"/>
      <c r="E17" s="86" t="str">
        <f t="array" ref="E17">IFERROR(INDEX(Papers!$E$2:$E$201,MATCH(1,INDEX((Papers!$G$2:$G$201=$B$1)*(Papers!$I$2:$I$201=5),0),0)),"")</f>
        <v>mimmariam89766@gmail.com; rabbi.201002311@green.ac.bd; scpaultisha20@gmail.com; mahinoorakther136@gmail.com; wahia@ads.green.edu.bd; humayan@cse.green.edu.bd</v>
      </c>
      <c r="F17" s="67"/>
      <c r="G17" s="64"/>
      <c r="H17" s="64"/>
      <c r="I17" s="64"/>
      <c r="J17" s="64"/>
      <c r="K17" s="64"/>
      <c r="L17" s="64"/>
      <c r="M17" s="64"/>
      <c r="N17" s="64"/>
      <c r="O17" s="64"/>
      <c r="P17" s="64"/>
      <c r="Q17" s="64"/>
      <c r="R17" s="64"/>
      <c r="S17" s="64"/>
      <c r="T17" s="64"/>
      <c r="U17" s="64"/>
      <c r="V17" s="64"/>
      <c r="W17" s="64"/>
      <c r="X17" s="64"/>
      <c r="Y17" s="64"/>
      <c r="Z17" s="64"/>
    </row>
    <row r="18" ht="12.75" customHeight="1">
      <c r="A18" s="113">
        <f t="array" ref="A18">IFERROR(INDEX(Papers!$A$2:$A$201,MATCH(1,INDEX((Papers!$G$2:$G$201=$B$1)*(Papers!$I$2:$I$201=6),0),0)),"")</f>
        <v>373</v>
      </c>
      <c r="B18" s="113" t="str">
        <f t="array" ref="B18">IFERROR(INDEX(Papers!$C$2:$C$201,MATCH(1,INDEX((Papers!$G$2:$G$201=$B$1)*(Papers!$I$2:$I$201=6),0),0)),"")</f>
        <v>A Zero-Initialized Residual MLP Head for Lung Cancer CT Scan Image Classification: A Comparative Study using five CNN Backbones</v>
      </c>
      <c r="C18" s="113" t="str">
        <f t="array" ref="C18">IFERROR(INDEX(Papers!$D$2:$D$201,MATCH(1,INDEX((Papers!$G$2:$G$201=$B$1)*(Papers!$I$2:$I$201=6),0),0)),"")</f>
        <v>Md. Ahsan Ullah (University of Liberal Arts Bangladesh)*; Lasker Ershad Ali (Khulna University); Atanu Shuvam Roy (University of Liberal Arts Bangladesh); T. M. A. K. Azad (University of Liberal Arts Bangladesh); Arnab Mukherjee (International University of Business Agriculture and Technology); G. M.  Mamun-Al-Imran (Khulna University)</v>
      </c>
      <c r="D18" s="125"/>
      <c r="E18" s="86" t="str">
        <f t="array" ref="E18">IFERROR(INDEX(Papers!$E$2:$E$201,MATCH(1,INDEX((Papers!$G$2:$G$201=$B$1)*(Papers!$I$2:$I$201=6),0),0)),"")</f>
        <v>ahsan.ullah@ulab.edu.bd; ershad@math.ku.ac.bd; atanu.shuvam@ulab.edu.bd; abul.kalam@ulab.edu.bd; arnab.math@iubat.edu; mamun.imran@math.ku.ac.bd</v>
      </c>
      <c r="F18" s="67"/>
      <c r="G18" s="64"/>
      <c r="H18" s="64"/>
      <c r="I18" s="64"/>
      <c r="J18" s="64"/>
      <c r="K18" s="64"/>
      <c r="L18" s="64"/>
      <c r="M18" s="64"/>
      <c r="N18" s="64"/>
      <c r="O18" s="64"/>
      <c r="P18" s="64"/>
      <c r="Q18" s="64"/>
      <c r="R18" s="64"/>
      <c r="S18" s="64"/>
      <c r="T18" s="64"/>
      <c r="U18" s="64"/>
      <c r="V18" s="64"/>
      <c r="W18" s="64"/>
      <c r="X18" s="64"/>
      <c r="Y18" s="64"/>
      <c r="Z18" s="64"/>
    </row>
    <row r="19" ht="12.75" customHeight="1">
      <c r="A19" s="113" t="str">
        <f t="array" ref="A19">IFERROR(INDEX(Papers!$A$2:$A$201,MATCH(1,INDEX((Papers!$G$2:$G$201=$B$1)*(Papers!$I$2:$I$201=7),0),0)),"")</f>
        <v/>
      </c>
      <c r="B19" s="113" t="str">
        <f t="array" ref="B19">IFERROR(INDEX(Papers!$C$2:$C$201,MATCH(1,INDEX((Papers!$G$2:$G$201=$B$1)*(Papers!$I$2:$I$201=7),0),0)),"")</f>
        <v/>
      </c>
      <c r="C19" s="113" t="str">
        <f t="array" ref="C19">IFERROR(INDEX(Papers!$D$2:$D$201,MATCH(1,INDEX((Papers!$G$2:$G$201=$B$1)*(Papers!$I$2:$I$201=7),0),0)),"")</f>
        <v/>
      </c>
      <c r="D19" s="125"/>
      <c r="E19" s="86" t="str">
        <f t="array" ref="E19">IFERROR(INDEX(Papers!$E$2:$E$201,MATCH(1,INDEX((Papers!$G$2:$G$201=$B$1)*(Papers!$I$2:$I$201=7),0),0)),"")</f>
        <v/>
      </c>
      <c r="F19" s="67"/>
      <c r="G19" s="64"/>
      <c r="H19" s="64"/>
      <c r="I19" s="64"/>
      <c r="J19" s="64"/>
      <c r="K19" s="64"/>
      <c r="L19" s="64"/>
      <c r="M19" s="64"/>
      <c r="N19" s="64"/>
      <c r="O19" s="64"/>
      <c r="P19" s="64"/>
      <c r="Q19" s="64"/>
      <c r="R19" s="64"/>
      <c r="S19" s="64"/>
      <c r="T19" s="64"/>
      <c r="U19" s="64"/>
      <c r="V19" s="64"/>
      <c r="W19" s="64"/>
      <c r="X19" s="64"/>
      <c r="Y19" s="64"/>
      <c r="Z19" s="64"/>
    </row>
    <row r="20" ht="12.75" customHeight="1">
      <c r="A20" s="113" t="str">
        <f t="array" ref="A20">IFERROR(INDEX(Papers!$A$2:$A$201,MATCH(1,INDEX((Papers!$G$2:$G$201=$B$1)*(Papers!$I$2:$I$201=8),0),0)),"")</f>
        <v/>
      </c>
      <c r="B20" s="113" t="str">
        <f t="array" ref="B20">IFERROR(INDEX(Papers!$C$2:$C$201,MATCH(1,INDEX((Papers!$G$2:$G$201=$B$1)*(Papers!$I$2:$I$201=8),0),0)),"")</f>
        <v/>
      </c>
      <c r="C20" s="113" t="str">
        <f t="array" ref="C20">IFERROR(INDEX(Papers!$D$2:$D$201,MATCH(1,INDEX((Papers!$G$2:$G$201=$B$1)*(Papers!$I$2:$I$201=8),0),0)),"")</f>
        <v/>
      </c>
      <c r="D20" s="125"/>
      <c r="E20" s="86" t="str">
        <f t="array" ref="E20">IFERROR(INDEX(Papers!$E$2:$E$201,MATCH(1,INDEX((Papers!$G$2:$G$201=$B$1)*(Papers!$I$2:$I$201=8),0),0)),"")</f>
        <v/>
      </c>
      <c r="F20" s="67"/>
      <c r="G20" s="64"/>
      <c r="H20" s="64"/>
      <c r="I20" s="64"/>
      <c r="J20" s="64"/>
      <c r="K20" s="64"/>
      <c r="L20" s="64"/>
      <c r="M20" s="64"/>
      <c r="N20" s="64"/>
      <c r="O20" s="64"/>
      <c r="P20" s="64"/>
      <c r="Q20" s="64"/>
      <c r="R20" s="64"/>
      <c r="S20" s="64"/>
      <c r="T20" s="64"/>
      <c r="U20" s="64"/>
      <c r="V20" s="64"/>
      <c r="W20" s="64"/>
      <c r="X20" s="64"/>
      <c r="Y20" s="64"/>
      <c r="Z20" s="64"/>
    </row>
    <row r="21" ht="12.75" customHeight="1">
      <c r="A21" s="108"/>
      <c r="B21" s="64"/>
      <c r="C21" s="64"/>
      <c r="E21" s="64"/>
      <c r="F21" s="63"/>
      <c r="G21" s="64"/>
      <c r="H21" s="64"/>
      <c r="I21" s="64"/>
      <c r="J21" s="64"/>
      <c r="K21" s="64"/>
      <c r="L21" s="64"/>
      <c r="M21" s="64"/>
      <c r="N21" s="64"/>
      <c r="O21" s="64"/>
      <c r="P21" s="64"/>
      <c r="Q21" s="64"/>
      <c r="R21" s="64"/>
      <c r="S21" s="64"/>
      <c r="T21" s="64"/>
      <c r="U21" s="64"/>
      <c r="V21" s="64"/>
      <c r="W21" s="64"/>
      <c r="X21" s="64"/>
      <c r="Y21" s="64"/>
      <c r="Z21" s="64"/>
    </row>
    <row r="22" ht="12.75" customHeight="1">
      <c r="A22" s="108"/>
      <c r="B22" s="64"/>
      <c r="C22" s="64"/>
      <c r="D22" s="64"/>
      <c r="E22" s="64"/>
      <c r="F22" s="63"/>
      <c r="G22" s="63"/>
      <c r="H22" s="64"/>
      <c r="I22" s="64"/>
      <c r="J22" s="64"/>
      <c r="K22" s="64"/>
      <c r="L22" s="64"/>
      <c r="M22" s="64"/>
      <c r="N22" s="64"/>
      <c r="O22" s="64"/>
      <c r="P22" s="64"/>
      <c r="Q22" s="64"/>
      <c r="R22" s="64"/>
      <c r="S22" s="64"/>
      <c r="T22" s="64"/>
      <c r="U22" s="64"/>
      <c r="V22" s="64"/>
      <c r="W22" s="64"/>
      <c r="X22" s="64"/>
      <c r="Y22" s="64"/>
      <c r="Z22" s="64"/>
    </row>
    <row r="23" ht="12.75" customHeight="1">
      <c r="A23" s="108"/>
      <c r="B23" s="64"/>
      <c r="C23" s="64"/>
      <c r="D23" s="64"/>
      <c r="E23" s="64"/>
      <c r="F23" s="63"/>
      <c r="G23" s="63"/>
      <c r="H23" s="64"/>
      <c r="I23" s="64"/>
      <c r="J23" s="64"/>
      <c r="K23" s="64"/>
      <c r="L23" s="64"/>
      <c r="M23" s="64"/>
      <c r="N23" s="64"/>
      <c r="O23" s="64"/>
      <c r="P23" s="64"/>
      <c r="Q23" s="64"/>
      <c r="R23" s="64"/>
      <c r="S23" s="64"/>
      <c r="T23" s="64"/>
      <c r="U23" s="64"/>
      <c r="V23" s="64"/>
      <c r="W23" s="64"/>
      <c r="X23" s="64"/>
      <c r="Y23" s="64"/>
      <c r="Z23" s="64"/>
    </row>
    <row r="24" ht="12.75" customHeight="1">
      <c r="A24" s="108"/>
      <c r="B24" s="64"/>
      <c r="C24" s="64"/>
      <c r="D24" s="64"/>
      <c r="E24" s="64"/>
      <c r="F24" s="63"/>
      <c r="G24" s="63"/>
      <c r="H24" s="64"/>
      <c r="I24" s="64"/>
      <c r="J24" s="64"/>
      <c r="K24" s="64"/>
      <c r="L24" s="64"/>
      <c r="M24" s="64"/>
      <c r="N24" s="64"/>
      <c r="O24" s="64"/>
      <c r="P24" s="64"/>
      <c r="Q24" s="64"/>
      <c r="R24" s="64"/>
      <c r="S24" s="64"/>
      <c r="T24" s="64"/>
      <c r="U24" s="64"/>
      <c r="V24" s="64"/>
      <c r="W24" s="64"/>
      <c r="X24" s="64"/>
      <c r="Y24" s="64"/>
      <c r="Z24" s="64"/>
    </row>
    <row r="25" ht="12.75" customHeight="1">
      <c r="A25" s="108"/>
      <c r="B25" s="64"/>
      <c r="C25" s="64"/>
      <c r="D25" s="64"/>
      <c r="E25" s="64"/>
      <c r="F25" s="63"/>
      <c r="G25" s="63"/>
      <c r="H25" s="64"/>
      <c r="I25" s="64"/>
      <c r="J25" s="64"/>
      <c r="K25" s="64"/>
      <c r="L25" s="64"/>
      <c r="M25" s="64"/>
      <c r="N25" s="64"/>
      <c r="O25" s="64"/>
      <c r="P25" s="64"/>
      <c r="Q25" s="64"/>
      <c r="R25" s="64"/>
      <c r="S25" s="64"/>
      <c r="T25" s="64"/>
      <c r="U25" s="64"/>
      <c r="V25" s="64"/>
      <c r="W25" s="64"/>
      <c r="X25" s="64"/>
      <c r="Y25" s="64"/>
      <c r="Z25" s="64"/>
    </row>
    <row r="26" ht="12.75" customHeight="1">
      <c r="A26" s="108"/>
      <c r="B26" s="64"/>
      <c r="C26" s="64"/>
      <c r="D26" s="64"/>
      <c r="E26" s="64"/>
      <c r="F26" s="63"/>
      <c r="G26" s="63"/>
      <c r="H26" s="64"/>
      <c r="I26" s="64"/>
      <c r="J26" s="64"/>
      <c r="K26" s="64"/>
      <c r="L26" s="64"/>
      <c r="M26" s="64"/>
      <c r="N26" s="64"/>
      <c r="O26" s="64"/>
      <c r="P26" s="64"/>
      <c r="Q26" s="64"/>
      <c r="R26" s="64"/>
      <c r="S26" s="64"/>
      <c r="T26" s="64"/>
      <c r="U26" s="64"/>
      <c r="V26" s="64"/>
      <c r="W26" s="64"/>
      <c r="X26" s="64"/>
      <c r="Y26" s="64"/>
      <c r="Z26" s="64"/>
    </row>
    <row r="27" ht="12.75" customHeight="1">
      <c r="A27" s="108"/>
      <c r="B27" s="64"/>
      <c r="C27" s="64"/>
      <c r="D27" s="64"/>
      <c r="E27" s="64"/>
      <c r="F27" s="63"/>
      <c r="G27" s="63"/>
      <c r="H27" s="64"/>
      <c r="I27" s="64"/>
      <c r="J27" s="64"/>
      <c r="K27" s="64"/>
      <c r="L27" s="64"/>
      <c r="M27" s="64"/>
      <c r="N27" s="64"/>
      <c r="O27" s="64"/>
      <c r="P27" s="64"/>
      <c r="Q27" s="64"/>
      <c r="R27" s="64"/>
      <c r="S27" s="64"/>
      <c r="T27" s="64"/>
      <c r="U27" s="64"/>
      <c r="V27" s="64"/>
      <c r="W27" s="64"/>
      <c r="X27" s="64"/>
      <c r="Y27" s="64"/>
      <c r="Z27" s="64"/>
    </row>
    <row r="28" ht="12.75" customHeight="1">
      <c r="A28" s="108"/>
      <c r="B28" s="64"/>
      <c r="C28" s="64"/>
      <c r="D28" s="64"/>
      <c r="E28" s="64"/>
      <c r="F28" s="63"/>
      <c r="G28" s="63"/>
      <c r="H28" s="64"/>
      <c r="I28" s="64"/>
      <c r="J28" s="64"/>
      <c r="K28" s="64"/>
      <c r="L28" s="64"/>
      <c r="M28" s="64"/>
      <c r="N28" s="64"/>
      <c r="O28" s="64"/>
      <c r="P28" s="64"/>
      <c r="Q28" s="64"/>
      <c r="R28" s="64"/>
      <c r="S28" s="64"/>
      <c r="T28" s="64"/>
      <c r="U28" s="64"/>
      <c r="V28" s="64"/>
      <c r="W28" s="64"/>
      <c r="X28" s="64"/>
      <c r="Y28" s="64"/>
      <c r="Z28" s="64"/>
    </row>
    <row r="29" ht="12.75" customHeight="1">
      <c r="A29" s="108"/>
      <c r="B29" s="64"/>
      <c r="C29" s="64"/>
      <c r="D29" s="64"/>
      <c r="E29" s="64"/>
      <c r="F29" s="63"/>
      <c r="G29" s="63"/>
      <c r="H29" s="64"/>
      <c r="I29" s="64"/>
      <c r="J29" s="64"/>
      <c r="K29" s="64"/>
      <c r="L29" s="64"/>
      <c r="M29" s="64"/>
      <c r="N29" s="64"/>
      <c r="O29" s="64"/>
      <c r="P29" s="64"/>
      <c r="Q29" s="64"/>
      <c r="R29" s="64"/>
      <c r="S29" s="64"/>
      <c r="T29" s="64"/>
      <c r="U29" s="64"/>
      <c r="V29" s="64"/>
      <c r="W29" s="64"/>
      <c r="X29" s="64"/>
      <c r="Y29" s="64"/>
      <c r="Z29" s="64"/>
    </row>
    <row r="30" ht="12.75" customHeight="1">
      <c r="A30" s="108"/>
      <c r="B30" s="64"/>
      <c r="C30" s="64"/>
      <c r="D30" s="64"/>
      <c r="E30" s="64"/>
      <c r="F30" s="63"/>
      <c r="G30" s="63"/>
      <c r="H30" s="64"/>
      <c r="I30" s="64"/>
      <c r="J30" s="64"/>
      <c r="K30" s="64"/>
      <c r="L30" s="64"/>
      <c r="M30" s="64"/>
      <c r="N30" s="64"/>
      <c r="O30" s="64"/>
      <c r="P30" s="64"/>
      <c r="Q30" s="64"/>
      <c r="R30" s="64"/>
      <c r="S30" s="64"/>
      <c r="T30" s="64"/>
      <c r="U30" s="64"/>
      <c r="V30" s="64"/>
      <c r="W30" s="64"/>
      <c r="X30" s="64"/>
      <c r="Y30" s="64"/>
      <c r="Z30" s="64"/>
    </row>
    <row r="31" ht="12.75" customHeight="1">
      <c r="A31" s="108"/>
      <c r="B31" s="64"/>
      <c r="C31" s="64"/>
      <c r="D31" s="64"/>
      <c r="E31" s="64"/>
      <c r="F31" s="63"/>
      <c r="G31" s="63"/>
      <c r="H31" s="64"/>
      <c r="I31" s="64"/>
      <c r="J31" s="64"/>
      <c r="K31" s="64"/>
      <c r="L31" s="64"/>
      <c r="M31" s="64"/>
      <c r="N31" s="64"/>
      <c r="O31" s="64"/>
      <c r="P31" s="64"/>
      <c r="Q31" s="64"/>
      <c r="R31" s="64"/>
      <c r="S31" s="64"/>
      <c r="T31" s="64"/>
      <c r="U31" s="64"/>
      <c r="V31" s="64"/>
      <c r="W31" s="64"/>
      <c r="X31" s="64"/>
      <c r="Y31" s="64"/>
      <c r="Z31" s="64"/>
    </row>
    <row r="32" ht="12.75" customHeight="1">
      <c r="A32" s="108"/>
      <c r="B32" s="64"/>
      <c r="C32" s="64"/>
      <c r="D32" s="64"/>
      <c r="E32" s="64"/>
      <c r="F32" s="63"/>
      <c r="G32" s="63"/>
      <c r="H32" s="64"/>
      <c r="I32" s="64"/>
      <c r="J32" s="64"/>
      <c r="K32" s="64"/>
      <c r="L32" s="64"/>
      <c r="M32" s="64"/>
      <c r="N32" s="64"/>
      <c r="O32" s="64"/>
      <c r="P32" s="64"/>
      <c r="Q32" s="64"/>
      <c r="R32" s="64"/>
      <c r="S32" s="64"/>
      <c r="T32" s="64"/>
      <c r="U32" s="64"/>
      <c r="V32" s="64"/>
      <c r="W32" s="64"/>
      <c r="X32" s="64"/>
      <c r="Y32" s="64"/>
      <c r="Z32" s="64"/>
    </row>
    <row r="33" ht="12.75" customHeight="1">
      <c r="A33" s="108"/>
      <c r="B33" s="64"/>
      <c r="C33" s="64"/>
      <c r="D33" s="64"/>
      <c r="E33" s="64"/>
      <c r="F33" s="63"/>
      <c r="G33" s="63"/>
      <c r="H33" s="64"/>
      <c r="I33" s="64"/>
      <c r="J33" s="64"/>
      <c r="K33" s="64"/>
      <c r="L33" s="64"/>
      <c r="M33" s="64"/>
      <c r="N33" s="64"/>
      <c r="O33" s="64"/>
      <c r="P33" s="64"/>
      <c r="Q33" s="64"/>
      <c r="R33" s="64"/>
      <c r="S33" s="64"/>
      <c r="T33" s="64"/>
      <c r="U33" s="64"/>
      <c r="V33" s="64"/>
      <c r="W33" s="64"/>
      <c r="X33" s="64"/>
      <c r="Y33" s="64"/>
      <c r="Z33" s="64"/>
    </row>
    <row r="34" ht="12.75" customHeight="1">
      <c r="A34" s="108"/>
      <c r="B34" s="64"/>
      <c r="C34" s="64"/>
      <c r="D34" s="64"/>
      <c r="E34" s="64"/>
      <c r="F34" s="63"/>
      <c r="G34" s="63"/>
      <c r="H34" s="64"/>
      <c r="I34" s="64"/>
      <c r="J34" s="64"/>
      <c r="K34" s="64"/>
      <c r="L34" s="64"/>
      <c r="M34" s="64"/>
      <c r="N34" s="64"/>
      <c r="O34" s="64"/>
      <c r="P34" s="64"/>
      <c r="Q34" s="64"/>
      <c r="R34" s="64"/>
      <c r="S34" s="64"/>
      <c r="T34" s="64"/>
      <c r="U34" s="64"/>
      <c r="V34" s="64"/>
      <c r="W34" s="64"/>
      <c r="X34" s="64"/>
      <c r="Y34" s="64"/>
      <c r="Z34" s="64"/>
    </row>
    <row r="35" ht="12.75" customHeight="1">
      <c r="A35" s="108"/>
      <c r="B35" s="64"/>
      <c r="C35" s="64"/>
      <c r="D35" s="64"/>
      <c r="E35" s="64"/>
      <c r="F35" s="63"/>
      <c r="G35" s="63"/>
      <c r="H35" s="64"/>
      <c r="I35" s="64"/>
      <c r="J35" s="64"/>
      <c r="K35" s="64"/>
      <c r="L35" s="64"/>
      <c r="M35" s="64"/>
      <c r="N35" s="64"/>
      <c r="O35" s="64"/>
      <c r="P35" s="64"/>
      <c r="Q35" s="64"/>
      <c r="R35" s="64"/>
      <c r="S35" s="64"/>
      <c r="T35" s="64"/>
      <c r="U35" s="64"/>
      <c r="V35" s="64"/>
      <c r="W35" s="64"/>
      <c r="X35" s="64"/>
      <c r="Y35" s="64"/>
      <c r="Z35" s="64"/>
    </row>
    <row r="36" ht="12.75" customHeight="1">
      <c r="A36" s="108"/>
      <c r="B36" s="64"/>
      <c r="C36" s="64"/>
      <c r="D36" s="64"/>
      <c r="E36" s="64"/>
      <c r="F36" s="63"/>
      <c r="G36" s="63"/>
      <c r="H36" s="64"/>
      <c r="I36" s="64"/>
      <c r="J36" s="64"/>
      <c r="K36" s="64"/>
      <c r="L36" s="64"/>
      <c r="M36" s="64"/>
      <c r="N36" s="64"/>
      <c r="O36" s="64"/>
      <c r="P36" s="64"/>
      <c r="Q36" s="64"/>
      <c r="R36" s="64"/>
      <c r="S36" s="64"/>
      <c r="T36" s="64"/>
      <c r="U36" s="64"/>
      <c r="V36" s="64"/>
      <c r="W36" s="64"/>
      <c r="X36" s="64"/>
      <c r="Y36" s="64"/>
      <c r="Z36" s="64"/>
    </row>
    <row r="37" ht="12.75" customHeight="1">
      <c r="A37" s="108"/>
      <c r="B37" s="64"/>
      <c r="C37" s="64"/>
      <c r="D37" s="64"/>
      <c r="E37" s="64"/>
      <c r="F37" s="63"/>
      <c r="G37" s="63"/>
      <c r="H37" s="64"/>
      <c r="I37" s="64"/>
      <c r="J37" s="64"/>
      <c r="K37" s="64"/>
      <c r="L37" s="64"/>
      <c r="M37" s="64"/>
      <c r="N37" s="64"/>
      <c r="O37" s="64"/>
      <c r="P37" s="64"/>
      <c r="Q37" s="64"/>
      <c r="R37" s="64"/>
      <c r="S37" s="64"/>
      <c r="T37" s="64"/>
      <c r="U37" s="64"/>
      <c r="V37" s="64"/>
      <c r="W37" s="64"/>
      <c r="X37" s="64"/>
      <c r="Y37" s="64"/>
      <c r="Z37" s="64"/>
    </row>
    <row r="38" ht="12.75" customHeight="1">
      <c r="A38" s="108"/>
      <c r="B38" s="64"/>
      <c r="C38" s="64"/>
      <c r="D38" s="64"/>
      <c r="E38" s="64"/>
      <c r="F38" s="63"/>
      <c r="G38" s="63"/>
      <c r="H38" s="64"/>
      <c r="I38" s="64"/>
      <c r="J38" s="64"/>
      <c r="K38" s="64"/>
      <c r="L38" s="64"/>
      <c r="M38" s="64"/>
      <c r="N38" s="64"/>
      <c r="O38" s="64"/>
      <c r="P38" s="64"/>
      <c r="Q38" s="64"/>
      <c r="R38" s="64"/>
      <c r="S38" s="64"/>
      <c r="T38" s="64"/>
      <c r="U38" s="64"/>
      <c r="V38" s="64"/>
      <c r="W38" s="64"/>
      <c r="X38" s="64"/>
      <c r="Y38" s="64"/>
      <c r="Z38" s="64"/>
    </row>
    <row r="39" ht="12.75" customHeight="1">
      <c r="A39" s="108"/>
      <c r="B39" s="64"/>
      <c r="C39" s="64"/>
      <c r="D39" s="64"/>
      <c r="E39" s="64"/>
      <c r="F39" s="63"/>
      <c r="G39" s="63"/>
      <c r="H39" s="64"/>
      <c r="I39" s="64"/>
      <c r="J39" s="64"/>
      <c r="K39" s="64"/>
      <c r="L39" s="64"/>
      <c r="M39" s="64"/>
      <c r="N39" s="64"/>
      <c r="O39" s="64"/>
      <c r="P39" s="64"/>
      <c r="Q39" s="64"/>
      <c r="R39" s="64"/>
      <c r="S39" s="64"/>
      <c r="T39" s="64"/>
      <c r="U39" s="64"/>
      <c r="V39" s="64"/>
      <c r="W39" s="64"/>
      <c r="X39" s="64"/>
      <c r="Y39" s="64"/>
      <c r="Z39" s="64"/>
    </row>
    <row r="40" ht="12.75" customHeight="1">
      <c r="A40" s="108"/>
      <c r="B40" s="64"/>
      <c r="C40" s="64"/>
      <c r="D40" s="64"/>
      <c r="E40" s="64"/>
      <c r="F40" s="63"/>
      <c r="G40" s="63"/>
      <c r="H40" s="64"/>
      <c r="I40" s="64"/>
      <c r="J40" s="64"/>
      <c r="K40" s="64"/>
      <c r="L40" s="64"/>
      <c r="M40" s="64"/>
      <c r="N40" s="64"/>
      <c r="O40" s="64"/>
      <c r="P40" s="64"/>
      <c r="Q40" s="64"/>
      <c r="R40" s="64"/>
      <c r="S40" s="64"/>
      <c r="T40" s="64"/>
      <c r="U40" s="64"/>
      <c r="V40" s="64"/>
      <c r="W40" s="64"/>
      <c r="X40" s="64"/>
      <c r="Y40" s="64"/>
      <c r="Z40" s="64"/>
    </row>
    <row r="41" ht="12.75" customHeight="1">
      <c r="A41" s="108"/>
      <c r="B41" s="64"/>
      <c r="C41" s="64"/>
      <c r="D41" s="64"/>
      <c r="E41" s="64"/>
      <c r="F41" s="63"/>
      <c r="G41" s="63"/>
      <c r="H41" s="64"/>
      <c r="I41" s="64"/>
      <c r="J41" s="64"/>
      <c r="K41" s="64"/>
      <c r="L41" s="64"/>
      <c r="M41" s="64"/>
      <c r="N41" s="64"/>
      <c r="O41" s="64"/>
      <c r="P41" s="64"/>
      <c r="Q41" s="64"/>
      <c r="R41" s="64"/>
      <c r="S41" s="64"/>
      <c r="T41" s="64"/>
      <c r="U41" s="64"/>
      <c r="V41" s="64"/>
      <c r="W41" s="64"/>
      <c r="X41" s="64"/>
      <c r="Y41" s="64"/>
      <c r="Z41" s="64"/>
    </row>
    <row r="42" ht="12.75" customHeight="1">
      <c r="A42" s="108"/>
      <c r="B42" s="64"/>
      <c r="C42" s="64"/>
      <c r="D42" s="64"/>
      <c r="E42" s="64"/>
      <c r="F42" s="63"/>
      <c r="G42" s="63"/>
      <c r="H42" s="64"/>
      <c r="I42" s="64"/>
      <c r="J42" s="64"/>
      <c r="K42" s="64"/>
      <c r="L42" s="64"/>
      <c r="M42" s="64"/>
      <c r="N42" s="64"/>
      <c r="O42" s="64"/>
      <c r="P42" s="64"/>
      <c r="Q42" s="64"/>
      <c r="R42" s="64"/>
      <c r="S42" s="64"/>
      <c r="T42" s="64"/>
      <c r="U42" s="64"/>
      <c r="V42" s="64"/>
      <c r="W42" s="64"/>
      <c r="X42" s="64"/>
      <c r="Y42" s="64"/>
      <c r="Z42" s="64"/>
    </row>
    <row r="43" ht="12.75" customHeight="1">
      <c r="A43" s="108"/>
      <c r="B43" s="64"/>
      <c r="C43" s="64"/>
      <c r="D43" s="64"/>
      <c r="E43" s="64"/>
      <c r="F43" s="63"/>
      <c r="G43" s="63"/>
      <c r="H43" s="64"/>
      <c r="I43" s="64"/>
      <c r="J43" s="64"/>
      <c r="K43" s="64"/>
      <c r="L43" s="64"/>
      <c r="M43" s="64"/>
      <c r="N43" s="64"/>
      <c r="O43" s="64"/>
      <c r="P43" s="64"/>
      <c r="Q43" s="64"/>
      <c r="R43" s="64"/>
      <c r="S43" s="64"/>
      <c r="T43" s="64"/>
      <c r="U43" s="64"/>
      <c r="V43" s="64"/>
      <c r="W43" s="64"/>
      <c r="X43" s="64"/>
      <c r="Y43" s="64"/>
      <c r="Z43" s="64"/>
    </row>
    <row r="44" ht="12.75" customHeight="1">
      <c r="A44" s="108"/>
      <c r="B44" s="64"/>
      <c r="C44" s="64"/>
      <c r="D44" s="64"/>
      <c r="E44" s="64"/>
      <c r="F44" s="63"/>
      <c r="G44" s="63"/>
      <c r="H44" s="64"/>
      <c r="I44" s="64"/>
      <c r="J44" s="64"/>
      <c r="K44" s="64"/>
      <c r="L44" s="64"/>
      <c r="M44" s="64"/>
      <c r="N44" s="64"/>
      <c r="O44" s="64"/>
      <c r="P44" s="64"/>
      <c r="Q44" s="64"/>
      <c r="R44" s="64"/>
      <c r="S44" s="64"/>
      <c r="T44" s="64"/>
      <c r="U44" s="64"/>
      <c r="V44" s="64"/>
      <c r="W44" s="64"/>
      <c r="X44" s="64"/>
      <c r="Y44" s="64"/>
      <c r="Z44" s="64"/>
    </row>
    <row r="45" ht="12.75" customHeight="1">
      <c r="A45" s="108"/>
      <c r="B45" s="64"/>
      <c r="C45" s="64"/>
      <c r="D45" s="64"/>
      <c r="E45" s="64"/>
      <c r="F45" s="63"/>
      <c r="G45" s="63"/>
      <c r="H45" s="64"/>
      <c r="I45" s="64"/>
      <c r="J45" s="64"/>
      <c r="K45" s="64"/>
      <c r="L45" s="64"/>
      <c r="M45" s="64"/>
      <c r="N45" s="64"/>
      <c r="O45" s="64"/>
      <c r="P45" s="64"/>
      <c r="Q45" s="64"/>
      <c r="R45" s="64"/>
      <c r="S45" s="64"/>
      <c r="T45" s="64"/>
      <c r="U45" s="64"/>
      <c r="V45" s="64"/>
      <c r="W45" s="64"/>
      <c r="X45" s="64"/>
      <c r="Y45" s="64"/>
      <c r="Z45" s="64"/>
    </row>
    <row r="46" ht="12.75" customHeight="1">
      <c r="A46" s="108"/>
      <c r="B46" s="64"/>
      <c r="C46" s="64"/>
      <c r="D46" s="64"/>
      <c r="E46" s="64"/>
      <c r="F46" s="63"/>
      <c r="G46" s="63"/>
      <c r="H46" s="64"/>
      <c r="I46" s="64"/>
      <c r="J46" s="64"/>
      <c r="K46" s="64"/>
      <c r="L46" s="64"/>
      <c r="M46" s="64"/>
      <c r="N46" s="64"/>
      <c r="O46" s="64"/>
      <c r="P46" s="64"/>
      <c r="Q46" s="64"/>
      <c r="R46" s="64"/>
      <c r="S46" s="64"/>
      <c r="T46" s="64"/>
      <c r="U46" s="64"/>
      <c r="V46" s="64"/>
      <c r="W46" s="64"/>
      <c r="X46" s="64"/>
      <c r="Y46" s="64"/>
      <c r="Z46" s="64"/>
    </row>
    <row r="47" ht="12.75" customHeight="1">
      <c r="A47" s="108"/>
      <c r="B47" s="64"/>
      <c r="C47" s="64"/>
      <c r="D47" s="64"/>
      <c r="E47" s="64"/>
      <c r="F47" s="63"/>
      <c r="G47" s="63"/>
      <c r="H47" s="64"/>
      <c r="I47" s="64"/>
      <c r="J47" s="64"/>
      <c r="K47" s="64"/>
      <c r="L47" s="64"/>
      <c r="M47" s="64"/>
      <c r="N47" s="64"/>
      <c r="O47" s="64"/>
      <c r="P47" s="64"/>
      <c r="Q47" s="64"/>
      <c r="R47" s="64"/>
      <c r="S47" s="64"/>
      <c r="T47" s="64"/>
      <c r="U47" s="64"/>
      <c r="V47" s="64"/>
      <c r="W47" s="64"/>
      <c r="X47" s="64"/>
      <c r="Y47" s="64"/>
      <c r="Z47" s="64"/>
    </row>
    <row r="48" ht="12.75" customHeight="1">
      <c r="A48" s="108"/>
      <c r="B48" s="64"/>
      <c r="C48" s="64"/>
      <c r="D48" s="64"/>
      <c r="E48" s="64"/>
      <c r="F48" s="63"/>
      <c r="G48" s="63"/>
      <c r="H48" s="64"/>
      <c r="I48" s="64"/>
      <c r="J48" s="64"/>
      <c r="K48" s="64"/>
      <c r="L48" s="64"/>
      <c r="M48" s="64"/>
      <c r="N48" s="64"/>
      <c r="O48" s="64"/>
      <c r="P48" s="64"/>
      <c r="Q48" s="64"/>
      <c r="R48" s="64"/>
      <c r="S48" s="64"/>
      <c r="T48" s="64"/>
      <c r="U48" s="64"/>
      <c r="V48" s="64"/>
      <c r="W48" s="64"/>
      <c r="X48" s="64"/>
      <c r="Y48" s="64"/>
      <c r="Z48" s="64"/>
    </row>
    <row r="49" ht="12.75" customHeight="1">
      <c r="A49" s="108"/>
      <c r="B49" s="64"/>
      <c r="C49" s="64"/>
      <c r="D49" s="64"/>
      <c r="E49" s="64"/>
      <c r="F49" s="63"/>
      <c r="G49" s="63"/>
      <c r="H49" s="64"/>
      <c r="I49" s="64"/>
      <c r="J49" s="64"/>
      <c r="K49" s="64"/>
      <c r="L49" s="64"/>
      <c r="M49" s="64"/>
      <c r="N49" s="64"/>
      <c r="O49" s="64"/>
      <c r="P49" s="64"/>
      <c r="Q49" s="64"/>
      <c r="R49" s="64"/>
      <c r="S49" s="64"/>
      <c r="T49" s="64"/>
      <c r="U49" s="64"/>
      <c r="V49" s="64"/>
      <c r="W49" s="64"/>
      <c r="X49" s="64"/>
      <c r="Y49" s="64"/>
      <c r="Z49" s="64"/>
    </row>
    <row r="50" ht="12.75" customHeight="1">
      <c r="A50" s="108"/>
      <c r="B50" s="64"/>
      <c r="C50" s="64"/>
      <c r="D50" s="64"/>
      <c r="E50" s="64"/>
      <c r="F50" s="63"/>
      <c r="G50" s="63"/>
      <c r="H50" s="64"/>
      <c r="I50" s="64"/>
      <c r="J50" s="64"/>
      <c r="K50" s="64"/>
      <c r="L50" s="64"/>
      <c r="M50" s="64"/>
      <c r="N50" s="64"/>
      <c r="O50" s="64"/>
      <c r="P50" s="64"/>
      <c r="Q50" s="64"/>
      <c r="R50" s="64"/>
      <c r="S50" s="64"/>
      <c r="T50" s="64"/>
      <c r="U50" s="64"/>
      <c r="V50" s="64"/>
      <c r="W50" s="64"/>
      <c r="X50" s="64"/>
      <c r="Y50" s="64"/>
      <c r="Z50" s="64"/>
    </row>
    <row r="51" ht="12.75" customHeight="1">
      <c r="A51" s="108"/>
      <c r="B51" s="64"/>
      <c r="C51" s="64"/>
      <c r="D51" s="64"/>
      <c r="E51" s="64"/>
      <c r="F51" s="63"/>
      <c r="G51" s="63"/>
      <c r="H51" s="64"/>
      <c r="I51" s="64"/>
      <c r="J51" s="64"/>
      <c r="K51" s="64"/>
      <c r="L51" s="64"/>
      <c r="M51" s="64"/>
      <c r="N51" s="64"/>
      <c r="O51" s="64"/>
      <c r="P51" s="64"/>
      <c r="Q51" s="64"/>
      <c r="R51" s="64"/>
      <c r="S51" s="64"/>
      <c r="T51" s="64"/>
      <c r="U51" s="64"/>
      <c r="V51" s="64"/>
      <c r="W51" s="64"/>
      <c r="X51" s="64"/>
      <c r="Y51" s="64"/>
      <c r="Z51" s="64"/>
    </row>
    <row r="52" ht="12.75" customHeight="1">
      <c r="A52" s="108"/>
      <c r="B52" s="64"/>
      <c r="C52" s="64"/>
      <c r="D52" s="64"/>
      <c r="E52" s="64"/>
      <c r="F52" s="63"/>
      <c r="G52" s="63"/>
      <c r="H52" s="64"/>
      <c r="I52" s="64"/>
      <c r="J52" s="64"/>
      <c r="K52" s="64"/>
      <c r="L52" s="64"/>
      <c r="M52" s="64"/>
      <c r="N52" s="64"/>
      <c r="O52" s="64"/>
      <c r="P52" s="64"/>
      <c r="Q52" s="64"/>
      <c r="R52" s="64"/>
      <c r="S52" s="64"/>
      <c r="T52" s="64"/>
      <c r="U52" s="64"/>
      <c r="V52" s="64"/>
      <c r="W52" s="64"/>
      <c r="X52" s="64"/>
      <c r="Y52" s="64"/>
      <c r="Z52" s="64"/>
    </row>
    <row r="53" ht="12.75" customHeight="1">
      <c r="A53" s="108"/>
      <c r="B53" s="64"/>
      <c r="C53" s="64"/>
      <c r="D53" s="64"/>
      <c r="E53" s="64"/>
      <c r="F53" s="63"/>
      <c r="G53" s="63"/>
      <c r="H53" s="64"/>
      <c r="I53" s="64"/>
      <c r="J53" s="64"/>
      <c r="K53" s="64"/>
      <c r="L53" s="64"/>
      <c r="M53" s="64"/>
      <c r="N53" s="64"/>
      <c r="O53" s="64"/>
      <c r="P53" s="64"/>
      <c r="Q53" s="64"/>
      <c r="R53" s="64"/>
      <c r="S53" s="64"/>
      <c r="T53" s="64"/>
      <c r="U53" s="64"/>
      <c r="V53" s="64"/>
      <c r="W53" s="64"/>
      <c r="X53" s="64"/>
      <c r="Y53" s="64"/>
      <c r="Z53" s="64"/>
    </row>
    <row r="54" ht="12.75" customHeight="1">
      <c r="A54" s="108"/>
      <c r="B54" s="64"/>
      <c r="C54" s="64"/>
      <c r="D54" s="64"/>
      <c r="E54" s="64"/>
      <c r="F54" s="63"/>
      <c r="G54" s="63"/>
      <c r="H54" s="64"/>
      <c r="I54" s="64"/>
      <c r="J54" s="64"/>
      <c r="K54" s="64"/>
      <c r="L54" s="64"/>
      <c r="M54" s="64"/>
      <c r="N54" s="64"/>
      <c r="O54" s="64"/>
      <c r="P54" s="64"/>
      <c r="Q54" s="64"/>
      <c r="R54" s="64"/>
      <c r="S54" s="64"/>
      <c r="T54" s="64"/>
      <c r="U54" s="64"/>
      <c r="V54" s="64"/>
      <c r="W54" s="64"/>
      <c r="X54" s="64"/>
      <c r="Y54" s="64"/>
      <c r="Z54" s="64"/>
    </row>
    <row r="55" ht="12.75" customHeight="1">
      <c r="A55" s="108"/>
      <c r="B55" s="64"/>
      <c r="C55" s="64"/>
      <c r="D55" s="64"/>
      <c r="E55" s="64"/>
      <c r="F55" s="63"/>
      <c r="G55" s="63"/>
      <c r="H55" s="64"/>
      <c r="I55" s="64"/>
      <c r="J55" s="64"/>
      <c r="K55" s="64"/>
      <c r="L55" s="64"/>
      <c r="M55" s="64"/>
      <c r="N55" s="64"/>
      <c r="O55" s="64"/>
      <c r="P55" s="64"/>
      <c r="Q55" s="64"/>
      <c r="R55" s="64"/>
      <c r="S55" s="64"/>
      <c r="T55" s="64"/>
      <c r="U55" s="64"/>
      <c r="V55" s="64"/>
      <c r="W55" s="64"/>
      <c r="X55" s="64"/>
      <c r="Y55" s="64"/>
      <c r="Z55" s="64"/>
    </row>
    <row r="56" ht="12.75" customHeight="1">
      <c r="A56" s="108"/>
      <c r="B56" s="64"/>
      <c r="C56" s="64"/>
      <c r="D56" s="64"/>
      <c r="E56" s="64"/>
      <c r="F56" s="63"/>
      <c r="G56" s="63"/>
      <c r="H56" s="64"/>
      <c r="I56" s="64"/>
      <c r="J56" s="64"/>
      <c r="K56" s="64"/>
      <c r="L56" s="64"/>
      <c r="M56" s="64"/>
      <c r="N56" s="64"/>
      <c r="O56" s="64"/>
      <c r="P56" s="64"/>
      <c r="Q56" s="64"/>
      <c r="R56" s="64"/>
      <c r="S56" s="64"/>
      <c r="T56" s="64"/>
      <c r="U56" s="64"/>
      <c r="V56" s="64"/>
      <c r="W56" s="64"/>
      <c r="X56" s="64"/>
      <c r="Y56" s="64"/>
      <c r="Z56" s="64"/>
    </row>
    <row r="57" ht="12.75" customHeight="1">
      <c r="A57" s="108"/>
      <c r="B57" s="64"/>
      <c r="C57" s="64"/>
      <c r="D57" s="64"/>
      <c r="E57" s="64"/>
      <c r="F57" s="63"/>
      <c r="G57" s="63"/>
      <c r="H57" s="64"/>
      <c r="I57" s="64"/>
      <c r="J57" s="64"/>
      <c r="K57" s="64"/>
      <c r="L57" s="64"/>
      <c r="M57" s="64"/>
      <c r="N57" s="64"/>
      <c r="O57" s="64"/>
      <c r="P57" s="64"/>
      <c r="Q57" s="64"/>
      <c r="R57" s="64"/>
      <c r="S57" s="64"/>
      <c r="T57" s="64"/>
      <c r="U57" s="64"/>
      <c r="V57" s="64"/>
      <c r="W57" s="64"/>
      <c r="X57" s="64"/>
      <c r="Y57" s="64"/>
      <c r="Z57" s="64"/>
    </row>
    <row r="58" ht="12.75" customHeight="1">
      <c r="A58" s="108"/>
      <c r="B58" s="64"/>
      <c r="C58" s="64"/>
      <c r="D58" s="64"/>
      <c r="E58" s="64"/>
      <c r="F58" s="63"/>
      <c r="G58" s="63"/>
      <c r="H58" s="64"/>
      <c r="I58" s="64"/>
      <c r="J58" s="64"/>
      <c r="K58" s="64"/>
      <c r="L58" s="64"/>
      <c r="M58" s="64"/>
      <c r="N58" s="64"/>
      <c r="O58" s="64"/>
      <c r="P58" s="64"/>
      <c r="Q58" s="64"/>
      <c r="R58" s="64"/>
      <c r="S58" s="64"/>
      <c r="T58" s="64"/>
      <c r="U58" s="64"/>
      <c r="V58" s="64"/>
      <c r="W58" s="64"/>
      <c r="X58" s="64"/>
      <c r="Y58" s="64"/>
      <c r="Z58" s="64"/>
    </row>
    <row r="59" ht="12.75" customHeight="1">
      <c r="A59" s="108"/>
      <c r="B59" s="64"/>
      <c r="C59" s="64"/>
      <c r="D59" s="64"/>
      <c r="E59" s="64"/>
      <c r="F59" s="63"/>
      <c r="G59" s="63"/>
      <c r="H59" s="64"/>
      <c r="I59" s="64"/>
      <c r="J59" s="64"/>
      <c r="K59" s="64"/>
      <c r="L59" s="64"/>
      <c r="M59" s="64"/>
      <c r="N59" s="64"/>
      <c r="O59" s="64"/>
      <c r="P59" s="64"/>
      <c r="Q59" s="64"/>
      <c r="R59" s="64"/>
      <c r="S59" s="64"/>
      <c r="T59" s="64"/>
      <c r="U59" s="64"/>
      <c r="V59" s="64"/>
      <c r="W59" s="64"/>
      <c r="X59" s="64"/>
      <c r="Y59" s="64"/>
      <c r="Z59" s="64"/>
    </row>
    <row r="60" ht="12.75" customHeight="1">
      <c r="A60" s="108"/>
      <c r="B60" s="64"/>
      <c r="C60" s="64"/>
      <c r="D60" s="64"/>
      <c r="E60" s="64"/>
      <c r="F60" s="63"/>
      <c r="G60" s="63"/>
      <c r="H60" s="64"/>
      <c r="I60" s="64"/>
      <c r="J60" s="64"/>
      <c r="K60" s="64"/>
      <c r="L60" s="64"/>
      <c r="M60" s="64"/>
      <c r="N60" s="64"/>
      <c r="O60" s="64"/>
      <c r="P60" s="64"/>
      <c r="Q60" s="64"/>
      <c r="R60" s="64"/>
      <c r="S60" s="64"/>
      <c r="T60" s="64"/>
      <c r="U60" s="64"/>
      <c r="V60" s="64"/>
      <c r="W60" s="64"/>
      <c r="X60" s="64"/>
      <c r="Y60" s="64"/>
      <c r="Z60" s="64"/>
    </row>
    <row r="61" ht="12.75" customHeight="1">
      <c r="A61" s="108"/>
      <c r="B61" s="64"/>
      <c r="C61" s="64"/>
      <c r="D61" s="64"/>
      <c r="E61" s="64"/>
      <c r="F61" s="63"/>
      <c r="G61" s="63"/>
      <c r="H61" s="64"/>
      <c r="I61" s="64"/>
      <c r="J61" s="64"/>
      <c r="K61" s="64"/>
      <c r="L61" s="64"/>
      <c r="M61" s="64"/>
      <c r="N61" s="64"/>
      <c r="O61" s="64"/>
      <c r="P61" s="64"/>
      <c r="Q61" s="64"/>
      <c r="R61" s="64"/>
      <c r="S61" s="64"/>
      <c r="T61" s="64"/>
      <c r="U61" s="64"/>
      <c r="V61" s="64"/>
      <c r="W61" s="64"/>
      <c r="X61" s="64"/>
      <c r="Y61" s="64"/>
      <c r="Z61" s="64"/>
    </row>
    <row r="62" ht="12.75" customHeight="1">
      <c r="A62" s="108"/>
      <c r="B62" s="64"/>
      <c r="C62" s="64"/>
      <c r="D62" s="64"/>
      <c r="E62" s="64"/>
      <c r="F62" s="63"/>
      <c r="G62" s="63"/>
      <c r="H62" s="64"/>
      <c r="I62" s="64"/>
      <c r="J62" s="64"/>
      <c r="K62" s="64"/>
      <c r="L62" s="64"/>
      <c r="M62" s="64"/>
      <c r="N62" s="64"/>
      <c r="O62" s="64"/>
      <c r="P62" s="64"/>
      <c r="Q62" s="64"/>
      <c r="R62" s="64"/>
      <c r="S62" s="64"/>
      <c r="T62" s="64"/>
      <c r="U62" s="64"/>
      <c r="V62" s="64"/>
      <c r="W62" s="64"/>
      <c r="X62" s="64"/>
      <c r="Y62" s="64"/>
      <c r="Z62" s="64"/>
    </row>
    <row r="63" ht="12.75" customHeight="1">
      <c r="A63" s="108"/>
      <c r="B63" s="64"/>
      <c r="C63" s="64"/>
      <c r="D63" s="64"/>
      <c r="E63" s="64"/>
      <c r="F63" s="63"/>
      <c r="G63" s="63"/>
      <c r="H63" s="64"/>
      <c r="I63" s="64"/>
      <c r="J63" s="64"/>
      <c r="K63" s="64"/>
      <c r="L63" s="64"/>
      <c r="M63" s="64"/>
      <c r="N63" s="64"/>
      <c r="O63" s="64"/>
      <c r="P63" s="64"/>
      <c r="Q63" s="64"/>
      <c r="R63" s="64"/>
      <c r="S63" s="64"/>
      <c r="T63" s="64"/>
      <c r="U63" s="64"/>
      <c r="V63" s="64"/>
      <c r="W63" s="64"/>
      <c r="X63" s="64"/>
      <c r="Y63" s="64"/>
      <c r="Z63" s="64"/>
    </row>
    <row r="64" ht="12.75" customHeight="1">
      <c r="A64" s="108"/>
      <c r="B64" s="64"/>
      <c r="C64" s="64"/>
      <c r="D64" s="64"/>
      <c r="E64" s="64"/>
      <c r="F64" s="63"/>
      <c r="G64" s="63"/>
      <c r="H64" s="64"/>
      <c r="I64" s="64"/>
      <c r="J64" s="64"/>
      <c r="K64" s="64"/>
      <c r="L64" s="64"/>
      <c r="M64" s="64"/>
      <c r="N64" s="64"/>
      <c r="O64" s="64"/>
      <c r="P64" s="64"/>
      <c r="Q64" s="64"/>
      <c r="R64" s="64"/>
      <c r="S64" s="64"/>
      <c r="T64" s="64"/>
      <c r="U64" s="64"/>
      <c r="V64" s="64"/>
      <c r="W64" s="64"/>
      <c r="X64" s="64"/>
      <c r="Y64" s="64"/>
      <c r="Z64" s="64"/>
    </row>
    <row r="65" ht="12.75" customHeight="1">
      <c r="A65" s="108"/>
      <c r="B65" s="64"/>
      <c r="C65" s="64"/>
      <c r="D65" s="64"/>
      <c r="E65" s="64"/>
      <c r="F65" s="63"/>
      <c r="G65" s="63"/>
      <c r="H65" s="64"/>
      <c r="I65" s="64"/>
      <c r="J65" s="64"/>
      <c r="K65" s="64"/>
      <c r="L65" s="64"/>
      <c r="M65" s="64"/>
      <c r="N65" s="64"/>
      <c r="O65" s="64"/>
      <c r="P65" s="64"/>
      <c r="Q65" s="64"/>
      <c r="R65" s="64"/>
      <c r="S65" s="64"/>
      <c r="T65" s="64"/>
      <c r="U65" s="64"/>
      <c r="V65" s="64"/>
      <c r="W65" s="64"/>
      <c r="X65" s="64"/>
      <c r="Y65" s="64"/>
      <c r="Z65" s="64"/>
    </row>
    <row r="66" ht="12.75" customHeight="1">
      <c r="A66" s="108"/>
      <c r="B66" s="64"/>
      <c r="C66" s="64"/>
      <c r="D66" s="64"/>
      <c r="E66" s="64"/>
      <c r="F66" s="63"/>
      <c r="G66" s="63"/>
      <c r="H66" s="64"/>
      <c r="I66" s="64"/>
      <c r="J66" s="64"/>
      <c r="K66" s="64"/>
      <c r="L66" s="64"/>
      <c r="M66" s="64"/>
      <c r="N66" s="64"/>
      <c r="O66" s="64"/>
      <c r="P66" s="64"/>
      <c r="Q66" s="64"/>
      <c r="R66" s="64"/>
      <c r="S66" s="64"/>
      <c r="T66" s="64"/>
      <c r="U66" s="64"/>
      <c r="V66" s="64"/>
      <c r="W66" s="64"/>
      <c r="X66" s="64"/>
      <c r="Y66" s="64"/>
      <c r="Z66" s="64"/>
    </row>
    <row r="67" ht="12.75" customHeight="1">
      <c r="A67" s="108"/>
      <c r="B67" s="64"/>
      <c r="C67" s="64"/>
      <c r="D67" s="64"/>
      <c r="E67" s="64"/>
      <c r="F67" s="63"/>
      <c r="G67" s="63"/>
      <c r="H67" s="64"/>
      <c r="I67" s="64"/>
      <c r="J67" s="64"/>
      <c r="K67" s="64"/>
      <c r="L67" s="64"/>
      <c r="M67" s="64"/>
      <c r="N67" s="64"/>
      <c r="O67" s="64"/>
      <c r="P67" s="64"/>
      <c r="Q67" s="64"/>
      <c r="R67" s="64"/>
      <c r="S67" s="64"/>
      <c r="T67" s="64"/>
      <c r="U67" s="64"/>
      <c r="V67" s="64"/>
      <c r="W67" s="64"/>
      <c r="X67" s="64"/>
      <c r="Y67" s="64"/>
      <c r="Z67" s="64"/>
    </row>
    <row r="68" ht="12.75" customHeight="1">
      <c r="A68" s="108"/>
      <c r="B68" s="64"/>
      <c r="C68" s="64"/>
      <c r="D68" s="64"/>
      <c r="E68" s="64"/>
      <c r="F68" s="63"/>
      <c r="G68" s="63"/>
      <c r="H68" s="64"/>
      <c r="I68" s="64"/>
      <c r="J68" s="64"/>
      <c r="K68" s="64"/>
      <c r="L68" s="64"/>
      <c r="M68" s="64"/>
      <c r="N68" s="64"/>
      <c r="O68" s="64"/>
      <c r="P68" s="64"/>
      <c r="Q68" s="64"/>
      <c r="R68" s="64"/>
      <c r="S68" s="64"/>
      <c r="T68" s="64"/>
      <c r="U68" s="64"/>
      <c r="V68" s="64"/>
      <c r="W68" s="64"/>
      <c r="X68" s="64"/>
      <c r="Y68" s="64"/>
      <c r="Z68" s="64"/>
    </row>
    <row r="69" ht="12.75" customHeight="1">
      <c r="A69" s="108"/>
      <c r="B69" s="64"/>
      <c r="C69" s="64"/>
      <c r="D69" s="64"/>
      <c r="E69" s="64"/>
      <c r="F69" s="63"/>
      <c r="G69" s="63"/>
      <c r="H69" s="64"/>
      <c r="I69" s="64"/>
      <c r="J69" s="64"/>
      <c r="K69" s="64"/>
      <c r="L69" s="64"/>
      <c r="M69" s="64"/>
      <c r="N69" s="64"/>
      <c r="O69" s="64"/>
      <c r="P69" s="64"/>
      <c r="Q69" s="64"/>
      <c r="R69" s="64"/>
      <c r="S69" s="64"/>
      <c r="T69" s="64"/>
      <c r="U69" s="64"/>
      <c r="V69" s="64"/>
      <c r="W69" s="64"/>
      <c r="X69" s="64"/>
      <c r="Y69" s="64"/>
      <c r="Z69" s="64"/>
    </row>
    <row r="70" ht="12.75" customHeight="1">
      <c r="A70" s="108"/>
      <c r="B70" s="64"/>
      <c r="C70" s="64"/>
      <c r="D70" s="64"/>
      <c r="E70" s="64"/>
      <c r="F70" s="63"/>
      <c r="G70" s="63"/>
      <c r="H70" s="64"/>
      <c r="I70" s="64"/>
      <c r="J70" s="64"/>
      <c r="K70" s="64"/>
      <c r="L70" s="64"/>
      <c r="M70" s="64"/>
      <c r="N70" s="64"/>
      <c r="O70" s="64"/>
      <c r="P70" s="64"/>
      <c r="Q70" s="64"/>
      <c r="R70" s="64"/>
      <c r="S70" s="64"/>
      <c r="T70" s="64"/>
      <c r="U70" s="64"/>
      <c r="V70" s="64"/>
      <c r="W70" s="64"/>
      <c r="X70" s="64"/>
      <c r="Y70" s="64"/>
      <c r="Z70" s="64"/>
    </row>
    <row r="71" ht="12.75" customHeight="1">
      <c r="A71" s="108"/>
      <c r="B71" s="64"/>
      <c r="C71" s="64"/>
      <c r="D71" s="64"/>
      <c r="E71" s="64"/>
      <c r="F71" s="63"/>
      <c r="G71" s="63"/>
      <c r="H71" s="64"/>
      <c r="I71" s="64"/>
      <c r="J71" s="64"/>
      <c r="K71" s="64"/>
      <c r="L71" s="64"/>
      <c r="M71" s="64"/>
      <c r="N71" s="64"/>
      <c r="O71" s="64"/>
      <c r="P71" s="64"/>
      <c r="Q71" s="64"/>
      <c r="R71" s="64"/>
      <c r="S71" s="64"/>
      <c r="T71" s="64"/>
      <c r="U71" s="64"/>
      <c r="V71" s="64"/>
      <c r="W71" s="64"/>
      <c r="X71" s="64"/>
      <c r="Y71" s="64"/>
      <c r="Z71" s="64"/>
    </row>
    <row r="72" ht="12.75" customHeight="1">
      <c r="A72" s="108"/>
      <c r="B72" s="64"/>
      <c r="C72" s="64"/>
      <c r="D72" s="64"/>
      <c r="E72" s="64"/>
      <c r="F72" s="63"/>
      <c r="G72" s="63"/>
      <c r="H72" s="64"/>
      <c r="I72" s="64"/>
      <c r="J72" s="64"/>
      <c r="K72" s="64"/>
      <c r="L72" s="64"/>
      <c r="M72" s="64"/>
      <c r="N72" s="64"/>
      <c r="O72" s="64"/>
      <c r="P72" s="64"/>
      <c r="Q72" s="64"/>
      <c r="R72" s="64"/>
      <c r="S72" s="64"/>
      <c r="T72" s="64"/>
      <c r="U72" s="64"/>
      <c r="V72" s="64"/>
      <c r="W72" s="64"/>
      <c r="X72" s="64"/>
      <c r="Y72" s="64"/>
      <c r="Z72" s="64"/>
    </row>
    <row r="73" ht="12.75" customHeight="1">
      <c r="A73" s="108"/>
      <c r="B73" s="64"/>
      <c r="C73" s="64"/>
      <c r="D73" s="64"/>
      <c r="E73" s="64"/>
      <c r="F73" s="63"/>
      <c r="G73" s="63"/>
      <c r="H73" s="64"/>
      <c r="I73" s="64"/>
      <c r="J73" s="64"/>
      <c r="K73" s="64"/>
      <c r="L73" s="64"/>
      <c r="M73" s="64"/>
      <c r="N73" s="64"/>
      <c r="O73" s="64"/>
      <c r="P73" s="64"/>
      <c r="Q73" s="64"/>
      <c r="R73" s="64"/>
      <c r="S73" s="64"/>
      <c r="T73" s="64"/>
      <c r="U73" s="64"/>
      <c r="V73" s="64"/>
      <c r="W73" s="64"/>
      <c r="X73" s="64"/>
      <c r="Y73" s="64"/>
      <c r="Z73" s="64"/>
    </row>
    <row r="74" ht="12.75" customHeight="1">
      <c r="A74" s="108"/>
      <c r="B74" s="64"/>
      <c r="C74" s="64"/>
      <c r="D74" s="64"/>
      <c r="E74" s="64"/>
      <c r="F74" s="63"/>
      <c r="G74" s="63"/>
      <c r="H74" s="64"/>
      <c r="I74" s="64"/>
      <c r="J74" s="64"/>
      <c r="K74" s="64"/>
      <c r="L74" s="64"/>
      <c r="M74" s="64"/>
      <c r="N74" s="64"/>
      <c r="O74" s="64"/>
      <c r="P74" s="64"/>
      <c r="Q74" s="64"/>
      <c r="R74" s="64"/>
      <c r="S74" s="64"/>
      <c r="T74" s="64"/>
      <c r="U74" s="64"/>
      <c r="V74" s="64"/>
      <c r="W74" s="64"/>
      <c r="X74" s="64"/>
      <c r="Y74" s="64"/>
      <c r="Z74" s="64"/>
    </row>
    <row r="75" ht="12.75" customHeight="1">
      <c r="A75" s="108"/>
      <c r="B75" s="64"/>
      <c r="C75" s="64"/>
      <c r="D75" s="64"/>
      <c r="E75" s="64"/>
      <c r="F75" s="63"/>
      <c r="G75" s="63"/>
      <c r="H75" s="64"/>
      <c r="I75" s="64"/>
      <c r="J75" s="64"/>
      <c r="K75" s="64"/>
      <c r="L75" s="64"/>
      <c r="M75" s="64"/>
      <c r="N75" s="64"/>
      <c r="O75" s="64"/>
      <c r="P75" s="64"/>
      <c r="Q75" s="64"/>
      <c r="R75" s="64"/>
      <c r="S75" s="64"/>
      <c r="T75" s="64"/>
      <c r="U75" s="64"/>
      <c r="V75" s="64"/>
      <c r="W75" s="64"/>
      <c r="X75" s="64"/>
      <c r="Y75" s="64"/>
      <c r="Z75" s="64"/>
    </row>
    <row r="76" ht="12.75" customHeight="1">
      <c r="A76" s="108"/>
      <c r="B76" s="64"/>
      <c r="C76" s="64"/>
      <c r="D76" s="64"/>
      <c r="E76" s="64"/>
      <c r="F76" s="63"/>
      <c r="G76" s="63"/>
      <c r="H76" s="64"/>
      <c r="I76" s="64"/>
      <c r="J76" s="64"/>
      <c r="K76" s="64"/>
      <c r="L76" s="64"/>
      <c r="M76" s="64"/>
      <c r="N76" s="64"/>
      <c r="O76" s="64"/>
      <c r="P76" s="64"/>
      <c r="Q76" s="64"/>
      <c r="R76" s="64"/>
      <c r="S76" s="64"/>
      <c r="T76" s="64"/>
      <c r="U76" s="64"/>
      <c r="V76" s="64"/>
      <c r="W76" s="64"/>
      <c r="X76" s="64"/>
      <c r="Y76" s="64"/>
      <c r="Z76" s="64"/>
    </row>
    <row r="77" ht="12.75" customHeight="1">
      <c r="A77" s="108"/>
      <c r="B77" s="64"/>
      <c r="C77" s="64"/>
      <c r="D77" s="64"/>
      <c r="E77" s="64"/>
      <c r="F77" s="63"/>
      <c r="G77" s="63"/>
      <c r="H77" s="64"/>
      <c r="I77" s="64"/>
      <c r="J77" s="64"/>
      <c r="K77" s="64"/>
      <c r="L77" s="64"/>
      <c r="M77" s="64"/>
      <c r="N77" s="64"/>
      <c r="O77" s="64"/>
      <c r="P77" s="64"/>
      <c r="Q77" s="64"/>
      <c r="R77" s="64"/>
      <c r="S77" s="64"/>
      <c r="T77" s="64"/>
      <c r="U77" s="64"/>
      <c r="V77" s="64"/>
      <c r="W77" s="64"/>
      <c r="X77" s="64"/>
      <c r="Y77" s="64"/>
      <c r="Z77" s="64"/>
    </row>
    <row r="78" ht="12.75" customHeight="1">
      <c r="A78" s="108"/>
      <c r="B78" s="64"/>
      <c r="C78" s="64"/>
      <c r="D78" s="64"/>
      <c r="E78" s="64"/>
      <c r="F78" s="63"/>
      <c r="G78" s="63"/>
      <c r="H78" s="64"/>
      <c r="I78" s="64"/>
      <c r="J78" s="64"/>
      <c r="K78" s="64"/>
      <c r="L78" s="64"/>
      <c r="M78" s="64"/>
      <c r="N78" s="64"/>
      <c r="O78" s="64"/>
      <c r="P78" s="64"/>
      <c r="Q78" s="64"/>
      <c r="R78" s="64"/>
      <c r="S78" s="64"/>
      <c r="T78" s="64"/>
      <c r="U78" s="64"/>
      <c r="V78" s="64"/>
      <c r="W78" s="64"/>
      <c r="X78" s="64"/>
      <c r="Y78" s="64"/>
      <c r="Z78" s="64"/>
    </row>
    <row r="79" ht="12.75" customHeight="1">
      <c r="A79" s="108"/>
      <c r="B79" s="64"/>
      <c r="C79" s="64"/>
      <c r="D79" s="64"/>
      <c r="E79" s="64"/>
      <c r="F79" s="63"/>
      <c r="G79" s="63"/>
      <c r="H79" s="64"/>
      <c r="I79" s="64"/>
      <c r="J79" s="64"/>
      <c r="K79" s="64"/>
      <c r="L79" s="64"/>
      <c r="M79" s="64"/>
      <c r="N79" s="64"/>
      <c r="O79" s="64"/>
      <c r="P79" s="64"/>
      <c r="Q79" s="64"/>
      <c r="R79" s="64"/>
      <c r="S79" s="64"/>
      <c r="T79" s="64"/>
      <c r="U79" s="64"/>
      <c r="V79" s="64"/>
      <c r="W79" s="64"/>
      <c r="X79" s="64"/>
      <c r="Y79" s="64"/>
      <c r="Z79" s="64"/>
    </row>
    <row r="80" ht="12.75" customHeight="1">
      <c r="A80" s="108"/>
      <c r="B80" s="64"/>
      <c r="C80" s="64"/>
      <c r="D80" s="64"/>
      <c r="E80" s="64"/>
      <c r="F80" s="63"/>
      <c r="G80" s="63"/>
      <c r="H80" s="64"/>
      <c r="I80" s="64"/>
      <c r="J80" s="64"/>
      <c r="K80" s="64"/>
      <c r="L80" s="64"/>
      <c r="M80" s="64"/>
      <c r="N80" s="64"/>
      <c r="O80" s="64"/>
      <c r="P80" s="64"/>
      <c r="Q80" s="64"/>
      <c r="R80" s="64"/>
      <c r="S80" s="64"/>
      <c r="T80" s="64"/>
      <c r="U80" s="64"/>
      <c r="V80" s="64"/>
      <c r="W80" s="64"/>
      <c r="X80" s="64"/>
      <c r="Y80" s="64"/>
      <c r="Z80" s="64"/>
    </row>
    <row r="81" ht="12.75" customHeight="1">
      <c r="A81" s="108"/>
      <c r="B81" s="64"/>
      <c r="C81" s="64"/>
      <c r="D81" s="64"/>
      <c r="E81" s="64"/>
      <c r="F81" s="63"/>
      <c r="G81" s="63"/>
      <c r="H81" s="64"/>
      <c r="I81" s="64"/>
      <c r="J81" s="64"/>
      <c r="K81" s="64"/>
      <c r="L81" s="64"/>
      <c r="M81" s="64"/>
      <c r="N81" s="64"/>
      <c r="O81" s="64"/>
      <c r="P81" s="64"/>
      <c r="Q81" s="64"/>
      <c r="R81" s="64"/>
      <c r="S81" s="64"/>
      <c r="T81" s="64"/>
      <c r="U81" s="64"/>
      <c r="V81" s="64"/>
      <c r="W81" s="64"/>
      <c r="X81" s="64"/>
      <c r="Y81" s="64"/>
      <c r="Z81" s="64"/>
    </row>
    <row r="82" ht="12.75" customHeight="1">
      <c r="A82" s="108"/>
      <c r="B82" s="64"/>
      <c r="C82" s="64"/>
      <c r="D82" s="64"/>
      <c r="E82" s="64"/>
      <c r="F82" s="63"/>
      <c r="G82" s="63"/>
      <c r="H82" s="64"/>
      <c r="I82" s="64"/>
      <c r="J82" s="64"/>
      <c r="K82" s="64"/>
      <c r="L82" s="64"/>
      <c r="M82" s="64"/>
      <c r="N82" s="64"/>
      <c r="O82" s="64"/>
      <c r="P82" s="64"/>
      <c r="Q82" s="64"/>
      <c r="R82" s="64"/>
      <c r="S82" s="64"/>
      <c r="T82" s="64"/>
      <c r="U82" s="64"/>
      <c r="V82" s="64"/>
      <c r="W82" s="64"/>
      <c r="X82" s="64"/>
      <c r="Y82" s="64"/>
      <c r="Z82" s="64"/>
    </row>
    <row r="83" ht="12.75" customHeight="1">
      <c r="A83" s="108"/>
      <c r="B83" s="64"/>
      <c r="C83" s="64"/>
      <c r="D83" s="64"/>
      <c r="E83" s="64"/>
      <c r="F83" s="63"/>
      <c r="G83" s="63"/>
      <c r="H83" s="64"/>
      <c r="I83" s="64"/>
      <c r="J83" s="64"/>
      <c r="K83" s="64"/>
      <c r="L83" s="64"/>
      <c r="M83" s="64"/>
      <c r="N83" s="64"/>
      <c r="O83" s="64"/>
      <c r="P83" s="64"/>
      <c r="Q83" s="64"/>
      <c r="R83" s="64"/>
      <c r="S83" s="64"/>
      <c r="T83" s="64"/>
      <c r="U83" s="64"/>
      <c r="V83" s="64"/>
      <c r="W83" s="64"/>
      <c r="X83" s="64"/>
      <c r="Y83" s="64"/>
      <c r="Z83" s="64"/>
    </row>
    <row r="84" ht="12.75" customHeight="1">
      <c r="A84" s="108"/>
      <c r="B84" s="64"/>
      <c r="C84" s="64"/>
      <c r="D84" s="64"/>
      <c r="E84" s="64"/>
      <c r="F84" s="63"/>
      <c r="G84" s="63"/>
      <c r="H84" s="64"/>
      <c r="I84" s="64"/>
      <c r="J84" s="64"/>
      <c r="K84" s="64"/>
      <c r="L84" s="64"/>
      <c r="M84" s="64"/>
      <c r="N84" s="64"/>
      <c r="O84" s="64"/>
      <c r="P84" s="64"/>
      <c r="Q84" s="64"/>
      <c r="R84" s="64"/>
      <c r="S84" s="64"/>
      <c r="T84" s="64"/>
      <c r="U84" s="64"/>
      <c r="V84" s="64"/>
      <c r="W84" s="64"/>
      <c r="X84" s="64"/>
      <c r="Y84" s="64"/>
      <c r="Z84" s="64"/>
    </row>
    <row r="85" ht="12.75" customHeight="1">
      <c r="A85" s="108"/>
      <c r="B85" s="64"/>
      <c r="C85" s="64"/>
      <c r="D85" s="64"/>
      <c r="E85" s="64"/>
      <c r="F85" s="63"/>
      <c r="G85" s="63"/>
      <c r="H85" s="64"/>
      <c r="I85" s="64"/>
      <c r="J85" s="64"/>
      <c r="K85" s="64"/>
      <c r="L85" s="64"/>
      <c r="M85" s="64"/>
      <c r="N85" s="64"/>
      <c r="O85" s="64"/>
      <c r="P85" s="64"/>
      <c r="Q85" s="64"/>
      <c r="R85" s="64"/>
      <c r="S85" s="64"/>
      <c r="T85" s="64"/>
      <c r="U85" s="64"/>
      <c r="V85" s="64"/>
      <c r="W85" s="64"/>
      <c r="X85" s="64"/>
      <c r="Y85" s="64"/>
      <c r="Z85" s="64"/>
    </row>
    <row r="86" ht="12.75" customHeight="1">
      <c r="A86" s="108"/>
      <c r="B86" s="64"/>
      <c r="C86" s="64"/>
      <c r="D86" s="64"/>
      <c r="E86" s="64"/>
      <c r="F86" s="63"/>
      <c r="G86" s="63"/>
      <c r="H86" s="64"/>
      <c r="I86" s="64"/>
      <c r="J86" s="64"/>
      <c r="K86" s="64"/>
      <c r="L86" s="64"/>
      <c r="M86" s="64"/>
      <c r="N86" s="64"/>
      <c r="O86" s="64"/>
      <c r="P86" s="64"/>
      <c r="Q86" s="64"/>
      <c r="R86" s="64"/>
      <c r="S86" s="64"/>
      <c r="T86" s="64"/>
      <c r="U86" s="64"/>
      <c r="V86" s="64"/>
      <c r="W86" s="64"/>
      <c r="X86" s="64"/>
      <c r="Y86" s="64"/>
      <c r="Z86" s="64"/>
    </row>
    <row r="87" ht="12.75" customHeight="1">
      <c r="A87" s="108"/>
      <c r="B87" s="64"/>
      <c r="C87" s="64"/>
      <c r="D87" s="64"/>
      <c r="E87" s="64"/>
      <c r="F87" s="63"/>
      <c r="G87" s="63"/>
      <c r="H87" s="64"/>
      <c r="I87" s="64"/>
      <c r="J87" s="64"/>
      <c r="K87" s="64"/>
      <c r="L87" s="64"/>
      <c r="M87" s="64"/>
      <c r="N87" s="64"/>
      <c r="O87" s="64"/>
      <c r="P87" s="64"/>
      <c r="Q87" s="64"/>
      <c r="R87" s="64"/>
      <c r="S87" s="64"/>
      <c r="T87" s="64"/>
      <c r="U87" s="64"/>
      <c r="V87" s="64"/>
      <c r="W87" s="64"/>
      <c r="X87" s="64"/>
      <c r="Y87" s="64"/>
      <c r="Z87" s="64"/>
    </row>
    <row r="88" ht="12.75" customHeight="1">
      <c r="A88" s="108"/>
      <c r="B88" s="64"/>
      <c r="C88" s="64"/>
      <c r="D88" s="64"/>
      <c r="E88" s="64"/>
      <c r="F88" s="63"/>
      <c r="G88" s="63"/>
      <c r="H88" s="64"/>
      <c r="I88" s="64"/>
      <c r="J88" s="64"/>
      <c r="K88" s="64"/>
      <c r="L88" s="64"/>
      <c r="M88" s="64"/>
      <c r="N88" s="64"/>
      <c r="O88" s="64"/>
      <c r="P88" s="64"/>
      <c r="Q88" s="64"/>
      <c r="R88" s="64"/>
      <c r="S88" s="64"/>
      <c r="T88" s="64"/>
      <c r="U88" s="64"/>
      <c r="V88" s="64"/>
      <c r="W88" s="64"/>
      <c r="X88" s="64"/>
      <c r="Y88" s="64"/>
      <c r="Z88" s="64"/>
    </row>
    <row r="89" ht="12.75" customHeight="1">
      <c r="A89" s="108"/>
      <c r="B89" s="64"/>
      <c r="C89" s="64"/>
      <c r="D89" s="64"/>
      <c r="E89" s="64"/>
      <c r="F89" s="63"/>
      <c r="G89" s="63"/>
      <c r="H89" s="64"/>
      <c r="I89" s="64"/>
      <c r="J89" s="64"/>
      <c r="K89" s="64"/>
      <c r="L89" s="64"/>
      <c r="M89" s="64"/>
      <c r="N89" s="64"/>
      <c r="O89" s="64"/>
      <c r="P89" s="64"/>
      <c r="Q89" s="64"/>
      <c r="R89" s="64"/>
      <c r="S89" s="64"/>
      <c r="T89" s="64"/>
      <c r="U89" s="64"/>
      <c r="V89" s="64"/>
      <c r="W89" s="64"/>
      <c r="X89" s="64"/>
      <c r="Y89" s="64"/>
      <c r="Z89" s="64"/>
    </row>
    <row r="90" ht="12.75" customHeight="1">
      <c r="A90" s="108"/>
      <c r="B90" s="64"/>
      <c r="C90" s="64"/>
      <c r="D90" s="64"/>
      <c r="E90" s="64"/>
      <c r="F90" s="63"/>
      <c r="G90" s="63"/>
      <c r="H90" s="64"/>
      <c r="I90" s="64"/>
      <c r="J90" s="64"/>
      <c r="K90" s="64"/>
      <c r="L90" s="64"/>
      <c r="M90" s="64"/>
      <c r="N90" s="64"/>
      <c r="O90" s="64"/>
      <c r="P90" s="64"/>
      <c r="Q90" s="64"/>
      <c r="R90" s="64"/>
      <c r="S90" s="64"/>
      <c r="T90" s="64"/>
      <c r="U90" s="64"/>
      <c r="V90" s="64"/>
      <c r="W90" s="64"/>
      <c r="X90" s="64"/>
      <c r="Y90" s="64"/>
      <c r="Z90" s="64"/>
    </row>
    <row r="91" ht="12.75" customHeight="1">
      <c r="A91" s="108"/>
      <c r="B91" s="64"/>
      <c r="C91" s="64"/>
      <c r="D91" s="64"/>
      <c r="E91" s="64"/>
      <c r="F91" s="63"/>
      <c r="G91" s="63"/>
      <c r="H91" s="64"/>
      <c r="I91" s="64"/>
      <c r="J91" s="64"/>
      <c r="K91" s="64"/>
      <c r="L91" s="64"/>
      <c r="M91" s="64"/>
      <c r="N91" s="64"/>
      <c r="O91" s="64"/>
      <c r="P91" s="64"/>
      <c r="Q91" s="64"/>
      <c r="R91" s="64"/>
      <c r="S91" s="64"/>
      <c r="T91" s="64"/>
      <c r="U91" s="64"/>
      <c r="V91" s="64"/>
      <c r="W91" s="64"/>
      <c r="X91" s="64"/>
      <c r="Y91" s="64"/>
      <c r="Z91" s="64"/>
    </row>
    <row r="92" ht="12.75" customHeight="1">
      <c r="A92" s="108"/>
      <c r="B92" s="64"/>
      <c r="C92" s="64"/>
      <c r="D92" s="64"/>
      <c r="E92" s="64"/>
      <c r="F92" s="63"/>
      <c r="G92" s="63"/>
      <c r="H92" s="64"/>
      <c r="I92" s="64"/>
      <c r="J92" s="64"/>
      <c r="K92" s="64"/>
      <c r="L92" s="64"/>
      <c r="M92" s="64"/>
      <c r="N92" s="64"/>
      <c r="O92" s="64"/>
      <c r="P92" s="64"/>
      <c r="Q92" s="64"/>
      <c r="R92" s="64"/>
      <c r="S92" s="64"/>
      <c r="T92" s="64"/>
      <c r="U92" s="64"/>
      <c r="V92" s="64"/>
      <c r="W92" s="64"/>
      <c r="X92" s="64"/>
      <c r="Y92" s="64"/>
      <c r="Z92" s="64"/>
    </row>
    <row r="93" ht="12.75" customHeight="1">
      <c r="A93" s="108"/>
      <c r="B93" s="64"/>
      <c r="C93" s="64"/>
      <c r="D93" s="64"/>
      <c r="E93" s="64"/>
      <c r="F93" s="63"/>
      <c r="G93" s="63"/>
      <c r="H93" s="64"/>
      <c r="I93" s="64"/>
      <c r="J93" s="64"/>
      <c r="K93" s="64"/>
      <c r="L93" s="64"/>
      <c r="M93" s="64"/>
      <c r="N93" s="64"/>
      <c r="O93" s="64"/>
      <c r="P93" s="64"/>
      <c r="Q93" s="64"/>
      <c r="R93" s="64"/>
      <c r="S93" s="64"/>
      <c r="T93" s="64"/>
      <c r="U93" s="64"/>
      <c r="V93" s="64"/>
      <c r="W93" s="64"/>
      <c r="X93" s="64"/>
      <c r="Y93" s="64"/>
      <c r="Z93" s="64"/>
    </row>
    <row r="94" ht="12.75" customHeight="1">
      <c r="A94" s="108"/>
      <c r="B94" s="64"/>
      <c r="C94" s="64"/>
      <c r="D94" s="64"/>
      <c r="E94" s="64"/>
      <c r="F94" s="63"/>
      <c r="G94" s="63"/>
      <c r="H94" s="64"/>
      <c r="I94" s="64"/>
      <c r="J94" s="64"/>
      <c r="K94" s="64"/>
      <c r="L94" s="64"/>
      <c r="M94" s="64"/>
      <c r="N94" s="64"/>
      <c r="O94" s="64"/>
      <c r="P94" s="64"/>
      <c r="Q94" s="64"/>
      <c r="R94" s="64"/>
      <c r="S94" s="64"/>
      <c r="T94" s="64"/>
      <c r="U94" s="64"/>
      <c r="V94" s="64"/>
      <c r="W94" s="64"/>
      <c r="X94" s="64"/>
      <c r="Y94" s="64"/>
      <c r="Z94" s="64"/>
    </row>
    <row r="95" ht="12.75" customHeight="1">
      <c r="A95" s="108"/>
      <c r="B95" s="64"/>
      <c r="C95" s="64"/>
      <c r="D95" s="64"/>
      <c r="E95" s="64"/>
      <c r="F95" s="63"/>
      <c r="G95" s="63"/>
      <c r="H95" s="64"/>
      <c r="I95" s="64"/>
      <c r="J95" s="64"/>
      <c r="K95" s="64"/>
      <c r="L95" s="64"/>
      <c r="M95" s="64"/>
      <c r="N95" s="64"/>
      <c r="O95" s="64"/>
      <c r="P95" s="64"/>
      <c r="Q95" s="64"/>
      <c r="R95" s="64"/>
      <c r="S95" s="64"/>
      <c r="T95" s="64"/>
      <c r="U95" s="64"/>
      <c r="V95" s="64"/>
      <c r="W95" s="64"/>
      <c r="X95" s="64"/>
      <c r="Y95" s="64"/>
      <c r="Z95" s="64"/>
    </row>
    <row r="96" ht="12.75" customHeight="1">
      <c r="A96" s="108"/>
      <c r="B96" s="64"/>
      <c r="C96" s="64"/>
      <c r="D96" s="64"/>
      <c r="E96" s="64"/>
      <c r="F96" s="63"/>
      <c r="G96" s="63"/>
      <c r="H96" s="64"/>
      <c r="I96" s="64"/>
      <c r="J96" s="64"/>
      <c r="K96" s="64"/>
      <c r="L96" s="64"/>
      <c r="M96" s="64"/>
      <c r="N96" s="64"/>
      <c r="O96" s="64"/>
      <c r="P96" s="64"/>
      <c r="Q96" s="64"/>
      <c r="R96" s="64"/>
      <c r="S96" s="64"/>
      <c r="T96" s="64"/>
      <c r="U96" s="64"/>
      <c r="V96" s="64"/>
      <c r="W96" s="64"/>
      <c r="X96" s="64"/>
      <c r="Y96" s="64"/>
      <c r="Z96" s="64"/>
    </row>
    <row r="97" ht="12.75" customHeight="1">
      <c r="A97" s="108"/>
      <c r="B97" s="64"/>
      <c r="C97" s="64"/>
      <c r="D97" s="64"/>
      <c r="E97" s="64"/>
      <c r="F97" s="63"/>
      <c r="G97" s="63"/>
      <c r="H97" s="64"/>
      <c r="I97" s="64"/>
      <c r="J97" s="64"/>
      <c r="K97" s="64"/>
      <c r="L97" s="64"/>
      <c r="M97" s="64"/>
      <c r="N97" s="64"/>
      <c r="O97" s="64"/>
      <c r="P97" s="64"/>
      <c r="Q97" s="64"/>
      <c r="R97" s="64"/>
      <c r="S97" s="64"/>
      <c r="T97" s="64"/>
      <c r="U97" s="64"/>
      <c r="V97" s="64"/>
      <c r="W97" s="64"/>
      <c r="X97" s="64"/>
      <c r="Y97" s="64"/>
      <c r="Z97" s="64"/>
    </row>
    <row r="98" ht="12.75" customHeight="1">
      <c r="A98" s="108"/>
      <c r="B98" s="64"/>
      <c r="C98" s="64"/>
      <c r="D98" s="64"/>
      <c r="E98" s="64"/>
      <c r="F98" s="63"/>
      <c r="G98" s="63"/>
      <c r="H98" s="64"/>
      <c r="I98" s="64"/>
      <c r="J98" s="64"/>
      <c r="K98" s="64"/>
      <c r="L98" s="64"/>
      <c r="M98" s="64"/>
      <c r="N98" s="64"/>
      <c r="O98" s="64"/>
      <c r="P98" s="64"/>
      <c r="Q98" s="64"/>
      <c r="R98" s="64"/>
      <c r="S98" s="64"/>
      <c r="T98" s="64"/>
      <c r="U98" s="64"/>
      <c r="V98" s="64"/>
      <c r="W98" s="64"/>
      <c r="X98" s="64"/>
      <c r="Y98" s="64"/>
      <c r="Z98" s="64"/>
    </row>
    <row r="99" ht="12.75" customHeight="1">
      <c r="A99" s="108"/>
      <c r="B99" s="64"/>
      <c r="C99" s="64"/>
      <c r="D99" s="64"/>
      <c r="E99" s="64"/>
      <c r="F99" s="63"/>
      <c r="G99" s="63"/>
      <c r="H99" s="64"/>
      <c r="I99" s="64"/>
      <c r="J99" s="64"/>
      <c r="K99" s="64"/>
      <c r="L99" s="64"/>
      <c r="M99" s="64"/>
      <c r="N99" s="64"/>
      <c r="O99" s="64"/>
      <c r="P99" s="64"/>
      <c r="Q99" s="64"/>
      <c r="R99" s="64"/>
      <c r="S99" s="64"/>
      <c r="T99" s="64"/>
      <c r="U99" s="64"/>
      <c r="V99" s="64"/>
      <c r="W99" s="64"/>
      <c r="X99" s="64"/>
      <c r="Y99" s="64"/>
      <c r="Z99" s="64"/>
    </row>
    <row r="100" ht="12.75" customHeight="1">
      <c r="A100" s="108"/>
      <c r="B100" s="64"/>
      <c r="C100" s="64"/>
      <c r="D100" s="64"/>
      <c r="E100" s="64"/>
      <c r="F100" s="63"/>
      <c r="G100" s="63"/>
      <c r="H100" s="64"/>
      <c r="I100" s="64"/>
      <c r="J100" s="64"/>
      <c r="K100" s="64"/>
      <c r="L100" s="64"/>
      <c r="M100" s="64"/>
      <c r="N100" s="64"/>
      <c r="O100" s="64"/>
      <c r="P100" s="64"/>
      <c r="Q100" s="64"/>
      <c r="R100" s="64"/>
      <c r="S100" s="64"/>
      <c r="T100" s="64"/>
      <c r="U100" s="64"/>
      <c r="V100" s="64"/>
      <c r="W100" s="64"/>
      <c r="X100" s="64"/>
      <c r="Y100" s="64"/>
      <c r="Z100" s="64"/>
    </row>
    <row r="101" ht="12.75" customHeight="1">
      <c r="A101" s="108"/>
      <c r="B101" s="64"/>
      <c r="C101" s="64"/>
      <c r="D101" s="64"/>
      <c r="E101" s="64"/>
      <c r="F101" s="63"/>
      <c r="G101" s="63"/>
      <c r="H101" s="64"/>
      <c r="I101" s="64"/>
      <c r="J101" s="64"/>
      <c r="K101" s="64"/>
      <c r="L101" s="64"/>
      <c r="M101" s="64"/>
      <c r="N101" s="64"/>
      <c r="O101" s="64"/>
      <c r="P101" s="64"/>
      <c r="Q101" s="64"/>
      <c r="R101" s="64"/>
      <c r="S101" s="64"/>
      <c r="T101" s="64"/>
      <c r="U101" s="64"/>
      <c r="V101" s="64"/>
      <c r="W101" s="64"/>
      <c r="X101" s="64"/>
      <c r="Y101" s="64"/>
      <c r="Z101" s="64"/>
    </row>
    <row r="102" ht="12.75" customHeight="1">
      <c r="A102" s="108"/>
      <c r="B102" s="64"/>
      <c r="C102" s="64"/>
      <c r="D102" s="64"/>
      <c r="E102" s="64"/>
      <c r="F102" s="63"/>
      <c r="G102" s="63"/>
      <c r="H102" s="64"/>
      <c r="I102" s="64"/>
      <c r="J102" s="64"/>
      <c r="K102" s="64"/>
      <c r="L102" s="64"/>
      <c r="M102" s="64"/>
      <c r="N102" s="64"/>
      <c r="O102" s="64"/>
      <c r="P102" s="64"/>
      <c r="Q102" s="64"/>
      <c r="R102" s="64"/>
      <c r="S102" s="64"/>
      <c r="T102" s="64"/>
      <c r="U102" s="64"/>
      <c r="V102" s="64"/>
      <c r="W102" s="64"/>
      <c r="X102" s="64"/>
      <c r="Y102" s="64"/>
      <c r="Z102" s="64"/>
    </row>
    <row r="103" ht="12.75" customHeight="1">
      <c r="A103" s="108"/>
      <c r="B103" s="64"/>
      <c r="C103" s="64"/>
      <c r="D103" s="64"/>
      <c r="E103" s="64"/>
      <c r="F103" s="63"/>
      <c r="G103" s="63"/>
      <c r="H103" s="64"/>
      <c r="I103" s="64"/>
      <c r="J103" s="64"/>
      <c r="K103" s="64"/>
      <c r="L103" s="64"/>
      <c r="M103" s="64"/>
      <c r="N103" s="64"/>
      <c r="O103" s="64"/>
      <c r="P103" s="64"/>
      <c r="Q103" s="64"/>
      <c r="R103" s="64"/>
      <c r="S103" s="64"/>
      <c r="T103" s="64"/>
      <c r="U103" s="64"/>
      <c r="V103" s="64"/>
      <c r="W103" s="64"/>
      <c r="X103" s="64"/>
      <c r="Y103" s="64"/>
      <c r="Z103" s="64"/>
    </row>
    <row r="104" ht="12.75" customHeight="1">
      <c r="A104" s="108"/>
      <c r="B104" s="64"/>
      <c r="C104" s="64"/>
      <c r="D104" s="64"/>
      <c r="E104" s="64"/>
      <c r="F104" s="63"/>
      <c r="G104" s="63"/>
      <c r="H104" s="64"/>
      <c r="I104" s="64"/>
      <c r="J104" s="64"/>
      <c r="K104" s="64"/>
      <c r="L104" s="64"/>
      <c r="M104" s="64"/>
      <c r="N104" s="64"/>
      <c r="O104" s="64"/>
      <c r="P104" s="64"/>
      <c r="Q104" s="64"/>
      <c r="R104" s="64"/>
      <c r="S104" s="64"/>
      <c r="T104" s="64"/>
      <c r="U104" s="64"/>
      <c r="V104" s="64"/>
      <c r="W104" s="64"/>
      <c r="X104" s="64"/>
      <c r="Y104" s="64"/>
      <c r="Z104" s="64"/>
    </row>
    <row r="105" ht="12.75" customHeight="1">
      <c r="A105" s="108"/>
      <c r="B105" s="64"/>
      <c r="C105" s="64"/>
      <c r="D105" s="64"/>
      <c r="E105" s="64"/>
      <c r="F105" s="63"/>
      <c r="G105" s="63"/>
      <c r="H105" s="64"/>
      <c r="I105" s="64"/>
      <c r="J105" s="64"/>
      <c r="K105" s="64"/>
      <c r="L105" s="64"/>
      <c r="M105" s="64"/>
      <c r="N105" s="64"/>
      <c r="O105" s="64"/>
      <c r="P105" s="64"/>
      <c r="Q105" s="64"/>
      <c r="R105" s="64"/>
      <c r="S105" s="64"/>
      <c r="T105" s="64"/>
      <c r="U105" s="64"/>
      <c r="V105" s="64"/>
      <c r="W105" s="64"/>
      <c r="X105" s="64"/>
      <c r="Y105" s="64"/>
      <c r="Z105" s="64"/>
    </row>
    <row r="106" ht="12.75" customHeight="1">
      <c r="A106" s="108"/>
      <c r="B106" s="64"/>
      <c r="C106" s="64"/>
      <c r="D106" s="64"/>
      <c r="E106" s="64"/>
      <c r="F106" s="63"/>
      <c r="G106" s="63"/>
      <c r="H106" s="64"/>
      <c r="I106" s="64"/>
      <c r="J106" s="64"/>
      <c r="K106" s="64"/>
      <c r="L106" s="64"/>
      <c r="M106" s="64"/>
      <c r="N106" s="64"/>
      <c r="O106" s="64"/>
      <c r="P106" s="64"/>
      <c r="Q106" s="64"/>
      <c r="R106" s="64"/>
      <c r="S106" s="64"/>
      <c r="T106" s="64"/>
      <c r="U106" s="64"/>
      <c r="V106" s="64"/>
      <c r="W106" s="64"/>
      <c r="X106" s="64"/>
      <c r="Y106" s="64"/>
      <c r="Z106" s="64"/>
    </row>
    <row r="107" ht="12.75" customHeight="1">
      <c r="A107" s="108"/>
      <c r="B107" s="64"/>
      <c r="C107" s="64"/>
      <c r="D107" s="64"/>
      <c r="E107" s="64"/>
      <c r="F107" s="63"/>
      <c r="G107" s="63"/>
      <c r="H107" s="64"/>
      <c r="I107" s="64"/>
      <c r="J107" s="64"/>
      <c r="K107" s="64"/>
      <c r="L107" s="64"/>
      <c r="M107" s="64"/>
      <c r="N107" s="64"/>
      <c r="O107" s="64"/>
      <c r="P107" s="64"/>
      <c r="Q107" s="64"/>
      <c r="R107" s="64"/>
      <c r="S107" s="64"/>
      <c r="T107" s="64"/>
      <c r="U107" s="64"/>
      <c r="V107" s="64"/>
      <c r="W107" s="64"/>
      <c r="X107" s="64"/>
      <c r="Y107" s="64"/>
      <c r="Z107" s="64"/>
    </row>
    <row r="108" ht="12.75" customHeight="1">
      <c r="A108" s="108"/>
      <c r="B108" s="64"/>
      <c r="C108" s="64"/>
      <c r="D108" s="64"/>
      <c r="E108" s="64"/>
      <c r="F108" s="63"/>
      <c r="G108" s="63"/>
      <c r="H108" s="64"/>
      <c r="I108" s="64"/>
      <c r="J108" s="64"/>
      <c r="K108" s="64"/>
      <c r="L108" s="64"/>
      <c r="M108" s="64"/>
      <c r="N108" s="64"/>
      <c r="O108" s="64"/>
      <c r="P108" s="64"/>
      <c r="Q108" s="64"/>
      <c r="R108" s="64"/>
      <c r="S108" s="64"/>
      <c r="T108" s="64"/>
      <c r="U108" s="64"/>
      <c r="V108" s="64"/>
      <c r="W108" s="64"/>
      <c r="X108" s="64"/>
      <c r="Y108" s="64"/>
      <c r="Z108" s="64"/>
    </row>
    <row r="109" ht="12.75" customHeight="1">
      <c r="A109" s="108"/>
      <c r="B109" s="64"/>
      <c r="C109" s="64"/>
      <c r="D109" s="64"/>
      <c r="E109" s="64"/>
      <c r="F109" s="63"/>
      <c r="G109" s="63"/>
      <c r="H109" s="64"/>
      <c r="I109" s="64"/>
      <c r="J109" s="64"/>
      <c r="K109" s="64"/>
      <c r="L109" s="64"/>
      <c r="M109" s="64"/>
      <c r="N109" s="64"/>
      <c r="O109" s="64"/>
      <c r="P109" s="64"/>
      <c r="Q109" s="64"/>
      <c r="R109" s="64"/>
      <c r="S109" s="64"/>
      <c r="T109" s="64"/>
      <c r="U109" s="64"/>
      <c r="V109" s="64"/>
      <c r="W109" s="64"/>
      <c r="X109" s="64"/>
      <c r="Y109" s="64"/>
      <c r="Z109" s="64"/>
    </row>
    <row r="110" ht="12.75" customHeight="1">
      <c r="A110" s="108"/>
      <c r="B110" s="64"/>
      <c r="C110" s="64"/>
      <c r="D110" s="64"/>
      <c r="E110" s="64"/>
      <c r="F110" s="63"/>
      <c r="G110" s="63"/>
      <c r="H110" s="64"/>
      <c r="I110" s="64"/>
      <c r="J110" s="64"/>
      <c r="K110" s="64"/>
      <c r="L110" s="64"/>
      <c r="M110" s="64"/>
      <c r="N110" s="64"/>
      <c r="O110" s="64"/>
      <c r="P110" s="64"/>
      <c r="Q110" s="64"/>
      <c r="R110" s="64"/>
      <c r="S110" s="64"/>
      <c r="T110" s="64"/>
      <c r="U110" s="64"/>
      <c r="V110" s="64"/>
      <c r="W110" s="64"/>
      <c r="X110" s="64"/>
      <c r="Y110" s="64"/>
      <c r="Z110" s="64"/>
    </row>
    <row r="111" ht="12.75" customHeight="1">
      <c r="A111" s="108"/>
      <c r="B111" s="64"/>
      <c r="C111" s="64"/>
      <c r="D111" s="64"/>
      <c r="E111" s="64"/>
      <c r="F111" s="63"/>
      <c r="G111" s="63"/>
      <c r="H111" s="64"/>
      <c r="I111" s="64"/>
      <c r="J111" s="64"/>
      <c r="K111" s="64"/>
      <c r="L111" s="64"/>
      <c r="M111" s="64"/>
      <c r="N111" s="64"/>
      <c r="O111" s="64"/>
      <c r="P111" s="64"/>
      <c r="Q111" s="64"/>
      <c r="R111" s="64"/>
      <c r="S111" s="64"/>
      <c r="T111" s="64"/>
      <c r="U111" s="64"/>
      <c r="V111" s="64"/>
      <c r="W111" s="64"/>
      <c r="X111" s="64"/>
      <c r="Y111" s="64"/>
      <c r="Z111" s="64"/>
    </row>
    <row r="112" ht="12.75" customHeight="1">
      <c r="A112" s="108"/>
      <c r="B112" s="64"/>
      <c r="C112" s="64"/>
      <c r="D112" s="64"/>
      <c r="E112" s="64"/>
      <c r="F112" s="63"/>
      <c r="G112" s="63"/>
      <c r="H112" s="64"/>
      <c r="I112" s="64"/>
      <c r="J112" s="64"/>
      <c r="K112" s="64"/>
      <c r="L112" s="64"/>
      <c r="M112" s="64"/>
      <c r="N112" s="64"/>
      <c r="O112" s="64"/>
      <c r="P112" s="64"/>
      <c r="Q112" s="64"/>
      <c r="R112" s="64"/>
      <c r="S112" s="64"/>
      <c r="T112" s="64"/>
      <c r="U112" s="64"/>
      <c r="V112" s="64"/>
      <c r="W112" s="64"/>
      <c r="X112" s="64"/>
      <c r="Y112" s="64"/>
      <c r="Z112" s="64"/>
    </row>
    <row r="113" ht="12.75" customHeight="1">
      <c r="A113" s="108"/>
      <c r="B113" s="64"/>
      <c r="C113" s="64"/>
      <c r="D113" s="64"/>
      <c r="E113" s="64"/>
      <c r="F113" s="63"/>
      <c r="G113" s="63"/>
      <c r="H113" s="64"/>
      <c r="I113" s="64"/>
      <c r="J113" s="64"/>
      <c r="K113" s="64"/>
      <c r="L113" s="64"/>
      <c r="M113" s="64"/>
      <c r="N113" s="64"/>
      <c r="O113" s="64"/>
      <c r="P113" s="64"/>
      <c r="Q113" s="64"/>
      <c r="R113" s="64"/>
      <c r="S113" s="64"/>
      <c r="T113" s="64"/>
      <c r="U113" s="64"/>
      <c r="V113" s="64"/>
      <c r="W113" s="64"/>
      <c r="X113" s="64"/>
      <c r="Y113" s="64"/>
      <c r="Z113" s="64"/>
    </row>
    <row r="114" ht="12.75" customHeight="1">
      <c r="A114" s="108"/>
      <c r="B114" s="64"/>
      <c r="C114" s="64"/>
      <c r="D114" s="64"/>
      <c r="E114" s="64"/>
      <c r="F114" s="63"/>
      <c r="G114" s="63"/>
      <c r="H114" s="64"/>
      <c r="I114" s="64"/>
      <c r="J114" s="64"/>
      <c r="K114" s="64"/>
      <c r="L114" s="64"/>
      <c r="M114" s="64"/>
      <c r="N114" s="64"/>
      <c r="O114" s="64"/>
      <c r="P114" s="64"/>
      <c r="Q114" s="64"/>
      <c r="R114" s="64"/>
      <c r="S114" s="64"/>
      <c r="T114" s="64"/>
      <c r="U114" s="64"/>
      <c r="V114" s="64"/>
      <c r="W114" s="64"/>
      <c r="X114" s="64"/>
      <c r="Y114" s="64"/>
      <c r="Z114" s="64"/>
    </row>
    <row r="115" ht="12.75" customHeight="1">
      <c r="A115" s="108"/>
      <c r="B115" s="64"/>
      <c r="C115" s="64"/>
      <c r="D115" s="64"/>
      <c r="E115" s="64"/>
      <c r="F115" s="63"/>
      <c r="G115" s="63"/>
      <c r="H115" s="64"/>
      <c r="I115" s="64"/>
      <c r="J115" s="64"/>
      <c r="K115" s="64"/>
      <c r="L115" s="64"/>
      <c r="M115" s="64"/>
      <c r="N115" s="64"/>
      <c r="O115" s="64"/>
      <c r="P115" s="64"/>
      <c r="Q115" s="64"/>
      <c r="R115" s="64"/>
      <c r="S115" s="64"/>
      <c r="T115" s="64"/>
      <c r="U115" s="64"/>
      <c r="V115" s="64"/>
      <c r="W115" s="64"/>
      <c r="X115" s="64"/>
      <c r="Y115" s="64"/>
      <c r="Z115" s="64"/>
    </row>
    <row r="116" ht="12.75" customHeight="1">
      <c r="A116" s="108"/>
      <c r="B116" s="64"/>
      <c r="C116" s="64"/>
      <c r="D116" s="64"/>
      <c r="E116" s="64"/>
      <c r="F116" s="63"/>
      <c r="G116" s="63"/>
      <c r="H116" s="64"/>
      <c r="I116" s="64"/>
      <c r="J116" s="64"/>
      <c r="K116" s="64"/>
      <c r="L116" s="64"/>
      <c r="M116" s="64"/>
      <c r="N116" s="64"/>
      <c r="O116" s="64"/>
      <c r="P116" s="64"/>
      <c r="Q116" s="64"/>
      <c r="R116" s="64"/>
      <c r="S116" s="64"/>
      <c r="T116" s="64"/>
      <c r="U116" s="64"/>
      <c r="V116" s="64"/>
      <c r="W116" s="64"/>
      <c r="X116" s="64"/>
      <c r="Y116" s="64"/>
      <c r="Z116" s="64"/>
    </row>
    <row r="117" ht="12.75" customHeight="1">
      <c r="A117" s="108"/>
      <c r="B117" s="64"/>
      <c r="C117" s="64"/>
      <c r="D117" s="64"/>
      <c r="E117" s="64"/>
      <c r="F117" s="63"/>
      <c r="G117" s="63"/>
      <c r="H117" s="64"/>
      <c r="I117" s="64"/>
      <c r="J117" s="64"/>
      <c r="K117" s="64"/>
      <c r="L117" s="64"/>
      <c r="M117" s="64"/>
      <c r="N117" s="64"/>
      <c r="O117" s="64"/>
      <c r="P117" s="64"/>
      <c r="Q117" s="64"/>
      <c r="R117" s="64"/>
      <c r="S117" s="64"/>
      <c r="T117" s="64"/>
      <c r="U117" s="64"/>
      <c r="V117" s="64"/>
      <c r="W117" s="64"/>
      <c r="X117" s="64"/>
      <c r="Y117" s="64"/>
      <c r="Z117" s="64"/>
    </row>
    <row r="118" ht="12.75" customHeight="1">
      <c r="A118" s="108"/>
      <c r="B118" s="64"/>
      <c r="C118" s="64"/>
      <c r="D118" s="64"/>
      <c r="E118" s="64"/>
      <c r="F118" s="63"/>
      <c r="G118" s="63"/>
      <c r="H118" s="64"/>
      <c r="I118" s="64"/>
      <c r="J118" s="64"/>
      <c r="K118" s="64"/>
      <c r="L118" s="64"/>
      <c r="M118" s="64"/>
      <c r="N118" s="64"/>
      <c r="O118" s="64"/>
      <c r="P118" s="64"/>
      <c r="Q118" s="64"/>
      <c r="R118" s="64"/>
      <c r="S118" s="64"/>
      <c r="T118" s="64"/>
      <c r="U118" s="64"/>
      <c r="V118" s="64"/>
      <c r="W118" s="64"/>
      <c r="X118" s="64"/>
      <c r="Y118" s="64"/>
      <c r="Z118" s="64"/>
    </row>
    <row r="119" ht="12.75" customHeight="1">
      <c r="A119" s="108"/>
      <c r="B119" s="64"/>
      <c r="C119" s="64"/>
      <c r="D119" s="64"/>
      <c r="E119" s="64"/>
      <c r="F119" s="63"/>
      <c r="G119" s="63"/>
      <c r="H119" s="64"/>
      <c r="I119" s="64"/>
      <c r="J119" s="64"/>
      <c r="K119" s="64"/>
      <c r="L119" s="64"/>
      <c r="M119" s="64"/>
      <c r="N119" s="64"/>
      <c r="O119" s="64"/>
      <c r="P119" s="64"/>
      <c r="Q119" s="64"/>
      <c r="R119" s="64"/>
      <c r="S119" s="64"/>
      <c r="T119" s="64"/>
      <c r="U119" s="64"/>
      <c r="V119" s="64"/>
      <c r="W119" s="64"/>
      <c r="X119" s="64"/>
      <c r="Y119" s="64"/>
      <c r="Z119" s="64"/>
    </row>
    <row r="120" ht="12.75" customHeight="1">
      <c r="A120" s="108"/>
      <c r="B120" s="64"/>
      <c r="C120" s="64"/>
      <c r="D120" s="64"/>
      <c r="E120" s="64"/>
      <c r="F120" s="63"/>
      <c r="G120" s="63"/>
      <c r="H120" s="64"/>
      <c r="I120" s="64"/>
      <c r="J120" s="64"/>
      <c r="K120" s="64"/>
      <c r="L120" s="64"/>
      <c r="M120" s="64"/>
      <c r="N120" s="64"/>
      <c r="O120" s="64"/>
      <c r="P120" s="64"/>
      <c r="Q120" s="64"/>
      <c r="R120" s="64"/>
      <c r="S120" s="64"/>
      <c r="T120" s="64"/>
      <c r="U120" s="64"/>
      <c r="V120" s="64"/>
      <c r="W120" s="64"/>
      <c r="X120" s="64"/>
      <c r="Y120" s="64"/>
      <c r="Z120" s="64"/>
    </row>
    <row r="121" ht="12.75" customHeight="1">
      <c r="A121" s="108"/>
      <c r="B121" s="64"/>
      <c r="C121" s="64"/>
      <c r="D121" s="64"/>
      <c r="E121" s="64"/>
      <c r="F121" s="63"/>
      <c r="G121" s="63"/>
      <c r="H121" s="64"/>
      <c r="I121" s="64"/>
      <c r="J121" s="64"/>
      <c r="K121" s="64"/>
      <c r="L121" s="64"/>
      <c r="M121" s="64"/>
      <c r="N121" s="64"/>
      <c r="O121" s="64"/>
      <c r="P121" s="64"/>
      <c r="Q121" s="64"/>
      <c r="R121" s="64"/>
      <c r="S121" s="64"/>
      <c r="T121" s="64"/>
      <c r="U121" s="64"/>
      <c r="V121" s="64"/>
      <c r="W121" s="64"/>
      <c r="X121" s="64"/>
      <c r="Y121" s="64"/>
      <c r="Z121" s="64"/>
    </row>
    <row r="122" ht="12.75" customHeight="1">
      <c r="A122" s="108"/>
      <c r="B122" s="64"/>
      <c r="C122" s="64"/>
      <c r="D122" s="64"/>
      <c r="E122" s="64"/>
      <c r="F122" s="63"/>
      <c r="G122" s="63"/>
      <c r="H122" s="64"/>
      <c r="I122" s="64"/>
      <c r="J122" s="64"/>
      <c r="K122" s="64"/>
      <c r="L122" s="64"/>
      <c r="M122" s="64"/>
      <c r="N122" s="64"/>
      <c r="O122" s="64"/>
      <c r="P122" s="64"/>
      <c r="Q122" s="64"/>
      <c r="R122" s="64"/>
      <c r="S122" s="64"/>
      <c r="T122" s="64"/>
      <c r="U122" s="64"/>
      <c r="V122" s="64"/>
      <c r="W122" s="64"/>
      <c r="X122" s="64"/>
      <c r="Y122" s="64"/>
      <c r="Z122" s="64"/>
    </row>
    <row r="123" ht="12.75" customHeight="1">
      <c r="A123" s="108"/>
      <c r="B123" s="64"/>
      <c r="C123" s="64"/>
      <c r="D123" s="64"/>
      <c r="E123" s="64"/>
      <c r="F123" s="63"/>
      <c r="G123" s="63"/>
      <c r="H123" s="64"/>
      <c r="I123" s="64"/>
      <c r="J123" s="64"/>
      <c r="K123" s="64"/>
      <c r="L123" s="64"/>
      <c r="M123" s="64"/>
      <c r="N123" s="64"/>
      <c r="O123" s="64"/>
      <c r="P123" s="64"/>
      <c r="Q123" s="64"/>
      <c r="R123" s="64"/>
      <c r="S123" s="64"/>
      <c r="T123" s="64"/>
      <c r="U123" s="64"/>
      <c r="V123" s="64"/>
      <c r="W123" s="64"/>
      <c r="X123" s="64"/>
      <c r="Y123" s="64"/>
      <c r="Z123" s="64"/>
    </row>
    <row r="124" ht="12.75" customHeight="1">
      <c r="A124" s="108"/>
      <c r="B124" s="64"/>
      <c r="C124" s="64"/>
      <c r="D124" s="64"/>
      <c r="E124" s="64"/>
      <c r="F124" s="63"/>
      <c r="G124" s="63"/>
      <c r="H124" s="64"/>
      <c r="I124" s="64"/>
      <c r="J124" s="64"/>
      <c r="K124" s="64"/>
      <c r="L124" s="64"/>
      <c r="M124" s="64"/>
      <c r="N124" s="64"/>
      <c r="O124" s="64"/>
      <c r="P124" s="64"/>
      <c r="Q124" s="64"/>
      <c r="R124" s="64"/>
      <c r="S124" s="64"/>
      <c r="T124" s="64"/>
      <c r="U124" s="64"/>
      <c r="V124" s="64"/>
      <c r="W124" s="64"/>
      <c r="X124" s="64"/>
      <c r="Y124" s="64"/>
      <c r="Z124" s="64"/>
    </row>
    <row r="125" ht="12.75" customHeight="1">
      <c r="A125" s="108"/>
      <c r="B125" s="64"/>
      <c r="C125" s="64"/>
      <c r="D125" s="64"/>
      <c r="E125" s="64"/>
      <c r="F125" s="63"/>
      <c r="G125" s="63"/>
      <c r="H125" s="64"/>
      <c r="I125" s="64"/>
      <c r="J125" s="64"/>
      <c r="K125" s="64"/>
      <c r="L125" s="64"/>
      <c r="M125" s="64"/>
      <c r="N125" s="64"/>
      <c r="O125" s="64"/>
      <c r="P125" s="64"/>
      <c r="Q125" s="64"/>
      <c r="R125" s="64"/>
      <c r="S125" s="64"/>
      <c r="T125" s="64"/>
      <c r="U125" s="64"/>
      <c r="V125" s="64"/>
      <c r="W125" s="64"/>
      <c r="X125" s="64"/>
      <c r="Y125" s="64"/>
      <c r="Z125" s="64"/>
    </row>
    <row r="126" ht="12.75" customHeight="1">
      <c r="A126" s="108"/>
      <c r="B126" s="64"/>
      <c r="C126" s="64"/>
      <c r="D126" s="64"/>
      <c r="E126" s="64"/>
      <c r="F126" s="63"/>
      <c r="G126" s="63"/>
      <c r="H126" s="64"/>
      <c r="I126" s="64"/>
      <c r="J126" s="64"/>
      <c r="K126" s="64"/>
      <c r="L126" s="64"/>
      <c r="M126" s="64"/>
      <c r="N126" s="64"/>
      <c r="O126" s="64"/>
      <c r="P126" s="64"/>
      <c r="Q126" s="64"/>
      <c r="R126" s="64"/>
      <c r="S126" s="64"/>
      <c r="T126" s="64"/>
      <c r="U126" s="64"/>
      <c r="V126" s="64"/>
      <c r="W126" s="64"/>
      <c r="X126" s="64"/>
      <c r="Y126" s="64"/>
      <c r="Z126" s="64"/>
    </row>
    <row r="127" ht="12.75" customHeight="1">
      <c r="A127" s="108"/>
      <c r="B127" s="64"/>
      <c r="C127" s="64"/>
      <c r="D127" s="64"/>
      <c r="E127" s="64"/>
      <c r="F127" s="63"/>
      <c r="G127" s="63"/>
      <c r="H127" s="64"/>
      <c r="I127" s="64"/>
      <c r="J127" s="64"/>
      <c r="K127" s="64"/>
      <c r="L127" s="64"/>
      <c r="M127" s="64"/>
      <c r="N127" s="64"/>
      <c r="O127" s="64"/>
      <c r="P127" s="64"/>
      <c r="Q127" s="64"/>
      <c r="R127" s="64"/>
      <c r="S127" s="64"/>
      <c r="T127" s="64"/>
      <c r="U127" s="64"/>
      <c r="V127" s="64"/>
      <c r="W127" s="64"/>
      <c r="X127" s="64"/>
      <c r="Y127" s="64"/>
      <c r="Z127" s="64"/>
    </row>
    <row r="128" ht="12.75" customHeight="1">
      <c r="A128" s="108"/>
      <c r="B128" s="64"/>
      <c r="C128" s="64"/>
      <c r="D128" s="64"/>
      <c r="E128" s="64"/>
      <c r="F128" s="63"/>
      <c r="G128" s="63"/>
      <c r="H128" s="64"/>
      <c r="I128" s="64"/>
      <c r="J128" s="64"/>
      <c r="K128" s="64"/>
      <c r="L128" s="64"/>
      <c r="M128" s="64"/>
      <c r="N128" s="64"/>
      <c r="O128" s="64"/>
      <c r="P128" s="64"/>
      <c r="Q128" s="64"/>
      <c r="R128" s="64"/>
      <c r="S128" s="64"/>
      <c r="T128" s="64"/>
      <c r="U128" s="64"/>
      <c r="V128" s="64"/>
      <c r="W128" s="64"/>
      <c r="X128" s="64"/>
      <c r="Y128" s="64"/>
      <c r="Z128" s="64"/>
    </row>
    <row r="129" ht="12.75" customHeight="1">
      <c r="A129" s="108"/>
      <c r="B129" s="64"/>
      <c r="C129" s="64"/>
      <c r="D129" s="64"/>
      <c r="E129" s="64"/>
      <c r="F129" s="63"/>
      <c r="G129" s="63"/>
      <c r="H129" s="64"/>
      <c r="I129" s="64"/>
      <c r="J129" s="64"/>
      <c r="K129" s="64"/>
      <c r="L129" s="64"/>
      <c r="M129" s="64"/>
      <c r="N129" s="64"/>
      <c r="O129" s="64"/>
      <c r="P129" s="64"/>
      <c r="Q129" s="64"/>
      <c r="R129" s="64"/>
      <c r="S129" s="64"/>
      <c r="T129" s="64"/>
      <c r="U129" s="64"/>
      <c r="V129" s="64"/>
      <c r="W129" s="64"/>
      <c r="X129" s="64"/>
      <c r="Y129" s="64"/>
      <c r="Z129" s="64"/>
    </row>
    <row r="130" ht="12.75" customHeight="1">
      <c r="A130" s="108"/>
      <c r="B130" s="64"/>
      <c r="C130" s="64"/>
      <c r="D130" s="64"/>
      <c r="E130" s="64"/>
      <c r="F130" s="63"/>
      <c r="G130" s="63"/>
      <c r="H130" s="64"/>
      <c r="I130" s="64"/>
      <c r="J130" s="64"/>
      <c r="K130" s="64"/>
      <c r="L130" s="64"/>
      <c r="M130" s="64"/>
      <c r="N130" s="64"/>
      <c r="O130" s="64"/>
      <c r="P130" s="64"/>
      <c r="Q130" s="64"/>
      <c r="R130" s="64"/>
      <c r="S130" s="64"/>
      <c r="T130" s="64"/>
      <c r="U130" s="64"/>
      <c r="V130" s="64"/>
      <c r="W130" s="64"/>
      <c r="X130" s="64"/>
      <c r="Y130" s="64"/>
      <c r="Z130" s="64"/>
    </row>
    <row r="131" ht="12.75" customHeight="1">
      <c r="A131" s="108"/>
      <c r="B131" s="64"/>
      <c r="C131" s="64"/>
      <c r="D131" s="64"/>
      <c r="E131" s="64"/>
      <c r="F131" s="63"/>
      <c r="G131" s="63"/>
      <c r="H131" s="64"/>
      <c r="I131" s="64"/>
      <c r="J131" s="64"/>
      <c r="K131" s="64"/>
      <c r="L131" s="64"/>
      <c r="M131" s="64"/>
      <c r="N131" s="64"/>
      <c r="O131" s="64"/>
      <c r="P131" s="64"/>
      <c r="Q131" s="64"/>
      <c r="R131" s="64"/>
      <c r="S131" s="64"/>
      <c r="T131" s="64"/>
      <c r="U131" s="64"/>
      <c r="V131" s="64"/>
      <c r="W131" s="64"/>
      <c r="X131" s="64"/>
      <c r="Y131" s="64"/>
      <c r="Z131" s="64"/>
    </row>
    <row r="132" ht="12.75" customHeight="1">
      <c r="A132" s="108"/>
      <c r="B132" s="64"/>
      <c r="C132" s="64"/>
      <c r="D132" s="64"/>
      <c r="E132" s="64"/>
      <c r="F132" s="63"/>
      <c r="G132" s="63"/>
      <c r="H132" s="64"/>
      <c r="I132" s="64"/>
      <c r="J132" s="64"/>
      <c r="K132" s="64"/>
      <c r="L132" s="64"/>
      <c r="M132" s="64"/>
      <c r="N132" s="64"/>
      <c r="O132" s="64"/>
      <c r="P132" s="64"/>
      <c r="Q132" s="64"/>
      <c r="R132" s="64"/>
      <c r="S132" s="64"/>
      <c r="T132" s="64"/>
      <c r="U132" s="64"/>
      <c r="V132" s="64"/>
      <c r="W132" s="64"/>
      <c r="X132" s="64"/>
      <c r="Y132" s="64"/>
      <c r="Z132" s="64"/>
    </row>
    <row r="133" ht="12.75" customHeight="1">
      <c r="A133" s="108"/>
      <c r="B133" s="64"/>
      <c r="C133" s="64"/>
      <c r="D133" s="64"/>
      <c r="E133" s="64"/>
      <c r="F133" s="63"/>
      <c r="G133" s="63"/>
      <c r="H133" s="64"/>
      <c r="I133" s="64"/>
      <c r="J133" s="64"/>
      <c r="K133" s="64"/>
      <c r="L133" s="64"/>
      <c r="M133" s="64"/>
      <c r="N133" s="64"/>
      <c r="O133" s="64"/>
      <c r="P133" s="64"/>
      <c r="Q133" s="64"/>
      <c r="R133" s="64"/>
      <c r="S133" s="64"/>
      <c r="T133" s="64"/>
      <c r="U133" s="64"/>
      <c r="V133" s="64"/>
      <c r="W133" s="64"/>
      <c r="X133" s="64"/>
      <c r="Y133" s="64"/>
      <c r="Z133" s="64"/>
    </row>
    <row r="134" ht="12.75" customHeight="1">
      <c r="A134" s="108"/>
      <c r="B134" s="64"/>
      <c r="C134" s="64"/>
      <c r="D134" s="64"/>
      <c r="E134" s="64"/>
      <c r="F134" s="63"/>
      <c r="G134" s="63"/>
      <c r="H134" s="64"/>
      <c r="I134" s="64"/>
      <c r="J134" s="64"/>
      <c r="K134" s="64"/>
      <c r="L134" s="64"/>
      <c r="M134" s="64"/>
      <c r="N134" s="64"/>
      <c r="O134" s="64"/>
      <c r="P134" s="64"/>
      <c r="Q134" s="64"/>
      <c r="R134" s="64"/>
      <c r="S134" s="64"/>
      <c r="T134" s="64"/>
      <c r="U134" s="64"/>
      <c r="V134" s="64"/>
      <c r="W134" s="64"/>
      <c r="X134" s="64"/>
      <c r="Y134" s="64"/>
      <c r="Z134" s="64"/>
    </row>
    <row r="135" ht="12.75" customHeight="1">
      <c r="A135" s="108"/>
      <c r="B135" s="64"/>
      <c r="C135" s="64"/>
      <c r="D135" s="64"/>
      <c r="E135" s="64"/>
      <c r="F135" s="63"/>
      <c r="G135" s="63"/>
      <c r="H135" s="64"/>
      <c r="I135" s="64"/>
      <c r="J135" s="64"/>
      <c r="K135" s="64"/>
      <c r="L135" s="64"/>
      <c r="M135" s="64"/>
      <c r="N135" s="64"/>
      <c r="O135" s="64"/>
      <c r="P135" s="64"/>
      <c r="Q135" s="64"/>
      <c r="R135" s="64"/>
      <c r="S135" s="64"/>
      <c r="T135" s="64"/>
      <c r="U135" s="64"/>
      <c r="V135" s="64"/>
      <c r="W135" s="64"/>
      <c r="X135" s="64"/>
      <c r="Y135" s="64"/>
      <c r="Z135" s="64"/>
    </row>
    <row r="136" ht="12.75" customHeight="1">
      <c r="A136" s="108"/>
      <c r="B136" s="64"/>
      <c r="C136" s="64"/>
      <c r="D136" s="64"/>
      <c r="E136" s="64"/>
      <c r="F136" s="63"/>
      <c r="G136" s="63"/>
      <c r="H136" s="64"/>
      <c r="I136" s="64"/>
      <c r="J136" s="64"/>
      <c r="K136" s="64"/>
      <c r="L136" s="64"/>
      <c r="M136" s="64"/>
      <c r="N136" s="64"/>
      <c r="O136" s="64"/>
      <c r="P136" s="64"/>
      <c r="Q136" s="64"/>
      <c r="R136" s="64"/>
      <c r="S136" s="64"/>
      <c r="T136" s="64"/>
      <c r="U136" s="64"/>
      <c r="V136" s="64"/>
      <c r="W136" s="64"/>
      <c r="X136" s="64"/>
      <c r="Y136" s="64"/>
      <c r="Z136" s="64"/>
    </row>
    <row r="137" ht="12.75" customHeight="1">
      <c r="A137" s="108"/>
      <c r="B137" s="64"/>
      <c r="C137" s="64"/>
      <c r="D137" s="64"/>
      <c r="E137" s="64"/>
      <c r="F137" s="63"/>
      <c r="G137" s="63"/>
      <c r="H137" s="64"/>
      <c r="I137" s="64"/>
      <c r="J137" s="64"/>
      <c r="K137" s="64"/>
      <c r="L137" s="64"/>
      <c r="M137" s="64"/>
      <c r="N137" s="64"/>
      <c r="O137" s="64"/>
      <c r="P137" s="64"/>
      <c r="Q137" s="64"/>
      <c r="R137" s="64"/>
      <c r="S137" s="64"/>
      <c r="T137" s="64"/>
      <c r="U137" s="64"/>
      <c r="V137" s="64"/>
      <c r="W137" s="64"/>
      <c r="X137" s="64"/>
      <c r="Y137" s="64"/>
      <c r="Z137" s="64"/>
    </row>
    <row r="138" ht="12.75" customHeight="1">
      <c r="A138" s="108"/>
      <c r="B138" s="64"/>
      <c r="C138" s="64"/>
      <c r="D138" s="64"/>
      <c r="E138" s="64"/>
      <c r="F138" s="63"/>
      <c r="G138" s="63"/>
      <c r="H138" s="64"/>
      <c r="I138" s="64"/>
      <c r="J138" s="64"/>
      <c r="K138" s="64"/>
      <c r="L138" s="64"/>
      <c r="M138" s="64"/>
      <c r="N138" s="64"/>
      <c r="O138" s="64"/>
      <c r="P138" s="64"/>
      <c r="Q138" s="64"/>
      <c r="R138" s="64"/>
      <c r="S138" s="64"/>
      <c r="T138" s="64"/>
      <c r="U138" s="64"/>
      <c r="V138" s="64"/>
      <c r="W138" s="64"/>
      <c r="X138" s="64"/>
      <c r="Y138" s="64"/>
      <c r="Z138" s="64"/>
    </row>
    <row r="139" ht="12.75" customHeight="1">
      <c r="A139" s="108"/>
      <c r="B139" s="64"/>
      <c r="C139" s="64"/>
      <c r="D139" s="64"/>
      <c r="E139" s="64"/>
      <c r="F139" s="63"/>
      <c r="G139" s="63"/>
      <c r="H139" s="64"/>
      <c r="I139" s="64"/>
      <c r="J139" s="64"/>
      <c r="K139" s="64"/>
      <c r="L139" s="64"/>
      <c r="M139" s="64"/>
      <c r="N139" s="64"/>
      <c r="O139" s="64"/>
      <c r="P139" s="64"/>
      <c r="Q139" s="64"/>
      <c r="R139" s="64"/>
      <c r="S139" s="64"/>
      <c r="T139" s="64"/>
      <c r="U139" s="64"/>
      <c r="V139" s="64"/>
      <c r="W139" s="64"/>
      <c r="X139" s="64"/>
      <c r="Y139" s="64"/>
      <c r="Z139" s="64"/>
    </row>
    <row r="140" ht="12.75" customHeight="1">
      <c r="A140" s="108"/>
      <c r="B140" s="64"/>
      <c r="C140" s="64"/>
      <c r="D140" s="64"/>
      <c r="E140" s="64"/>
      <c r="F140" s="63"/>
      <c r="G140" s="63"/>
      <c r="H140" s="64"/>
      <c r="I140" s="64"/>
      <c r="J140" s="64"/>
      <c r="K140" s="64"/>
      <c r="L140" s="64"/>
      <c r="M140" s="64"/>
      <c r="N140" s="64"/>
      <c r="O140" s="64"/>
      <c r="P140" s="64"/>
      <c r="Q140" s="64"/>
      <c r="R140" s="64"/>
      <c r="S140" s="64"/>
      <c r="T140" s="64"/>
      <c r="U140" s="64"/>
      <c r="V140" s="64"/>
      <c r="W140" s="64"/>
      <c r="X140" s="64"/>
      <c r="Y140" s="64"/>
      <c r="Z140" s="64"/>
    </row>
    <row r="141" ht="12.75" customHeight="1">
      <c r="A141" s="108"/>
      <c r="B141" s="64"/>
      <c r="C141" s="64"/>
      <c r="D141" s="64"/>
      <c r="E141" s="64"/>
      <c r="F141" s="63"/>
      <c r="G141" s="63"/>
      <c r="H141" s="64"/>
      <c r="I141" s="64"/>
      <c r="J141" s="64"/>
      <c r="K141" s="64"/>
      <c r="L141" s="64"/>
      <c r="M141" s="64"/>
      <c r="N141" s="64"/>
      <c r="O141" s="64"/>
      <c r="P141" s="64"/>
      <c r="Q141" s="64"/>
      <c r="R141" s="64"/>
      <c r="S141" s="64"/>
      <c r="T141" s="64"/>
      <c r="U141" s="64"/>
      <c r="V141" s="64"/>
      <c r="W141" s="64"/>
      <c r="X141" s="64"/>
      <c r="Y141" s="64"/>
      <c r="Z141" s="64"/>
    </row>
    <row r="142" ht="12.75" customHeight="1">
      <c r="A142" s="108"/>
      <c r="B142" s="64"/>
      <c r="C142" s="64"/>
      <c r="D142" s="64"/>
      <c r="E142" s="64"/>
      <c r="F142" s="63"/>
      <c r="G142" s="63"/>
      <c r="H142" s="64"/>
      <c r="I142" s="64"/>
      <c r="J142" s="64"/>
      <c r="K142" s="64"/>
      <c r="L142" s="64"/>
      <c r="M142" s="64"/>
      <c r="N142" s="64"/>
      <c r="O142" s="64"/>
      <c r="P142" s="64"/>
      <c r="Q142" s="64"/>
      <c r="R142" s="64"/>
      <c r="S142" s="64"/>
      <c r="T142" s="64"/>
      <c r="U142" s="64"/>
      <c r="V142" s="64"/>
      <c r="W142" s="64"/>
      <c r="X142" s="64"/>
      <c r="Y142" s="64"/>
      <c r="Z142" s="64"/>
    </row>
    <row r="143" ht="12.75" customHeight="1">
      <c r="A143" s="108"/>
      <c r="B143" s="64"/>
      <c r="C143" s="64"/>
      <c r="D143" s="64"/>
      <c r="E143" s="64"/>
      <c r="F143" s="63"/>
      <c r="G143" s="63"/>
      <c r="H143" s="64"/>
      <c r="I143" s="64"/>
      <c r="J143" s="64"/>
      <c r="K143" s="64"/>
      <c r="L143" s="64"/>
      <c r="M143" s="64"/>
      <c r="N143" s="64"/>
      <c r="O143" s="64"/>
      <c r="P143" s="64"/>
      <c r="Q143" s="64"/>
      <c r="R143" s="64"/>
      <c r="S143" s="64"/>
      <c r="T143" s="64"/>
      <c r="U143" s="64"/>
      <c r="V143" s="64"/>
      <c r="W143" s="64"/>
      <c r="X143" s="64"/>
      <c r="Y143" s="64"/>
      <c r="Z143" s="64"/>
    </row>
    <row r="144" ht="12.75" customHeight="1">
      <c r="A144" s="108"/>
      <c r="B144" s="64"/>
      <c r="C144" s="64"/>
      <c r="D144" s="64"/>
      <c r="E144" s="64"/>
      <c r="F144" s="63"/>
      <c r="G144" s="63"/>
      <c r="H144" s="64"/>
      <c r="I144" s="64"/>
      <c r="J144" s="64"/>
      <c r="K144" s="64"/>
      <c r="L144" s="64"/>
      <c r="M144" s="64"/>
      <c r="N144" s="64"/>
      <c r="O144" s="64"/>
      <c r="P144" s="64"/>
      <c r="Q144" s="64"/>
      <c r="R144" s="64"/>
      <c r="S144" s="64"/>
      <c r="T144" s="64"/>
      <c r="U144" s="64"/>
      <c r="V144" s="64"/>
      <c r="W144" s="64"/>
      <c r="X144" s="64"/>
      <c r="Y144" s="64"/>
      <c r="Z144" s="64"/>
    </row>
    <row r="145" ht="12.75" customHeight="1">
      <c r="A145" s="108"/>
      <c r="B145" s="64"/>
      <c r="C145" s="64"/>
      <c r="D145" s="64"/>
      <c r="E145" s="64"/>
      <c r="F145" s="63"/>
      <c r="G145" s="63"/>
      <c r="H145" s="64"/>
      <c r="I145" s="64"/>
      <c r="J145" s="64"/>
      <c r="K145" s="64"/>
      <c r="L145" s="64"/>
      <c r="M145" s="64"/>
      <c r="N145" s="64"/>
      <c r="O145" s="64"/>
      <c r="P145" s="64"/>
      <c r="Q145" s="64"/>
      <c r="R145" s="64"/>
      <c r="S145" s="64"/>
      <c r="T145" s="64"/>
      <c r="U145" s="64"/>
      <c r="V145" s="64"/>
      <c r="W145" s="64"/>
      <c r="X145" s="64"/>
      <c r="Y145" s="64"/>
      <c r="Z145" s="64"/>
    </row>
    <row r="146" ht="12.75" customHeight="1">
      <c r="A146" s="108"/>
      <c r="B146" s="64"/>
      <c r="C146" s="64"/>
      <c r="D146" s="64"/>
      <c r="E146" s="64"/>
      <c r="F146" s="63"/>
      <c r="G146" s="63"/>
      <c r="H146" s="64"/>
      <c r="I146" s="64"/>
      <c r="J146" s="64"/>
      <c r="K146" s="64"/>
      <c r="L146" s="64"/>
      <c r="M146" s="64"/>
      <c r="N146" s="64"/>
      <c r="O146" s="64"/>
      <c r="P146" s="64"/>
      <c r="Q146" s="64"/>
      <c r="R146" s="64"/>
      <c r="S146" s="64"/>
      <c r="T146" s="64"/>
      <c r="U146" s="64"/>
      <c r="V146" s="64"/>
      <c r="W146" s="64"/>
      <c r="X146" s="64"/>
      <c r="Y146" s="64"/>
      <c r="Z146" s="64"/>
    </row>
    <row r="147" ht="12.75" customHeight="1">
      <c r="A147" s="108"/>
      <c r="B147" s="64"/>
      <c r="C147" s="64"/>
      <c r="D147" s="64"/>
      <c r="E147" s="64"/>
      <c r="F147" s="63"/>
      <c r="G147" s="63"/>
      <c r="H147" s="64"/>
      <c r="I147" s="64"/>
      <c r="J147" s="64"/>
      <c r="K147" s="64"/>
      <c r="L147" s="64"/>
      <c r="M147" s="64"/>
      <c r="N147" s="64"/>
      <c r="O147" s="64"/>
      <c r="P147" s="64"/>
      <c r="Q147" s="64"/>
      <c r="R147" s="64"/>
      <c r="S147" s="64"/>
      <c r="T147" s="64"/>
      <c r="U147" s="64"/>
      <c r="V147" s="64"/>
      <c r="W147" s="64"/>
      <c r="X147" s="64"/>
      <c r="Y147" s="64"/>
      <c r="Z147" s="64"/>
    </row>
    <row r="148" ht="12.75" customHeight="1">
      <c r="A148" s="108"/>
      <c r="B148" s="64"/>
      <c r="C148" s="64"/>
      <c r="D148" s="64"/>
      <c r="E148" s="64"/>
      <c r="F148" s="63"/>
      <c r="G148" s="63"/>
      <c r="H148" s="64"/>
      <c r="I148" s="64"/>
      <c r="J148" s="64"/>
      <c r="K148" s="64"/>
      <c r="L148" s="64"/>
      <c r="M148" s="64"/>
      <c r="N148" s="64"/>
      <c r="O148" s="64"/>
      <c r="P148" s="64"/>
      <c r="Q148" s="64"/>
      <c r="R148" s="64"/>
      <c r="S148" s="64"/>
      <c r="T148" s="64"/>
      <c r="U148" s="64"/>
      <c r="V148" s="64"/>
      <c r="W148" s="64"/>
      <c r="X148" s="64"/>
      <c r="Y148" s="64"/>
      <c r="Z148" s="64"/>
    </row>
    <row r="149" ht="12.75" customHeight="1">
      <c r="A149" s="108"/>
      <c r="B149" s="64"/>
      <c r="C149" s="64"/>
      <c r="D149" s="64"/>
      <c r="E149" s="64"/>
      <c r="F149" s="63"/>
      <c r="G149" s="63"/>
      <c r="H149" s="64"/>
      <c r="I149" s="64"/>
      <c r="J149" s="64"/>
      <c r="K149" s="64"/>
      <c r="L149" s="64"/>
      <c r="M149" s="64"/>
      <c r="N149" s="64"/>
      <c r="O149" s="64"/>
      <c r="P149" s="64"/>
      <c r="Q149" s="64"/>
      <c r="R149" s="64"/>
      <c r="S149" s="64"/>
      <c r="T149" s="64"/>
      <c r="U149" s="64"/>
      <c r="V149" s="64"/>
      <c r="W149" s="64"/>
      <c r="X149" s="64"/>
      <c r="Y149" s="64"/>
      <c r="Z149" s="64"/>
    </row>
    <row r="150" ht="12.75" customHeight="1">
      <c r="A150" s="108"/>
      <c r="B150" s="64"/>
      <c r="C150" s="64"/>
      <c r="D150" s="64"/>
      <c r="E150" s="64"/>
      <c r="F150" s="63"/>
      <c r="G150" s="63"/>
      <c r="H150" s="64"/>
      <c r="I150" s="64"/>
      <c r="J150" s="64"/>
      <c r="K150" s="64"/>
      <c r="L150" s="64"/>
      <c r="M150" s="64"/>
      <c r="N150" s="64"/>
      <c r="O150" s="64"/>
      <c r="P150" s="64"/>
      <c r="Q150" s="64"/>
      <c r="R150" s="64"/>
      <c r="S150" s="64"/>
      <c r="T150" s="64"/>
      <c r="U150" s="64"/>
      <c r="V150" s="64"/>
      <c r="W150" s="64"/>
      <c r="X150" s="64"/>
      <c r="Y150" s="64"/>
      <c r="Z150" s="64"/>
    </row>
    <row r="151" ht="12.75" customHeight="1">
      <c r="A151" s="108"/>
      <c r="B151" s="64"/>
      <c r="C151" s="64"/>
      <c r="D151" s="64"/>
      <c r="E151" s="64"/>
      <c r="F151" s="63"/>
      <c r="G151" s="63"/>
      <c r="H151" s="64"/>
      <c r="I151" s="64"/>
      <c r="J151" s="64"/>
      <c r="K151" s="64"/>
      <c r="L151" s="64"/>
      <c r="M151" s="64"/>
      <c r="N151" s="64"/>
      <c r="O151" s="64"/>
      <c r="P151" s="64"/>
      <c r="Q151" s="64"/>
      <c r="R151" s="64"/>
      <c r="S151" s="64"/>
      <c r="T151" s="64"/>
      <c r="U151" s="64"/>
      <c r="V151" s="64"/>
      <c r="W151" s="64"/>
      <c r="X151" s="64"/>
      <c r="Y151" s="64"/>
      <c r="Z151" s="64"/>
    </row>
    <row r="152" ht="12.75" customHeight="1">
      <c r="A152" s="108"/>
      <c r="B152" s="64"/>
      <c r="C152" s="64"/>
      <c r="D152" s="64"/>
      <c r="E152" s="64"/>
      <c r="F152" s="63"/>
      <c r="G152" s="63"/>
      <c r="H152" s="64"/>
      <c r="I152" s="64"/>
      <c r="J152" s="64"/>
      <c r="K152" s="64"/>
      <c r="L152" s="64"/>
      <c r="M152" s="64"/>
      <c r="N152" s="64"/>
      <c r="O152" s="64"/>
      <c r="P152" s="64"/>
      <c r="Q152" s="64"/>
      <c r="R152" s="64"/>
      <c r="S152" s="64"/>
      <c r="T152" s="64"/>
      <c r="U152" s="64"/>
      <c r="V152" s="64"/>
      <c r="W152" s="64"/>
      <c r="X152" s="64"/>
      <c r="Y152" s="64"/>
      <c r="Z152" s="64"/>
    </row>
    <row r="153" ht="12.75" customHeight="1">
      <c r="A153" s="108"/>
      <c r="B153" s="64"/>
      <c r="C153" s="64"/>
      <c r="D153" s="64"/>
      <c r="E153" s="64"/>
      <c r="F153" s="63"/>
      <c r="G153" s="63"/>
      <c r="H153" s="64"/>
      <c r="I153" s="64"/>
      <c r="J153" s="64"/>
      <c r="K153" s="64"/>
      <c r="L153" s="64"/>
      <c r="M153" s="64"/>
      <c r="N153" s="64"/>
      <c r="O153" s="64"/>
      <c r="P153" s="64"/>
      <c r="Q153" s="64"/>
      <c r="R153" s="64"/>
      <c r="S153" s="64"/>
      <c r="T153" s="64"/>
      <c r="U153" s="64"/>
      <c r="V153" s="64"/>
      <c r="W153" s="64"/>
      <c r="X153" s="64"/>
      <c r="Y153" s="64"/>
      <c r="Z153" s="64"/>
    </row>
    <row r="154" ht="12.75" customHeight="1">
      <c r="A154" s="108"/>
      <c r="B154" s="64"/>
      <c r="C154" s="64"/>
      <c r="D154" s="64"/>
      <c r="E154" s="64"/>
      <c r="F154" s="63"/>
      <c r="G154" s="63"/>
      <c r="H154" s="64"/>
      <c r="I154" s="64"/>
      <c r="J154" s="64"/>
      <c r="K154" s="64"/>
      <c r="L154" s="64"/>
      <c r="M154" s="64"/>
      <c r="N154" s="64"/>
      <c r="O154" s="64"/>
      <c r="P154" s="64"/>
      <c r="Q154" s="64"/>
      <c r="R154" s="64"/>
      <c r="S154" s="64"/>
      <c r="T154" s="64"/>
      <c r="U154" s="64"/>
      <c r="V154" s="64"/>
      <c r="W154" s="64"/>
      <c r="X154" s="64"/>
      <c r="Y154" s="64"/>
      <c r="Z154" s="64"/>
    </row>
    <row r="155" ht="12.75" customHeight="1">
      <c r="A155" s="108"/>
      <c r="B155" s="64"/>
      <c r="C155" s="64"/>
      <c r="D155" s="64"/>
      <c r="E155" s="64"/>
      <c r="F155" s="63"/>
      <c r="G155" s="63"/>
      <c r="H155" s="64"/>
      <c r="I155" s="64"/>
      <c r="J155" s="64"/>
      <c r="K155" s="64"/>
      <c r="L155" s="64"/>
      <c r="M155" s="64"/>
      <c r="N155" s="64"/>
      <c r="O155" s="64"/>
      <c r="P155" s="64"/>
      <c r="Q155" s="64"/>
      <c r="R155" s="64"/>
      <c r="S155" s="64"/>
      <c r="T155" s="64"/>
      <c r="U155" s="64"/>
      <c r="V155" s="64"/>
      <c r="W155" s="64"/>
      <c r="X155" s="64"/>
      <c r="Y155" s="64"/>
      <c r="Z155" s="64"/>
    </row>
    <row r="156" ht="12.75" customHeight="1">
      <c r="A156" s="108"/>
      <c r="B156" s="64"/>
      <c r="C156" s="64"/>
      <c r="D156" s="64"/>
      <c r="E156" s="64"/>
      <c r="F156" s="63"/>
      <c r="G156" s="63"/>
      <c r="H156" s="64"/>
      <c r="I156" s="64"/>
      <c r="J156" s="64"/>
      <c r="K156" s="64"/>
      <c r="L156" s="64"/>
      <c r="M156" s="64"/>
      <c r="N156" s="64"/>
      <c r="O156" s="64"/>
      <c r="P156" s="64"/>
      <c r="Q156" s="64"/>
      <c r="R156" s="64"/>
      <c r="S156" s="64"/>
      <c r="T156" s="64"/>
      <c r="U156" s="64"/>
      <c r="V156" s="64"/>
      <c r="W156" s="64"/>
      <c r="X156" s="64"/>
      <c r="Y156" s="64"/>
      <c r="Z156" s="64"/>
    </row>
    <row r="157" ht="12.75" customHeight="1">
      <c r="A157" s="108"/>
      <c r="B157" s="64"/>
      <c r="C157" s="64"/>
      <c r="D157" s="64"/>
      <c r="E157" s="64"/>
      <c r="F157" s="63"/>
      <c r="G157" s="63"/>
      <c r="H157" s="64"/>
      <c r="I157" s="64"/>
      <c r="J157" s="64"/>
      <c r="K157" s="64"/>
      <c r="L157" s="64"/>
      <c r="M157" s="64"/>
      <c r="N157" s="64"/>
      <c r="O157" s="64"/>
      <c r="P157" s="64"/>
      <c r="Q157" s="64"/>
      <c r="R157" s="64"/>
      <c r="S157" s="64"/>
      <c r="T157" s="64"/>
      <c r="U157" s="64"/>
      <c r="V157" s="64"/>
      <c r="W157" s="64"/>
      <c r="X157" s="64"/>
      <c r="Y157" s="64"/>
      <c r="Z157" s="64"/>
    </row>
    <row r="158" ht="12.75" customHeight="1">
      <c r="A158" s="108"/>
      <c r="B158" s="64"/>
      <c r="C158" s="64"/>
      <c r="D158" s="64"/>
      <c r="E158" s="64"/>
      <c r="F158" s="63"/>
      <c r="G158" s="63"/>
      <c r="H158" s="64"/>
      <c r="I158" s="64"/>
      <c r="J158" s="64"/>
      <c r="K158" s="64"/>
      <c r="L158" s="64"/>
      <c r="M158" s="64"/>
      <c r="N158" s="64"/>
      <c r="O158" s="64"/>
      <c r="P158" s="64"/>
      <c r="Q158" s="64"/>
      <c r="R158" s="64"/>
      <c r="S158" s="64"/>
      <c r="T158" s="64"/>
      <c r="U158" s="64"/>
      <c r="V158" s="64"/>
      <c r="W158" s="64"/>
      <c r="X158" s="64"/>
      <c r="Y158" s="64"/>
      <c r="Z158" s="64"/>
    </row>
    <row r="159" ht="12.75" customHeight="1">
      <c r="A159" s="108"/>
      <c r="B159" s="64"/>
      <c r="C159" s="64"/>
      <c r="D159" s="64"/>
      <c r="E159" s="64"/>
      <c r="F159" s="63"/>
      <c r="G159" s="63"/>
      <c r="H159" s="64"/>
      <c r="I159" s="64"/>
      <c r="J159" s="64"/>
      <c r="K159" s="64"/>
      <c r="L159" s="64"/>
      <c r="M159" s="64"/>
      <c r="N159" s="64"/>
      <c r="O159" s="64"/>
      <c r="P159" s="64"/>
      <c r="Q159" s="64"/>
      <c r="R159" s="64"/>
      <c r="S159" s="64"/>
      <c r="T159" s="64"/>
      <c r="U159" s="64"/>
      <c r="V159" s="64"/>
      <c r="W159" s="64"/>
      <c r="X159" s="64"/>
      <c r="Y159" s="64"/>
      <c r="Z159" s="64"/>
    </row>
    <row r="160" ht="12.75" customHeight="1">
      <c r="A160" s="108"/>
      <c r="B160" s="64"/>
      <c r="C160" s="64"/>
      <c r="D160" s="64"/>
      <c r="E160" s="64"/>
      <c r="F160" s="63"/>
      <c r="G160" s="63"/>
      <c r="H160" s="64"/>
      <c r="I160" s="64"/>
      <c r="J160" s="64"/>
      <c r="K160" s="64"/>
      <c r="L160" s="64"/>
      <c r="M160" s="64"/>
      <c r="N160" s="64"/>
      <c r="O160" s="64"/>
      <c r="P160" s="64"/>
      <c r="Q160" s="64"/>
      <c r="R160" s="64"/>
      <c r="S160" s="64"/>
      <c r="T160" s="64"/>
      <c r="U160" s="64"/>
      <c r="V160" s="64"/>
      <c r="W160" s="64"/>
      <c r="X160" s="64"/>
      <c r="Y160" s="64"/>
      <c r="Z160" s="64"/>
    </row>
    <row r="161" ht="12.75" customHeight="1">
      <c r="A161" s="108"/>
      <c r="B161" s="64"/>
      <c r="C161" s="64"/>
      <c r="D161" s="64"/>
      <c r="E161" s="64"/>
      <c r="F161" s="63"/>
      <c r="G161" s="63"/>
      <c r="H161" s="64"/>
      <c r="I161" s="64"/>
      <c r="J161" s="64"/>
      <c r="K161" s="64"/>
      <c r="L161" s="64"/>
      <c r="M161" s="64"/>
      <c r="N161" s="64"/>
      <c r="O161" s="64"/>
      <c r="P161" s="64"/>
      <c r="Q161" s="64"/>
      <c r="R161" s="64"/>
      <c r="S161" s="64"/>
      <c r="T161" s="64"/>
      <c r="U161" s="64"/>
      <c r="V161" s="64"/>
      <c r="W161" s="64"/>
      <c r="X161" s="64"/>
      <c r="Y161" s="64"/>
      <c r="Z161" s="64"/>
    </row>
    <row r="162" ht="12.75" customHeight="1">
      <c r="A162" s="108"/>
      <c r="B162" s="64"/>
      <c r="C162" s="64"/>
      <c r="D162" s="64"/>
      <c r="E162" s="64"/>
      <c r="F162" s="63"/>
      <c r="G162" s="63"/>
      <c r="H162" s="64"/>
      <c r="I162" s="64"/>
      <c r="J162" s="64"/>
      <c r="K162" s="64"/>
      <c r="L162" s="64"/>
      <c r="M162" s="64"/>
      <c r="N162" s="64"/>
      <c r="O162" s="64"/>
      <c r="P162" s="64"/>
      <c r="Q162" s="64"/>
      <c r="R162" s="64"/>
      <c r="S162" s="64"/>
      <c r="T162" s="64"/>
      <c r="U162" s="64"/>
      <c r="V162" s="64"/>
      <c r="W162" s="64"/>
      <c r="X162" s="64"/>
      <c r="Y162" s="64"/>
      <c r="Z162" s="64"/>
    </row>
    <row r="163" ht="12.75" customHeight="1">
      <c r="A163" s="108"/>
      <c r="B163" s="64"/>
      <c r="C163" s="64"/>
      <c r="D163" s="64"/>
      <c r="E163" s="64"/>
      <c r="F163" s="63"/>
      <c r="G163" s="63"/>
      <c r="H163" s="64"/>
      <c r="I163" s="64"/>
      <c r="J163" s="64"/>
      <c r="K163" s="64"/>
      <c r="L163" s="64"/>
      <c r="M163" s="64"/>
      <c r="N163" s="64"/>
      <c r="O163" s="64"/>
      <c r="P163" s="64"/>
      <c r="Q163" s="64"/>
      <c r="R163" s="64"/>
      <c r="S163" s="64"/>
      <c r="T163" s="64"/>
      <c r="U163" s="64"/>
      <c r="V163" s="64"/>
      <c r="W163" s="64"/>
      <c r="X163" s="64"/>
      <c r="Y163" s="64"/>
      <c r="Z163" s="64"/>
    </row>
    <row r="164" ht="12.75" customHeight="1">
      <c r="A164" s="108"/>
      <c r="B164" s="64"/>
      <c r="C164" s="64"/>
      <c r="D164" s="64"/>
      <c r="E164" s="64"/>
      <c r="F164" s="63"/>
      <c r="G164" s="63"/>
      <c r="H164" s="64"/>
      <c r="I164" s="64"/>
      <c r="J164" s="64"/>
      <c r="K164" s="64"/>
      <c r="L164" s="64"/>
      <c r="M164" s="64"/>
      <c r="N164" s="64"/>
      <c r="O164" s="64"/>
      <c r="P164" s="64"/>
      <c r="Q164" s="64"/>
      <c r="R164" s="64"/>
      <c r="S164" s="64"/>
      <c r="T164" s="64"/>
      <c r="U164" s="64"/>
      <c r="V164" s="64"/>
      <c r="W164" s="64"/>
      <c r="X164" s="64"/>
      <c r="Y164" s="64"/>
      <c r="Z164" s="64"/>
    </row>
    <row r="165" ht="12.75" customHeight="1">
      <c r="A165" s="108"/>
      <c r="B165" s="64"/>
      <c r="C165" s="64"/>
      <c r="D165" s="64"/>
      <c r="E165" s="64"/>
      <c r="F165" s="63"/>
      <c r="G165" s="63"/>
      <c r="H165" s="64"/>
      <c r="I165" s="64"/>
      <c r="J165" s="64"/>
      <c r="K165" s="64"/>
      <c r="L165" s="64"/>
      <c r="M165" s="64"/>
      <c r="N165" s="64"/>
      <c r="O165" s="64"/>
      <c r="P165" s="64"/>
      <c r="Q165" s="64"/>
      <c r="R165" s="64"/>
      <c r="S165" s="64"/>
      <c r="T165" s="64"/>
      <c r="U165" s="64"/>
      <c r="V165" s="64"/>
      <c r="W165" s="64"/>
      <c r="X165" s="64"/>
      <c r="Y165" s="64"/>
      <c r="Z165" s="64"/>
    </row>
    <row r="166" ht="12.75" customHeight="1">
      <c r="A166" s="108"/>
      <c r="B166" s="64"/>
      <c r="C166" s="64"/>
      <c r="D166" s="64"/>
      <c r="E166" s="64"/>
      <c r="F166" s="63"/>
      <c r="G166" s="63"/>
      <c r="H166" s="64"/>
      <c r="I166" s="64"/>
      <c r="J166" s="64"/>
      <c r="K166" s="64"/>
      <c r="L166" s="64"/>
      <c r="M166" s="64"/>
      <c r="N166" s="64"/>
      <c r="O166" s="64"/>
      <c r="P166" s="64"/>
      <c r="Q166" s="64"/>
      <c r="R166" s="64"/>
      <c r="S166" s="64"/>
      <c r="T166" s="64"/>
      <c r="U166" s="64"/>
      <c r="V166" s="64"/>
      <c r="W166" s="64"/>
      <c r="X166" s="64"/>
      <c r="Y166" s="64"/>
      <c r="Z166" s="64"/>
    </row>
    <row r="167" ht="12.75" customHeight="1">
      <c r="A167" s="108"/>
      <c r="B167" s="64"/>
      <c r="C167" s="64"/>
      <c r="D167" s="64"/>
      <c r="E167" s="64"/>
      <c r="F167" s="63"/>
      <c r="G167" s="63"/>
      <c r="H167" s="64"/>
      <c r="I167" s="64"/>
      <c r="J167" s="64"/>
      <c r="K167" s="64"/>
      <c r="L167" s="64"/>
      <c r="M167" s="64"/>
      <c r="N167" s="64"/>
      <c r="O167" s="64"/>
      <c r="P167" s="64"/>
      <c r="Q167" s="64"/>
      <c r="R167" s="64"/>
      <c r="S167" s="64"/>
      <c r="T167" s="64"/>
      <c r="U167" s="64"/>
      <c r="V167" s="64"/>
      <c r="W167" s="64"/>
      <c r="X167" s="64"/>
      <c r="Y167" s="64"/>
      <c r="Z167" s="64"/>
    </row>
    <row r="168" ht="12.75" customHeight="1">
      <c r="A168" s="108"/>
      <c r="B168" s="64"/>
      <c r="C168" s="64"/>
      <c r="D168" s="64"/>
      <c r="E168" s="64"/>
      <c r="F168" s="63"/>
      <c r="G168" s="63"/>
      <c r="H168" s="64"/>
      <c r="I168" s="64"/>
      <c r="J168" s="64"/>
      <c r="K168" s="64"/>
      <c r="L168" s="64"/>
      <c r="M168" s="64"/>
      <c r="N168" s="64"/>
      <c r="O168" s="64"/>
      <c r="P168" s="64"/>
      <c r="Q168" s="64"/>
      <c r="R168" s="64"/>
      <c r="S168" s="64"/>
      <c r="T168" s="64"/>
      <c r="U168" s="64"/>
      <c r="V168" s="64"/>
      <c r="W168" s="64"/>
      <c r="X168" s="64"/>
      <c r="Y168" s="64"/>
      <c r="Z168" s="64"/>
    </row>
    <row r="169" ht="12.75" customHeight="1">
      <c r="A169" s="108"/>
      <c r="B169" s="64"/>
      <c r="C169" s="64"/>
      <c r="D169" s="64"/>
      <c r="E169" s="64"/>
      <c r="F169" s="63"/>
      <c r="G169" s="63"/>
      <c r="H169" s="64"/>
      <c r="I169" s="64"/>
      <c r="J169" s="64"/>
      <c r="K169" s="64"/>
      <c r="L169" s="64"/>
      <c r="M169" s="64"/>
      <c r="N169" s="64"/>
      <c r="O169" s="64"/>
      <c r="P169" s="64"/>
      <c r="Q169" s="64"/>
      <c r="R169" s="64"/>
      <c r="S169" s="64"/>
      <c r="T169" s="64"/>
      <c r="U169" s="64"/>
      <c r="V169" s="64"/>
      <c r="W169" s="64"/>
      <c r="X169" s="64"/>
      <c r="Y169" s="64"/>
      <c r="Z169" s="64"/>
    </row>
    <row r="170" ht="12.75" customHeight="1">
      <c r="A170" s="108"/>
      <c r="B170" s="64"/>
      <c r="C170" s="64"/>
      <c r="D170" s="64"/>
      <c r="E170" s="64"/>
      <c r="F170" s="63"/>
      <c r="G170" s="63"/>
      <c r="H170" s="64"/>
      <c r="I170" s="64"/>
      <c r="J170" s="64"/>
      <c r="K170" s="64"/>
      <c r="L170" s="64"/>
      <c r="M170" s="64"/>
      <c r="N170" s="64"/>
      <c r="O170" s="64"/>
      <c r="P170" s="64"/>
      <c r="Q170" s="64"/>
      <c r="R170" s="64"/>
      <c r="S170" s="64"/>
      <c r="T170" s="64"/>
      <c r="U170" s="64"/>
      <c r="V170" s="64"/>
      <c r="W170" s="64"/>
      <c r="X170" s="64"/>
      <c r="Y170" s="64"/>
      <c r="Z170" s="64"/>
    </row>
    <row r="171" ht="12.75" customHeight="1">
      <c r="A171" s="108"/>
      <c r="B171" s="64"/>
      <c r="C171" s="64"/>
      <c r="D171" s="64"/>
      <c r="E171" s="64"/>
      <c r="F171" s="63"/>
      <c r="G171" s="63"/>
      <c r="H171" s="64"/>
      <c r="I171" s="64"/>
      <c r="J171" s="64"/>
      <c r="K171" s="64"/>
      <c r="L171" s="64"/>
      <c r="M171" s="64"/>
      <c r="N171" s="64"/>
      <c r="O171" s="64"/>
      <c r="P171" s="64"/>
      <c r="Q171" s="64"/>
      <c r="R171" s="64"/>
      <c r="S171" s="64"/>
      <c r="T171" s="64"/>
      <c r="U171" s="64"/>
      <c r="V171" s="64"/>
      <c r="W171" s="64"/>
      <c r="X171" s="64"/>
      <c r="Y171" s="64"/>
      <c r="Z171" s="64"/>
    </row>
    <row r="172" ht="12.75" customHeight="1">
      <c r="A172" s="108"/>
      <c r="B172" s="64"/>
      <c r="C172" s="64"/>
      <c r="D172" s="64"/>
      <c r="E172" s="64"/>
      <c r="F172" s="63"/>
      <c r="G172" s="63"/>
      <c r="H172" s="64"/>
      <c r="I172" s="64"/>
      <c r="J172" s="64"/>
      <c r="K172" s="64"/>
      <c r="L172" s="64"/>
      <c r="M172" s="64"/>
      <c r="N172" s="64"/>
      <c r="O172" s="64"/>
      <c r="P172" s="64"/>
      <c r="Q172" s="64"/>
      <c r="R172" s="64"/>
      <c r="S172" s="64"/>
      <c r="T172" s="64"/>
      <c r="U172" s="64"/>
      <c r="V172" s="64"/>
      <c r="W172" s="64"/>
      <c r="X172" s="64"/>
      <c r="Y172" s="64"/>
      <c r="Z172" s="64"/>
    </row>
    <row r="173" ht="12.75" customHeight="1">
      <c r="A173" s="108"/>
      <c r="B173" s="64"/>
      <c r="C173" s="64"/>
      <c r="D173" s="64"/>
      <c r="E173" s="64"/>
      <c r="F173" s="63"/>
      <c r="G173" s="63"/>
      <c r="H173" s="64"/>
      <c r="I173" s="64"/>
      <c r="J173" s="64"/>
      <c r="K173" s="64"/>
      <c r="L173" s="64"/>
      <c r="M173" s="64"/>
      <c r="N173" s="64"/>
      <c r="O173" s="64"/>
      <c r="P173" s="64"/>
      <c r="Q173" s="64"/>
      <c r="R173" s="64"/>
      <c r="S173" s="64"/>
      <c r="T173" s="64"/>
      <c r="U173" s="64"/>
      <c r="V173" s="64"/>
      <c r="W173" s="64"/>
      <c r="X173" s="64"/>
      <c r="Y173" s="64"/>
      <c r="Z173" s="64"/>
    </row>
    <row r="174" ht="12.75" customHeight="1">
      <c r="A174" s="108"/>
      <c r="B174" s="64"/>
      <c r="C174" s="64"/>
      <c r="D174" s="64"/>
      <c r="E174" s="64"/>
      <c r="F174" s="63"/>
      <c r="G174" s="63"/>
      <c r="H174" s="64"/>
      <c r="I174" s="64"/>
      <c r="J174" s="64"/>
      <c r="K174" s="64"/>
      <c r="L174" s="64"/>
      <c r="M174" s="64"/>
      <c r="N174" s="64"/>
      <c r="O174" s="64"/>
      <c r="P174" s="64"/>
      <c r="Q174" s="64"/>
      <c r="R174" s="64"/>
      <c r="S174" s="64"/>
      <c r="T174" s="64"/>
      <c r="U174" s="64"/>
      <c r="V174" s="64"/>
      <c r="W174" s="64"/>
      <c r="X174" s="64"/>
      <c r="Y174" s="64"/>
      <c r="Z174" s="64"/>
    </row>
    <row r="175" ht="12.75" customHeight="1">
      <c r="A175" s="108"/>
      <c r="B175" s="64"/>
      <c r="C175" s="64"/>
      <c r="D175" s="64"/>
      <c r="E175" s="64"/>
      <c r="F175" s="63"/>
      <c r="G175" s="63"/>
      <c r="H175" s="64"/>
      <c r="I175" s="64"/>
      <c r="J175" s="64"/>
      <c r="K175" s="64"/>
      <c r="L175" s="64"/>
      <c r="M175" s="64"/>
      <c r="N175" s="64"/>
      <c r="O175" s="64"/>
      <c r="P175" s="64"/>
      <c r="Q175" s="64"/>
      <c r="R175" s="64"/>
      <c r="S175" s="64"/>
      <c r="T175" s="64"/>
      <c r="U175" s="64"/>
      <c r="V175" s="64"/>
      <c r="W175" s="64"/>
      <c r="X175" s="64"/>
      <c r="Y175" s="64"/>
      <c r="Z175" s="64"/>
    </row>
    <row r="176" ht="12.75" customHeight="1">
      <c r="A176" s="108"/>
      <c r="B176" s="64"/>
      <c r="C176" s="64"/>
      <c r="D176" s="64"/>
      <c r="E176" s="64"/>
      <c r="F176" s="63"/>
      <c r="G176" s="63"/>
      <c r="H176" s="64"/>
      <c r="I176" s="64"/>
      <c r="J176" s="64"/>
      <c r="K176" s="64"/>
      <c r="L176" s="64"/>
      <c r="M176" s="64"/>
      <c r="N176" s="64"/>
      <c r="O176" s="64"/>
      <c r="P176" s="64"/>
      <c r="Q176" s="64"/>
      <c r="R176" s="64"/>
      <c r="S176" s="64"/>
      <c r="T176" s="64"/>
      <c r="U176" s="64"/>
      <c r="V176" s="64"/>
      <c r="W176" s="64"/>
      <c r="X176" s="64"/>
      <c r="Y176" s="64"/>
      <c r="Z176" s="64"/>
    </row>
    <row r="177" ht="12.75" customHeight="1">
      <c r="A177" s="108"/>
      <c r="B177" s="64"/>
      <c r="C177" s="64"/>
      <c r="D177" s="64"/>
      <c r="E177" s="64"/>
      <c r="F177" s="63"/>
      <c r="G177" s="63"/>
      <c r="H177" s="64"/>
      <c r="I177" s="64"/>
      <c r="J177" s="64"/>
      <c r="K177" s="64"/>
      <c r="L177" s="64"/>
      <c r="M177" s="64"/>
      <c r="N177" s="64"/>
      <c r="O177" s="64"/>
      <c r="P177" s="64"/>
      <c r="Q177" s="64"/>
      <c r="R177" s="64"/>
      <c r="S177" s="64"/>
      <c r="T177" s="64"/>
      <c r="U177" s="64"/>
      <c r="V177" s="64"/>
      <c r="W177" s="64"/>
      <c r="X177" s="64"/>
      <c r="Y177" s="64"/>
      <c r="Z177" s="64"/>
    </row>
    <row r="178" ht="12.75" customHeight="1">
      <c r="A178" s="108"/>
      <c r="B178" s="64"/>
      <c r="C178" s="64"/>
      <c r="D178" s="64"/>
      <c r="E178" s="64"/>
      <c r="F178" s="63"/>
      <c r="G178" s="63"/>
      <c r="H178" s="64"/>
      <c r="I178" s="64"/>
      <c r="J178" s="64"/>
      <c r="K178" s="64"/>
      <c r="L178" s="64"/>
      <c r="M178" s="64"/>
      <c r="N178" s="64"/>
      <c r="O178" s="64"/>
      <c r="P178" s="64"/>
      <c r="Q178" s="64"/>
      <c r="R178" s="64"/>
      <c r="S178" s="64"/>
      <c r="T178" s="64"/>
      <c r="U178" s="64"/>
      <c r="V178" s="64"/>
      <c r="W178" s="64"/>
      <c r="X178" s="64"/>
      <c r="Y178" s="64"/>
      <c r="Z178" s="64"/>
    </row>
    <row r="179" ht="12.75" customHeight="1">
      <c r="A179" s="108"/>
      <c r="B179" s="64"/>
      <c r="C179" s="64"/>
      <c r="D179" s="64"/>
      <c r="E179" s="64"/>
      <c r="F179" s="63"/>
      <c r="G179" s="63"/>
      <c r="H179" s="64"/>
      <c r="I179" s="64"/>
      <c r="J179" s="64"/>
      <c r="K179" s="64"/>
      <c r="L179" s="64"/>
      <c r="M179" s="64"/>
      <c r="N179" s="64"/>
      <c r="O179" s="64"/>
      <c r="P179" s="64"/>
      <c r="Q179" s="64"/>
      <c r="R179" s="64"/>
      <c r="S179" s="64"/>
      <c r="T179" s="64"/>
      <c r="U179" s="64"/>
      <c r="V179" s="64"/>
      <c r="W179" s="64"/>
      <c r="X179" s="64"/>
      <c r="Y179" s="64"/>
      <c r="Z179" s="64"/>
    </row>
    <row r="180" ht="12.75" customHeight="1">
      <c r="A180" s="108"/>
      <c r="B180" s="64"/>
      <c r="C180" s="64"/>
      <c r="D180" s="64"/>
      <c r="E180" s="64"/>
      <c r="F180" s="63"/>
      <c r="G180" s="63"/>
      <c r="H180" s="64"/>
      <c r="I180" s="64"/>
      <c r="J180" s="64"/>
      <c r="K180" s="64"/>
      <c r="L180" s="64"/>
      <c r="M180" s="64"/>
      <c r="N180" s="64"/>
      <c r="O180" s="64"/>
      <c r="P180" s="64"/>
      <c r="Q180" s="64"/>
      <c r="R180" s="64"/>
      <c r="S180" s="64"/>
      <c r="T180" s="64"/>
      <c r="U180" s="64"/>
      <c r="V180" s="64"/>
      <c r="W180" s="64"/>
      <c r="X180" s="64"/>
      <c r="Y180" s="64"/>
      <c r="Z180" s="64"/>
    </row>
    <row r="181" ht="12.75" customHeight="1">
      <c r="A181" s="108"/>
      <c r="B181" s="64"/>
      <c r="C181" s="64"/>
      <c r="D181" s="64"/>
      <c r="E181" s="64"/>
      <c r="F181" s="63"/>
      <c r="G181" s="63"/>
      <c r="H181" s="64"/>
      <c r="I181" s="64"/>
      <c r="J181" s="64"/>
      <c r="K181" s="64"/>
      <c r="L181" s="64"/>
      <c r="M181" s="64"/>
      <c r="N181" s="64"/>
      <c r="O181" s="64"/>
      <c r="P181" s="64"/>
      <c r="Q181" s="64"/>
      <c r="R181" s="64"/>
      <c r="S181" s="64"/>
      <c r="T181" s="64"/>
      <c r="U181" s="64"/>
      <c r="V181" s="64"/>
      <c r="W181" s="64"/>
      <c r="X181" s="64"/>
      <c r="Y181" s="64"/>
      <c r="Z181" s="64"/>
    </row>
    <row r="182" ht="12.75" customHeight="1">
      <c r="A182" s="108"/>
      <c r="B182" s="64"/>
      <c r="C182" s="64"/>
      <c r="D182" s="64"/>
      <c r="E182" s="64"/>
      <c r="F182" s="63"/>
      <c r="G182" s="63"/>
      <c r="H182" s="64"/>
      <c r="I182" s="64"/>
      <c r="J182" s="64"/>
      <c r="K182" s="64"/>
      <c r="L182" s="64"/>
      <c r="M182" s="64"/>
      <c r="N182" s="64"/>
      <c r="O182" s="64"/>
      <c r="P182" s="64"/>
      <c r="Q182" s="64"/>
      <c r="R182" s="64"/>
      <c r="S182" s="64"/>
      <c r="T182" s="64"/>
      <c r="U182" s="64"/>
      <c r="V182" s="64"/>
      <c r="W182" s="64"/>
      <c r="X182" s="64"/>
      <c r="Y182" s="64"/>
      <c r="Z182" s="64"/>
    </row>
    <row r="183" ht="12.75" customHeight="1">
      <c r="A183" s="108"/>
      <c r="B183" s="64"/>
      <c r="C183" s="64"/>
      <c r="D183" s="64"/>
      <c r="E183" s="64"/>
      <c r="F183" s="63"/>
      <c r="G183" s="63"/>
      <c r="H183" s="64"/>
      <c r="I183" s="64"/>
      <c r="J183" s="64"/>
      <c r="K183" s="64"/>
      <c r="L183" s="64"/>
      <c r="M183" s="64"/>
      <c r="N183" s="64"/>
      <c r="O183" s="64"/>
      <c r="P183" s="64"/>
      <c r="Q183" s="64"/>
      <c r="R183" s="64"/>
      <c r="S183" s="64"/>
      <c r="T183" s="64"/>
      <c r="U183" s="64"/>
      <c r="V183" s="64"/>
      <c r="W183" s="64"/>
      <c r="X183" s="64"/>
      <c r="Y183" s="64"/>
      <c r="Z183" s="64"/>
    </row>
    <row r="184" ht="12.75" customHeight="1">
      <c r="A184" s="108"/>
      <c r="B184" s="64"/>
      <c r="C184" s="64"/>
      <c r="D184" s="64"/>
      <c r="E184" s="64"/>
      <c r="F184" s="63"/>
      <c r="G184" s="63"/>
      <c r="H184" s="64"/>
      <c r="I184" s="64"/>
      <c r="J184" s="64"/>
      <c r="K184" s="64"/>
      <c r="L184" s="64"/>
      <c r="M184" s="64"/>
      <c r="N184" s="64"/>
      <c r="O184" s="64"/>
      <c r="P184" s="64"/>
      <c r="Q184" s="64"/>
      <c r="R184" s="64"/>
      <c r="S184" s="64"/>
      <c r="T184" s="64"/>
      <c r="U184" s="64"/>
      <c r="V184" s="64"/>
      <c r="W184" s="64"/>
      <c r="X184" s="64"/>
      <c r="Y184" s="64"/>
      <c r="Z184" s="64"/>
    </row>
    <row r="185" ht="12.75" customHeight="1">
      <c r="A185" s="108"/>
      <c r="B185" s="64"/>
      <c r="C185" s="64"/>
      <c r="D185" s="64"/>
      <c r="E185" s="64"/>
      <c r="F185" s="63"/>
      <c r="G185" s="63"/>
      <c r="H185" s="64"/>
      <c r="I185" s="64"/>
      <c r="J185" s="64"/>
      <c r="K185" s="64"/>
      <c r="L185" s="64"/>
      <c r="M185" s="64"/>
      <c r="N185" s="64"/>
      <c r="O185" s="64"/>
      <c r="P185" s="64"/>
      <c r="Q185" s="64"/>
      <c r="R185" s="64"/>
      <c r="S185" s="64"/>
      <c r="T185" s="64"/>
      <c r="U185" s="64"/>
      <c r="V185" s="64"/>
      <c r="W185" s="64"/>
      <c r="X185" s="64"/>
      <c r="Y185" s="64"/>
      <c r="Z185" s="64"/>
    </row>
    <row r="186" ht="12.75" customHeight="1">
      <c r="A186" s="108"/>
      <c r="B186" s="64"/>
      <c r="C186" s="64"/>
      <c r="D186" s="64"/>
      <c r="E186" s="64"/>
      <c r="F186" s="63"/>
      <c r="G186" s="63"/>
      <c r="H186" s="64"/>
      <c r="I186" s="64"/>
      <c r="J186" s="64"/>
      <c r="K186" s="64"/>
      <c r="L186" s="64"/>
      <c r="M186" s="64"/>
      <c r="N186" s="64"/>
      <c r="O186" s="64"/>
      <c r="P186" s="64"/>
      <c r="Q186" s="64"/>
      <c r="R186" s="64"/>
      <c r="S186" s="64"/>
      <c r="T186" s="64"/>
      <c r="U186" s="64"/>
      <c r="V186" s="64"/>
      <c r="W186" s="64"/>
      <c r="X186" s="64"/>
      <c r="Y186" s="64"/>
      <c r="Z186" s="64"/>
    </row>
    <row r="187" ht="12.75" customHeight="1">
      <c r="A187" s="108"/>
      <c r="B187" s="64"/>
      <c r="C187" s="64"/>
      <c r="D187" s="64"/>
      <c r="E187" s="64"/>
      <c r="F187" s="63"/>
      <c r="G187" s="63"/>
      <c r="H187" s="64"/>
      <c r="I187" s="64"/>
      <c r="J187" s="64"/>
      <c r="K187" s="64"/>
      <c r="L187" s="64"/>
      <c r="M187" s="64"/>
      <c r="N187" s="64"/>
      <c r="O187" s="64"/>
      <c r="P187" s="64"/>
      <c r="Q187" s="64"/>
      <c r="R187" s="64"/>
      <c r="S187" s="64"/>
      <c r="T187" s="64"/>
      <c r="U187" s="64"/>
      <c r="V187" s="64"/>
      <c r="W187" s="64"/>
      <c r="X187" s="64"/>
      <c r="Y187" s="64"/>
      <c r="Z187" s="64"/>
    </row>
    <row r="188" ht="12.75" customHeight="1">
      <c r="A188" s="108"/>
      <c r="B188" s="64"/>
      <c r="C188" s="64"/>
      <c r="D188" s="64"/>
      <c r="E188" s="64"/>
      <c r="F188" s="63"/>
      <c r="G188" s="63"/>
      <c r="H188" s="64"/>
      <c r="I188" s="64"/>
      <c r="J188" s="64"/>
      <c r="K188" s="64"/>
      <c r="L188" s="64"/>
      <c r="M188" s="64"/>
      <c r="N188" s="64"/>
      <c r="O188" s="64"/>
      <c r="P188" s="64"/>
      <c r="Q188" s="64"/>
      <c r="R188" s="64"/>
      <c r="S188" s="64"/>
      <c r="T188" s="64"/>
      <c r="U188" s="64"/>
      <c r="V188" s="64"/>
      <c r="W188" s="64"/>
      <c r="X188" s="64"/>
      <c r="Y188" s="64"/>
      <c r="Z188" s="64"/>
    </row>
    <row r="189" ht="12.75" customHeight="1">
      <c r="A189" s="108"/>
      <c r="B189" s="64"/>
      <c r="C189" s="64"/>
      <c r="D189" s="64"/>
      <c r="E189" s="64"/>
      <c r="F189" s="63"/>
      <c r="G189" s="63"/>
      <c r="H189" s="64"/>
      <c r="I189" s="64"/>
      <c r="J189" s="64"/>
      <c r="K189" s="64"/>
      <c r="L189" s="64"/>
      <c r="M189" s="64"/>
      <c r="N189" s="64"/>
      <c r="O189" s="64"/>
      <c r="P189" s="64"/>
      <c r="Q189" s="64"/>
      <c r="R189" s="64"/>
      <c r="S189" s="64"/>
      <c r="T189" s="64"/>
      <c r="U189" s="64"/>
      <c r="V189" s="64"/>
      <c r="W189" s="64"/>
      <c r="X189" s="64"/>
      <c r="Y189" s="64"/>
      <c r="Z189" s="64"/>
    </row>
    <row r="190" ht="12.75" customHeight="1">
      <c r="A190" s="108"/>
      <c r="B190" s="64"/>
      <c r="C190" s="64"/>
      <c r="D190" s="64"/>
      <c r="E190" s="64"/>
      <c r="F190" s="63"/>
      <c r="G190" s="63"/>
      <c r="H190" s="64"/>
      <c r="I190" s="64"/>
      <c r="J190" s="64"/>
      <c r="K190" s="64"/>
      <c r="L190" s="64"/>
      <c r="M190" s="64"/>
      <c r="N190" s="64"/>
      <c r="O190" s="64"/>
      <c r="P190" s="64"/>
      <c r="Q190" s="64"/>
      <c r="R190" s="64"/>
      <c r="S190" s="64"/>
      <c r="T190" s="64"/>
      <c r="U190" s="64"/>
      <c r="V190" s="64"/>
      <c r="W190" s="64"/>
      <c r="X190" s="64"/>
      <c r="Y190" s="64"/>
      <c r="Z190" s="64"/>
    </row>
    <row r="191" ht="12.75" customHeight="1">
      <c r="A191" s="108"/>
      <c r="B191" s="64"/>
      <c r="C191" s="64"/>
      <c r="D191" s="64"/>
      <c r="E191" s="64"/>
      <c r="F191" s="63"/>
      <c r="G191" s="63"/>
      <c r="H191" s="64"/>
      <c r="I191" s="64"/>
      <c r="J191" s="64"/>
      <c r="K191" s="64"/>
      <c r="L191" s="64"/>
      <c r="M191" s="64"/>
      <c r="N191" s="64"/>
      <c r="O191" s="64"/>
      <c r="P191" s="64"/>
      <c r="Q191" s="64"/>
      <c r="R191" s="64"/>
      <c r="S191" s="64"/>
      <c r="T191" s="64"/>
      <c r="U191" s="64"/>
      <c r="V191" s="64"/>
      <c r="W191" s="64"/>
      <c r="X191" s="64"/>
      <c r="Y191" s="64"/>
      <c r="Z191" s="64"/>
    </row>
    <row r="192" ht="12.75" customHeight="1">
      <c r="A192" s="108"/>
      <c r="B192" s="64"/>
      <c r="C192" s="64"/>
      <c r="D192" s="64"/>
      <c r="E192" s="64"/>
      <c r="F192" s="63"/>
      <c r="G192" s="63"/>
      <c r="H192" s="64"/>
      <c r="I192" s="64"/>
      <c r="J192" s="64"/>
      <c r="K192" s="64"/>
      <c r="L192" s="64"/>
      <c r="M192" s="64"/>
      <c r="N192" s="64"/>
      <c r="O192" s="64"/>
      <c r="P192" s="64"/>
      <c r="Q192" s="64"/>
      <c r="R192" s="64"/>
      <c r="S192" s="64"/>
      <c r="T192" s="64"/>
      <c r="U192" s="64"/>
      <c r="V192" s="64"/>
      <c r="W192" s="64"/>
      <c r="X192" s="64"/>
      <c r="Y192" s="64"/>
      <c r="Z192" s="64"/>
    </row>
    <row r="193" ht="12.75" customHeight="1">
      <c r="A193" s="108"/>
      <c r="B193" s="64"/>
      <c r="C193" s="64"/>
      <c r="D193" s="64"/>
      <c r="E193" s="64"/>
      <c r="F193" s="63"/>
      <c r="G193" s="63"/>
      <c r="H193" s="64"/>
      <c r="I193" s="64"/>
      <c r="J193" s="64"/>
      <c r="K193" s="64"/>
      <c r="L193" s="64"/>
      <c r="M193" s="64"/>
      <c r="N193" s="64"/>
      <c r="O193" s="64"/>
      <c r="P193" s="64"/>
      <c r="Q193" s="64"/>
      <c r="R193" s="64"/>
      <c r="S193" s="64"/>
      <c r="T193" s="64"/>
      <c r="U193" s="64"/>
      <c r="V193" s="64"/>
      <c r="W193" s="64"/>
      <c r="X193" s="64"/>
      <c r="Y193" s="64"/>
      <c r="Z193" s="64"/>
    </row>
    <row r="194" ht="12.75" customHeight="1">
      <c r="A194" s="108"/>
      <c r="B194" s="64"/>
      <c r="C194" s="64"/>
      <c r="D194" s="64"/>
      <c r="E194" s="64"/>
      <c r="F194" s="63"/>
      <c r="G194" s="63"/>
      <c r="H194" s="64"/>
      <c r="I194" s="64"/>
      <c r="J194" s="64"/>
      <c r="K194" s="64"/>
      <c r="L194" s="64"/>
      <c r="M194" s="64"/>
      <c r="N194" s="64"/>
      <c r="O194" s="64"/>
      <c r="P194" s="64"/>
      <c r="Q194" s="64"/>
      <c r="R194" s="64"/>
      <c r="S194" s="64"/>
      <c r="T194" s="64"/>
      <c r="U194" s="64"/>
      <c r="V194" s="64"/>
      <c r="W194" s="64"/>
      <c r="X194" s="64"/>
      <c r="Y194" s="64"/>
      <c r="Z194" s="64"/>
    </row>
    <row r="195" ht="12.75" customHeight="1">
      <c r="A195" s="108"/>
      <c r="B195" s="64"/>
      <c r="C195" s="64"/>
      <c r="D195" s="64"/>
      <c r="E195" s="64"/>
      <c r="F195" s="63"/>
      <c r="G195" s="63"/>
      <c r="H195" s="64"/>
      <c r="I195" s="64"/>
      <c r="J195" s="64"/>
      <c r="K195" s="64"/>
      <c r="L195" s="64"/>
      <c r="M195" s="64"/>
      <c r="N195" s="64"/>
      <c r="O195" s="64"/>
      <c r="P195" s="64"/>
      <c r="Q195" s="64"/>
      <c r="R195" s="64"/>
      <c r="S195" s="64"/>
      <c r="T195" s="64"/>
      <c r="U195" s="64"/>
      <c r="V195" s="64"/>
      <c r="W195" s="64"/>
      <c r="X195" s="64"/>
      <c r="Y195" s="64"/>
      <c r="Z195" s="64"/>
    </row>
    <row r="196" ht="12.75" customHeight="1">
      <c r="A196" s="108"/>
      <c r="B196" s="64"/>
      <c r="C196" s="64"/>
      <c r="D196" s="64"/>
      <c r="E196" s="64"/>
      <c r="F196" s="63"/>
      <c r="G196" s="63"/>
      <c r="H196" s="64"/>
      <c r="I196" s="64"/>
      <c r="J196" s="64"/>
      <c r="K196" s="64"/>
      <c r="L196" s="64"/>
      <c r="M196" s="64"/>
      <c r="N196" s="64"/>
      <c r="O196" s="64"/>
      <c r="P196" s="64"/>
      <c r="Q196" s="64"/>
      <c r="R196" s="64"/>
      <c r="S196" s="64"/>
      <c r="T196" s="64"/>
      <c r="U196" s="64"/>
      <c r="V196" s="64"/>
      <c r="W196" s="64"/>
      <c r="X196" s="64"/>
      <c r="Y196" s="64"/>
      <c r="Z196" s="64"/>
    </row>
    <row r="197" ht="12.75" customHeight="1">
      <c r="A197" s="108"/>
      <c r="B197" s="64"/>
      <c r="C197" s="64"/>
      <c r="D197" s="64"/>
      <c r="E197" s="64"/>
      <c r="F197" s="63"/>
      <c r="G197" s="63"/>
      <c r="H197" s="64"/>
      <c r="I197" s="64"/>
      <c r="J197" s="64"/>
      <c r="K197" s="64"/>
      <c r="L197" s="64"/>
      <c r="M197" s="64"/>
      <c r="N197" s="64"/>
      <c r="O197" s="64"/>
      <c r="P197" s="64"/>
      <c r="Q197" s="64"/>
      <c r="R197" s="64"/>
      <c r="S197" s="64"/>
      <c r="T197" s="64"/>
      <c r="U197" s="64"/>
      <c r="V197" s="64"/>
      <c r="W197" s="64"/>
      <c r="X197" s="64"/>
      <c r="Y197" s="64"/>
      <c r="Z197" s="64"/>
    </row>
    <row r="198" ht="12.75" customHeight="1">
      <c r="A198" s="108"/>
      <c r="B198" s="64"/>
      <c r="C198" s="64"/>
      <c r="D198" s="64"/>
      <c r="E198" s="64"/>
      <c r="F198" s="63"/>
      <c r="G198" s="63"/>
      <c r="H198" s="64"/>
      <c r="I198" s="64"/>
      <c r="J198" s="64"/>
      <c r="K198" s="64"/>
      <c r="L198" s="64"/>
      <c r="M198" s="64"/>
      <c r="N198" s="64"/>
      <c r="O198" s="64"/>
      <c r="P198" s="64"/>
      <c r="Q198" s="64"/>
      <c r="R198" s="64"/>
      <c r="S198" s="64"/>
      <c r="T198" s="64"/>
      <c r="U198" s="64"/>
      <c r="V198" s="64"/>
      <c r="W198" s="64"/>
      <c r="X198" s="64"/>
      <c r="Y198" s="64"/>
      <c r="Z198" s="64"/>
    </row>
    <row r="199" ht="12.75" customHeight="1">
      <c r="A199" s="108"/>
      <c r="B199" s="64"/>
      <c r="C199" s="64"/>
      <c r="D199" s="64"/>
      <c r="E199" s="64"/>
      <c r="F199" s="63"/>
      <c r="G199" s="63"/>
      <c r="H199" s="64"/>
      <c r="I199" s="64"/>
      <c r="J199" s="64"/>
      <c r="K199" s="64"/>
      <c r="L199" s="64"/>
      <c r="M199" s="64"/>
      <c r="N199" s="64"/>
      <c r="O199" s="64"/>
      <c r="P199" s="64"/>
      <c r="Q199" s="64"/>
      <c r="R199" s="64"/>
      <c r="S199" s="64"/>
      <c r="T199" s="64"/>
      <c r="U199" s="64"/>
      <c r="V199" s="64"/>
      <c r="W199" s="64"/>
      <c r="X199" s="64"/>
      <c r="Y199" s="64"/>
      <c r="Z199" s="64"/>
    </row>
    <row r="200" ht="12.75" customHeight="1">
      <c r="A200" s="108"/>
      <c r="B200" s="64"/>
      <c r="C200" s="64"/>
      <c r="D200" s="64"/>
      <c r="E200" s="64"/>
      <c r="F200" s="63"/>
      <c r="G200" s="63"/>
      <c r="H200" s="64"/>
      <c r="I200" s="64"/>
      <c r="J200" s="64"/>
      <c r="K200" s="64"/>
      <c r="L200" s="64"/>
      <c r="M200" s="64"/>
      <c r="N200" s="64"/>
      <c r="O200" s="64"/>
      <c r="P200" s="64"/>
      <c r="Q200" s="64"/>
      <c r="R200" s="64"/>
      <c r="S200" s="64"/>
      <c r="T200" s="64"/>
      <c r="U200" s="64"/>
      <c r="V200" s="64"/>
      <c r="W200" s="64"/>
      <c r="X200" s="64"/>
      <c r="Y200" s="64"/>
      <c r="Z200" s="64"/>
    </row>
    <row r="201" ht="12.75" customHeight="1">
      <c r="A201" s="108"/>
      <c r="B201" s="64"/>
      <c r="C201" s="64"/>
      <c r="D201" s="64"/>
      <c r="E201" s="64"/>
      <c r="F201" s="63"/>
      <c r="G201" s="63"/>
      <c r="H201" s="64"/>
      <c r="I201" s="64"/>
      <c r="J201" s="64"/>
      <c r="K201" s="64"/>
      <c r="L201" s="64"/>
      <c r="M201" s="64"/>
      <c r="N201" s="64"/>
      <c r="O201" s="64"/>
      <c r="P201" s="64"/>
      <c r="Q201" s="64"/>
      <c r="R201" s="64"/>
      <c r="S201" s="64"/>
      <c r="T201" s="64"/>
      <c r="U201" s="64"/>
      <c r="V201" s="64"/>
      <c r="W201" s="64"/>
      <c r="X201" s="64"/>
      <c r="Y201" s="64"/>
      <c r="Z201" s="64"/>
    </row>
    <row r="202" ht="12.75" customHeight="1">
      <c r="A202" s="108"/>
      <c r="B202" s="64"/>
      <c r="C202" s="64"/>
      <c r="D202" s="64"/>
      <c r="E202" s="64"/>
      <c r="F202" s="63"/>
      <c r="G202" s="63"/>
      <c r="H202" s="64"/>
      <c r="I202" s="64"/>
      <c r="J202" s="64"/>
      <c r="K202" s="64"/>
      <c r="L202" s="64"/>
      <c r="M202" s="64"/>
      <c r="N202" s="64"/>
      <c r="O202" s="64"/>
      <c r="P202" s="64"/>
      <c r="Q202" s="64"/>
      <c r="R202" s="64"/>
      <c r="S202" s="64"/>
      <c r="T202" s="64"/>
      <c r="U202" s="64"/>
      <c r="V202" s="64"/>
      <c r="W202" s="64"/>
      <c r="X202" s="64"/>
      <c r="Y202" s="64"/>
      <c r="Z202" s="64"/>
    </row>
    <row r="203" ht="12.75" customHeight="1">
      <c r="A203" s="108"/>
      <c r="B203" s="64"/>
      <c r="C203" s="64"/>
      <c r="D203" s="64"/>
      <c r="E203" s="64"/>
      <c r="F203" s="63"/>
      <c r="G203" s="63"/>
      <c r="H203" s="64"/>
      <c r="I203" s="64"/>
      <c r="J203" s="64"/>
      <c r="K203" s="64"/>
      <c r="L203" s="64"/>
      <c r="M203" s="64"/>
      <c r="N203" s="64"/>
      <c r="O203" s="64"/>
      <c r="P203" s="64"/>
      <c r="Q203" s="64"/>
      <c r="R203" s="64"/>
      <c r="S203" s="64"/>
      <c r="T203" s="64"/>
      <c r="U203" s="64"/>
      <c r="V203" s="64"/>
      <c r="W203" s="64"/>
      <c r="X203" s="64"/>
      <c r="Y203" s="64"/>
      <c r="Z203" s="64"/>
    </row>
    <row r="204" ht="12.75" customHeight="1">
      <c r="A204" s="108"/>
      <c r="B204" s="64"/>
      <c r="C204" s="64"/>
      <c r="D204" s="64"/>
      <c r="E204" s="64"/>
      <c r="F204" s="63"/>
      <c r="G204" s="63"/>
      <c r="H204" s="64"/>
      <c r="I204" s="64"/>
      <c r="J204" s="64"/>
      <c r="K204" s="64"/>
      <c r="L204" s="64"/>
      <c r="M204" s="64"/>
      <c r="N204" s="64"/>
      <c r="O204" s="64"/>
      <c r="P204" s="64"/>
      <c r="Q204" s="64"/>
      <c r="R204" s="64"/>
      <c r="S204" s="64"/>
      <c r="T204" s="64"/>
      <c r="U204" s="64"/>
      <c r="V204" s="64"/>
      <c r="W204" s="64"/>
      <c r="X204" s="64"/>
      <c r="Y204" s="64"/>
      <c r="Z204" s="64"/>
    </row>
    <row r="205" ht="12.75" customHeight="1">
      <c r="A205" s="108"/>
      <c r="B205" s="64"/>
      <c r="C205" s="64"/>
      <c r="D205" s="64"/>
      <c r="E205" s="64"/>
      <c r="F205" s="63"/>
      <c r="G205" s="63"/>
      <c r="H205" s="64"/>
      <c r="I205" s="64"/>
      <c r="J205" s="64"/>
      <c r="K205" s="64"/>
      <c r="L205" s="64"/>
      <c r="M205" s="64"/>
      <c r="N205" s="64"/>
      <c r="O205" s="64"/>
      <c r="P205" s="64"/>
      <c r="Q205" s="64"/>
      <c r="R205" s="64"/>
      <c r="S205" s="64"/>
      <c r="T205" s="64"/>
      <c r="U205" s="64"/>
      <c r="V205" s="64"/>
      <c r="W205" s="64"/>
      <c r="X205" s="64"/>
      <c r="Y205" s="64"/>
      <c r="Z205" s="64"/>
    </row>
    <row r="206" ht="12.75" customHeight="1">
      <c r="A206" s="108"/>
      <c r="B206" s="64"/>
      <c r="C206" s="64"/>
      <c r="D206" s="64"/>
      <c r="E206" s="64"/>
      <c r="F206" s="63"/>
      <c r="G206" s="63"/>
      <c r="H206" s="64"/>
      <c r="I206" s="64"/>
      <c r="J206" s="64"/>
      <c r="K206" s="64"/>
      <c r="L206" s="64"/>
      <c r="M206" s="64"/>
      <c r="N206" s="64"/>
      <c r="O206" s="64"/>
      <c r="P206" s="64"/>
      <c r="Q206" s="64"/>
      <c r="R206" s="64"/>
      <c r="S206" s="64"/>
      <c r="T206" s="64"/>
      <c r="U206" s="64"/>
      <c r="V206" s="64"/>
      <c r="W206" s="64"/>
      <c r="X206" s="64"/>
      <c r="Y206" s="64"/>
      <c r="Z206" s="64"/>
    </row>
    <row r="207" ht="12.75" customHeight="1">
      <c r="A207" s="108"/>
      <c r="B207" s="64"/>
      <c r="C207" s="64"/>
      <c r="D207" s="64"/>
      <c r="E207" s="64"/>
      <c r="F207" s="63"/>
      <c r="G207" s="63"/>
      <c r="H207" s="64"/>
      <c r="I207" s="64"/>
      <c r="J207" s="64"/>
      <c r="K207" s="64"/>
      <c r="L207" s="64"/>
      <c r="M207" s="64"/>
      <c r="N207" s="64"/>
      <c r="O207" s="64"/>
      <c r="P207" s="64"/>
      <c r="Q207" s="64"/>
      <c r="R207" s="64"/>
      <c r="S207" s="64"/>
      <c r="T207" s="64"/>
      <c r="U207" s="64"/>
      <c r="V207" s="64"/>
      <c r="W207" s="64"/>
      <c r="X207" s="64"/>
      <c r="Y207" s="64"/>
      <c r="Z207" s="64"/>
    </row>
    <row r="208" ht="12.75" customHeight="1">
      <c r="A208" s="108"/>
      <c r="B208" s="64"/>
      <c r="C208" s="64"/>
      <c r="D208" s="64"/>
      <c r="E208" s="64"/>
      <c r="F208" s="63"/>
      <c r="G208" s="63"/>
      <c r="H208" s="64"/>
      <c r="I208" s="64"/>
      <c r="J208" s="64"/>
      <c r="K208" s="64"/>
      <c r="L208" s="64"/>
      <c r="M208" s="64"/>
      <c r="N208" s="64"/>
      <c r="O208" s="64"/>
      <c r="P208" s="64"/>
      <c r="Q208" s="64"/>
      <c r="R208" s="64"/>
      <c r="S208" s="64"/>
      <c r="T208" s="64"/>
      <c r="U208" s="64"/>
      <c r="V208" s="64"/>
      <c r="W208" s="64"/>
      <c r="X208" s="64"/>
      <c r="Y208" s="64"/>
      <c r="Z208" s="64"/>
    </row>
    <row r="209" ht="12.75" customHeight="1">
      <c r="A209" s="108"/>
      <c r="B209" s="64"/>
      <c r="C209" s="64"/>
      <c r="D209" s="64"/>
      <c r="E209" s="64"/>
      <c r="F209" s="63"/>
      <c r="G209" s="63"/>
      <c r="H209" s="64"/>
      <c r="I209" s="64"/>
      <c r="J209" s="64"/>
      <c r="K209" s="64"/>
      <c r="L209" s="64"/>
      <c r="M209" s="64"/>
      <c r="N209" s="64"/>
      <c r="O209" s="64"/>
      <c r="P209" s="64"/>
      <c r="Q209" s="64"/>
      <c r="R209" s="64"/>
      <c r="S209" s="64"/>
      <c r="T209" s="64"/>
      <c r="U209" s="64"/>
      <c r="V209" s="64"/>
      <c r="W209" s="64"/>
      <c r="X209" s="64"/>
      <c r="Y209" s="64"/>
      <c r="Z209" s="64"/>
    </row>
    <row r="210" ht="12.75" customHeight="1">
      <c r="A210" s="108"/>
      <c r="B210" s="64"/>
      <c r="C210" s="64"/>
      <c r="D210" s="64"/>
      <c r="E210" s="64"/>
      <c r="F210" s="63"/>
      <c r="G210" s="63"/>
      <c r="H210" s="64"/>
      <c r="I210" s="64"/>
      <c r="J210" s="64"/>
      <c r="K210" s="64"/>
      <c r="L210" s="64"/>
      <c r="M210" s="64"/>
      <c r="N210" s="64"/>
      <c r="O210" s="64"/>
      <c r="P210" s="64"/>
      <c r="Q210" s="64"/>
      <c r="R210" s="64"/>
      <c r="S210" s="64"/>
      <c r="T210" s="64"/>
      <c r="U210" s="64"/>
      <c r="V210" s="64"/>
      <c r="W210" s="64"/>
      <c r="X210" s="64"/>
      <c r="Y210" s="64"/>
      <c r="Z210" s="64"/>
    </row>
    <row r="211" ht="12.75" customHeight="1">
      <c r="A211" s="108"/>
      <c r="B211" s="64"/>
      <c r="C211" s="64"/>
      <c r="D211" s="64"/>
      <c r="E211" s="64"/>
      <c r="F211" s="63"/>
      <c r="G211" s="63"/>
      <c r="H211" s="64"/>
      <c r="I211" s="64"/>
      <c r="J211" s="64"/>
      <c r="K211" s="64"/>
      <c r="L211" s="64"/>
      <c r="M211" s="64"/>
      <c r="N211" s="64"/>
      <c r="O211" s="64"/>
      <c r="P211" s="64"/>
      <c r="Q211" s="64"/>
      <c r="R211" s="64"/>
      <c r="S211" s="64"/>
      <c r="T211" s="64"/>
      <c r="U211" s="64"/>
      <c r="V211" s="64"/>
      <c r="W211" s="64"/>
      <c r="X211" s="64"/>
      <c r="Y211" s="64"/>
      <c r="Z211" s="64"/>
    </row>
    <row r="212" ht="12.75" customHeight="1">
      <c r="A212" s="108"/>
      <c r="B212" s="64"/>
      <c r="C212" s="64"/>
      <c r="D212" s="64"/>
      <c r="E212" s="64"/>
      <c r="F212" s="63"/>
      <c r="G212" s="63"/>
      <c r="H212" s="64"/>
      <c r="I212" s="64"/>
      <c r="J212" s="64"/>
      <c r="K212" s="64"/>
      <c r="L212" s="64"/>
      <c r="M212" s="64"/>
      <c r="N212" s="64"/>
      <c r="O212" s="64"/>
      <c r="P212" s="64"/>
      <c r="Q212" s="64"/>
      <c r="R212" s="64"/>
      <c r="S212" s="64"/>
      <c r="T212" s="64"/>
      <c r="U212" s="64"/>
      <c r="V212" s="64"/>
      <c r="W212" s="64"/>
      <c r="X212" s="64"/>
      <c r="Y212" s="64"/>
      <c r="Z212" s="64"/>
    </row>
    <row r="213" ht="12.75" customHeight="1">
      <c r="A213" s="108"/>
      <c r="B213" s="64"/>
      <c r="C213" s="64"/>
      <c r="D213" s="64"/>
      <c r="E213" s="64"/>
      <c r="F213" s="63"/>
      <c r="G213" s="63"/>
      <c r="H213" s="64"/>
      <c r="I213" s="64"/>
      <c r="J213" s="64"/>
      <c r="K213" s="64"/>
      <c r="L213" s="64"/>
      <c r="M213" s="64"/>
      <c r="N213" s="64"/>
      <c r="O213" s="64"/>
      <c r="P213" s="64"/>
      <c r="Q213" s="64"/>
      <c r="R213" s="64"/>
      <c r="S213" s="64"/>
      <c r="T213" s="64"/>
      <c r="U213" s="64"/>
      <c r="V213" s="64"/>
      <c r="W213" s="64"/>
      <c r="X213" s="64"/>
      <c r="Y213" s="64"/>
      <c r="Z213" s="64"/>
    </row>
    <row r="214" ht="12.75" customHeight="1">
      <c r="A214" s="108"/>
      <c r="B214" s="64"/>
      <c r="C214" s="64"/>
      <c r="D214" s="64"/>
      <c r="E214" s="64"/>
      <c r="F214" s="63"/>
      <c r="G214" s="63"/>
      <c r="H214" s="64"/>
      <c r="I214" s="64"/>
      <c r="J214" s="64"/>
      <c r="K214" s="64"/>
      <c r="L214" s="64"/>
      <c r="M214" s="64"/>
      <c r="N214" s="64"/>
      <c r="O214" s="64"/>
      <c r="P214" s="64"/>
      <c r="Q214" s="64"/>
      <c r="R214" s="64"/>
      <c r="S214" s="64"/>
      <c r="T214" s="64"/>
      <c r="U214" s="64"/>
      <c r="V214" s="64"/>
      <c r="W214" s="64"/>
      <c r="X214" s="64"/>
      <c r="Y214" s="64"/>
      <c r="Z214" s="64"/>
    </row>
    <row r="215" ht="12.75" customHeight="1">
      <c r="A215" s="108"/>
      <c r="B215" s="64"/>
      <c r="C215" s="64"/>
      <c r="D215" s="64"/>
      <c r="E215" s="64"/>
      <c r="F215" s="63"/>
      <c r="G215" s="63"/>
      <c r="H215" s="64"/>
      <c r="I215" s="64"/>
      <c r="J215" s="64"/>
      <c r="K215" s="64"/>
      <c r="L215" s="64"/>
      <c r="M215" s="64"/>
      <c r="N215" s="64"/>
      <c r="O215" s="64"/>
      <c r="P215" s="64"/>
      <c r="Q215" s="64"/>
      <c r="R215" s="64"/>
      <c r="S215" s="64"/>
      <c r="T215" s="64"/>
      <c r="U215" s="64"/>
      <c r="V215" s="64"/>
      <c r="W215" s="64"/>
      <c r="X215" s="64"/>
      <c r="Y215" s="64"/>
      <c r="Z215" s="64"/>
    </row>
    <row r="216" ht="12.75" customHeight="1">
      <c r="A216" s="108"/>
      <c r="B216" s="64"/>
      <c r="C216" s="64"/>
      <c r="D216" s="64"/>
      <c r="E216" s="64"/>
      <c r="F216" s="63"/>
      <c r="G216" s="63"/>
      <c r="H216" s="64"/>
      <c r="I216" s="64"/>
      <c r="J216" s="64"/>
      <c r="K216" s="64"/>
      <c r="L216" s="64"/>
      <c r="M216" s="64"/>
      <c r="N216" s="64"/>
      <c r="O216" s="64"/>
      <c r="P216" s="64"/>
      <c r="Q216" s="64"/>
      <c r="R216" s="64"/>
      <c r="S216" s="64"/>
      <c r="T216" s="64"/>
      <c r="U216" s="64"/>
      <c r="V216" s="64"/>
      <c r="W216" s="64"/>
      <c r="X216" s="64"/>
      <c r="Y216" s="64"/>
      <c r="Z216" s="64"/>
    </row>
    <row r="217" ht="12.75" customHeight="1">
      <c r="A217" s="108"/>
      <c r="B217" s="64"/>
      <c r="C217" s="64"/>
      <c r="D217" s="64"/>
      <c r="E217" s="64"/>
      <c r="F217" s="63"/>
      <c r="G217" s="63"/>
      <c r="H217" s="64"/>
      <c r="I217" s="64"/>
      <c r="J217" s="64"/>
      <c r="K217" s="64"/>
      <c r="L217" s="64"/>
      <c r="M217" s="64"/>
      <c r="N217" s="64"/>
      <c r="O217" s="64"/>
      <c r="P217" s="64"/>
      <c r="Q217" s="64"/>
      <c r="R217" s="64"/>
      <c r="S217" s="64"/>
      <c r="T217" s="64"/>
      <c r="U217" s="64"/>
      <c r="V217" s="64"/>
      <c r="W217" s="64"/>
      <c r="X217" s="64"/>
      <c r="Y217" s="64"/>
      <c r="Z217" s="64"/>
    </row>
    <row r="218" ht="12.75" customHeight="1">
      <c r="A218" s="108"/>
      <c r="B218" s="64"/>
      <c r="C218" s="64"/>
      <c r="D218" s="64"/>
      <c r="E218" s="64"/>
      <c r="F218" s="63"/>
      <c r="G218" s="63"/>
      <c r="H218" s="64"/>
      <c r="I218" s="64"/>
      <c r="J218" s="64"/>
      <c r="K218" s="64"/>
      <c r="L218" s="64"/>
      <c r="M218" s="64"/>
      <c r="N218" s="64"/>
      <c r="O218" s="64"/>
      <c r="P218" s="64"/>
      <c r="Q218" s="64"/>
      <c r="R218" s="64"/>
      <c r="S218" s="64"/>
      <c r="T218" s="64"/>
      <c r="U218" s="64"/>
      <c r="V218" s="64"/>
      <c r="W218" s="64"/>
      <c r="X218" s="64"/>
      <c r="Y218" s="64"/>
      <c r="Z218" s="64"/>
    </row>
    <row r="219" ht="12.75" customHeight="1">
      <c r="A219" s="108"/>
      <c r="B219" s="64"/>
      <c r="C219" s="64"/>
      <c r="D219" s="64"/>
      <c r="E219" s="64"/>
      <c r="F219" s="63"/>
      <c r="G219" s="63"/>
      <c r="H219" s="64"/>
      <c r="I219" s="64"/>
      <c r="J219" s="64"/>
      <c r="K219" s="64"/>
      <c r="L219" s="64"/>
      <c r="M219" s="64"/>
      <c r="N219" s="64"/>
      <c r="O219" s="64"/>
      <c r="P219" s="64"/>
      <c r="Q219" s="64"/>
      <c r="R219" s="64"/>
      <c r="S219" s="64"/>
      <c r="T219" s="64"/>
      <c r="U219" s="64"/>
      <c r="V219" s="64"/>
      <c r="W219" s="64"/>
      <c r="X219" s="64"/>
      <c r="Y219" s="64"/>
      <c r="Z219" s="64"/>
    </row>
    <row r="220" ht="12.75" customHeight="1">
      <c r="A220" s="108"/>
      <c r="B220" s="64"/>
      <c r="C220" s="64"/>
      <c r="D220" s="64"/>
      <c r="E220" s="64"/>
      <c r="F220" s="63"/>
      <c r="G220" s="63"/>
      <c r="H220" s="64"/>
      <c r="I220" s="64"/>
      <c r="J220" s="64"/>
      <c r="K220" s="64"/>
      <c r="L220" s="64"/>
      <c r="M220" s="64"/>
      <c r="N220" s="64"/>
      <c r="O220" s="64"/>
      <c r="P220" s="64"/>
      <c r="Q220" s="64"/>
      <c r="R220" s="64"/>
      <c r="S220" s="64"/>
      <c r="T220" s="64"/>
      <c r="U220" s="64"/>
      <c r="V220" s="64"/>
      <c r="W220" s="64"/>
      <c r="X220" s="64"/>
      <c r="Y220" s="64"/>
      <c r="Z220" s="64"/>
    </row>
    <row r="221" ht="12.75" customHeight="1">
      <c r="A221" s="108"/>
      <c r="B221" s="64"/>
      <c r="C221" s="64"/>
      <c r="D221" s="64"/>
      <c r="E221" s="64"/>
      <c r="F221" s="63"/>
      <c r="G221" s="63"/>
      <c r="H221" s="64"/>
      <c r="I221" s="64"/>
      <c r="J221" s="64"/>
      <c r="K221" s="64"/>
      <c r="L221" s="64"/>
      <c r="M221" s="64"/>
      <c r="N221" s="64"/>
      <c r="O221" s="64"/>
      <c r="P221" s="64"/>
      <c r="Q221" s="64"/>
      <c r="R221" s="64"/>
      <c r="S221" s="64"/>
      <c r="T221" s="64"/>
      <c r="U221" s="64"/>
      <c r="V221" s="64"/>
      <c r="W221" s="64"/>
      <c r="X221" s="64"/>
      <c r="Y221" s="64"/>
      <c r="Z221" s="64"/>
    </row>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mergeCells count="10">
    <mergeCell ref="C19:D19"/>
    <mergeCell ref="C20:D20"/>
    <mergeCell ref="C21:D21"/>
    <mergeCell ref="C12:D12"/>
    <mergeCell ref="C13:D13"/>
    <mergeCell ref="C14:D14"/>
    <mergeCell ref="C15:D15"/>
    <mergeCell ref="C16:D16"/>
    <mergeCell ref="C17:D17"/>
    <mergeCell ref="C18:D18"/>
  </mergeCells>
  <conditionalFormatting sqref="C6:D6 C8:D8">
    <cfRule type="expression" dxfId="0" priority="1">
      <formula>$A6&lt;&gt;""</formula>
    </cfRule>
  </conditionalFormatting>
  <conditionalFormatting sqref="C6:D6 C8:D8">
    <cfRule type="expression" dxfId="1" priority="2">
      <formula>$A6=""</formula>
    </cfRule>
  </conditionalFormatting>
  <dataValidations>
    <dataValidation type="decimal" allowBlank="1" showErrorMessage="1" sqref="F13:F20">
      <formula1>0.0</formula1>
      <formula2>50.0</formula2>
    </dataValidation>
  </dataValidations>
  <printOptions/>
  <pageMargins bottom="0.75" footer="0.0" header="0.0" left="0.7" right="0.7" top="0.75"/>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4A3B8"/>
    <pageSetUpPr/>
  </sheetPr>
  <sheetViews>
    <sheetView showGridLines="0" workbookViewId="0"/>
  </sheetViews>
  <sheetFormatPr customHeight="1" defaultColWidth="12.63" defaultRowHeight="15.0"/>
  <cols>
    <col customWidth="1" min="1" max="1" width="15.63"/>
    <col customWidth="1" min="2" max="2" width="48.0"/>
    <col customWidth="1" min="3" max="3" width="27.63"/>
    <col customWidth="1" min="4" max="4" width="15.0"/>
    <col customWidth="1" min="5" max="5" width="25.13"/>
    <col customWidth="1" min="6" max="6" width="17.88"/>
    <col customWidth="1" min="7" max="7" width="15.0"/>
    <col customWidth="1" min="8" max="26" width="9.13"/>
  </cols>
  <sheetData>
    <row r="1" ht="12.75" customHeight="1">
      <c r="A1" s="105" t="s">
        <v>260</v>
      </c>
      <c r="B1" s="77" t="s">
        <v>736</v>
      </c>
      <c r="C1" s="78"/>
      <c r="D1" s="78"/>
      <c r="E1" s="64"/>
      <c r="F1" s="63"/>
      <c r="G1" s="63"/>
      <c r="H1" s="64"/>
      <c r="I1" s="64"/>
      <c r="J1" s="64"/>
      <c r="K1" s="64"/>
      <c r="L1" s="64"/>
      <c r="M1" s="64"/>
      <c r="N1" s="64"/>
      <c r="O1" s="64"/>
      <c r="P1" s="64"/>
      <c r="Q1" s="64"/>
      <c r="R1" s="64"/>
      <c r="S1" s="64"/>
      <c r="T1" s="64"/>
      <c r="U1" s="64"/>
      <c r="V1" s="64"/>
      <c r="W1" s="64"/>
      <c r="X1" s="64"/>
      <c r="Y1" s="64"/>
      <c r="Z1" s="64"/>
    </row>
    <row r="2" ht="12.75" customHeight="1">
      <c r="A2" s="110" t="s">
        <v>5</v>
      </c>
      <c r="B2" s="62" t="str">
        <f t="array" ref="B2">IFERROR(INDEX(Sessions!$C$2:$C$173,MATCH($B$1,Sessions!$B$2:$B$173,0))&amp;"","")</f>
        <v/>
      </c>
      <c r="C2" s="64"/>
      <c r="D2" s="64"/>
      <c r="E2" s="64"/>
      <c r="F2" s="63"/>
      <c r="G2" s="63"/>
      <c r="H2" s="64"/>
      <c r="I2" s="64"/>
      <c r="J2" s="64"/>
      <c r="K2" s="64"/>
      <c r="L2" s="64"/>
      <c r="M2" s="64"/>
      <c r="N2" s="64"/>
      <c r="O2" s="64"/>
      <c r="P2" s="64"/>
      <c r="Q2" s="64"/>
      <c r="R2" s="64"/>
      <c r="S2" s="64"/>
      <c r="T2" s="64"/>
      <c r="U2" s="64"/>
      <c r="V2" s="64"/>
      <c r="W2" s="64"/>
      <c r="X2" s="64"/>
      <c r="Y2" s="64"/>
      <c r="Z2" s="64"/>
    </row>
    <row r="3" ht="12.75" customHeight="1">
      <c r="A3" s="112" t="s">
        <v>704</v>
      </c>
      <c r="B3" s="86" t="str">
        <f>IF(LEFT($B$1,2)="T1",Schedule!$A$4&amp;", "&amp;Schedule!$A$10,IF(LEFT($B$1,2)="T2",Schedule!$A$4&amp;", "&amp;Schedule!$A$12,IF(LEFT($B$1,2)="T3",Schedule!$A$4&amp;", "&amp;#REF!,IF(LEFT($B$1,2)="T4",Schedule!$A$16&amp;", "&amp;Schedule!$A$18,IF($B$1="Keynote 1",Schedule!$A$4&amp;", "&amp;Schedule!$A$8,IF($B$1="Keynote 2",Schedule!$A$4&amp;", "&amp;Schedule!$A$13,IF($B$1="Keynote 3",Schedule!$A$16&amp;", "&amp;Schedule!$A$19,IF($B$1="IEEE Workshop",Schedule!$A$16&amp;", "&amp;#REF!,""))))))))</f>
        <v>#REF!</v>
      </c>
      <c r="C3" s="80"/>
      <c r="D3" s="80"/>
      <c r="E3" s="64"/>
      <c r="F3" s="63"/>
      <c r="G3" s="63"/>
      <c r="H3" s="64"/>
      <c r="I3" s="64"/>
      <c r="J3" s="64"/>
      <c r="K3" s="64"/>
      <c r="L3" s="64"/>
      <c r="M3" s="64"/>
      <c r="N3" s="64"/>
      <c r="O3" s="64"/>
      <c r="P3" s="64"/>
      <c r="Q3" s="64"/>
      <c r="R3" s="64"/>
      <c r="S3" s="64"/>
      <c r="T3" s="64"/>
      <c r="U3" s="64"/>
      <c r="V3" s="64"/>
      <c r="W3" s="64"/>
      <c r="X3" s="64"/>
      <c r="Y3" s="64"/>
      <c r="Z3" s="64"/>
    </row>
    <row r="4" ht="12.75" customHeight="1">
      <c r="A4" s="112" t="s">
        <v>11</v>
      </c>
      <c r="B4" s="115" t="s">
        <v>731</v>
      </c>
      <c r="C4" s="80"/>
      <c r="D4" s="80"/>
      <c r="E4" s="64"/>
      <c r="F4" s="63"/>
      <c r="G4" s="63"/>
      <c r="H4" s="64"/>
      <c r="I4" s="64"/>
      <c r="J4" s="64"/>
      <c r="K4" s="64"/>
      <c r="L4" s="64"/>
      <c r="M4" s="64"/>
      <c r="N4" s="64"/>
      <c r="O4" s="64"/>
      <c r="P4" s="64"/>
      <c r="Q4" s="64"/>
      <c r="R4" s="64"/>
      <c r="S4" s="64"/>
      <c r="T4" s="64"/>
      <c r="U4" s="64"/>
      <c r="V4" s="64"/>
      <c r="W4" s="64"/>
      <c r="X4" s="64"/>
      <c r="Y4" s="64"/>
      <c r="Z4" s="64"/>
    </row>
    <row r="5" ht="12.75" customHeight="1">
      <c r="A5" s="112" t="s">
        <v>707</v>
      </c>
      <c r="B5" s="86" t="str">
        <f t="array" ref="B5">IFERROR(INDEX(Chairs!$J$2:$J$359,MATCH(1,INDEX((Chairs!$K$2:$K$359=$B$1)*(Chairs!$N$2:$N$359=1),0),0)),"")</f>
        <v/>
      </c>
      <c r="C5" s="86" t="str">
        <f t="array" ref="C5">IFERROR(INDEX(Chairs!$L$2:$L$359,MATCH(1,INDEX((Chairs!$K$2:$K$359=$B$1)*(Chairs!$N$2:$N$359=1),0),0))&amp;"","")</f>
        <v/>
      </c>
      <c r="D5" s="86" t="str">
        <f t="array" ref="D5">IFERROR(INDEX(Chairs!$M$2:$M$359,MATCH(1,INDEX((Chairs!$K$2:$K$359=$B$1)*(Chairs!$N$2:$N$359=1),0),0))&amp;"","")</f>
        <v/>
      </c>
      <c r="E5" s="64"/>
      <c r="F5" s="63"/>
      <c r="G5" s="63"/>
      <c r="H5" s="64"/>
      <c r="I5" s="64"/>
      <c r="J5" s="64"/>
      <c r="K5" s="64"/>
      <c r="L5" s="64"/>
      <c r="M5" s="64"/>
      <c r="N5" s="64"/>
      <c r="O5" s="64"/>
      <c r="P5" s="64"/>
      <c r="Q5" s="64"/>
      <c r="R5" s="64"/>
      <c r="S5" s="64"/>
      <c r="T5" s="64"/>
      <c r="U5" s="64"/>
      <c r="V5" s="64"/>
      <c r="W5" s="64"/>
      <c r="X5" s="64"/>
      <c r="Y5" s="64"/>
      <c r="Z5" s="64"/>
    </row>
    <row r="6" ht="12.75" customHeight="1">
      <c r="A6" s="112" t="s">
        <v>709</v>
      </c>
      <c r="B6" s="86" t="str">
        <f t="array" ref="B6">IFERROR(INDEX('Senior Faculty'!$J$2:$J$401,MATCH(1,INDEX(('Senior Faculty'!$K$2:$K$401=$B$1)*('Senior Faculty'!$N$2:$N$401=1),0),0)),"")</f>
        <v/>
      </c>
      <c r="C6" s="86" t="str">
        <f t="array" ref="C6">IFERROR(INDEX('Senior Faculty'!$L$2:$L$401,MATCH(1,INDEX(('Senior Faculty'!$K$2:$K$401=$B$1)*('Senior Faculty'!$N$2:$N$401=1),0),0))&amp;"","")</f>
        <v/>
      </c>
      <c r="D6" s="86" t="str">
        <f t="array" ref="D6">IFERROR(INDEX('Senior Faculty'!$M$2:$M$401,MATCH(1,INDEX(('Senior Faculty'!$K$2:$K$401=$B$1)*('Senior Faculty'!$N$2:$N$401=1),0),0))&amp;"","")</f>
        <v/>
      </c>
      <c r="E6" s="64"/>
      <c r="F6" s="63"/>
      <c r="G6" s="63"/>
      <c r="H6" s="64"/>
      <c r="I6" s="64"/>
      <c r="J6" s="64"/>
      <c r="K6" s="64"/>
      <c r="L6" s="64"/>
      <c r="M6" s="64"/>
      <c r="N6" s="64"/>
      <c r="O6" s="64"/>
      <c r="P6" s="64"/>
      <c r="Q6" s="64"/>
      <c r="R6" s="64"/>
      <c r="S6" s="64"/>
      <c r="T6" s="64"/>
      <c r="U6" s="64"/>
      <c r="V6" s="64"/>
      <c r="W6" s="64"/>
      <c r="X6" s="64"/>
      <c r="Y6" s="64"/>
      <c r="Z6" s="64"/>
    </row>
    <row r="7" ht="12.75" customHeight="1">
      <c r="A7" s="112" t="s">
        <v>713</v>
      </c>
      <c r="B7" s="86" t="str">
        <f t="array" ref="B7">IFERROR(INDEX('Junior Faculty'!$J$2:$J$401,MATCH(1,INDEX(('Junior Faculty'!$K$2:$K$401=$B$1)*('Junior Faculty'!$N$2:$N$401=1),0),0)),"")</f>
        <v/>
      </c>
      <c r="C7" s="86" t="str">
        <f t="array" ref="C7">IFERROR(INDEX('Junior Faculty'!$L$2:$L$401,MATCH(1,INDEX(('Junior Faculty'!$K$2:$K$401=$B$1)*('Junior Faculty'!$N$2:$N$401=1),0),0))&amp;"","")</f>
        <v/>
      </c>
      <c r="D7" s="86" t="str">
        <f t="array" ref="D7">IFERROR(INDEX('Junior Faculty'!$M$2:$M$401,MATCH(1,INDEX(('Junior Faculty'!$K$2:$K$401=$B$1)*('Junior Faculty'!$N$2:$N$401=1),0),0))&amp;"","")</f>
        <v/>
      </c>
      <c r="E7" s="64"/>
      <c r="F7" s="63"/>
      <c r="G7" s="63"/>
      <c r="H7" s="64"/>
      <c r="I7" s="64"/>
      <c r="J7" s="64"/>
      <c r="K7" s="64"/>
      <c r="L7" s="64"/>
      <c r="M7" s="64"/>
      <c r="N7" s="64"/>
      <c r="O7" s="64"/>
      <c r="P7" s="64"/>
      <c r="Q7" s="64"/>
      <c r="R7" s="64"/>
      <c r="S7" s="64"/>
      <c r="T7" s="64"/>
      <c r="U7" s="64"/>
      <c r="V7" s="64"/>
      <c r="W7" s="64"/>
      <c r="X7" s="64"/>
      <c r="Y7" s="64"/>
      <c r="Z7" s="64"/>
    </row>
    <row r="8" ht="12.75" customHeight="1">
      <c r="A8" s="119" t="s">
        <v>714</v>
      </c>
      <c r="B8" s="95" t="str">
        <f t="array" ref="B8">IFERROR(INDEX('Junior Faculty'!$J$2:$J$401,MATCH(1,INDEX(('Junior Faculty'!$K$2:$K$401=$B$1)*('Junior Faculty'!$N$2:$N$401=2),0),0)),"")</f>
        <v/>
      </c>
      <c r="C8" s="95" t="str">
        <f t="array" ref="C8">IFERROR(INDEX('Junior Faculty'!$L$2:$L$401,MATCH(1,INDEX(('Junior Faculty'!$K$2:$K$401=$B$1)*('Junior Faculty'!$N$2:$N$401=2),0),0))&amp;"","")</f>
        <v/>
      </c>
      <c r="D8" s="95" t="str">
        <f t="array" ref="D8">IFERROR(INDEX('Junior Faculty'!$M$2:$M$401,MATCH(1,INDEX(('Junior Faculty'!$K$2:$K$401=$B$1)*('Junior Faculty'!$N$2:$N$401=2),0),0))&amp;"","")</f>
        <v/>
      </c>
      <c r="E8" s="64"/>
      <c r="F8" s="63"/>
      <c r="G8" s="63"/>
      <c r="H8" s="64"/>
      <c r="I8" s="64"/>
      <c r="J8" s="64"/>
      <c r="K8" s="64"/>
      <c r="L8" s="64"/>
      <c r="M8" s="64"/>
      <c r="N8" s="64"/>
      <c r="O8" s="64"/>
      <c r="P8" s="64"/>
      <c r="Q8" s="64"/>
      <c r="R8" s="64"/>
      <c r="S8" s="64"/>
      <c r="T8" s="64"/>
      <c r="U8" s="64"/>
      <c r="V8" s="64"/>
      <c r="W8" s="64"/>
      <c r="X8" s="64"/>
      <c r="Y8" s="64"/>
      <c r="Z8" s="64"/>
    </row>
    <row r="9" ht="12.75" customHeight="1">
      <c r="A9" s="108"/>
      <c r="B9" s="64"/>
      <c r="C9" s="64"/>
      <c r="D9" s="64"/>
      <c r="E9" s="64"/>
      <c r="F9" s="63"/>
      <c r="G9" s="63"/>
      <c r="H9" s="64"/>
      <c r="I9" s="64"/>
      <c r="J9" s="64"/>
      <c r="K9" s="64"/>
      <c r="L9" s="64"/>
      <c r="M9" s="64"/>
      <c r="N9" s="64"/>
      <c r="O9" s="64"/>
      <c r="P9" s="64"/>
      <c r="Q9" s="64"/>
      <c r="R9" s="64"/>
      <c r="S9" s="64"/>
      <c r="T9" s="64"/>
      <c r="U9" s="64"/>
      <c r="V9" s="64"/>
      <c r="W9" s="64"/>
      <c r="X9" s="64"/>
      <c r="Y9" s="64"/>
      <c r="Z9" s="64"/>
    </row>
    <row r="10" ht="12.75" customHeight="1">
      <c r="A10" s="121" t="s">
        <v>727</v>
      </c>
      <c r="B10" s="86"/>
      <c r="C10" s="86"/>
      <c r="D10" s="86"/>
      <c r="E10" s="64"/>
      <c r="F10" s="63"/>
      <c r="G10" s="63"/>
      <c r="H10" s="64"/>
      <c r="I10" s="64"/>
      <c r="J10" s="64"/>
      <c r="K10" s="64"/>
      <c r="L10" s="64"/>
      <c r="M10" s="64"/>
      <c r="N10" s="64"/>
      <c r="O10" s="64"/>
      <c r="P10" s="64"/>
      <c r="Q10" s="64"/>
      <c r="R10" s="64"/>
      <c r="S10" s="64"/>
      <c r="T10" s="64"/>
      <c r="U10" s="64"/>
      <c r="V10" s="64"/>
      <c r="W10" s="64"/>
      <c r="X10" s="64"/>
      <c r="Y10" s="64"/>
      <c r="Z10" s="64"/>
    </row>
    <row r="11" ht="15.0" customHeight="1">
      <c r="A11" s="122" t="s">
        <v>174</v>
      </c>
      <c r="B11" s="122" t="s">
        <v>256</v>
      </c>
      <c r="C11" s="123" t="s">
        <v>257</v>
      </c>
      <c r="D11" s="124"/>
      <c r="E11" s="61" t="s">
        <v>258</v>
      </c>
      <c r="F11" s="60" t="s">
        <v>265</v>
      </c>
      <c r="G11" s="64"/>
      <c r="H11" s="64"/>
      <c r="I11" s="64"/>
      <c r="J11" s="64"/>
      <c r="K11" s="64"/>
      <c r="L11" s="64"/>
      <c r="M11" s="64"/>
      <c r="N11" s="64"/>
      <c r="O11" s="64"/>
      <c r="P11" s="64"/>
      <c r="Q11" s="64"/>
      <c r="R11" s="64"/>
      <c r="S11" s="64"/>
      <c r="T11" s="64"/>
      <c r="U11" s="64"/>
      <c r="V11" s="64"/>
      <c r="W11" s="64"/>
      <c r="X11" s="64"/>
      <c r="Y11" s="64"/>
      <c r="Z11" s="64"/>
    </row>
    <row r="12" ht="12.75" customHeight="1">
      <c r="A12" s="113" t="str">
        <f t="array" ref="A12">IFERROR(INDEX(Papers!$A$2:$A$201,MATCH(1,INDEX((Papers!$G$2:$G$201=$B$1)*(Papers!$I$2:$I$201=1),0),0)),"")</f>
        <v/>
      </c>
      <c r="B12" s="113" t="str">
        <f t="array" ref="B12">IFERROR(INDEX(Papers!$C$2:$C$201,MATCH(1,INDEX((Papers!$G$2:$G$201=$B$1)*(Papers!$I$2:$I$201=1),0),0)),"")</f>
        <v/>
      </c>
      <c r="C12" s="113" t="str">
        <f t="array" ref="C12">IFERROR(INDEX(Papers!$D$2:$D$201,MATCH(1,INDEX((Papers!$G$2:$G$201=$B$1)*(Papers!$I$2:$I$201=1),0),0)),"")</f>
        <v/>
      </c>
      <c r="D12" s="125"/>
      <c r="E12" s="86" t="str">
        <f t="array" ref="E12">IFERROR(INDEX(Papers!$E$2:$E$201,MATCH(1,INDEX((Papers!$G$2:$G$201=$B$1)*(Papers!$I$2:$I$201=1),0),0)),"")</f>
        <v/>
      </c>
      <c r="F12" s="67"/>
      <c r="G12" s="64"/>
      <c r="H12" s="64"/>
      <c r="I12" s="64"/>
      <c r="J12" s="64"/>
      <c r="K12" s="64"/>
      <c r="L12" s="64"/>
      <c r="M12" s="64"/>
      <c r="N12" s="64"/>
      <c r="O12" s="64"/>
      <c r="P12" s="64"/>
      <c r="Q12" s="64"/>
      <c r="R12" s="64"/>
      <c r="S12" s="64"/>
      <c r="T12" s="64"/>
      <c r="U12" s="64"/>
      <c r="V12" s="64"/>
      <c r="W12" s="64"/>
      <c r="X12" s="64"/>
      <c r="Y12" s="64"/>
      <c r="Z12" s="64"/>
    </row>
    <row r="13" ht="12.75" customHeight="1">
      <c r="A13" s="113" t="str">
        <f t="array" ref="A13">IFERROR(INDEX(Papers!$A$2:$A$201,MATCH(1,INDEX((Papers!$G$2:$G$201=$B$1)*(Papers!$I$2:$I$201=2),0),0)),"")</f>
        <v/>
      </c>
      <c r="B13" s="113" t="str">
        <f t="array" ref="B13">IFERROR(INDEX(Papers!$C$2:$C$201,MATCH(1,INDEX((Papers!$G$2:$G$201=$B$1)*(Papers!$I$2:$I$201=2),0),0)),"")</f>
        <v/>
      </c>
      <c r="C13" s="113" t="str">
        <f t="array" ref="C13">IFERROR(INDEX(Papers!$D$2:$D$201,MATCH(1,INDEX((Papers!$G$2:$G$201=$B$1)*(Papers!$I$2:$I$201=2),0),0)),"")</f>
        <v/>
      </c>
      <c r="D13" s="125"/>
      <c r="E13" s="86" t="str">
        <f t="array" ref="E13">IFERROR(INDEX(Papers!$E$2:$E$201,MATCH(1,INDEX((Papers!$G$2:$G$201=$B$1)*(Papers!$I$2:$I$201=2),0),0)),"")</f>
        <v/>
      </c>
      <c r="F13" s="67"/>
      <c r="G13" s="64"/>
      <c r="H13" s="64"/>
      <c r="I13" s="64"/>
      <c r="J13" s="64"/>
      <c r="K13" s="64"/>
      <c r="L13" s="64"/>
      <c r="M13" s="64"/>
      <c r="N13" s="64"/>
      <c r="O13" s="64"/>
      <c r="P13" s="64"/>
      <c r="Q13" s="64"/>
      <c r="R13" s="64"/>
      <c r="S13" s="64"/>
      <c r="T13" s="64"/>
      <c r="U13" s="64"/>
      <c r="V13" s="64"/>
      <c r="W13" s="64"/>
      <c r="X13" s="64"/>
      <c r="Y13" s="64"/>
      <c r="Z13" s="64"/>
    </row>
    <row r="14" ht="12.75" customHeight="1">
      <c r="A14" s="113" t="str">
        <f t="array" ref="A14">IFERROR(INDEX(Papers!$A$2:$A$201,MATCH(1,INDEX((Papers!$G$2:$G$201=$B$1)*(Papers!$I$2:$I$201=3),0),0)),"")</f>
        <v/>
      </c>
      <c r="B14" s="113" t="str">
        <f t="array" ref="B14">IFERROR(INDEX(Papers!$C$2:$C$201,MATCH(1,INDEX((Papers!$G$2:$G$201=$B$1)*(Papers!$I$2:$I$201=3),0),0)),"")</f>
        <v/>
      </c>
      <c r="C14" s="113" t="str">
        <f t="array" ref="C14">IFERROR(INDEX(Papers!$D$2:$D$201,MATCH(1,INDEX((Papers!$G$2:$G$201=$B$1)*(Papers!$I$2:$I$201=3),0),0)),"")</f>
        <v/>
      </c>
      <c r="D14" s="125"/>
      <c r="E14" s="86" t="str">
        <f t="array" ref="E14">IFERROR(INDEX(Papers!$E$2:$E$201,MATCH(1,INDEX((Papers!$G$2:$G$201=$B$1)*(Papers!$I$2:$I$201=3),0),0)),"")</f>
        <v/>
      </c>
      <c r="F14" s="67"/>
      <c r="G14" s="64"/>
      <c r="H14" s="64"/>
      <c r="I14" s="64"/>
      <c r="J14" s="64"/>
      <c r="K14" s="64"/>
      <c r="L14" s="64"/>
      <c r="M14" s="64"/>
      <c r="N14" s="64"/>
      <c r="O14" s="64"/>
      <c r="P14" s="64"/>
      <c r="Q14" s="64"/>
      <c r="R14" s="64"/>
      <c r="S14" s="64"/>
      <c r="T14" s="64"/>
      <c r="U14" s="64"/>
      <c r="V14" s="64"/>
      <c r="W14" s="64"/>
      <c r="X14" s="64"/>
      <c r="Y14" s="64"/>
      <c r="Z14" s="64"/>
    </row>
    <row r="15" ht="12.75" customHeight="1">
      <c r="A15" s="113" t="str">
        <f t="array" ref="A15">IFERROR(INDEX(Papers!$A$2:$A$201,MATCH(1,INDEX((Papers!$G$2:$G$201=$B$1)*(Papers!$I$2:$I$201=4),0),0)),"")</f>
        <v/>
      </c>
      <c r="B15" s="113" t="str">
        <f t="array" ref="B15">IFERROR(INDEX(Papers!$C$2:$C$201,MATCH(1,INDEX((Papers!$G$2:$G$201=$B$1)*(Papers!$I$2:$I$201=4),0),0)),"")</f>
        <v/>
      </c>
      <c r="C15" s="113" t="str">
        <f t="array" ref="C15">IFERROR(INDEX(Papers!$D$2:$D$201,MATCH(1,INDEX((Papers!$G$2:$G$201=$B$1)*(Papers!$I$2:$I$201=4),0),0)),"")</f>
        <v/>
      </c>
      <c r="D15" s="125"/>
      <c r="E15" s="86" t="str">
        <f t="array" ref="E15">IFERROR(INDEX(Papers!$E$2:$E$201,MATCH(1,INDEX((Papers!$G$2:$G$201=$B$1)*(Papers!$I$2:$I$201=4),0),0)),"")</f>
        <v/>
      </c>
      <c r="F15" s="67"/>
      <c r="G15" s="64"/>
      <c r="H15" s="64"/>
      <c r="I15" s="64"/>
      <c r="J15" s="64"/>
      <c r="K15" s="64"/>
      <c r="L15" s="64"/>
      <c r="M15" s="64"/>
      <c r="N15" s="64"/>
      <c r="O15" s="64"/>
      <c r="P15" s="64"/>
      <c r="Q15" s="64"/>
      <c r="R15" s="64"/>
      <c r="S15" s="64"/>
      <c r="T15" s="64"/>
      <c r="U15" s="64"/>
      <c r="V15" s="64"/>
      <c r="W15" s="64"/>
      <c r="X15" s="64"/>
      <c r="Y15" s="64"/>
      <c r="Z15" s="64"/>
    </row>
    <row r="16" ht="12.75" customHeight="1">
      <c r="A16" s="113" t="str">
        <f t="array" ref="A16">IFERROR(INDEX(Papers!$A$2:$A$201,MATCH(1,INDEX((Papers!$G$2:$G$201=$B$1)*(Papers!$I$2:$I$201=5),0),0)),"")</f>
        <v/>
      </c>
      <c r="B16" s="113" t="str">
        <f t="array" ref="B16">IFERROR(INDEX(Papers!$C$2:$C$201,MATCH(1,INDEX((Papers!$G$2:$G$201=$B$1)*(Papers!$I$2:$I$201=5),0),0)),"")</f>
        <v/>
      </c>
      <c r="C16" s="113" t="str">
        <f t="array" ref="C16">IFERROR(INDEX(Papers!$D$2:$D$201,MATCH(1,INDEX((Papers!$G$2:$G$201=$B$1)*(Papers!$I$2:$I$201=5),0),0)),"")</f>
        <v/>
      </c>
      <c r="D16" s="125"/>
      <c r="E16" s="86" t="str">
        <f t="array" ref="E16">IFERROR(INDEX(Papers!$E$2:$E$201,MATCH(1,INDEX((Papers!$G$2:$G$201=$B$1)*(Papers!$I$2:$I$201=5),0),0)),"")</f>
        <v/>
      </c>
      <c r="F16" s="67"/>
      <c r="G16" s="64"/>
      <c r="H16" s="64"/>
      <c r="I16" s="64"/>
      <c r="J16" s="64"/>
      <c r="K16" s="64"/>
      <c r="L16" s="64"/>
      <c r="M16" s="64"/>
      <c r="N16" s="64"/>
      <c r="O16" s="64"/>
      <c r="P16" s="64"/>
      <c r="Q16" s="64"/>
      <c r="R16" s="64"/>
      <c r="S16" s="64"/>
      <c r="T16" s="64"/>
      <c r="U16" s="64"/>
      <c r="V16" s="64"/>
      <c r="W16" s="64"/>
      <c r="X16" s="64"/>
      <c r="Y16" s="64"/>
      <c r="Z16" s="64"/>
    </row>
    <row r="17" ht="12.75" customHeight="1">
      <c r="A17" s="113" t="str">
        <f t="array" ref="A17">IFERROR(INDEX(Papers!$A$2:$A$201,MATCH(1,INDEX((Papers!$G$2:$G$201=$B$1)*(Papers!$I$2:$I$201=6),0),0)),"")</f>
        <v/>
      </c>
      <c r="B17" s="113" t="str">
        <f t="array" ref="B17">IFERROR(INDEX(Papers!$C$2:$C$201,MATCH(1,INDEX((Papers!$G$2:$G$201=$B$1)*(Papers!$I$2:$I$201=6),0),0)),"")</f>
        <v/>
      </c>
      <c r="C17" s="113" t="str">
        <f t="array" ref="C17">IFERROR(INDEX(Papers!$D$2:$D$201,MATCH(1,INDEX((Papers!$G$2:$G$201=$B$1)*(Papers!$I$2:$I$201=6),0),0)),"")</f>
        <v/>
      </c>
      <c r="D17" s="125"/>
      <c r="E17" s="86" t="str">
        <f t="array" ref="E17">IFERROR(INDEX(Papers!$E$2:$E$201,MATCH(1,INDEX((Papers!$G$2:$G$201=$B$1)*(Papers!$I$2:$I$201=6),0),0)),"")</f>
        <v/>
      </c>
      <c r="F17" s="67"/>
      <c r="G17" s="64"/>
      <c r="H17" s="64"/>
      <c r="I17" s="64"/>
      <c r="J17" s="64"/>
      <c r="K17" s="64"/>
      <c r="L17" s="64"/>
      <c r="M17" s="64"/>
      <c r="N17" s="64"/>
      <c r="O17" s="64"/>
      <c r="P17" s="64"/>
      <c r="Q17" s="64"/>
      <c r="R17" s="64"/>
      <c r="S17" s="64"/>
      <c r="T17" s="64"/>
      <c r="U17" s="64"/>
      <c r="V17" s="64"/>
      <c r="W17" s="64"/>
      <c r="X17" s="64"/>
      <c r="Y17" s="64"/>
      <c r="Z17" s="64"/>
    </row>
    <row r="18" ht="12.75" customHeight="1">
      <c r="A18" s="113" t="str">
        <f t="array" ref="A18">IFERROR(INDEX(Papers!$A$2:$A$201,MATCH(1,INDEX((Papers!$G$2:$G$201=$B$1)*(Papers!$I$2:$I$201=7),0),0)),"")</f>
        <v/>
      </c>
      <c r="B18" s="113" t="str">
        <f t="array" ref="B18">IFERROR(INDEX(Papers!$C$2:$C$201,MATCH(1,INDEX((Papers!$G$2:$G$201=$B$1)*(Papers!$I$2:$I$201=7),0),0)),"")</f>
        <v/>
      </c>
      <c r="C18" s="113" t="str">
        <f t="array" ref="C18">IFERROR(INDEX(Papers!$D$2:$D$201,MATCH(1,INDEX((Papers!$G$2:$G$201=$B$1)*(Papers!$I$2:$I$201=7),0),0)),"")</f>
        <v/>
      </c>
      <c r="D18" s="125"/>
      <c r="E18" s="86" t="str">
        <f t="array" ref="E18">IFERROR(INDEX(Papers!$E$2:$E$201,MATCH(1,INDEX((Papers!$G$2:$G$201=$B$1)*(Papers!$I$2:$I$201=7),0),0)),"")</f>
        <v/>
      </c>
      <c r="F18" s="67"/>
      <c r="G18" s="64"/>
      <c r="H18" s="64"/>
      <c r="I18" s="64"/>
      <c r="J18" s="64"/>
      <c r="K18" s="64"/>
      <c r="L18" s="64"/>
      <c r="M18" s="64"/>
      <c r="N18" s="64"/>
      <c r="O18" s="64"/>
      <c r="P18" s="64"/>
      <c r="Q18" s="64"/>
      <c r="R18" s="64"/>
      <c r="S18" s="64"/>
      <c r="T18" s="64"/>
      <c r="U18" s="64"/>
      <c r="V18" s="64"/>
      <c r="W18" s="64"/>
      <c r="X18" s="64"/>
      <c r="Y18" s="64"/>
      <c r="Z18" s="64"/>
    </row>
    <row r="19" ht="12.75" customHeight="1">
      <c r="A19" s="113" t="str">
        <f t="array" ref="A19">IFERROR(INDEX(Papers!$A$2:$A$201,MATCH(1,INDEX((Papers!$G$2:$G$201=$B$1)*(Papers!$I$2:$I$201=8),0),0)),"")</f>
        <v/>
      </c>
      <c r="B19" s="113" t="str">
        <f t="array" ref="B19">IFERROR(INDEX(Papers!$C$2:$C$201,MATCH(1,INDEX((Papers!$G$2:$G$201=$B$1)*(Papers!$I$2:$I$201=8),0),0)),"")</f>
        <v/>
      </c>
      <c r="C19" s="113" t="str">
        <f t="array" ref="C19">IFERROR(INDEX(Papers!$D$2:$D$201,MATCH(1,INDEX((Papers!$G$2:$G$201=$B$1)*(Papers!$I$2:$I$201=8),0),0)),"")</f>
        <v/>
      </c>
      <c r="D19" s="125"/>
      <c r="E19" s="86" t="str">
        <f t="array" ref="E19">IFERROR(INDEX(Papers!$E$2:$E$201,MATCH(1,INDEX((Papers!$G$2:$G$201=$B$1)*(Papers!$I$2:$I$201=8),0),0)),"")</f>
        <v/>
      </c>
      <c r="F19" s="67"/>
      <c r="G19" s="64"/>
      <c r="H19" s="64"/>
      <c r="I19" s="64"/>
      <c r="J19" s="64"/>
      <c r="K19" s="64"/>
      <c r="L19" s="64"/>
      <c r="M19" s="64"/>
      <c r="N19" s="64"/>
      <c r="O19" s="64"/>
      <c r="P19" s="64"/>
      <c r="Q19" s="64"/>
      <c r="R19" s="64"/>
      <c r="S19" s="64"/>
      <c r="T19" s="64"/>
      <c r="U19" s="64"/>
      <c r="V19" s="64"/>
      <c r="W19" s="64"/>
      <c r="X19" s="64"/>
      <c r="Y19" s="64"/>
      <c r="Z19" s="64"/>
    </row>
    <row r="20" ht="12.75" customHeight="1">
      <c r="A20" s="108"/>
      <c r="B20" s="64"/>
      <c r="C20" s="64"/>
      <c r="E20" s="64"/>
      <c r="F20" s="63"/>
      <c r="G20" s="64"/>
      <c r="H20" s="64"/>
      <c r="I20" s="64"/>
      <c r="J20" s="64"/>
      <c r="K20" s="64"/>
      <c r="L20" s="64"/>
      <c r="M20" s="64"/>
      <c r="N20" s="64"/>
      <c r="O20" s="64"/>
      <c r="P20" s="64"/>
      <c r="Q20" s="64"/>
      <c r="R20" s="64"/>
      <c r="S20" s="64"/>
      <c r="T20" s="64"/>
      <c r="U20" s="64"/>
      <c r="V20" s="64"/>
      <c r="W20" s="64"/>
      <c r="X20" s="64"/>
      <c r="Y20" s="64"/>
      <c r="Z20" s="64"/>
    </row>
    <row r="21" ht="12.75" customHeight="1">
      <c r="A21" s="108"/>
      <c r="B21" s="64"/>
      <c r="C21" s="64"/>
      <c r="D21" s="64"/>
      <c r="E21" s="64"/>
      <c r="F21" s="63"/>
      <c r="G21" s="63"/>
      <c r="H21" s="64"/>
      <c r="I21" s="64"/>
      <c r="J21" s="64"/>
      <c r="K21" s="64"/>
      <c r="L21" s="64"/>
      <c r="M21" s="64"/>
      <c r="N21" s="64"/>
      <c r="O21" s="64"/>
      <c r="P21" s="64"/>
      <c r="Q21" s="64"/>
      <c r="R21" s="64"/>
      <c r="S21" s="64"/>
      <c r="T21" s="64"/>
      <c r="U21" s="64"/>
      <c r="V21" s="64"/>
      <c r="W21" s="64"/>
      <c r="X21" s="64"/>
      <c r="Y21" s="64"/>
      <c r="Z21" s="64"/>
    </row>
    <row r="22" ht="12.75" customHeight="1">
      <c r="A22" s="108"/>
      <c r="B22" s="64"/>
      <c r="C22" s="64"/>
      <c r="D22" s="64"/>
      <c r="E22" s="64"/>
      <c r="F22" s="63"/>
      <c r="G22" s="63"/>
      <c r="H22" s="64"/>
      <c r="I22" s="64"/>
      <c r="J22" s="64"/>
      <c r="K22" s="64"/>
      <c r="L22" s="64"/>
      <c r="M22" s="64"/>
      <c r="N22" s="64"/>
      <c r="O22" s="64"/>
      <c r="P22" s="64"/>
      <c r="Q22" s="64"/>
      <c r="R22" s="64"/>
      <c r="S22" s="64"/>
      <c r="T22" s="64"/>
      <c r="U22" s="64"/>
      <c r="V22" s="64"/>
      <c r="W22" s="64"/>
      <c r="X22" s="64"/>
      <c r="Y22" s="64"/>
      <c r="Z22" s="64"/>
    </row>
    <row r="23" ht="12.75" customHeight="1">
      <c r="A23" s="108"/>
      <c r="B23" s="64"/>
      <c r="C23" s="64"/>
      <c r="D23" s="64"/>
      <c r="E23" s="64"/>
      <c r="F23" s="63"/>
      <c r="G23" s="63"/>
      <c r="H23" s="64"/>
      <c r="I23" s="64"/>
      <c r="J23" s="64"/>
      <c r="K23" s="64"/>
      <c r="L23" s="64"/>
      <c r="M23" s="64"/>
      <c r="N23" s="64"/>
      <c r="O23" s="64"/>
      <c r="P23" s="64"/>
      <c r="Q23" s="64"/>
      <c r="R23" s="64"/>
      <c r="S23" s="64"/>
      <c r="T23" s="64"/>
      <c r="U23" s="64"/>
      <c r="V23" s="64"/>
      <c r="W23" s="64"/>
      <c r="X23" s="64"/>
      <c r="Y23" s="64"/>
      <c r="Z23" s="64"/>
    </row>
    <row r="24" ht="12.75" customHeight="1">
      <c r="A24" s="108"/>
      <c r="B24" s="64"/>
      <c r="C24" s="64"/>
      <c r="D24" s="64"/>
      <c r="E24" s="64"/>
      <c r="F24" s="63"/>
      <c r="G24" s="63"/>
      <c r="H24" s="64"/>
      <c r="I24" s="64"/>
      <c r="J24" s="64"/>
      <c r="K24" s="64"/>
      <c r="L24" s="64"/>
      <c r="M24" s="64"/>
      <c r="N24" s="64"/>
      <c r="O24" s="64"/>
      <c r="P24" s="64"/>
      <c r="Q24" s="64"/>
      <c r="R24" s="64"/>
      <c r="S24" s="64"/>
      <c r="T24" s="64"/>
      <c r="U24" s="64"/>
      <c r="V24" s="64"/>
      <c r="W24" s="64"/>
      <c r="X24" s="64"/>
      <c r="Y24" s="64"/>
      <c r="Z24" s="64"/>
    </row>
    <row r="25" ht="12.75" customHeight="1">
      <c r="A25" s="108"/>
      <c r="B25" s="64"/>
      <c r="C25" s="64"/>
      <c r="D25" s="64"/>
      <c r="E25" s="64"/>
      <c r="F25" s="63"/>
      <c r="G25" s="63"/>
      <c r="H25" s="64"/>
      <c r="I25" s="64"/>
      <c r="J25" s="64"/>
      <c r="K25" s="64"/>
      <c r="L25" s="64"/>
      <c r="M25" s="64"/>
      <c r="N25" s="64"/>
      <c r="O25" s="64"/>
      <c r="P25" s="64"/>
      <c r="Q25" s="64"/>
      <c r="R25" s="64"/>
      <c r="S25" s="64"/>
      <c r="T25" s="64"/>
      <c r="U25" s="64"/>
      <c r="V25" s="64"/>
      <c r="W25" s="64"/>
      <c r="X25" s="64"/>
      <c r="Y25" s="64"/>
      <c r="Z25" s="64"/>
    </row>
    <row r="26" ht="12.75" customHeight="1">
      <c r="A26" s="108"/>
      <c r="B26" s="64"/>
      <c r="C26" s="64"/>
      <c r="D26" s="64"/>
      <c r="E26" s="64"/>
      <c r="F26" s="63"/>
      <c r="G26" s="63"/>
      <c r="H26" s="64"/>
      <c r="I26" s="64"/>
      <c r="J26" s="64"/>
      <c r="K26" s="64"/>
      <c r="L26" s="64"/>
      <c r="M26" s="64"/>
      <c r="N26" s="64"/>
      <c r="O26" s="64"/>
      <c r="P26" s="64"/>
      <c r="Q26" s="64"/>
      <c r="R26" s="64"/>
      <c r="S26" s="64"/>
      <c r="T26" s="64"/>
      <c r="U26" s="64"/>
      <c r="V26" s="64"/>
      <c r="W26" s="64"/>
      <c r="X26" s="64"/>
      <c r="Y26" s="64"/>
      <c r="Z26" s="64"/>
    </row>
    <row r="27" ht="12.75" customHeight="1">
      <c r="A27" s="108"/>
      <c r="B27" s="64"/>
      <c r="C27" s="64"/>
      <c r="D27" s="64"/>
      <c r="E27" s="64"/>
      <c r="F27" s="63"/>
      <c r="G27" s="63"/>
      <c r="H27" s="64"/>
      <c r="I27" s="64"/>
      <c r="J27" s="64"/>
      <c r="K27" s="64"/>
      <c r="L27" s="64"/>
      <c r="M27" s="64"/>
      <c r="N27" s="64"/>
      <c r="O27" s="64"/>
      <c r="P27" s="64"/>
      <c r="Q27" s="64"/>
      <c r="R27" s="64"/>
      <c r="S27" s="64"/>
      <c r="T27" s="64"/>
      <c r="U27" s="64"/>
      <c r="V27" s="64"/>
      <c r="W27" s="64"/>
      <c r="X27" s="64"/>
      <c r="Y27" s="64"/>
      <c r="Z27" s="64"/>
    </row>
    <row r="28" ht="12.75" customHeight="1">
      <c r="A28" s="108"/>
      <c r="B28" s="64"/>
      <c r="C28" s="64"/>
      <c r="D28" s="64"/>
      <c r="E28" s="64"/>
      <c r="F28" s="63"/>
      <c r="G28" s="63"/>
      <c r="H28" s="64"/>
      <c r="I28" s="64"/>
      <c r="J28" s="64"/>
      <c r="K28" s="64"/>
      <c r="L28" s="64"/>
      <c r="M28" s="64"/>
      <c r="N28" s="64"/>
      <c r="O28" s="64"/>
      <c r="P28" s="64"/>
      <c r="Q28" s="64"/>
      <c r="R28" s="64"/>
      <c r="S28" s="64"/>
      <c r="T28" s="64"/>
      <c r="U28" s="64"/>
      <c r="V28" s="64"/>
      <c r="W28" s="64"/>
      <c r="X28" s="64"/>
      <c r="Y28" s="64"/>
      <c r="Z28" s="64"/>
    </row>
    <row r="29" ht="12.75" customHeight="1">
      <c r="A29" s="108"/>
      <c r="B29" s="64"/>
      <c r="C29" s="64"/>
      <c r="D29" s="64"/>
      <c r="E29" s="64"/>
      <c r="F29" s="63"/>
      <c r="G29" s="63"/>
      <c r="H29" s="64"/>
      <c r="I29" s="64"/>
      <c r="J29" s="64"/>
      <c r="K29" s="64"/>
      <c r="L29" s="64"/>
      <c r="M29" s="64"/>
      <c r="N29" s="64"/>
      <c r="O29" s="64"/>
      <c r="P29" s="64"/>
      <c r="Q29" s="64"/>
      <c r="R29" s="64"/>
      <c r="S29" s="64"/>
      <c r="T29" s="64"/>
      <c r="U29" s="64"/>
      <c r="V29" s="64"/>
      <c r="W29" s="64"/>
      <c r="X29" s="64"/>
      <c r="Y29" s="64"/>
      <c r="Z29" s="64"/>
    </row>
    <row r="30" ht="12.75" customHeight="1">
      <c r="A30" s="108"/>
      <c r="B30" s="64"/>
      <c r="C30" s="64"/>
      <c r="D30" s="64"/>
      <c r="E30" s="64"/>
      <c r="F30" s="63"/>
      <c r="G30" s="63"/>
      <c r="H30" s="64"/>
      <c r="I30" s="64"/>
      <c r="J30" s="64"/>
      <c r="K30" s="64"/>
      <c r="L30" s="64"/>
      <c r="M30" s="64"/>
      <c r="N30" s="64"/>
      <c r="O30" s="64"/>
      <c r="P30" s="64"/>
      <c r="Q30" s="64"/>
      <c r="R30" s="64"/>
      <c r="S30" s="64"/>
      <c r="T30" s="64"/>
      <c r="U30" s="64"/>
      <c r="V30" s="64"/>
      <c r="W30" s="64"/>
      <c r="X30" s="64"/>
      <c r="Y30" s="64"/>
      <c r="Z30" s="64"/>
    </row>
    <row r="31" ht="12.75" customHeight="1">
      <c r="A31" s="108"/>
      <c r="B31" s="64"/>
      <c r="C31" s="64"/>
      <c r="D31" s="64"/>
      <c r="E31" s="64"/>
      <c r="F31" s="63"/>
      <c r="G31" s="63"/>
      <c r="H31" s="64"/>
      <c r="I31" s="64"/>
      <c r="J31" s="64"/>
      <c r="K31" s="64"/>
      <c r="L31" s="64"/>
      <c r="M31" s="64"/>
      <c r="N31" s="64"/>
      <c r="O31" s="64"/>
      <c r="P31" s="64"/>
      <c r="Q31" s="64"/>
      <c r="R31" s="64"/>
      <c r="S31" s="64"/>
      <c r="T31" s="64"/>
      <c r="U31" s="64"/>
      <c r="V31" s="64"/>
      <c r="W31" s="64"/>
      <c r="X31" s="64"/>
      <c r="Y31" s="64"/>
      <c r="Z31" s="64"/>
    </row>
    <row r="32" ht="12.75" customHeight="1">
      <c r="A32" s="108"/>
      <c r="B32" s="64"/>
      <c r="C32" s="64"/>
      <c r="D32" s="64"/>
      <c r="E32" s="64"/>
      <c r="F32" s="63"/>
      <c r="G32" s="63"/>
      <c r="H32" s="64"/>
      <c r="I32" s="64"/>
      <c r="J32" s="64"/>
      <c r="K32" s="64"/>
      <c r="L32" s="64"/>
      <c r="M32" s="64"/>
      <c r="N32" s="64"/>
      <c r="O32" s="64"/>
      <c r="P32" s="64"/>
      <c r="Q32" s="64"/>
      <c r="R32" s="64"/>
      <c r="S32" s="64"/>
      <c r="T32" s="64"/>
      <c r="U32" s="64"/>
      <c r="V32" s="64"/>
      <c r="W32" s="64"/>
      <c r="X32" s="64"/>
      <c r="Y32" s="64"/>
      <c r="Z32" s="64"/>
    </row>
    <row r="33" ht="12.75" customHeight="1">
      <c r="A33" s="108"/>
      <c r="B33" s="64"/>
      <c r="C33" s="64"/>
      <c r="D33" s="64"/>
      <c r="E33" s="64"/>
      <c r="F33" s="63"/>
      <c r="G33" s="63"/>
      <c r="H33" s="64"/>
      <c r="I33" s="64"/>
      <c r="J33" s="64"/>
      <c r="K33" s="64"/>
      <c r="L33" s="64"/>
      <c r="M33" s="64"/>
      <c r="N33" s="64"/>
      <c r="O33" s="64"/>
      <c r="P33" s="64"/>
      <c r="Q33" s="64"/>
      <c r="R33" s="64"/>
      <c r="S33" s="64"/>
      <c r="T33" s="64"/>
      <c r="U33" s="64"/>
      <c r="V33" s="64"/>
      <c r="W33" s="64"/>
      <c r="X33" s="64"/>
      <c r="Y33" s="64"/>
      <c r="Z33" s="64"/>
    </row>
    <row r="34" ht="12.75" customHeight="1">
      <c r="A34" s="108"/>
      <c r="B34" s="64"/>
      <c r="C34" s="64"/>
      <c r="D34" s="64"/>
      <c r="E34" s="64"/>
      <c r="F34" s="63"/>
      <c r="G34" s="63"/>
      <c r="H34" s="64"/>
      <c r="I34" s="64"/>
      <c r="J34" s="64"/>
      <c r="K34" s="64"/>
      <c r="L34" s="64"/>
      <c r="M34" s="64"/>
      <c r="N34" s="64"/>
      <c r="O34" s="64"/>
      <c r="P34" s="64"/>
      <c r="Q34" s="64"/>
      <c r="R34" s="64"/>
      <c r="S34" s="64"/>
      <c r="T34" s="64"/>
      <c r="U34" s="64"/>
      <c r="V34" s="64"/>
      <c r="W34" s="64"/>
      <c r="X34" s="64"/>
      <c r="Y34" s="64"/>
      <c r="Z34" s="64"/>
    </row>
    <row r="35" ht="12.75" customHeight="1">
      <c r="A35" s="108"/>
      <c r="B35" s="64"/>
      <c r="C35" s="64"/>
      <c r="D35" s="64"/>
      <c r="E35" s="64"/>
      <c r="F35" s="63"/>
      <c r="G35" s="63"/>
      <c r="H35" s="64"/>
      <c r="I35" s="64"/>
      <c r="J35" s="64"/>
      <c r="K35" s="64"/>
      <c r="L35" s="64"/>
      <c r="M35" s="64"/>
      <c r="N35" s="64"/>
      <c r="O35" s="64"/>
      <c r="P35" s="64"/>
      <c r="Q35" s="64"/>
      <c r="R35" s="64"/>
      <c r="S35" s="64"/>
      <c r="T35" s="64"/>
      <c r="U35" s="64"/>
      <c r="V35" s="64"/>
      <c r="W35" s="64"/>
      <c r="X35" s="64"/>
      <c r="Y35" s="64"/>
      <c r="Z35" s="64"/>
    </row>
    <row r="36" ht="12.75" customHeight="1">
      <c r="A36" s="108"/>
      <c r="B36" s="64"/>
      <c r="C36" s="64"/>
      <c r="D36" s="64"/>
      <c r="E36" s="64"/>
      <c r="F36" s="63"/>
      <c r="G36" s="63"/>
      <c r="H36" s="64"/>
      <c r="I36" s="64"/>
      <c r="J36" s="64"/>
      <c r="K36" s="64"/>
      <c r="L36" s="64"/>
      <c r="M36" s="64"/>
      <c r="N36" s="64"/>
      <c r="O36" s="64"/>
      <c r="P36" s="64"/>
      <c r="Q36" s="64"/>
      <c r="R36" s="64"/>
      <c r="S36" s="64"/>
      <c r="T36" s="64"/>
      <c r="U36" s="64"/>
      <c r="V36" s="64"/>
      <c r="W36" s="64"/>
      <c r="X36" s="64"/>
      <c r="Y36" s="64"/>
      <c r="Z36" s="64"/>
    </row>
    <row r="37" ht="12.75" customHeight="1">
      <c r="A37" s="108"/>
      <c r="B37" s="64"/>
      <c r="C37" s="64"/>
      <c r="D37" s="64"/>
      <c r="E37" s="64"/>
      <c r="F37" s="63"/>
      <c r="G37" s="63"/>
      <c r="H37" s="64"/>
      <c r="I37" s="64"/>
      <c r="J37" s="64"/>
      <c r="K37" s="64"/>
      <c r="L37" s="64"/>
      <c r="M37" s="64"/>
      <c r="N37" s="64"/>
      <c r="O37" s="64"/>
      <c r="P37" s="64"/>
      <c r="Q37" s="64"/>
      <c r="R37" s="64"/>
      <c r="S37" s="64"/>
      <c r="T37" s="64"/>
      <c r="U37" s="64"/>
      <c r="V37" s="64"/>
      <c r="W37" s="64"/>
      <c r="X37" s="64"/>
      <c r="Y37" s="64"/>
      <c r="Z37" s="64"/>
    </row>
    <row r="38" ht="12.75" customHeight="1">
      <c r="A38" s="108"/>
      <c r="B38" s="64"/>
      <c r="C38" s="64"/>
      <c r="D38" s="64"/>
      <c r="E38" s="64"/>
      <c r="F38" s="63"/>
      <c r="G38" s="63"/>
      <c r="H38" s="64"/>
      <c r="I38" s="64"/>
      <c r="J38" s="64"/>
      <c r="K38" s="64"/>
      <c r="L38" s="64"/>
      <c r="M38" s="64"/>
      <c r="N38" s="64"/>
      <c r="O38" s="64"/>
      <c r="P38" s="64"/>
      <c r="Q38" s="64"/>
      <c r="R38" s="64"/>
      <c r="S38" s="64"/>
      <c r="T38" s="64"/>
      <c r="U38" s="64"/>
      <c r="V38" s="64"/>
      <c r="W38" s="64"/>
      <c r="X38" s="64"/>
      <c r="Y38" s="64"/>
      <c r="Z38" s="64"/>
    </row>
    <row r="39" ht="12.75" customHeight="1">
      <c r="A39" s="108"/>
      <c r="B39" s="64"/>
      <c r="C39" s="64"/>
      <c r="D39" s="64"/>
      <c r="E39" s="64"/>
      <c r="F39" s="63"/>
      <c r="G39" s="63"/>
      <c r="H39" s="64"/>
      <c r="I39" s="64"/>
      <c r="J39" s="64"/>
      <c r="K39" s="64"/>
      <c r="L39" s="64"/>
      <c r="M39" s="64"/>
      <c r="N39" s="64"/>
      <c r="O39" s="64"/>
      <c r="P39" s="64"/>
      <c r="Q39" s="64"/>
      <c r="R39" s="64"/>
      <c r="S39" s="64"/>
      <c r="T39" s="64"/>
      <c r="U39" s="64"/>
      <c r="V39" s="64"/>
      <c r="W39" s="64"/>
      <c r="X39" s="64"/>
      <c r="Y39" s="64"/>
      <c r="Z39" s="64"/>
    </row>
    <row r="40" ht="12.75" customHeight="1">
      <c r="A40" s="108"/>
      <c r="B40" s="64"/>
      <c r="C40" s="64"/>
      <c r="D40" s="64"/>
      <c r="E40" s="64"/>
      <c r="F40" s="63"/>
      <c r="G40" s="63"/>
      <c r="H40" s="64"/>
      <c r="I40" s="64"/>
      <c r="J40" s="64"/>
      <c r="K40" s="64"/>
      <c r="L40" s="64"/>
      <c r="M40" s="64"/>
      <c r="N40" s="64"/>
      <c r="O40" s="64"/>
      <c r="P40" s="64"/>
      <c r="Q40" s="64"/>
      <c r="R40" s="64"/>
      <c r="S40" s="64"/>
      <c r="T40" s="64"/>
      <c r="U40" s="64"/>
      <c r="V40" s="64"/>
      <c r="W40" s="64"/>
      <c r="X40" s="64"/>
      <c r="Y40" s="64"/>
      <c r="Z40" s="64"/>
    </row>
    <row r="41" ht="12.75" customHeight="1">
      <c r="A41" s="108"/>
      <c r="B41" s="64"/>
      <c r="C41" s="64"/>
      <c r="D41" s="64"/>
      <c r="E41" s="64"/>
      <c r="F41" s="63"/>
      <c r="G41" s="63"/>
      <c r="H41" s="64"/>
      <c r="I41" s="64"/>
      <c r="J41" s="64"/>
      <c r="K41" s="64"/>
      <c r="L41" s="64"/>
      <c r="M41" s="64"/>
      <c r="N41" s="64"/>
      <c r="O41" s="64"/>
      <c r="P41" s="64"/>
      <c r="Q41" s="64"/>
      <c r="R41" s="64"/>
      <c r="S41" s="64"/>
      <c r="T41" s="64"/>
      <c r="U41" s="64"/>
      <c r="V41" s="64"/>
      <c r="W41" s="64"/>
      <c r="X41" s="64"/>
      <c r="Y41" s="64"/>
      <c r="Z41" s="64"/>
    </row>
    <row r="42" ht="12.75" customHeight="1">
      <c r="A42" s="108"/>
      <c r="B42" s="64"/>
      <c r="C42" s="64"/>
      <c r="D42" s="64"/>
      <c r="E42" s="64"/>
      <c r="F42" s="63"/>
      <c r="G42" s="63"/>
      <c r="H42" s="64"/>
      <c r="I42" s="64"/>
      <c r="J42" s="64"/>
      <c r="K42" s="64"/>
      <c r="L42" s="64"/>
      <c r="M42" s="64"/>
      <c r="N42" s="64"/>
      <c r="O42" s="64"/>
      <c r="P42" s="64"/>
      <c r="Q42" s="64"/>
      <c r="R42" s="64"/>
      <c r="S42" s="64"/>
      <c r="T42" s="64"/>
      <c r="U42" s="64"/>
      <c r="V42" s="64"/>
      <c r="W42" s="64"/>
      <c r="X42" s="64"/>
      <c r="Y42" s="64"/>
      <c r="Z42" s="64"/>
    </row>
    <row r="43" ht="12.75" customHeight="1">
      <c r="A43" s="108"/>
      <c r="B43" s="64"/>
      <c r="C43" s="64"/>
      <c r="D43" s="64"/>
      <c r="E43" s="64"/>
      <c r="F43" s="63"/>
      <c r="G43" s="63"/>
      <c r="H43" s="64"/>
      <c r="I43" s="64"/>
      <c r="J43" s="64"/>
      <c r="K43" s="64"/>
      <c r="L43" s="64"/>
      <c r="M43" s="64"/>
      <c r="N43" s="64"/>
      <c r="O43" s="64"/>
      <c r="P43" s="64"/>
      <c r="Q43" s="64"/>
      <c r="R43" s="64"/>
      <c r="S43" s="64"/>
      <c r="T43" s="64"/>
      <c r="U43" s="64"/>
      <c r="V43" s="64"/>
      <c r="W43" s="64"/>
      <c r="X43" s="64"/>
      <c r="Y43" s="64"/>
      <c r="Z43" s="64"/>
    </row>
    <row r="44" ht="12.75" customHeight="1">
      <c r="A44" s="108"/>
      <c r="B44" s="64"/>
      <c r="C44" s="64"/>
      <c r="D44" s="64"/>
      <c r="E44" s="64"/>
      <c r="F44" s="63"/>
      <c r="G44" s="63"/>
      <c r="H44" s="64"/>
      <c r="I44" s="64"/>
      <c r="J44" s="64"/>
      <c r="K44" s="64"/>
      <c r="L44" s="64"/>
      <c r="M44" s="64"/>
      <c r="N44" s="64"/>
      <c r="O44" s="64"/>
      <c r="P44" s="64"/>
      <c r="Q44" s="64"/>
      <c r="R44" s="64"/>
      <c r="S44" s="64"/>
      <c r="T44" s="64"/>
      <c r="U44" s="64"/>
      <c r="V44" s="64"/>
      <c r="W44" s="64"/>
      <c r="X44" s="64"/>
      <c r="Y44" s="64"/>
      <c r="Z44" s="64"/>
    </row>
    <row r="45" ht="12.75" customHeight="1">
      <c r="A45" s="108"/>
      <c r="B45" s="64"/>
      <c r="C45" s="64"/>
      <c r="D45" s="64"/>
      <c r="E45" s="64"/>
      <c r="F45" s="63"/>
      <c r="G45" s="63"/>
      <c r="H45" s="64"/>
      <c r="I45" s="64"/>
      <c r="J45" s="64"/>
      <c r="K45" s="64"/>
      <c r="L45" s="64"/>
      <c r="M45" s="64"/>
      <c r="N45" s="64"/>
      <c r="O45" s="64"/>
      <c r="P45" s="64"/>
      <c r="Q45" s="64"/>
      <c r="R45" s="64"/>
      <c r="S45" s="64"/>
      <c r="T45" s="64"/>
      <c r="U45" s="64"/>
      <c r="V45" s="64"/>
      <c r="W45" s="64"/>
      <c r="X45" s="64"/>
      <c r="Y45" s="64"/>
      <c r="Z45" s="64"/>
    </row>
    <row r="46" ht="12.75" customHeight="1">
      <c r="A46" s="108"/>
      <c r="B46" s="64"/>
      <c r="C46" s="64"/>
      <c r="D46" s="64"/>
      <c r="E46" s="64"/>
      <c r="F46" s="63"/>
      <c r="G46" s="63"/>
      <c r="H46" s="64"/>
      <c r="I46" s="64"/>
      <c r="J46" s="64"/>
      <c r="K46" s="64"/>
      <c r="L46" s="64"/>
      <c r="M46" s="64"/>
      <c r="N46" s="64"/>
      <c r="O46" s="64"/>
      <c r="P46" s="64"/>
      <c r="Q46" s="64"/>
      <c r="R46" s="64"/>
      <c r="S46" s="64"/>
      <c r="T46" s="64"/>
      <c r="U46" s="64"/>
      <c r="V46" s="64"/>
      <c r="W46" s="64"/>
      <c r="X46" s="64"/>
      <c r="Y46" s="64"/>
      <c r="Z46" s="64"/>
    </row>
    <row r="47" ht="12.75" customHeight="1">
      <c r="A47" s="108"/>
      <c r="B47" s="64"/>
      <c r="C47" s="64"/>
      <c r="D47" s="64"/>
      <c r="E47" s="64"/>
      <c r="F47" s="63"/>
      <c r="G47" s="63"/>
      <c r="H47" s="64"/>
      <c r="I47" s="64"/>
      <c r="J47" s="64"/>
      <c r="K47" s="64"/>
      <c r="L47" s="64"/>
      <c r="M47" s="64"/>
      <c r="N47" s="64"/>
      <c r="O47" s="64"/>
      <c r="P47" s="64"/>
      <c r="Q47" s="64"/>
      <c r="R47" s="64"/>
      <c r="S47" s="64"/>
      <c r="T47" s="64"/>
      <c r="U47" s="64"/>
      <c r="V47" s="64"/>
      <c r="W47" s="64"/>
      <c r="X47" s="64"/>
      <c r="Y47" s="64"/>
      <c r="Z47" s="64"/>
    </row>
    <row r="48" ht="12.75" customHeight="1">
      <c r="A48" s="108"/>
      <c r="B48" s="64"/>
      <c r="C48" s="64"/>
      <c r="D48" s="64"/>
      <c r="E48" s="64"/>
      <c r="F48" s="63"/>
      <c r="G48" s="63"/>
      <c r="H48" s="64"/>
      <c r="I48" s="64"/>
      <c r="J48" s="64"/>
      <c r="K48" s="64"/>
      <c r="L48" s="64"/>
      <c r="M48" s="64"/>
      <c r="N48" s="64"/>
      <c r="O48" s="64"/>
      <c r="P48" s="64"/>
      <c r="Q48" s="64"/>
      <c r="R48" s="64"/>
      <c r="S48" s="64"/>
      <c r="T48" s="64"/>
      <c r="U48" s="64"/>
      <c r="V48" s="64"/>
      <c r="W48" s="64"/>
      <c r="X48" s="64"/>
      <c r="Y48" s="64"/>
      <c r="Z48" s="64"/>
    </row>
    <row r="49" ht="12.75" customHeight="1">
      <c r="A49" s="108"/>
      <c r="B49" s="64"/>
      <c r="C49" s="64"/>
      <c r="D49" s="64"/>
      <c r="E49" s="64"/>
      <c r="F49" s="63"/>
      <c r="G49" s="63"/>
      <c r="H49" s="64"/>
      <c r="I49" s="64"/>
      <c r="J49" s="64"/>
      <c r="K49" s="64"/>
      <c r="L49" s="64"/>
      <c r="M49" s="64"/>
      <c r="N49" s="64"/>
      <c r="O49" s="64"/>
      <c r="P49" s="64"/>
      <c r="Q49" s="64"/>
      <c r="R49" s="64"/>
      <c r="S49" s="64"/>
      <c r="T49" s="64"/>
      <c r="U49" s="64"/>
      <c r="V49" s="64"/>
      <c r="W49" s="64"/>
      <c r="X49" s="64"/>
      <c r="Y49" s="64"/>
      <c r="Z49" s="64"/>
    </row>
    <row r="50" ht="12.75" customHeight="1">
      <c r="A50" s="108"/>
      <c r="B50" s="64"/>
      <c r="C50" s="64"/>
      <c r="D50" s="64"/>
      <c r="E50" s="64"/>
      <c r="F50" s="63"/>
      <c r="G50" s="63"/>
      <c r="H50" s="64"/>
      <c r="I50" s="64"/>
      <c r="J50" s="64"/>
      <c r="K50" s="64"/>
      <c r="L50" s="64"/>
      <c r="M50" s="64"/>
      <c r="N50" s="64"/>
      <c r="O50" s="64"/>
      <c r="P50" s="64"/>
      <c r="Q50" s="64"/>
      <c r="R50" s="64"/>
      <c r="S50" s="64"/>
      <c r="T50" s="64"/>
      <c r="U50" s="64"/>
      <c r="V50" s="64"/>
      <c r="W50" s="64"/>
      <c r="X50" s="64"/>
      <c r="Y50" s="64"/>
      <c r="Z50" s="64"/>
    </row>
    <row r="51" ht="12.75" customHeight="1">
      <c r="A51" s="108"/>
      <c r="B51" s="64"/>
      <c r="C51" s="64"/>
      <c r="D51" s="64"/>
      <c r="E51" s="64"/>
      <c r="F51" s="63"/>
      <c r="G51" s="63"/>
      <c r="H51" s="64"/>
      <c r="I51" s="64"/>
      <c r="J51" s="64"/>
      <c r="K51" s="64"/>
      <c r="L51" s="64"/>
      <c r="M51" s="64"/>
      <c r="N51" s="64"/>
      <c r="O51" s="64"/>
      <c r="P51" s="64"/>
      <c r="Q51" s="64"/>
      <c r="R51" s="64"/>
      <c r="S51" s="64"/>
      <c r="T51" s="64"/>
      <c r="U51" s="64"/>
      <c r="V51" s="64"/>
      <c r="W51" s="64"/>
      <c r="X51" s="64"/>
      <c r="Y51" s="64"/>
      <c r="Z51" s="64"/>
    </row>
    <row r="52" ht="12.75" customHeight="1">
      <c r="A52" s="108"/>
      <c r="B52" s="64"/>
      <c r="C52" s="64"/>
      <c r="D52" s="64"/>
      <c r="E52" s="64"/>
      <c r="F52" s="63"/>
      <c r="G52" s="63"/>
      <c r="H52" s="64"/>
      <c r="I52" s="64"/>
      <c r="J52" s="64"/>
      <c r="K52" s="64"/>
      <c r="L52" s="64"/>
      <c r="M52" s="64"/>
      <c r="N52" s="64"/>
      <c r="O52" s="64"/>
      <c r="P52" s="64"/>
      <c r="Q52" s="64"/>
      <c r="R52" s="64"/>
      <c r="S52" s="64"/>
      <c r="T52" s="64"/>
      <c r="U52" s="64"/>
      <c r="V52" s="64"/>
      <c r="W52" s="64"/>
      <c r="X52" s="64"/>
      <c r="Y52" s="64"/>
      <c r="Z52" s="64"/>
    </row>
    <row r="53" ht="12.75" customHeight="1">
      <c r="A53" s="108"/>
      <c r="B53" s="64"/>
      <c r="C53" s="64"/>
      <c r="D53" s="64"/>
      <c r="E53" s="64"/>
      <c r="F53" s="63"/>
      <c r="G53" s="63"/>
      <c r="H53" s="64"/>
      <c r="I53" s="64"/>
      <c r="J53" s="64"/>
      <c r="K53" s="64"/>
      <c r="L53" s="64"/>
      <c r="M53" s="64"/>
      <c r="N53" s="64"/>
      <c r="O53" s="64"/>
      <c r="P53" s="64"/>
      <c r="Q53" s="64"/>
      <c r="R53" s="64"/>
      <c r="S53" s="64"/>
      <c r="T53" s="64"/>
      <c r="U53" s="64"/>
      <c r="V53" s="64"/>
      <c r="W53" s="64"/>
      <c r="X53" s="64"/>
      <c r="Y53" s="64"/>
      <c r="Z53" s="64"/>
    </row>
    <row r="54" ht="12.75" customHeight="1">
      <c r="A54" s="108"/>
      <c r="B54" s="64"/>
      <c r="C54" s="64"/>
      <c r="D54" s="64"/>
      <c r="E54" s="64"/>
      <c r="F54" s="63"/>
      <c r="G54" s="63"/>
      <c r="H54" s="64"/>
      <c r="I54" s="64"/>
      <c r="J54" s="64"/>
      <c r="K54" s="64"/>
      <c r="L54" s="64"/>
      <c r="M54" s="64"/>
      <c r="N54" s="64"/>
      <c r="O54" s="64"/>
      <c r="P54" s="64"/>
      <c r="Q54" s="64"/>
      <c r="R54" s="64"/>
      <c r="S54" s="64"/>
      <c r="T54" s="64"/>
      <c r="U54" s="64"/>
      <c r="V54" s="64"/>
      <c r="W54" s="64"/>
      <c r="X54" s="64"/>
      <c r="Y54" s="64"/>
      <c r="Z54" s="64"/>
    </row>
    <row r="55" ht="12.75" customHeight="1">
      <c r="A55" s="108"/>
      <c r="B55" s="64"/>
      <c r="C55" s="64"/>
      <c r="D55" s="64"/>
      <c r="E55" s="64"/>
      <c r="F55" s="63"/>
      <c r="G55" s="63"/>
      <c r="H55" s="64"/>
      <c r="I55" s="64"/>
      <c r="J55" s="64"/>
      <c r="K55" s="64"/>
      <c r="L55" s="64"/>
      <c r="M55" s="64"/>
      <c r="N55" s="64"/>
      <c r="O55" s="64"/>
      <c r="P55" s="64"/>
      <c r="Q55" s="64"/>
      <c r="R55" s="64"/>
      <c r="S55" s="64"/>
      <c r="T55" s="64"/>
      <c r="U55" s="64"/>
      <c r="V55" s="64"/>
      <c r="W55" s="64"/>
      <c r="X55" s="64"/>
      <c r="Y55" s="64"/>
      <c r="Z55" s="64"/>
    </row>
    <row r="56" ht="12.75" customHeight="1">
      <c r="A56" s="108"/>
      <c r="B56" s="64"/>
      <c r="C56" s="64"/>
      <c r="D56" s="64"/>
      <c r="E56" s="64"/>
      <c r="F56" s="63"/>
      <c r="G56" s="63"/>
      <c r="H56" s="64"/>
      <c r="I56" s="64"/>
      <c r="J56" s="64"/>
      <c r="K56" s="64"/>
      <c r="L56" s="64"/>
      <c r="M56" s="64"/>
      <c r="N56" s="64"/>
      <c r="O56" s="64"/>
      <c r="P56" s="64"/>
      <c r="Q56" s="64"/>
      <c r="R56" s="64"/>
      <c r="S56" s="64"/>
      <c r="T56" s="64"/>
      <c r="U56" s="64"/>
      <c r="V56" s="64"/>
      <c r="W56" s="64"/>
      <c r="X56" s="64"/>
      <c r="Y56" s="64"/>
      <c r="Z56" s="64"/>
    </row>
    <row r="57" ht="12.75" customHeight="1">
      <c r="A57" s="108"/>
      <c r="B57" s="64"/>
      <c r="C57" s="64"/>
      <c r="D57" s="64"/>
      <c r="E57" s="64"/>
      <c r="F57" s="63"/>
      <c r="G57" s="63"/>
      <c r="H57" s="64"/>
      <c r="I57" s="64"/>
      <c r="J57" s="64"/>
      <c r="K57" s="64"/>
      <c r="L57" s="64"/>
      <c r="M57" s="64"/>
      <c r="N57" s="64"/>
      <c r="O57" s="64"/>
      <c r="P57" s="64"/>
      <c r="Q57" s="64"/>
      <c r="R57" s="64"/>
      <c r="S57" s="64"/>
      <c r="T57" s="64"/>
      <c r="U57" s="64"/>
      <c r="V57" s="64"/>
      <c r="W57" s="64"/>
      <c r="X57" s="64"/>
      <c r="Y57" s="64"/>
      <c r="Z57" s="64"/>
    </row>
    <row r="58" ht="12.75" customHeight="1">
      <c r="A58" s="108"/>
      <c r="B58" s="64"/>
      <c r="C58" s="64"/>
      <c r="D58" s="64"/>
      <c r="E58" s="64"/>
      <c r="F58" s="63"/>
      <c r="G58" s="63"/>
      <c r="H58" s="64"/>
      <c r="I58" s="64"/>
      <c r="J58" s="64"/>
      <c r="K58" s="64"/>
      <c r="L58" s="64"/>
      <c r="M58" s="64"/>
      <c r="N58" s="64"/>
      <c r="O58" s="64"/>
      <c r="P58" s="64"/>
      <c r="Q58" s="64"/>
      <c r="R58" s="64"/>
      <c r="S58" s="64"/>
      <c r="T58" s="64"/>
      <c r="U58" s="64"/>
      <c r="V58" s="64"/>
      <c r="W58" s="64"/>
      <c r="X58" s="64"/>
      <c r="Y58" s="64"/>
      <c r="Z58" s="64"/>
    </row>
    <row r="59" ht="12.75" customHeight="1">
      <c r="A59" s="108"/>
      <c r="B59" s="64"/>
      <c r="C59" s="64"/>
      <c r="D59" s="64"/>
      <c r="E59" s="64"/>
      <c r="F59" s="63"/>
      <c r="G59" s="63"/>
      <c r="H59" s="64"/>
      <c r="I59" s="64"/>
      <c r="J59" s="64"/>
      <c r="K59" s="64"/>
      <c r="L59" s="64"/>
      <c r="M59" s="64"/>
      <c r="N59" s="64"/>
      <c r="O59" s="64"/>
      <c r="P59" s="64"/>
      <c r="Q59" s="64"/>
      <c r="R59" s="64"/>
      <c r="S59" s="64"/>
      <c r="T59" s="64"/>
      <c r="U59" s="64"/>
      <c r="V59" s="64"/>
      <c r="W59" s="64"/>
      <c r="X59" s="64"/>
      <c r="Y59" s="64"/>
      <c r="Z59" s="64"/>
    </row>
    <row r="60" ht="12.75" customHeight="1">
      <c r="A60" s="108"/>
      <c r="B60" s="64"/>
      <c r="C60" s="64"/>
      <c r="D60" s="64"/>
      <c r="E60" s="64"/>
      <c r="F60" s="63"/>
      <c r="G60" s="63"/>
      <c r="H60" s="64"/>
      <c r="I60" s="64"/>
      <c r="J60" s="64"/>
      <c r="K60" s="64"/>
      <c r="L60" s="64"/>
      <c r="M60" s="64"/>
      <c r="N60" s="64"/>
      <c r="O60" s="64"/>
      <c r="P60" s="64"/>
      <c r="Q60" s="64"/>
      <c r="R60" s="64"/>
      <c r="S60" s="64"/>
      <c r="T60" s="64"/>
      <c r="U60" s="64"/>
      <c r="V60" s="64"/>
      <c r="W60" s="64"/>
      <c r="X60" s="64"/>
      <c r="Y60" s="64"/>
      <c r="Z60" s="64"/>
    </row>
    <row r="61" ht="12.75" customHeight="1">
      <c r="A61" s="108"/>
      <c r="B61" s="64"/>
      <c r="C61" s="64"/>
      <c r="D61" s="64"/>
      <c r="E61" s="64"/>
      <c r="F61" s="63"/>
      <c r="G61" s="63"/>
      <c r="H61" s="64"/>
      <c r="I61" s="64"/>
      <c r="J61" s="64"/>
      <c r="K61" s="64"/>
      <c r="L61" s="64"/>
      <c r="M61" s="64"/>
      <c r="N61" s="64"/>
      <c r="O61" s="64"/>
      <c r="P61" s="64"/>
      <c r="Q61" s="64"/>
      <c r="R61" s="64"/>
      <c r="S61" s="64"/>
      <c r="T61" s="64"/>
      <c r="U61" s="64"/>
      <c r="V61" s="64"/>
      <c r="W61" s="64"/>
      <c r="X61" s="64"/>
      <c r="Y61" s="64"/>
      <c r="Z61" s="64"/>
    </row>
    <row r="62" ht="12.75" customHeight="1">
      <c r="A62" s="108"/>
      <c r="B62" s="64"/>
      <c r="C62" s="64"/>
      <c r="D62" s="64"/>
      <c r="E62" s="64"/>
      <c r="F62" s="63"/>
      <c r="G62" s="63"/>
      <c r="H62" s="64"/>
      <c r="I62" s="64"/>
      <c r="J62" s="64"/>
      <c r="K62" s="64"/>
      <c r="L62" s="64"/>
      <c r="M62" s="64"/>
      <c r="N62" s="64"/>
      <c r="O62" s="64"/>
      <c r="P62" s="64"/>
      <c r="Q62" s="64"/>
      <c r="R62" s="64"/>
      <c r="S62" s="64"/>
      <c r="T62" s="64"/>
      <c r="U62" s="64"/>
      <c r="V62" s="64"/>
      <c r="W62" s="64"/>
      <c r="X62" s="64"/>
      <c r="Y62" s="64"/>
      <c r="Z62" s="64"/>
    </row>
    <row r="63" ht="12.75" customHeight="1">
      <c r="A63" s="108"/>
      <c r="B63" s="64"/>
      <c r="C63" s="64"/>
      <c r="D63" s="64"/>
      <c r="E63" s="64"/>
      <c r="F63" s="63"/>
      <c r="G63" s="63"/>
      <c r="H63" s="64"/>
      <c r="I63" s="64"/>
      <c r="J63" s="64"/>
      <c r="K63" s="64"/>
      <c r="L63" s="64"/>
      <c r="M63" s="64"/>
      <c r="N63" s="64"/>
      <c r="O63" s="64"/>
      <c r="P63" s="64"/>
      <c r="Q63" s="64"/>
      <c r="R63" s="64"/>
      <c r="S63" s="64"/>
      <c r="T63" s="64"/>
      <c r="U63" s="64"/>
      <c r="V63" s="64"/>
      <c r="W63" s="64"/>
      <c r="X63" s="64"/>
      <c r="Y63" s="64"/>
      <c r="Z63" s="64"/>
    </row>
    <row r="64" ht="12.75" customHeight="1">
      <c r="A64" s="108"/>
      <c r="B64" s="64"/>
      <c r="C64" s="64"/>
      <c r="D64" s="64"/>
      <c r="E64" s="64"/>
      <c r="F64" s="63"/>
      <c r="G64" s="63"/>
      <c r="H64" s="64"/>
      <c r="I64" s="64"/>
      <c r="J64" s="64"/>
      <c r="K64" s="64"/>
      <c r="L64" s="64"/>
      <c r="M64" s="64"/>
      <c r="N64" s="64"/>
      <c r="O64" s="64"/>
      <c r="P64" s="64"/>
      <c r="Q64" s="64"/>
      <c r="R64" s="64"/>
      <c r="S64" s="64"/>
      <c r="T64" s="64"/>
      <c r="U64" s="64"/>
      <c r="V64" s="64"/>
      <c r="W64" s="64"/>
      <c r="X64" s="64"/>
      <c r="Y64" s="64"/>
      <c r="Z64" s="64"/>
    </row>
    <row r="65" ht="12.75" customHeight="1">
      <c r="A65" s="108"/>
      <c r="B65" s="64"/>
      <c r="C65" s="64"/>
      <c r="D65" s="64"/>
      <c r="E65" s="64"/>
      <c r="F65" s="63"/>
      <c r="G65" s="63"/>
      <c r="H65" s="64"/>
      <c r="I65" s="64"/>
      <c r="J65" s="64"/>
      <c r="K65" s="64"/>
      <c r="L65" s="64"/>
      <c r="M65" s="64"/>
      <c r="N65" s="64"/>
      <c r="O65" s="64"/>
      <c r="P65" s="64"/>
      <c r="Q65" s="64"/>
      <c r="R65" s="64"/>
      <c r="S65" s="64"/>
      <c r="T65" s="64"/>
      <c r="U65" s="64"/>
      <c r="V65" s="64"/>
      <c r="W65" s="64"/>
      <c r="X65" s="64"/>
      <c r="Y65" s="64"/>
      <c r="Z65" s="64"/>
    </row>
    <row r="66" ht="12.75" customHeight="1">
      <c r="A66" s="108"/>
      <c r="B66" s="64"/>
      <c r="C66" s="64"/>
      <c r="D66" s="64"/>
      <c r="E66" s="64"/>
      <c r="F66" s="63"/>
      <c r="G66" s="63"/>
      <c r="H66" s="64"/>
      <c r="I66" s="64"/>
      <c r="J66" s="64"/>
      <c r="K66" s="64"/>
      <c r="L66" s="64"/>
      <c r="M66" s="64"/>
      <c r="N66" s="64"/>
      <c r="O66" s="64"/>
      <c r="P66" s="64"/>
      <c r="Q66" s="64"/>
      <c r="R66" s="64"/>
      <c r="S66" s="64"/>
      <c r="T66" s="64"/>
      <c r="U66" s="64"/>
      <c r="V66" s="64"/>
      <c r="W66" s="64"/>
      <c r="X66" s="64"/>
      <c r="Y66" s="64"/>
      <c r="Z66" s="64"/>
    </row>
    <row r="67" ht="12.75" customHeight="1">
      <c r="A67" s="108"/>
      <c r="B67" s="64"/>
      <c r="C67" s="64"/>
      <c r="D67" s="64"/>
      <c r="E67" s="64"/>
      <c r="F67" s="63"/>
      <c r="G67" s="63"/>
      <c r="H67" s="64"/>
      <c r="I67" s="64"/>
      <c r="J67" s="64"/>
      <c r="K67" s="64"/>
      <c r="L67" s="64"/>
      <c r="M67" s="64"/>
      <c r="N67" s="64"/>
      <c r="O67" s="64"/>
      <c r="P67" s="64"/>
      <c r="Q67" s="64"/>
      <c r="R67" s="64"/>
      <c r="S67" s="64"/>
      <c r="T67" s="64"/>
      <c r="U67" s="64"/>
      <c r="V67" s="64"/>
      <c r="W67" s="64"/>
      <c r="X67" s="64"/>
      <c r="Y67" s="64"/>
      <c r="Z67" s="64"/>
    </row>
    <row r="68" ht="12.75" customHeight="1">
      <c r="A68" s="108"/>
      <c r="B68" s="64"/>
      <c r="C68" s="64"/>
      <c r="D68" s="64"/>
      <c r="E68" s="64"/>
      <c r="F68" s="63"/>
      <c r="G68" s="63"/>
      <c r="H68" s="64"/>
      <c r="I68" s="64"/>
      <c r="J68" s="64"/>
      <c r="K68" s="64"/>
      <c r="L68" s="64"/>
      <c r="M68" s="64"/>
      <c r="N68" s="64"/>
      <c r="O68" s="64"/>
      <c r="P68" s="64"/>
      <c r="Q68" s="64"/>
      <c r="R68" s="64"/>
      <c r="S68" s="64"/>
      <c r="T68" s="64"/>
      <c r="U68" s="64"/>
      <c r="V68" s="64"/>
      <c r="W68" s="64"/>
      <c r="X68" s="64"/>
      <c r="Y68" s="64"/>
      <c r="Z68" s="64"/>
    </row>
    <row r="69" ht="12.75" customHeight="1">
      <c r="A69" s="108"/>
      <c r="B69" s="64"/>
      <c r="C69" s="64"/>
      <c r="D69" s="64"/>
      <c r="E69" s="64"/>
      <c r="F69" s="63"/>
      <c r="G69" s="63"/>
      <c r="H69" s="64"/>
      <c r="I69" s="64"/>
      <c r="J69" s="64"/>
      <c r="K69" s="64"/>
      <c r="L69" s="64"/>
      <c r="M69" s="64"/>
      <c r="N69" s="64"/>
      <c r="O69" s="64"/>
      <c r="P69" s="64"/>
      <c r="Q69" s="64"/>
      <c r="R69" s="64"/>
      <c r="S69" s="64"/>
      <c r="T69" s="64"/>
      <c r="U69" s="64"/>
      <c r="V69" s="64"/>
      <c r="W69" s="64"/>
      <c r="X69" s="64"/>
      <c r="Y69" s="64"/>
      <c r="Z69" s="64"/>
    </row>
    <row r="70" ht="12.75" customHeight="1">
      <c r="A70" s="108"/>
      <c r="B70" s="64"/>
      <c r="C70" s="64"/>
      <c r="D70" s="64"/>
      <c r="E70" s="64"/>
      <c r="F70" s="63"/>
      <c r="G70" s="63"/>
      <c r="H70" s="64"/>
      <c r="I70" s="64"/>
      <c r="J70" s="64"/>
      <c r="K70" s="64"/>
      <c r="L70" s="64"/>
      <c r="M70" s="64"/>
      <c r="N70" s="64"/>
      <c r="O70" s="64"/>
      <c r="P70" s="64"/>
      <c r="Q70" s="64"/>
      <c r="R70" s="64"/>
      <c r="S70" s="64"/>
      <c r="T70" s="64"/>
      <c r="U70" s="64"/>
      <c r="V70" s="64"/>
      <c r="W70" s="64"/>
      <c r="X70" s="64"/>
      <c r="Y70" s="64"/>
      <c r="Z70" s="64"/>
    </row>
    <row r="71" ht="12.75" customHeight="1">
      <c r="A71" s="108"/>
      <c r="B71" s="64"/>
      <c r="C71" s="64"/>
      <c r="D71" s="64"/>
      <c r="E71" s="64"/>
      <c r="F71" s="63"/>
      <c r="G71" s="63"/>
      <c r="H71" s="64"/>
      <c r="I71" s="64"/>
      <c r="J71" s="64"/>
      <c r="K71" s="64"/>
      <c r="L71" s="64"/>
      <c r="M71" s="64"/>
      <c r="N71" s="64"/>
      <c r="O71" s="64"/>
      <c r="P71" s="64"/>
      <c r="Q71" s="64"/>
      <c r="R71" s="64"/>
      <c r="S71" s="64"/>
      <c r="T71" s="64"/>
      <c r="U71" s="64"/>
      <c r="V71" s="64"/>
      <c r="W71" s="64"/>
      <c r="X71" s="64"/>
      <c r="Y71" s="64"/>
      <c r="Z71" s="64"/>
    </row>
    <row r="72" ht="12.75" customHeight="1">
      <c r="A72" s="108"/>
      <c r="B72" s="64"/>
      <c r="C72" s="64"/>
      <c r="D72" s="64"/>
      <c r="E72" s="64"/>
      <c r="F72" s="63"/>
      <c r="G72" s="63"/>
      <c r="H72" s="64"/>
      <c r="I72" s="64"/>
      <c r="J72" s="64"/>
      <c r="K72" s="64"/>
      <c r="L72" s="64"/>
      <c r="M72" s="64"/>
      <c r="N72" s="64"/>
      <c r="O72" s="64"/>
      <c r="P72" s="64"/>
      <c r="Q72" s="64"/>
      <c r="R72" s="64"/>
      <c r="S72" s="64"/>
      <c r="T72" s="64"/>
      <c r="U72" s="64"/>
      <c r="V72" s="64"/>
      <c r="W72" s="64"/>
      <c r="X72" s="64"/>
      <c r="Y72" s="64"/>
      <c r="Z72" s="64"/>
    </row>
    <row r="73" ht="12.75" customHeight="1">
      <c r="A73" s="108"/>
      <c r="B73" s="64"/>
      <c r="C73" s="64"/>
      <c r="D73" s="64"/>
      <c r="E73" s="64"/>
      <c r="F73" s="63"/>
      <c r="G73" s="63"/>
      <c r="H73" s="64"/>
      <c r="I73" s="64"/>
      <c r="J73" s="64"/>
      <c r="K73" s="64"/>
      <c r="L73" s="64"/>
      <c r="M73" s="64"/>
      <c r="N73" s="64"/>
      <c r="O73" s="64"/>
      <c r="P73" s="64"/>
      <c r="Q73" s="64"/>
      <c r="R73" s="64"/>
      <c r="S73" s="64"/>
      <c r="T73" s="64"/>
      <c r="U73" s="64"/>
      <c r="V73" s="64"/>
      <c r="W73" s="64"/>
      <c r="X73" s="64"/>
      <c r="Y73" s="64"/>
      <c r="Z73" s="64"/>
    </row>
    <row r="74" ht="12.75" customHeight="1">
      <c r="A74" s="108"/>
      <c r="B74" s="64"/>
      <c r="C74" s="64"/>
      <c r="D74" s="64"/>
      <c r="E74" s="64"/>
      <c r="F74" s="63"/>
      <c r="G74" s="63"/>
      <c r="H74" s="64"/>
      <c r="I74" s="64"/>
      <c r="J74" s="64"/>
      <c r="K74" s="64"/>
      <c r="L74" s="64"/>
      <c r="M74" s="64"/>
      <c r="N74" s="64"/>
      <c r="O74" s="64"/>
      <c r="P74" s="64"/>
      <c r="Q74" s="64"/>
      <c r="R74" s="64"/>
      <c r="S74" s="64"/>
      <c r="T74" s="64"/>
      <c r="U74" s="64"/>
      <c r="V74" s="64"/>
      <c r="W74" s="64"/>
      <c r="X74" s="64"/>
      <c r="Y74" s="64"/>
      <c r="Z74" s="64"/>
    </row>
    <row r="75" ht="12.75" customHeight="1">
      <c r="A75" s="108"/>
      <c r="B75" s="64"/>
      <c r="C75" s="64"/>
      <c r="D75" s="64"/>
      <c r="E75" s="64"/>
      <c r="F75" s="63"/>
      <c r="G75" s="63"/>
      <c r="H75" s="64"/>
      <c r="I75" s="64"/>
      <c r="J75" s="64"/>
      <c r="K75" s="64"/>
      <c r="L75" s="64"/>
      <c r="M75" s="64"/>
      <c r="N75" s="64"/>
      <c r="O75" s="64"/>
      <c r="P75" s="64"/>
      <c r="Q75" s="64"/>
      <c r="R75" s="64"/>
      <c r="S75" s="64"/>
      <c r="T75" s="64"/>
      <c r="U75" s="64"/>
      <c r="V75" s="64"/>
      <c r="W75" s="64"/>
      <c r="X75" s="64"/>
      <c r="Y75" s="64"/>
      <c r="Z75" s="64"/>
    </row>
    <row r="76" ht="12.75" customHeight="1">
      <c r="A76" s="108"/>
      <c r="B76" s="64"/>
      <c r="C76" s="64"/>
      <c r="D76" s="64"/>
      <c r="E76" s="64"/>
      <c r="F76" s="63"/>
      <c r="G76" s="63"/>
      <c r="H76" s="64"/>
      <c r="I76" s="64"/>
      <c r="J76" s="64"/>
      <c r="K76" s="64"/>
      <c r="L76" s="64"/>
      <c r="M76" s="64"/>
      <c r="N76" s="64"/>
      <c r="O76" s="64"/>
      <c r="P76" s="64"/>
      <c r="Q76" s="64"/>
      <c r="R76" s="64"/>
      <c r="S76" s="64"/>
      <c r="T76" s="64"/>
      <c r="U76" s="64"/>
      <c r="V76" s="64"/>
      <c r="W76" s="64"/>
      <c r="X76" s="64"/>
      <c r="Y76" s="64"/>
      <c r="Z76" s="64"/>
    </row>
    <row r="77" ht="12.75" customHeight="1">
      <c r="A77" s="108"/>
      <c r="B77" s="64"/>
      <c r="C77" s="64"/>
      <c r="D77" s="64"/>
      <c r="E77" s="64"/>
      <c r="F77" s="63"/>
      <c r="G77" s="63"/>
      <c r="H77" s="64"/>
      <c r="I77" s="64"/>
      <c r="J77" s="64"/>
      <c r="K77" s="64"/>
      <c r="L77" s="64"/>
      <c r="M77" s="64"/>
      <c r="N77" s="64"/>
      <c r="O77" s="64"/>
      <c r="P77" s="64"/>
      <c r="Q77" s="64"/>
      <c r="R77" s="64"/>
      <c r="S77" s="64"/>
      <c r="T77" s="64"/>
      <c r="U77" s="64"/>
      <c r="V77" s="64"/>
      <c r="W77" s="64"/>
      <c r="X77" s="64"/>
      <c r="Y77" s="64"/>
      <c r="Z77" s="64"/>
    </row>
    <row r="78" ht="12.75" customHeight="1">
      <c r="A78" s="108"/>
      <c r="B78" s="64"/>
      <c r="C78" s="64"/>
      <c r="D78" s="64"/>
      <c r="E78" s="64"/>
      <c r="F78" s="63"/>
      <c r="G78" s="63"/>
      <c r="H78" s="64"/>
      <c r="I78" s="64"/>
      <c r="J78" s="64"/>
      <c r="K78" s="64"/>
      <c r="L78" s="64"/>
      <c r="M78" s="64"/>
      <c r="N78" s="64"/>
      <c r="O78" s="64"/>
      <c r="P78" s="64"/>
      <c r="Q78" s="64"/>
      <c r="R78" s="64"/>
      <c r="S78" s="64"/>
      <c r="T78" s="64"/>
      <c r="U78" s="64"/>
      <c r="V78" s="64"/>
      <c r="W78" s="64"/>
      <c r="X78" s="64"/>
      <c r="Y78" s="64"/>
      <c r="Z78" s="64"/>
    </row>
    <row r="79" ht="12.75" customHeight="1">
      <c r="A79" s="108"/>
      <c r="B79" s="64"/>
      <c r="C79" s="64"/>
      <c r="D79" s="64"/>
      <c r="E79" s="64"/>
      <c r="F79" s="63"/>
      <c r="G79" s="63"/>
      <c r="H79" s="64"/>
      <c r="I79" s="64"/>
      <c r="J79" s="64"/>
      <c r="K79" s="64"/>
      <c r="L79" s="64"/>
      <c r="M79" s="64"/>
      <c r="N79" s="64"/>
      <c r="O79" s="64"/>
      <c r="P79" s="64"/>
      <c r="Q79" s="64"/>
      <c r="R79" s="64"/>
      <c r="S79" s="64"/>
      <c r="T79" s="64"/>
      <c r="U79" s="64"/>
      <c r="V79" s="64"/>
      <c r="W79" s="64"/>
      <c r="X79" s="64"/>
      <c r="Y79" s="64"/>
      <c r="Z79" s="64"/>
    </row>
    <row r="80" ht="12.75" customHeight="1">
      <c r="A80" s="108"/>
      <c r="B80" s="64"/>
      <c r="C80" s="64"/>
      <c r="D80" s="64"/>
      <c r="E80" s="64"/>
      <c r="F80" s="63"/>
      <c r="G80" s="63"/>
      <c r="H80" s="64"/>
      <c r="I80" s="64"/>
      <c r="J80" s="64"/>
      <c r="K80" s="64"/>
      <c r="L80" s="64"/>
      <c r="M80" s="64"/>
      <c r="N80" s="64"/>
      <c r="O80" s="64"/>
      <c r="P80" s="64"/>
      <c r="Q80" s="64"/>
      <c r="R80" s="64"/>
      <c r="S80" s="64"/>
      <c r="T80" s="64"/>
      <c r="U80" s="64"/>
      <c r="V80" s="64"/>
      <c r="W80" s="64"/>
      <c r="X80" s="64"/>
      <c r="Y80" s="64"/>
      <c r="Z80" s="64"/>
    </row>
    <row r="81" ht="12.75" customHeight="1">
      <c r="A81" s="108"/>
      <c r="B81" s="64"/>
      <c r="C81" s="64"/>
      <c r="D81" s="64"/>
      <c r="E81" s="64"/>
      <c r="F81" s="63"/>
      <c r="G81" s="63"/>
      <c r="H81" s="64"/>
      <c r="I81" s="64"/>
      <c r="J81" s="64"/>
      <c r="K81" s="64"/>
      <c r="L81" s="64"/>
      <c r="M81" s="64"/>
      <c r="N81" s="64"/>
      <c r="O81" s="64"/>
      <c r="P81" s="64"/>
      <c r="Q81" s="64"/>
      <c r="R81" s="64"/>
      <c r="S81" s="64"/>
      <c r="T81" s="64"/>
      <c r="U81" s="64"/>
      <c r="V81" s="64"/>
      <c r="W81" s="64"/>
      <c r="X81" s="64"/>
      <c r="Y81" s="64"/>
      <c r="Z81" s="64"/>
    </row>
    <row r="82" ht="12.75" customHeight="1">
      <c r="A82" s="108"/>
      <c r="B82" s="64"/>
      <c r="C82" s="64"/>
      <c r="D82" s="64"/>
      <c r="E82" s="64"/>
      <c r="F82" s="63"/>
      <c r="G82" s="63"/>
      <c r="H82" s="64"/>
      <c r="I82" s="64"/>
      <c r="J82" s="64"/>
      <c r="K82" s="64"/>
      <c r="L82" s="64"/>
      <c r="M82" s="64"/>
      <c r="N82" s="64"/>
      <c r="O82" s="64"/>
      <c r="P82" s="64"/>
      <c r="Q82" s="64"/>
      <c r="R82" s="64"/>
      <c r="S82" s="64"/>
      <c r="T82" s="64"/>
      <c r="U82" s="64"/>
      <c r="V82" s="64"/>
      <c r="W82" s="64"/>
      <c r="X82" s="64"/>
      <c r="Y82" s="64"/>
      <c r="Z82" s="64"/>
    </row>
    <row r="83" ht="12.75" customHeight="1">
      <c r="A83" s="108"/>
      <c r="B83" s="64"/>
      <c r="C83" s="64"/>
      <c r="D83" s="64"/>
      <c r="E83" s="64"/>
      <c r="F83" s="63"/>
      <c r="G83" s="63"/>
      <c r="H83" s="64"/>
      <c r="I83" s="64"/>
      <c r="J83" s="64"/>
      <c r="K83" s="64"/>
      <c r="L83" s="64"/>
      <c r="M83" s="64"/>
      <c r="N83" s="64"/>
      <c r="O83" s="64"/>
      <c r="P83" s="64"/>
      <c r="Q83" s="64"/>
      <c r="R83" s="64"/>
      <c r="S83" s="64"/>
      <c r="T83" s="64"/>
      <c r="U83" s="64"/>
      <c r="V83" s="64"/>
      <c r="W83" s="64"/>
      <c r="X83" s="64"/>
      <c r="Y83" s="64"/>
      <c r="Z83" s="64"/>
    </row>
    <row r="84" ht="12.75" customHeight="1">
      <c r="A84" s="108"/>
      <c r="B84" s="64"/>
      <c r="C84" s="64"/>
      <c r="D84" s="64"/>
      <c r="E84" s="64"/>
      <c r="F84" s="63"/>
      <c r="G84" s="63"/>
      <c r="H84" s="64"/>
      <c r="I84" s="64"/>
      <c r="J84" s="64"/>
      <c r="K84" s="64"/>
      <c r="L84" s="64"/>
      <c r="M84" s="64"/>
      <c r="N84" s="64"/>
      <c r="O84" s="64"/>
      <c r="P84" s="64"/>
      <c r="Q84" s="64"/>
      <c r="R84" s="64"/>
      <c r="S84" s="64"/>
      <c r="T84" s="64"/>
      <c r="U84" s="64"/>
      <c r="V84" s="64"/>
      <c r="W84" s="64"/>
      <c r="X84" s="64"/>
      <c r="Y84" s="64"/>
      <c r="Z84" s="64"/>
    </row>
    <row r="85" ht="12.75" customHeight="1">
      <c r="A85" s="108"/>
      <c r="B85" s="64"/>
      <c r="C85" s="64"/>
      <c r="D85" s="64"/>
      <c r="E85" s="64"/>
      <c r="F85" s="63"/>
      <c r="G85" s="63"/>
      <c r="H85" s="64"/>
      <c r="I85" s="64"/>
      <c r="J85" s="64"/>
      <c r="K85" s="64"/>
      <c r="L85" s="64"/>
      <c r="M85" s="64"/>
      <c r="N85" s="64"/>
      <c r="O85" s="64"/>
      <c r="P85" s="64"/>
      <c r="Q85" s="64"/>
      <c r="R85" s="64"/>
      <c r="S85" s="64"/>
      <c r="T85" s="64"/>
      <c r="U85" s="64"/>
      <c r="V85" s="64"/>
      <c r="W85" s="64"/>
      <c r="X85" s="64"/>
      <c r="Y85" s="64"/>
      <c r="Z85" s="64"/>
    </row>
    <row r="86" ht="12.75" customHeight="1">
      <c r="A86" s="108"/>
      <c r="B86" s="64"/>
      <c r="C86" s="64"/>
      <c r="D86" s="64"/>
      <c r="E86" s="64"/>
      <c r="F86" s="63"/>
      <c r="G86" s="63"/>
      <c r="H86" s="64"/>
      <c r="I86" s="64"/>
      <c r="J86" s="64"/>
      <c r="K86" s="64"/>
      <c r="L86" s="64"/>
      <c r="M86" s="64"/>
      <c r="N86" s="64"/>
      <c r="O86" s="64"/>
      <c r="P86" s="64"/>
      <c r="Q86" s="64"/>
      <c r="R86" s="64"/>
      <c r="S86" s="64"/>
      <c r="T86" s="64"/>
      <c r="U86" s="64"/>
      <c r="V86" s="64"/>
      <c r="W86" s="64"/>
      <c r="X86" s="64"/>
      <c r="Y86" s="64"/>
      <c r="Z86" s="64"/>
    </row>
    <row r="87" ht="12.75" customHeight="1">
      <c r="A87" s="108"/>
      <c r="B87" s="64"/>
      <c r="C87" s="64"/>
      <c r="D87" s="64"/>
      <c r="E87" s="64"/>
      <c r="F87" s="63"/>
      <c r="G87" s="63"/>
      <c r="H87" s="64"/>
      <c r="I87" s="64"/>
      <c r="J87" s="64"/>
      <c r="K87" s="64"/>
      <c r="L87" s="64"/>
      <c r="M87" s="64"/>
      <c r="N87" s="64"/>
      <c r="O87" s="64"/>
      <c r="P87" s="64"/>
      <c r="Q87" s="64"/>
      <c r="R87" s="64"/>
      <c r="S87" s="64"/>
      <c r="T87" s="64"/>
      <c r="U87" s="64"/>
      <c r="V87" s="64"/>
      <c r="W87" s="64"/>
      <c r="X87" s="64"/>
      <c r="Y87" s="64"/>
      <c r="Z87" s="64"/>
    </row>
    <row r="88" ht="12.75" customHeight="1">
      <c r="A88" s="108"/>
      <c r="B88" s="64"/>
      <c r="C88" s="64"/>
      <c r="D88" s="64"/>
      <c r="E88" s="64"/>
      <c r="F88" s="63"/>
      <c r="G88" s="63"/>
      <c r="H88" s="64"/>
      <c r="I88" s="64"/>
      <c r="J88" s="64"/>
      <c r="K88" s="64"/>
      <c r="L88" s="64"/>
      <c r="M88" s="64"/>
      <c r="N88" s="64"/>
      <c r="O88" s="64"/>
      <c r="P88" s="64"/>
      <c r="Q88" s="64"/>
      <c r="R88" s="64"/>
      <c r="S88" s="64"/>
      <c r="T88" s="64"/>
      <c r="U88" s="64"/>
      <c r="V88" s="64"/>
      <c r="W88" s="64"/>
      <c r="X88" s="64"/>
      <c r="Y88" s="64"/>
      <c r="Z88" s="64"/>
    </row>
    <row r="89" ht="12.75" customHeight="1">
      <c r="A89" s="108"/>
      <c r="B89" s="64"/>
      <c r="C89" s="64"/>
      <c r="D89" s="64"/>
      <c r="E89" s="64"/>
      <c r="F89" s="63"/>
      <c r="G89" s="63"/>
      <c r="H89" s="64"/>
      <c r="I89" s="64"/>
      <c r="J89" s="64"/>
      <c r="K89" s="64"/>
      <c r="L89" s="64"/>
      <c r="M89" s="64"/>
      <c r="N89" s="64"/>
      <c r="O89" s="64"/>
      <c r="P89" s="64"/>
      <c r="Q89" s="64"/>
      <c r="R89" s="64"/>
      <c r="S89" s="64"/>
      <c r="T89" s="64"/>
      <c r="U89" s="64"/>
      <c r="V89" s="64"/>
      <c r="W89" s="64"/>
      <c r="X89" s="64"/>
      <c r="Y89" s="64"/>
      <c r="Z89" s="64"/>
    </row>
    <row r="90" ht="12.75" customHeight="1">
      <c r="A90" s="108"/>
      <c r="B90" s="64"/>
      <c r="C90" s="64"/>
      <c r="D90" s="64"/>
      <c r="E90" s="64"/>
      <c r="F90" s="63"/>
      <c r="G90" s="63"/>
      <c r="H90" s="64"/>
      <c r="I90" s="64"/>
      <c r="J90" s="64"/>
      <c r="K90" s="64"/>
      <c r="L90" s="64"/>
      <c r="M90" s="64"/>
      <c r="N90" s="64"/>
      <c r="O90" s="64"/>
      <c r="P90" s="64"/>
      <c r="Q90" s="64"/>
      <c r="R90" s="64"/>
      <c r="S90" s="64"/>
      <c r="T90" s="64"/>
      <c r="U90" s="64"/>
      <c r="V90" s="64"/>
      <c r="W90" s="64"/>
      <c r="X90" s="64"/>
      <c r="Y90" s="64"/>
      <c r="Z90" s="64"/>
    </row>
    <row r="91" ht="12.75" customHeight="1">
      <c r="A91" s="108"/>
      <c r="B91" s="64"/>
      <c r="C91" s="64"/>
      <c r="D91" s="64"/>
      <c r="E91" s="64"/>
      <c r="F91" s="63"/>
      <c r="G91" s="63"/>
      <c r="H91" s="64"/>
      <c r="I91" s="64"/>
      <c r="J91" s="64"/>
      <c r="K91" s="64"/>
      <c r="L91" s="64"/>
      <c r="M91" s="64"/>
      <c r="N91" s="64"/>
      <c r="O91" s="64"/>
      <c r="P91" s="64"/>
      <c r="Q91" s="64"/>
      <c r="R91" s="64"/>
      <c r="S91" s="64"/>
      <c r="T91" s="64"/>
      <c r="U91" s="64"/>
      <c r="V91" s="64"/>
      <c r="W91" s="64"/>
      <c r="X91" s="64"/>
      <c r="Y91" s="64"/>
      <c r="Z91" s="64"/>
    </row>
    <row r="92" ht="12.75" customHeight="1">
      <c r="A92" s="108"/>
      <c r="B92" s="64"/>
      <c r="C92" s="64"/>
      <c r="D92" s="64"/>
      <c r="E92" s="64"/>
      <c r="F92" s="63"/>
      <c r="G92" s="63"/>
      <c r="H92" s="64"/>
      <c r="I92" s="64"/>
      <c r="J92" s="64"/>
      <c r="K92" s="64"/>
      <c r="L92" s="64"/>
      <c r="M92" s="64"/>
      <c r="N92" s="64"/>
      <c r="O92" s="64"/>
      <c r="P92" s="64"/>
      <c r="Q92" s="64"/>
      <c r="R92" s="64"/>
      <c r="S92" s="64"/>
      <c r="T92" s="64"/>
      <c r="U92" s="64"/>
      <c r="V92" s="64"/>
      <c r="W92" s="64"/>
      <c r="X92" s="64"/>
      <c r="Y92" s="64"/>
      <c r="Z92" s="64"/>
    </row>
    <row r="93" ht="12.75" customHeight="1">
      <c r="A93" s="108"/>
      <c r="B93" s="64"/>
      <c r="C93" s="64"/>
      <c r="D93" s="64"/>
      <c r="E93" s="64"/>
      <c r="F93" s="63"/>
      <c r="G93" s="63"/>
      <c r="H93" s="64"/>
      <c r="I93" s="64"/>
      <c r="J93" s="64"/>
      <c r="K93" s="64"/>
      <c r="L93" s="64"/>
      <c r="M93" s="64"/>
      <c r="N93" s="64"/>
      <c r="O93" s="64"/>
      <c r="P93" s="64"/>
      <c r="Q93" s="64"/>
      <c r="R93" s="64"/>
      <c r="S93" s="64"/>
      <c r="T93" s="64"/>
      <c r="U93" s="64"/>
      <c r="V93" s="64"/>
      <c r="W93" s="64"/>
      <c r="X93" s="64"/>
      <c r="Y93" s="64"/>
      <c r="Z93" s="64"/>
    </row>
    <row r="94" ht="12.75" customHeight="1">
      <c r="A94" s="108"/>
      <c r="B94" s="64"/>
      <c r="C94" s="64"/>
      <c r="D94" s="64"/>
      <c r="E94" s="64"/>
      <c r="F94" s="63"/>
      <c r="G94" s="63"/>
      <c r="H94" s="64"/>
      <c r="I94" s="64"/>
      <c r="J94" s="64"/>
      <c r="K94" s="64"/>
      <c r="L94" s="64"/>
      <c r="M94" s="64"/>
      <c r="N94" s="64"/>
      <c r="O94" s="64"/>
      <c r="P94" s="64"/>
      <c r="Q94" s="64"/>
      <c r="R94" s="64"/>
      <c r="S94" s="64"/>
      <c r="T94" s="64"/>
      <c r="U94" s="64"/>
      <c r="V94" s="64"/>
      <c r="W94" s="64"/>
      <c r="X94" s="64"/>
      <c r="Y94" s="64"/>
      <c r="Z94" s="64"/>
    </row>
    <row r="95" ht="12.75" customHeight="1">
      <c r="A95" s="108"/>
      <c r="B95" s="64"/>
      <c r="C95" s="64"/>
      <c r="D95" s="64"/>
      <c r="E95" s="64"/>
      <c r="F95" s="63"/>
      <c r="G95" s="63"/>
      <c r="H95" s="64"/>
      <c r="I95" s="64"/>
      <c r="J95" s="64"/>
      <c r="K95" s="64"/>
      <c r="L95" s="64"/>
      <c r="M95" s="64"/>
      <c r="N95" s="64"/>
      <c r="O95" s="64"/>
      <c r="P95" s="64"/>
      <c r="Q95" s="64"/>
      <c r="R95" s="64"/>
      <c r="S95" s="64"/>
      <c r="T95" s="64"/>
      <c r="U95" s="64"/>
      <c r="V95" s="64"/>
      <c r="W95" s="64"/>
      <c r="X95" s="64"/>
      <c r="Y95" s="64"/>
      <c r="Z95" s="64"/>
    </row>
    <row r="96" ht="12.75" customHeight="1">
      <c r="A96" s="108"/>
      <c r="B96" s="64"/>
      <c r="C96" s="64"/>
      <c r="D96" s="64"/>
      <c r="E96" s="64"/>
      <c r="F96" s="63"/>
      <c r="G96" s="63"/>
      <c r="H96" s="64"/>
      <c r="I96" s="64"/>
      <c r="J96" s="64"/>
      <c r="K96" s="64"/>
      <c r="L96" s="64"/>
      <c r="M96" s="64"/>
      <c r="N96" s="64"/>
      <c r="O96" s="64"/>
      <c r="P96" s="64"/>
      <c r="Q96" s="64"/>
      <c r="R96" s="64"/>
      <c r="S96" s="64"/>
      <c r="T96" s="64"/>
      <c r="U96" s="64"/>
      <c r="V96" s="64"/>
      <c r="W96" s="64"/>
      <c r="X96" s="64"/>
      <c r="Y96" s="64"/>
      <c r="Z96" s="64"/>
    </row>
    <row r="97" ht="12.75" customHeight="1">
      <c r="A97" s="108"/>
      <c r="B97" s="64"/>
      <c r="C97" s="64"/>
      <c r="D97" s="64"/>
      <c r="E97" s="64"/>
      <c r="F97" s="63"/>
      <c r="G97" s="63"/>
      <c r="H97" s="64"/>
      <c r="I97" s="64"/>
      <c r="J97" s="64"/>
      <c r="K97" s="64"/>
      <c r="L97" s="64"/>
      <c r="M97" s="64"/>
      <c r="N97" s="64"/>
      <c r="O97" s="64"/>
      <c r="P97" s="64"/>
      <c r="Q97" s="64"/>
      <c r="R97" s="64"/>
      <c r="S97" s="64"/>
      <c r="T97" s="64"/>
      <c r="U97" s="64"/>
      <c r="V97" s="64"/>
      <c r="W97" s="64"/>
      <c r="X97" s="64"/>
      <c r="Y97" s="64"/>
      <c r="Z97" s="64"/>
    </row>
    <row r="98" ht="12.75" customHeight="1">
      <c r="A98" s="108"/>
      <c r="B98" s="64"/>
      <c r="C98" s="64"/>
      <c r="D98" s="64"/>
      <c r="E98" s="64"/>
      <c r="F98" s="63"/>
      <c r="G98" s="63"/>
      <c r="H98" s="64"/>
      <c r="I98" s="64"/>
      <c r="J98" s="64"/>
      <c r="K98" s="64"/>
      <c r="L98" s="64"/>
      <c r="M98" s="64"/>
      <c r="N98" s="64"/>
      <c r="O98" s="64"/>
      <c r="P98" s="64"/>
      <c r="Q98" s="64"/>
      <c r="R98" s="64"/>
      <c r="S98" s="64"/>
      <c r="T98" s="64"/>
      <c r="U98" s="64"/>
      <c r="V98" s="64"/>
      <c r="W98" s="64"/>
      <c r="X98" s="64"/>
      <c r="Y98" s="64"/>
      <c r="Z98" s="64"/>
    </row>
    <row r="99" ht="12.75" customHeight="1">
      <c r="A99" s="108"/>
      <c r="B99" s="64"/>
      <c r="C99" s="64"/>
      <c r="D99" s="64"/>
      <c r="E99" s="64"/>
      <c r="F99" s="63"/>
      <c r="G99" s="63"/>
      <c r="H99" s="64"/>
      <c r="I99" s="64"/>
      <c r="J99" s="64"/>
      <c r="K99" s="64"/>
      <c r="L99" s="64"/>
      <c r="M99" s="64"/>
      <c r="N99" s="64"/>
      <c r="O99" s="64"/>
      <c r="P99" s="64"/>
      <c r="Q99" s="64"/>
      <c r="R99" s="64"/>
      <c r="S99" s="64"/>
      <c r="T99" s="64"/>
      <c r="U99" s="64"/>
      <c r="V99" s="64"/>
      <c r="W99" s="64"/>
      <c r="X99" s="64"/>
      <c r="Y99" s="64"/>
      <c r="Z99" s="64"/>
    </row>
    <row r="100" ht="12.75" customHeight="1">
      <c r="A100" s="108"/>
      <c r="B100" s="64"/>
      <c r="C100" s="64"/>
      <c r="D100" s="64"/>
      <c r="E100" s="64"/>
      <c r="F100" s="63"/>
      <c r="G100" s="63"/>
      <c r="H100" s="64"/>
      <c r="I100" s="64"/>
      <c r="J100" s="64"/>
      <c r="K100" s="64"/>
      <c r="L100" s="64"/>
      <c r="M100" s="64"/>
      <c r="N100" s="64"/>
      <c r="O100" s="64"/>
      <c r="P100" s="64"/>
      <c r="Q100" s="64"/>
      <c r="R100" s="64"/>
      <c r="S100" s="64"/>
      <c r="T100" s="64"/>
      <c r="U100" s="64"/>
      <c r="V100" s="64"/>
      <c r="W100" s="64"/>
      <c r="X100" s="64"/>
      <c r="Y100" s="64"/>
      <c r="Z100" s="64"/>
    </row>
    <row r="101" ht="12.75" customHeight="1">
      <c r="A101" s="108"/>
      <c r="B101" s="64"/>
      <c r="C101" s="64"/>
      <c r="D101" s="64"/>
      <c r="E101" s="64"/>
      <c r="F101" s="63"/>
      <c r="G101" s="63"/>
      <c r="H101" s="64"/>
      <c r="I101" s="64"/>
      <c r="J101" s="64"/>
      <c r="K101" s="64"/>
      <c r="L101" s="64"/>
      <c r="M101" s="64"/>
      <c r="N101" s="64"/>
      <c r="O101" s="64"/>
      <c r="P101" s="64"/>
      <c r="Q101" s="64"/>
      <c r="R101" s="64"/>
      <c r="S101" s="64"/>
      <c r="T101" s="64"/>
      <c r="U101" s="64"/>
      <c r="V101" s="64"/>
      <c r="W101" s="64"/>
      <c r="X101" s="64"/>
      <c r="Y101" s="64"/>
      <c r="Z101" s="64"/>
    </row>
    <row r="102" ht="12.75" customHeight="1">
      <c r="A102" s="108"/>
      <c r="B102" s="64"/>
      <c r="C102" s="64"/>
      <c r="D102" s="64"/>
      <c r="E102" s="64"/>
      <c r="F102" s="63"/>
      <c r="G102" s="63"/>
      <c r="H102" s="64"/>
      <c r="I102" s="64"/>
      <c r="J102" s="64"/>
      <c r="K102" s="64"/>
      <c r="L102" s="64"/>
      <c r="M102" s="64"/>
      <c r="N102" s="64"/>
      <c r="O102" s="64"/>
      <c r="P102" s="64"/>
      <c r="Q102" s="64"/>
      <c r="R102" s="64"/>
      <c r="S102" s="64"/>
      <c r="T102" s="64"/>
      <c r="U102" s="64"/>
      <c r="V102" s="64"/>
      <c r="W102" s="64"/>
      <c r="X102" s="64"/>
      <c r="Y102" s="64"/>
      <c r="Z102" s="64"/>
    </row>
    <row r="103" ht="12.75" customHeight="1">
      <c r="A103" s="108"/>
      <c r="B103" s="64"/>
      <c r="C103" s="64"/>
      <c r="D103" s="64"/>
      <c r="E103" s="64"/>
      <c r="F103" s="63"/>
      <c r="G103" s="63"/>
      <c r="H103" s="64"/>
      <c r="I103" s="64"/>
      <c r="J103" s="64"/>
      <c r="K103" s="64"/>
      <c r="L103" s="64"/>
      <c r="M103" s="64"/>
      <c r="N103" s="64"/>
      <c r="O103" s="64"/>
      <c r="P103" s="64"/>
      <c r="Q103" s="64"/>
      <c r="R103" s="64"/>
      <c r="S103" s="64"/>
      <c r="T103" s="64"/>
      <c r="U103" s="64"/>
      <c r="V103" s="64"/>
      <c r="W103" s="64"/>
      <c r="X103" s="64"/>
      <c r="Y103" s="64"/>
      <c r="Z103" s="64"/>
    </row>
    <row r="104" ht="12.75" customHeight="1">
      <c r="A104" s="108"/>
      <c r="B104" s="64"/>
      <c r="C104" s="64"/>
      <c r="D104" s="64"/>
      <c r="E104" s="64"/>
      <c r="F104" s="63"/>
      <c r="G104" s="63"/>
      <c r="H104" s="64"/>
      <c r="I104" s="64"/>
      <c r="J104" s="64"/>
      <c r="K104" s="64"/>
      <c r="L104" s="64"/>
      <c r="M104" s="64"/>
      <c r="N104" s="64"/>
      <c r="O104" s="64"/>
      <c r="P104" s="64"/>
      <c r="Q104" s="64"/>
      <c r="R104" s="64"/>
      <c r="S104" s="64"/>
      <c r="T104" s="64"/>
      <c r="U104" s="64"/>
      <c r="V104" s="64"/>
      <c r="W104" s="64"/>
      <c r="X104" s="64"/>
      <c r="Y104" s="64"/>
      <c r="Z104" s="64"/>
    </row>
    <row r="105" ht="12.75" customHeight="1">
      <c r="A105" s="108"/>
      <c r="B105" s="64"/>
      <c r="C105" s="64"/>
      <c r="D105" s="64"/>
      <c r="E105" s="64"/>
      <c r="F105" s="63"/>
      <c r="G105" s="63"/>
      <c r="H105" s="64"/>
      <c r="I105" s="64"/>
      <c r="J105" s="64"/>
      <c r="K105" s="64"/>
      <c r="L105" s="64"/>
      <c r="M105" s="64"/>
      <c r="N105" s="64"/>
      <c r="O105" s="64"/>
      <c r="P105" s="64"/>
      <c r="Q105" s="64"/>
      <c r="R105" s="64"/>
      <c r="S105" s="64"/>
      <c r="T105" s="64"/>
      <c r="U105" s="64"/>
      <c r="V105" s="64"/>
      <c r="W105" s="64"/>
      <c r="X105" s="64"/>
      <c r="Y105" s="64"/>
      <c r="Z105" s="64"/>
    </row>
    <row r="106" ht="12.75" customHeight="1">
      <c r="A106" s="108"/>
      <c r="B106" s="64"/>
      <c r="C106" s="64"/>
      <c r="D106" s="64"/>
      <c r="E106" s="64"/>
      <c r="F106" s="63"/>
      <c r="G106" s="63"/>
      <c r="H106" s="64"/>
      <c r="I106" s="64"/>
      <c r="J106" s="64"/>
      <c r="K106" s="64"/>
      <c r="L106" s="64"/>
      <c r="M106" s="64"/>
      <c r="N106" s="64"/>
      <c r="O106" s="64"/>
      <c r="P106" s="64"/>
      <c r="Q106" s="64"/>
      <c r="R106" s="64"/>
      <c r="S106" s="64"/>
      <c r="T106" s="64"/>
      <c r="U106" s="64"/>
      <c r="V106" s="64"/>
      <c r="W106" s="64"/>
      <c r="X106" s="64"/>
      <c r="Y106" s="64"/>
      <c r="Z106" s="64"/>
    </row>
    <row r="107" ht="12.75" customHeight="1">
      <c r="A107" s="108"/>
      <c r="B107" s="64"/>
      <c r="C107" s="64"/>
      <c r="D107" s="64"/>
      <c r="E107" s="64"/>
      <c r="F107" s="63"/>
      <c r="G107" s="63"/>
      <c r="H107" s="64"/>
      <c r="I107" s="64"/>
      <c r="J107" s="64"/>
      <c r="K107" s="64"/>
      <c r="L107" s="64"/>
      <c r="M107" s="64"/>
      <c r="N107" s="64"/>
      <c r="O107" s="64"/>
      <c r="P107" s="64"/>
      <c r="Q107" s="64"/>
      <c r="R107" s="64"/>
      <c r="S107" s="64"/>
      <c r="T107" s="64"/>
      <c r="U107" s="64"/>
      <c r="V107" s="64"/>
      <c r="W107" s="64"/>
      <c r="X107" s="64"/>
      <c r="Y107" s="64"/>
      <c r="Z107" s="64"/>
    </row>
    <row r="108" ht="12.75" customHeight="1">
      <c r="A108" s="108"/>
      <c r="B108" s="64"/>
      <c r="C108" s="64"/>
      <c r="D108" s="64"/>
      <c r="E108" s="64"/>
      <c r="F108" s="63"/>
      <c r="G108" s="63"/>
      <c r="H108" s="64"/>
      <c r="I108" s="64"/>
      <c r="J108" s="64"/>
      <c r="K108" s="64"/>
      <c r="L108" s="64"/>
      <c r="M108" s="64"/>
      <c r="N108" s="64"/>
      <c r="O108" s="64"/>
      <c r="P108" s="64"/>
      <c r="Q108" s="64"/>
      <c r="R108" s="64"/>
      <c r="S108" s="64"/>
      <c r="T108" s="64"/>
      <c r="U108" s="64"/>
      <c r="V108" s="64"/>
      <c r="W108" s="64"/>
      <c r="X108" s="64"/>
      <c r="Y108" s="64"/>
      <c r="Z108" s="64"/>
    </row>
    <row r="109" ht="12.75" customHeight="1">
      <c r="A109" s="108"/>
      <c r="B109" s="64"/>
      <c r="C109" s="64"/>
      <c r="D109" s="64"/>
      <c r="E109" s="64"/>
      <c r="F109" s="63"/>
      <c r="G109" s="63"/>
      <c r="H109" s="64"/>
      <c r="I109" s="64"/>
      <c r="J109" s="64"/>
      <c r="K109" s="64"/>
      <c r="L109" s="64"/>
      <c r="M109" s="64"/>
      <c r="N109" s="64"/>
      <c r="O109" s="64"/>
      <c r="P109" s="64"/>
      <c r="Q109" s="64"/>
      <c r="R109" s="64"/>
      <c r="S109" s="64"/>
      <c r="T109" s="64"/>
      <c r="U109" s="64"/>
      <c r="V109" s="64"/>
      <c r="W109" s="64"/>
      <c r="X109" s="64"/>
      <c r="Y109" s="64"/>
      <c r="Z109" s="64"/>
    </row>
    <row r="110" ht="12.75" customHeight="1">
      <c r="A110" s="108"/>
      <c r="B110" s="64"/>
      <c r="C110" s="64"/>
      <c r="D110" s="64"/>
      <c r="E110" s="64"/>
      <c r="F110" s="63"/>
      <c r="G110" s="63"/>
      <c r="H110" s="64"/>
      <c r="I110" s="64"/>
      <c r="J110" s="64"/>
      <c r="K110" s="64"/>
      <c r="L110" s="64"/>
      <c r="M110" s="64"/>
      <c r="N110" s="64"/>
      <c r="O110" s="64"/>
      <c r="P110" s="64"/>
      <c r="Q110" s="64"/>
      <c r="R110" s="64"/>
      <c r="S110" s="64"/>
      <c r="T110" s="64"/>
      <c r="U110" s="64"/>
      <c r="V110" s="64"/>
      <c r="W110" s="64"/>
      <c r="X110" s="64"/>
      <c r="Y110" s="64"/>
      <c r="Z110" s="64"/>
    </row>
    <row r="111" ht="12.75" customHeight="1">
      <c r="A111" s="108"/>
      <c r="B111" s="64"/>
      <c r="C111" s="64"/>
      <c r="D111" s="64"/>
      <c r="E111" s="64"/>
      <c r="F111" s="63"/>
      <c r="G111" s="63"/>
      <c r="H111" s="64"/>
      <c r="I111" s="64"/>
      <c r="J111" s="64"/>
      <c r="K111" s="64"/>
      <c r="L111" s="64"/>
      <c r="M111" s="64"/>
      <c r="N111" s="64"/>
      <c r="O111" s="64"/>
      <c r="P111" s="64"/>
      <c r="Q111" s="64"/>
      <c r="R111" s="64"/>
      <c r="S111" s="64"/>
      <c r="T111" s="64"/>
      <c r="U111" s="64"/>
      <c r="V111" s="64"/>
      <c r="W111" s="64"/>
      <c r="X111" s="64"/>
      <c r="Y111" s="64"/>
      <c r="Z111" s="64"/>
    </row>
    <row r="112" ht="12.75" customHeight="1">
      <c r="A112" s="108"/>
      <c r="B112" s="64"/>
      <c r="C112" s="64"/>
      <c r="D112" s="64"/>
      <c r="E112" s="64"/>
      <c r="F112" s="63"/>
      <c r="G112" s="63"/>
      <c r="H112" s="64"/>
      <c r="I112" s="64"/>
      <c r="J112" s="64"/>
      <c r="K112" s="64"/>
      <c r="L112" s="64"/>
      <c r="M112" s="64"/>
      <c r="N112" s="64"/>
      <c r="O112" s="64"/>
      <c r="P112" s="64"/>
      <c r="Q112" s="64"/>
      <c r="R112" s="64"/>
      <c r="S112" s="64"/>
      <c r="T112" s="64"/>
      <c r="U112" s="64"/>
      <c r="V112" s="64"/>
      <c r="W112" s="64"/>
      <c r="X112" s="64"/>
      <c r="Y112" s="64"/>
      <c r="Z112" s="64"/>
    </row>
    <row r="113" ht="12.75" customHeight="1">
      <c r="A113" s="108"/>
      <c r="B113" s="64"/>
      <c r="C113" s="64"/>
      <c r="D113" s="64"/>
      <c r="E113" s="64"/>
      <c r="F113" s="63"/>
      <c r="G113" s="63"/>
      <c r="H113" s="64"/>
      <c r="I113" s="64"/>
      <c r="J113" s="64"/>
      <c r="K113" s="64"/>
      <c r="L113" s="64"/>
      <c r="M113" s="64"/>
      <c r="N113" s="64"/>
      <c r="O113" s="64"/>
      <c r="P113" s="64"/>
      <c r="Q113" s="64"/>
      <c r="R113" s="64"/>
      <c r="S113" s="64"/>
      <c r="T113" s="64"/>
      <c r="U113" s="64"/>
      <c r="V113" s="64"/>
      <c r="W113" s="64"/>
      <c r="X113" s="64"/>
      <c r="Y113" s="64"/>
      <c r="Z113" s="64"/>
    </row>
    <row r="114" ht="12.75" customHeight="1">
      <c r="A114" s="108"/>
      <c r="B114" s="64"/>
      <c r="C114" s="64"/>
      <c r="D114" s="64"/>
      <c r="E114" s="64"/>
      <c r="F114" s="63"/>
      <c r="G114" s="63"/>
      <c r="H114" s="64"/>
      <c r="I114" s="64"/>
      <c r="J114" s="64"/>
      <c r="K114" s="64"/>
      <c r="L114" s="64"/>
      <c r="M114" s="64"/>
      <c r="N114" s="64"/>
      <c r="O114" s="64"/>
      <c r="P114" s="64"/>
      <c r="Q114" s="64"/>
      <c r="R114" s="64"/>
      <c r="S114" s="64"/>
      <c r="T114" s="64"/>
      <c r="U114" s="64"/>
      <c r="V114" s="64"/>
      <c r="W114" s="64"/>
      <c r="X114" s="64"/>
      <c r="Y114" s="64"/>
      <c r="Z114" s="64"/>
    </row>
    <row r="115" ht="12.75" customHeight="1">
      <c r="A115" s="108"/>
      <c r="B115" s="64"/>
      <c r="C115" s="64"/>
      <c r="D115" s="64"/>
      <c r="E115" s="64"/>
      <c r="F115" s="63"/>
      <c r="G115" s="63"/>
      <c r="H115" s="64"/>
      <c r="I115" s="64"/>
      <c r="J115" s="64"/>
      <c r="K115" s="64"/>
      <c r="L115" s="64"/>
      <c r="M115" s="64"/>
      <c r="N115" s="64"/>
      <c r="O115" s="64"/>
      <c r="P115" s="64"/>
      <c r="Q115" s="64"/>
      <c r="R115" s="64"/>
      <c r="S115" s="64"/>
      <c r="T115" s="64"/>
      <c r="U115" s="64"/>
      <c r="V115" s="64"/>
      <c r="W115" s="64"/>
      <c r="X115" s="64"/>
      <c r="Y115" s="64"/>
      <c r="Z115" s="64"/>
    </row>
    <row r="116" ht="12.75" customHeight="1">
      <c r="A116" s="108"/>
      <c r="B116" s="64"/>
      <c r="C116" s="64"/>
      <c r="D116" s="64"/>
      <c r="E116" s="64"/>
      <c r="F116" s="63"/>
      <c r="G116" s="63"/>
      <c r="H116" s="64"/>
      <c r="I116" s="64"/>
      <c r="J116" s="64"/>
      <c r="K116" s="64"/>
      <c r="L116" s="64"/>
      <c r="M116" s="64"/>
      <c r="N116" s="64"/>
      <c r="O116" s="64"/>
      <c r="P116" s="64"/>
      <c r="Q116" s="64"/>
      <c r="R116" s="64"/>
      <c r="S116" s="64"/>
      <c r="T116" s="64"/>
      <c r="U116" s="64"/>
      <c r="V116" s="64"/>
      <c r="W116" s="64"/>
      <c r="X116" s="64"/>
      <c r="Y116" s="64"/>
      <c r="Z116" s="64"/>
    </row>
    <row r="117" ht="12.75" customHeight="1">
      <c r="A117" s="108"/>
      <c r="B117" s="64"/>
      <c r="C117" s="64"/>
      <c r="D117" s="64"/>
      <c r="E117" s="64"/>
      <c r="F117" s="63"/>
      <c r="G117" s="63"/>
      <c r="H117" s="64"/>
      <c r="I117" s="64"/>
      <c r="J117" s="64"/>
      <c r="K117" s="64"/>
      <c r="L117" s="64"/>
      <c r="M117" s="64"/>
      <c r="N117" s="64"/>
      <c r="O117" s="64"/>
      <c r="P117" s="64"/>
      <c r="Q117" s="64"/>
      <c r="R117" s="64"/>
      <c r="S117" s="64"/>
      <c r="T117" s="64"/>
      <c r="U117" s="64"/>
      <c r="V117" s="64"/>
      <c r="W117" s="64"/>
      <c r="X117" s="64"/>
      <c r="Y117" s="64"/>
      <c r="Z117" s="64"/>
    </row>
    <row r="118" ht="12.75" customHeight="1">
      <c r="A118" s="108"/>
      <c r="B118" s="64"/>
      <c r="C118" s="64"/>
      <c r="D118" s="64"/>
      <c r="E118" s="64"/>
      <c r="F118" s="63"/>
      <c r="G118" s="63"/>
      <c r="H118" s="64"/>
      <c r="I118" s="64"/>
      <c r="J118" s="64"/>
      <c r="K118" s="64"/>
      <c r="L118" s="64"/>
      <c r="M118" s="64"/>
      <c r="N118" s="64"/>
      <c r="O118" s="64"/>
      <c r="P118" s="64"/>
      <c r="Q118" s="64"/>
      <c r="R118" s="64"/>
      <c r="S118" s="64"/>
      <c r="T118" s="64"/>
      <c r="U118" s="64"/>
      <c r="V118" s="64"/>
      <c r="W118" s="64"/>
      <c r="X118" s="64"/>
      <c r="Y118" s="64"/>
      <c r="Z118" s="64"/>
    </row>
    <row r="119" ht="12.75" customHeight="1">
      <c r="A119" s="108"/>
      <c r="B119" s="64"/>
      <c r="C119" s="64"/>
      <c r="D119" s="64"/>
      <c r="E119" s="64"/>
      <c r="F119" s="63"/>
      <c r="G119" s="63"/>
      <c r="H119" s="64"/>
      <c r="I119" s="64"/>
      <c r="J119" s="64"/>
      <c r="K119" s="64"/>
      <c r="L119" s="64"/>
      <c r="M119" s="64"/>
      <c r="N119" s="64"/>
      <c r="O119" s="64"/>
      <c r="P119" s="64"/>
      <c r="Q119" s="64"/>
      <c r="R119" s="64"/>
      <c r="S119" s="64"/>
      <c r="T119" s="64"/>
      <c r="U119" s="64"/>
      <c r="V119" s="64"/>
      <c r="W119" s="64"/>
      <c r="X119" s="64"/>
      <c r="Y119" s="64"/>
      <c r="Z119" s="64"/>
    </row>
    <row r="120" ht="12.75" customHeight="1">
      <c r="A120" s="108"/>
      <c r="B120" s="64"/>
      <c r="C120" s="64"/>
      <c r="D120" s="64"/>
      <c r="E120" s="64"/>
      <c r="F120" s="63"/>
      <c r="G120" s="63"/>
      <c r="H120" s="64"/>
      <c r="I120" s="64"/>
      <c r="J120" s="64"/>
      <c r="K120" s="64"/>
      <c r="L120" s="64"/>
      <c r="M120" s="64"/>
      <c r="N120" s="64"/>
      <c r="O120" s="64"/>
      <c r="P120" s="64"/>
      <c r="Q120" s="64"/>
      <c r="R120" s="64"/>
      <c r="S120" s="64"/>
      <c r="T120" s="64"/>
      <c r="U120" s="64"/>
      <c r="V120" s="64"/>
      <c r="W120" s="64"/>
      <c r="X120" s="64"/>
      <c r="Y120" s="64"/>
      <c r="Z120" s="64"/>
    </row>
    <row r="121" ht="12.75" customHeight="1">
      <c r="A121" s="108"/>
      <c r="B121" s="64"/>
      <c r="C121" s="64"/>
      <c r="D121" s="64"/>
      <c r="E121" s="64"/>
      <c r="F121" s="63"/>
      <c r="G121" s="63"/>
      <c r="H121" s="64"/>
      <c r="I121" s="64"/>
      <c r="J121" s="64"/>
      <c r="K121" s="64"/>
      <c r="L121" s="64"/>
      <c r="M121" s="64"/>
      <c r="N121" s="64"/>
      <c r="O121" s="64"/>
      <c r="P121" s="64"/>
      <c r="Q121" s="64"/>
      <c r="R121" s="64"/>
      <c r="S121" s="64"/>
      <c r="T121" s="64"/>
      <c r="U121" s="64"/>
      <c r="V121" s="64"/>
      <c r="W121" s="64"/>
      <c r="X121" s="64"/>
      <c r="Y121" s="64"/>
      <c r="Z121" s="64"/>
    </row>
    <row r="122" ht="12.75" customHeight="1">
      <c r="A122" s="108"/>
      <c r="B122" s="64"/>
      <c r="C122" s="64"/>
      <c r="D122" s="64"/>
      <c r="E122" s="64"/>
      <c r="F122" s="63"/>
      <c r="G122" s="63"/>
      <c r="H122" s="64"/>
      <c r="I122" s="64"/>
      <c r="J122" s="64"/>
      <c r="K122" s="64"/>
      <c r="L122" s="64"/>
      <c r="M122" s="64"/>
      <c r="N122" s="64"/>
      <c r="O122" s="64"/>
      <c r="P122" s="64"/>
      <c r="Q122" s="64"/>
      <c r="R122" s="64"/>
      <c r="S122" s="64"/>
      <c r="T122" s="64"/>
      <c r="U122" s="64"/>
      <c r="V122" s="64"/>
      <c r="W122" s="64"/>
      <c r="X122" s="64"/>
      <c r="Y122" s="64"/>
      <c r="Z122" s="64"/>
    </row>
    <row r="123" ht="12.75" customHeight="1">
      <c r="A123" s="108"/>
      <c r="B123" s="64"/>
      <c r="C123" s="64"/>
      <c r="D123" s="64"/>
      <c r="E123" s="64"/>
      <c r="F123" s="63"/>
      <c r="G123" s="63"/>
      <c r="H123" s="64"/>
      <c r="I123" s="64"/>
      <c r="J123" s="64"/>
      <c r="K123" s="64"/>
      <c r="L123" s="64"/>
      <c r="M123" s="64"/>
      <c r="N123" s="64"/>
      <c r="O123" s="64"/>
      <c r="P123" s="64"/>
      <c r="Q123" s="64"/>
      <c r="R123" s="64"/>
      <c r="S123" s="64"/>
      <c r="T123" s="64"/>
      <c r="U123" s="64"/>
      <c r="V123" s="64"/>
      <c r="W123" s="64"/>
      <c r="X123" s="64"/>
      <c r="Y123" s="64"/>
      <c r="Z123" s="64"/>
    </row>
    <row r="124" ht="12.75" customHeight="1">
      <c r="A124" s="108"/>
      <c r="B124" s="64"/>
      <c r="C124" s="64"/>
      <c r="D124" s="64"/>
      <c r="E124" s="64"/>
      <c r="F124" s="63"/>
      <c r="G124" s="63"/>
      <c r="H124" s="64"/>
      <c r="I124" s="64"/>
      <c r="J124" s="64"/>
      <c r="K124" s="64"/>
      <c r="L124" s="64"/>
      <c r="M124" s="64"/>
      <c r="N124" s="64"/>
      <c r="O124" s="64"/>
      <c r="P124" s="64"/>
      <c r="Q124" s="64"/>
      <c r="R124" s="64"/>
      <c r="S124" s="64"/>
      <c r="T124" s="64"/>
      <c r="U124" s="64"/>
      <c r="V124" s="64"/>
      <c r="W124" s="64"/>
      <c r="X124" s="64"/>
      <c r="Y124" s="64"/>
      <c r="Z124" s="64"/>
    </row>
    <row r="125" ht="12.75" customHeight="1">
      <c r="A125" s="108"/>
      <c r="B125" s="64"/>
      <c r="C125" s="64"/>
      <c r="D125" s="64"/>
      <c r="E125" s="64"/>
      <c r="F125" s="63"/>
      <c r="G125" s="63"/>
      <c r="H125" s="64"/>
      <c r="I125" s="64"/>
      <c r="J125" s="64"/>
      <c r="K125" s="64"/>
      <c r="L125" s="64"/>
      <c r="M125" s="64"/>
      <c r="N125" s="64"/>
      <c r="O125" s="64"/>
      <c r="P125" s="64"/>
      <c r="Q125" s="64"/>
      <c r="R125" s="64"/>
      <c r="S125" s="64"/>
      <c r="T125" s="64"/>
      <c r="U125" s="64"/>
      <c r="V125" s="64"/>
      <c r="W125" s="64"/>
      <c r="X125" s="64"/>
      <c r="Y125" s="64"/>
      <c r="Z125" s="64"/>
    </row>
    <row r="126" ht="12.75" customHeight="1">
      <c r="A126" s="108"/>
      <c r="B126" s="64"/>
      <c r="C126" s="64"/>
      <c r="D126" s="64"/>
      <c r="E126" s="64"/>
      <c r="F126" s="63"/>
      <c r="G126" s="63"/>
      <c r="H126" s="64"/>
      <c r="I126" s="64"/>
      <c r="J126" s="64"/>
      <c r="K126" s="64"/>
      <c r="L126" s="64"/>
      <c r="M126" s="64"/>
      <c r="N126" s="64"/>
      <c r="O126" s="64"/>
      <c r="P126" s="64"/>
      <c r="Q126" s="64"/>
      <c r="R126" s="64"/>
      <c r="S126" s="64"/>
      <c r="T126" s="64"/>
      <c r="U126" s="64"/>
      <c r="V126" s="64"/>
      <c r="W126" s="64"/>
      <c r="X126" s="64"/>
      <c r="Y126" s="64"/>
      <c r="Z126" s="64"/>
    </row>
    <row r="127" ht="12.75" customHeight="1">
      <c r="A127" s="108"/>
      <c r="B127" s="64"/>
      <c r="C127" s="64"/>
      <c r="D127" s="64"/>
      <c r="E127" s="64"/>
      <c r="F127" s="63"/>
      <c r="G127" s="63"/>
      <c r="H127" s="64"/>
      <c r="I127" s="64"/>
      <c r="J127" s="64"/>
      <c r="K127" s="64"/>
      <c r="L127" s="64"/>
      <c r="M127" s="64"/>
      <c r="N127" s="64"/>
      <c r="O127" s="64"/>
      <c r="P127" s="64"/>
      <c r="Q127" s="64"/>
      <c r="R127" s="64"/>
      <c r="S127" s="64"/>
      <c r="T127" s="64"/>
      <c r="U127" s="64"/>
      <c r="V127" s="64"/>
      <c r="W127" s="64"/>
      <c r="X127" s="64"/>
      <c r="Y127" s="64"/>
      <c r="Z127" s="64"/>
    </row>
    <row r="128" ht="12.75" customHeight="1">
      <c r="A128" s="108"/>
      <c r="B128" s="64"/>
      <c r="C128" s="64"/>
      <c r="D128" s="64"/>
      <c r="E128" s="64"/>
      <c r="F128" s="63"/>
      <c r="G128" s="63"/>
      <c r="H128" s="64"/>
      <c r="I128" s="64"/>
      <c r="J128" s="64"/>
      <c r="K128" s="64"/>
      <c r="L128" s="64"/>
      <c r="M128" s="64"/>
      <c r="N128" s="64"/>
      <c r="O128" s="64"/>
      <c r="P128" s="64"/>
      <c r="Q128" s="64"/>
      <c r="R128" s="64"/>
      <c r="S128" s="64"/>
      <c r="T128" s="64"/>
      <c r="U128" s="64"/>
      <c r="V128" s="64"/>
      <c r="W128" s="64"/>
      <c r="X128" s="64"/>
      <c r="Y128" s="64"/>
      <c r="Z128" s="64"/>
    </row>
    <row r="129" ht="12.75" customHeight="1">
      <c r="A129" s="108"/>
      <c r="B129" s="64"/>
      <c r="C129" s="64"/>
      <c r="D129" s="64"/>
      <c r="E129" s="64"/>
      <c r="F129" s="63"/>
      <c r="G129" s="63"/>
      <c r="H129" s="64"/>
      <c r="I129" s="64"/>
      <c r="J129" s="64"/>
      <c r="K129" s="64"/>
      <c r="L129" s="64"/>
      <c r="M129" s="64"/>
      <c r="N129" s="64"/>
      <c r="O129" s="64"/>
      <c r="P129" s="64"/>
      <c r="Q129" s="64"/>
      <c r="R129" s="64"/>
      <c r="S129" s="64"/>
      <c r="T129" s="64"/>
      <c r="U129" s="64"/>
      <c r="V129" s="64"/>
      <c r="W129" s="64"/>
      <c r="X129" s="64"/>
      <c r="Y129" s="64"/>
      <c r="Z129" s="64"/>
    </row>
    <row r="130" ht="12.75" customHeight="1">
      <c r="A130" s="108"/>
      <c r="B130" s="64"/>
      <c r="C130" s="64"/>
      <c r="D130" s="64"/>
      <c r="E130" s="64"/>
      <c r="F130" s="63"/>
      <c r="G130" s="63"/>
      <c r="H130" s="64"/>
      <c r="I130" s="64"/>
      <c r="J130" s="64"/>
      <c r="K130" s="64"/>
      <c r="L130" s="64"/>
      <c r="M130" s="64"/>
      <c r="N130" s="64"/>
      <c r="O130" s="64"/>
      <c r="P130" s="64"/>
      <c r="Q130" s="64"/>
      <c r="R130" s="64"/>
      <c r="S130" s="64"/>
      <c r="T130" s="64"/>
      <c r="U130" s="64"/>
      <c r="V130" s="64"/>
      <c r="W130" s="64"/>
      <c r="X130" s="64"/>
      <c r="Y130" s="64"/>
      <c r="Z130" s="64"/>
    </row>
    <row r="131" ht="12.75" customHeight="1">
      <c r="A131" s="108"/>
      <c r="B131" s="64"/>
      <c r="C131" s="64"/>
      <c r="D131" s="64"/>
      <c r="E131" s="64"/>
      <c r="F131" s="63"/>
      <c r="G131" s="63"/>
      <c r="H131" s="64"/>
      <c r="I131" s="64"/>
      <c r="J131" s="64"/>
      <c r="K131" s="64"/>
      <c r="L131" s="64"/>
      <c r="M131" s="64"/>
      <c r="N131" s="64"/>
      <c r="O131" s="64"/>
      <c r="P131" s="64"/>
      <c r="Q131" s="64"/>
      <c r="R131" s="64"/>
      <c r="S131" s="64"/>
      <c r="T131" s="64"/>
      <c r="U131" s="64"/>
      <c r="V131" s="64"/>
      <c r="W131" s="64"/>
      <c r="X131" s="64"/>
      <c r="Y131" s="64"/>
      <c r="Z131" s="64"/>
    </row>
    <row r="132" ht="12.75" customHeight="1">
      <c r="A132" s="108"/>
      <c r="B132" s="64"/>
      <c r="C132" s="64"/>
      <c r="D132" s="64"/>
      <c r="E132" s="64"/>
      <c r="F132" s="63"/>
      <c r="G132" s="63"/>
      <c r="H132" s="64"/>
      <c r="I132" s="64"/>
      <c r="J132" s="64"/>
      <c r="K132" s="64"/>
      <c r="L132" s="64"/>
      <c r="M132" s="64"/>
      <c r="N132" s="64"/>
      <c r="O132" s="64"/>
      <c r="P132" s="64"/>
      <c r="Q132" s="64"/>
      <c r="R132" s="64"/>
      <c r="S132" s="64"/>
      <c r="T132" s="64"/>
      <c r="U132" s="64"/>
      <c r="V132" s="64"/>
      <c r="W132" s="64"/>
      <c r="X132" s="64"/>
      <c r="Y132" s="64"/>
      <c r="Z132" s="64"/>
    </row>
    <row r="133" ht="12.75" customHeight="1">
      <c r="A133" s="108"/>
      <c r="B133" s="64"/>
      <c r="C133" s="64"/>
      <c r="D133" s="64"/>
      <c r="E133" s="64"/>
      <c r="F133" s="63"/>
      <c r="G133" s="63"/>
      <c r="H133" s="64"/>
      <c r="I133" s="64"/>
      <c r="J133" s="64"/>
      <c r="K133" s="64"/>
      <c r="L133" s="64"/>
      <c r="M133" s="64"/>
      <c r="N133" s="64"/>
      <c r="O133" s="64"/>
      <c r="P133" s="64"/>
      <c r="Q133" s="64"/>
      <c r="R133" s="64"/>
      <c r="S133" s="64"/>
      <c r="T133" s="64"/>
      <c r="U133" s="64"/>
      <c r="V133" s="64"/>
      <c r="W133" s="64"/>
      <c r="X133" s="64"/>
      <c r="Y133" s="64"/>
      <c r="Z133" s="64"/>
    </row>
    <row r="134" ht="12.75" customHeight="1">
      <c r="A134" s="108"/>
      <c r="B134" s="64"/>
      <c r="C134" s="64"/>
      <c r="D134" s="64"/>
      <c r="E134" s="64"/>
      <c r="F134" s="63"/>
      <c r="G134" s="63"/>
      <c r="H134" s="64"/>
      <c r="I134" s="64"/>
      <c r="J134" s="64"/>
      <c r="K134" s="64"/>
      <c r="L134" s="64"/>
      <c r="M134" s="64"/>
      <c r="N134" s="64"/>
      <c r="O134" s="64"/>
      <c r="P134" s="64"/>
      <c r="Q134" s="64"/>
      <c r="R134" s="64"/>
      <c r="S134" s="64"/>
      <c r="T134" s="64"/>
      <c r="U134" s="64"/>
      <c r="V134" s="64"/>
      <c r="W134" s="64"/>
      <c r="X134" s="64"/>
      <c r="Y134" s="64"/>
      <c r="Z134" s="64"/>
    </row>
    <row r="135" ht="12.75" customHeight="1">
      <c r="A135" s="108"/>
      <c r="B135" s="64"/>
      <c r="C135" s="64"/>
      <c r="D135" s="64"/>
      <c r="E135" s="64"/>
      <c r="F135" s="63"/>
      <c r="G135" s="63"/>
      <c r="H135" s="64"/>
      <c r="I135" s="64"/>
      <c r="J135" s="64"/>
      <c r="K135" s="64"/>
      <c r="L135" s="64"/>
      <c r="M135" s="64"/>
      <c r="N135" s="64"/>
      <c r="O135" s="64"/>
      <c r="P135" s="64"/>
      <c r="Q135" s="64"/>
      <c r="R135" s="64"/>
      <c r="S135" s="64"/>
      <c r="T135" s="64"/>
      <c r="U135" s="64"/>
      <c r="V135" s="64"/>
      <c r="W135" s="64"/>
      <c r="X135" s="64"/>
      <c r="Y135" s="64"/>
      <c r="Z135" s="64"/>
    </row>
    <row r="136" ht="12.75" customHeight="1">
      <c r="A136" s="108"/>
      <c r="B136" s="64"/>
      <c r="C136" s="64"/>
      <c r="D136" s="64"/>
      <c r="E136" s="64"/>
      <c r="F136" s="63"/>
      <c r="G136" s="63"/>
      <c r="H136" s="64"/>
      <c r="I136" s="64"/>
      <c r="J136" s="64"/>
      <c r="K136" s="64"/>
      <c r="L136" s="64"/>
      <c r="M136" s="64"/>
      <c r="N136" s="64"/>
      <c r="O136" s="64"/>
      <c r="P136" s="64"/>
      <c r="Q136" s="64"/>
      <c r="R136" s="64"/>
      <c r="S136" s="64"/>
      <c r="T136" s="64"/>
      <c r="U136" s="64"/>
      <c r="V136" s="64"/>
      <c r="W136" s="64"/>
      <c r="X136" s="64"/>
      <c r="Y136" s="64"/>
      <c r="Z136" s="64"/>
    </row>
    <row r="137" ht="12.75" customHeight="1">
      <c r="A137" s="108"/>
      <c r="B137" s="64"/>
      <c r="C137" s="64"/>
      <c r="D137" s="64"/>
      <c r="E137" s="64"/>
      <c r="F137" s="63"/>
      <c r="G137" s="63"/>
      <c r="H137" s="64"/>
      <c r="I137" s="64"/>
      <c r="J137" s="64"/>
      <c r="K137" s="64"/>
      <c r="L137" s="64"/>
      <c r="M137" s="64"/>
      <c r="N137" s="64"/>
      <c r="O137" s="64"/>
      <c r="P137" s="64"/>
      <c r="Q137" s="64"/>
      <c r="R137" s="64"/>
      <c r="S137" s="64"/>
      <c r="T137" s="64"/>
      <c r="U137" s="64"/>
      <c r="V137" s="64"/>
      <c r="W137" s="64"/>
      <c r="X137" s="64"/>
      <c r="Y137" s="64"/>
      <c r="Z137" s="64"/>
    </row>
    <row r="138" ht="12.75" customHeight="1">
      <c r="A138" s="108"/>
      <c r="B138" s="64"/>
      <c r="C138" s="64"/>
      <c r="D138" s="64"/>
      <c r="E138" s="64"/>
      <c r="F138" s="63"/>
      <c r="G138" s="63"/>
      <c r="H138" s="64"/>
      <c r="I138" s="64"/>
      <c r="J138" s="64"/>
      <c r="K138" s="64"/>
      <c r="L138" s="64"/>
      <c r="M138" s="64"/>
      <c r="N138" s="64"/>
      <c r="O138" s="64"/>
      <c r="P138" s="64"/>
      <c r="Q138" s="64"/>
      <c r="R138" s="64"/>
      <c r="S138" s="64"/>
      <c r="T138" s="64"/>
      <c r="U138" s="64"/>
      <c r="V138" s="64"/>
      <c r="W138" s="64"/>
      <c r="X138" s="64"/>
      <c r="Y138" s="64"/>
      <c r="Z138" s="64"/>
    </row>
    <row r="139" ht="12.75" customHeight="1">
      <c r="A139" s="108"/>
      <c r="B139" s="64"/>
      <c r="C139" s="64"/>
      <c r="D139" s="64"/>
      <c r="E139" s="64"/>
      <c r="F139" s="63"/>
      <c r="G139" s="63"/>
      <c r="H139" s="64"/>
      <c r="I139" s="64"/>
      <c r="J139" s="64"/>
      <c r="K139" s="64"/>
      <c r="L139" s="64"/>
      <c r="M139" s="64"/>
      <c r="N139" s="64"/>
      <c r="O139" s="64"/>
      <c r="P139" s="64"/>
      <c r="Q139" s="64"/>
      <c r="R139" s="64"/>
      <c r="S139" s="64"/>
      <c r="T139" s="64"/>
      <c r="U139" s="64"/>
      <c r="V139" s="64"/>
      <c r="W139" s="64"/>
      <c r="X139" s="64"/>
      <c r="Y139" s="64"/>
      <c r="Z139" s="64"/>
    </row>
    <row r="140" ht="12.75" customHeight="1">
      <c r="A140" s="108"/>
      <c r="B140" s="64"/>
      <c r="C140" s="64"/>
      <c r="D140" s="64"/>
      <c r="E140" s="64"/>
      <c r="F140" s="63"/>
      <c r="G140" s="63"/>
      <c r="H140" s="64"/>
      <c r="I140" s="64"/>
      <c r="J140" s="64"/>
      <c r="K140" s="64"/>
      <c r="L140" s="64"/>
      <c r="M140" s="64"/>
      <c r="N140" s="64"/>
      <c r="O140" s="64"/>
      <c r="P140" s="64"/>
      <c r="Q140" s="64"/>
      <c r="R140" s="64"/>
      <c r="S140" s="64"/>
      <c r="T140" s="64"/>
      <c r="U140" s="64"/>
      <c r="V140" s="64"/>
      <c r="W140" s="64"/>
      <c r="X140" s="64"/>
      <c r="Y140" s="64"/>
      <c r="Z140" s="64"/>
    </row>
    <row r="141" ht="12.75" customHeight="1">
      <c r="A141" s="108"/>
      <c r="B141" s="64"/>
      <c r="C141" s="64"/>
      <c r="D141" s="64"/>
      <c r="E141" s="64"/>
      <c r="F141" s="63"/>
      <c r="G141" s="63"/>
      <c r="H141" s="64"/>
      <c r="I141" s="64"/>
      <c r="J141" s="64"/>
      <c r="K141" s="64"/>
      <c r="L141" s="64"/>
      <c r="M141" s="64"/>
      <c r="N141" s="64"/>
      <c r="O141" s="64"/>
      <c r="P141" s="64"/>
      <c r="Q141" s="64"/>
      <c r="R141" s="64"/>
      <c r="S141" s="64"/>
      <c r="T141" s="64"/>
      <c r="U141" s="64"/>
      <c r="V141" s="64"/>
      <c r="W141" s="64"/>
      <c r="X141" s="64"/>
      <c r="Y141" s="64"/>
      <c r="Z141" s="64"/>
    </row>
    <row r="142" ht="12.75" customHeight="1">
      <c r="A142" s="108"/>
      <c r="B142" s="64"/>
      <c r="C142" s="64"/>
      <c r="D142" s="64"/>
      <c r="E142" s="64"/>
      <c r="F142" s="63"/>
      <c r="G142" s="63"/>
      <c r="H142" s="64"/>
      <c r="I142" s="64"/>
      <c r="J142" s="64"/>
      <c r="K142" s="64"/>
      <c r="L142" s="64"/>
      <c r="M142" s="64"/>
      <c r="N142" s="64"/>
      <c r="O142" s="64"/>
      <c r="P142" s="64"/>
      <c r="Q142" s="64"/>
      <c r="R142" s="64"/>
      <c r="S142" s="64"/>
      <c r="T142" s="64"/>
      <c r="U142" s="64"/>
      <c r="V142" s="64"/>
      <c r="W142" s="64"/>
      <c r="X142" s="64"/>
      <c r="Y142" s="64"/>
      <c r="Z142" s="64"/>
    </row>
    <row r="143" ht="12.75" customHeight="1">
      <c r="A143" s="108"/>
      <c r="B143" s="64"/>
      <c r="C143" s="64"/>
      <c r="D143" s="64"/>
      <c r="E143" s="64"/>
      <c r="F143" s="63"/>
      <c r="G143" s="63"/>
      <c r="H143" s="64"/>
      <c r="I143" s="64"/>
      <c r="J143" s="64"/>
      <c r="K143" s="64"/>
      <c r="L143" s="64"/>
      <c r="M143" s="64"/>
      <c r="N143" s="64"/>
      <c r="O143" s="64"/>
      <c r="P143" s="64"/>
      <c r="Q143" s="64"/>
      <c r="R143" s="64"/>
      <c r="S143" s="64"/>
      <c r="T143" s="64"/>
      <c r="U143" s="64"/>
      <c r="V143" s="64"/>
      <c r="W143" s="64"/>
      <c r="X143" s="64"/>
      <c r="Y143" s="64"/>
      <c r="Z143" s="64"/>
    </row>
    <row r="144" ht="12.75" customHeight="1">
      <c r="A144" s="108"/>
      <c r="B144" s="64"/>
      <c r="C144" s="64"/>
      <c r="D144" s="64"/>
      <c r="E144" s="64"/>
      <c r="F144" s="63"/>
      <c r="G144" s="63"/>
      <c r="H144" s="64"/>
      <c r="I144" s="64"/>
      <c r="J144" s="64"/>
      <c r="K144" s="64"/>
      <c r="L144" s="64"/>
      <c r="M144" s="64"/>
      <c r="N144" s="64"/>
      <c r="O144" s="64"/>
      <c r="P144" s="64"/>
      <c r="Q144" s="64"/>
      <c r="R144" s="64"/>
      <c r="S144" s="64"/>
      <c r="T144" s="64"/>
      <c r="U144" s="64"/>
      <c r="V144" s="64"/>
      <c r="W144" s="64"/>
      <c r="X144" s="64"/>
      <c r="Y144" s="64"/>
      <c r="Z144" s="64"/>
    </row>
    <row r="145" ht="12.75" customHeight="1">
      <c r="A145" s="108"/>
      <c r="B145" s="64"/>
      <c r="C145" s="64"/>
      <c r="D145" s="64"/>
      <c r="E145" s="64"/>
      <c r="F145" s="63"/>
      <c r="G145" s="63"/>
      <c r="H145" s="64"/>
      <c r="I145" s="64"/>
      <c r="J145" s="64"/>
      <c r="K145" s="64"/>
      <c r="L145" s="64"/>
      <c r="M145" s="64"/>
      <c r="N145" s="64"/>
      <c r="O145" s="64"/>
      <c r="P145" s="64"/>
      <c r="Q145" s="64"/>
      <c r="R145" s="64"/>
      <c r="S145" s="64"/>
      <c r="T145" s="64"/>
      <c r="U145" s="64"/>
      <c r="V145" s="64"/>
      <c r="W145" s="64"/>
      <c r="X145" s="64"/>
      <c r="Y145" s="64"/>
      <c r="Z145" s="64"/>
    </row>
    <row r="146" ht="12.75" customHeight="1">
      <c r="A146" s="108"/>
      <c r="B146" s="64"/>
      <c r="C146" s="64"/>
      <c r="D146" s="64"/>
      <c r="E146" s="64"/>
      <c r="F146" s="63"/>
      <c r="G146" s="63"/>
      <c r="H146" s="64"/>
      <c r="I146" s="64"/>
      <c r="J146" s="64"/>
      <c r="K146" s="64"/>
      <c r="L146" s="64"/>
      <c r="M146" s="64"/>
      <c r="N146" s="64"/>
      <c r="O146" s="64"/>
      <c r="P146" s="64"/>
      <c r="Q146" s="64"/>
      <c r="R146" s="64"/>
      <c r="S146" s="64"/>
      <c r="T146" s="64"/>
      <c r="U146" s="64"/>
      <c r="V146" s="64"/>
      <c r="W146" s="64"/>
      <c r="X146" s="64"/>
      <c r="Y146" s="64"/>
      <c r="Z146" s="64"/>
    </row>
    <row r="147" ht="12.75" customHeight="1">
      <c r="A147" s="108"/>
      <c r="B147" s="64"/>
      <c r="C147" s="64"/>
      <c r="D147" s="64"/>
      <c r="E147" s="64"/>
      <c r="F147" s="63"/>
      <c r="G147" s="63"/>
      <c r="H147" s="64"/>
      <c r="I147" s="64"/>
      <c r="J147" s="64"/>
      <c r="K147" s="64"/>
      <c r="L147" s="64"/>
      <c r="M147" s="64"/>
      <c r="N147" s="64"/>
      <c r="O147" s="64"/>
      <c r="P147" s="64"/>
      <c r="Q147" s="64"/>
      <c r="R147" s="64"/>
      <c r="S147" s="64"/>
      <c r="T147" s="64"/>
      <c r="U147" s="64"/>
      <c r="V147" s="64"/>
      <c r="W147" s="64"/>
      <c r="X147" s="64"/>
      <c r="Y147" s="64"/>
      <c r="Z147" s="64"/>
    </row>
    <row r="148" ht="12.75" customHeight="1">
      <c r="A148" s="108"/>
      <c r="B148" s="64"/>
      <c r="C148" s="64"/>
      <c r="D148" s="64"/>
      <c r="E148" s="64"/>
      <c r="F148" s="63"/>
      <c r="G148" s="63"/>
      <c r="H148" s="64"/>
      <c r="I148" s="64"/>
      <c r="J148" s="64"/>
      <c r="K148" s="64"/>
      <c r="L148" s="64"/>
      <c r="M148" s="64"/>
      <c r="N148" s="64"/>
      <c r="O148" s="64"/>
      <c r="P148" s="64"/>
      <c r="Q148" s="64"/>
      <c r="R148" s="64"/>
      <c r="S148" s="64"/>
      <c r="T148" s="64"/>
      <c r="U148" s="64"/>
      <c r="V148" s="64"/>
      <c r="W148" s="64"/>
      <c r="X148" s="64"/>
      <c r="Y148" s="64"/>
      <c r="Z148" s="64"/>
    </row>
    <row r="149" ht="12.75" customHeight="1">
      <c r="A149" s="108"/>
      <c r="B149" s="64"/>
      <c r="C149" s="64"/>
      <c r="D149" s="64"/>
      <c r="E149" s="64"/>
      <c r="F149" s="63"/>
      <c r="G149" s="63"/>
      <c r="H149" s="64"/>
      <c r="I149" s="64"/>
      <c r="J149" s="64"/>
      <c r="K149" s="64"/>
      <c r="L149" s="64"/>
      <c r="M149" s="64"/>
      <c r="N149" s="64"/>
      <c r="O149" s="64"/>
      <c r="P149" s="64"/>
      <c r="Q149" s="64"/>
      <c r="R149" s="64"/>
      <c r="S149" s="64"/>
      <c r="T149" s="64"/>
      <c r="U149" s="64"/>
      <c r="V149" s="64"/>
      <c r="W149" s="64"/>
      <c r="X149" s="64"/>
      <c r="Y149" s="64"/>
      <c r="Z149" s="64"/>
    </row>
    <row r="150" ht="12.75" customHeight="1">
      <c r="A150" s="108"/>
      <c r="B150" s="64"/>
      <c r="C150" s="64"/>
      <c r="D150" s="64"/>
      <c r="E150" s="64"/>
      <c r="F150" s="63"/>
      <c r="G150" s="63"/>
      <c r="H150" s="64"/>
      <c r="I150" s="64"/>
      <c r="J150" s="64"/>
      <c r="K150" s="64"/>
      <c r="L150" s="64"/>
      <c r="M150" s="64"/>
      <c r="N150" s="64"/>
      <c r="O150" s="64"/>
      <c r="P150" s="64"/>
      <c r="Q150" s="64"/>
      <c r="R150" s="64"/>
      <c r="S150" s="64"/>
      <c r="T150" s="64"/>
      <c r="U150" s="64"/>
      <c r="V150" s="64"/>
      <c r="W150" s="64"/>
      <c r="X150" s="64"/>
      <c r="Y150" s="64"/>
      <c r="Z150" s="64"/>
    </row>
    <row r="151" ht="12.75" customHeight="1">
      <c r="A151" s="108"/>
      <c r="B151" s="64"/>
      <c r="C151" s="64"/>
      <c r="D151" s="64"/>
      <c r="E151" s="64"/>
      <c r="F151" s="63"/>
      <c r="G151" s="63"/>
      <c r="H151" s="64"/>
      <c r="I151" s="64"/>
      <c r="J151" s="64"/>
      <c r="K151" s="64"/>
      <c r="L151" s="64"/>
      <c r="M151" s="64"/>
      <c r="N151" s="64"/>
      <c r="O151" s="64"/>
      <c r="P151" s="64"/>
      <c r="Q151" s="64"/>
      <c r="R151" s="64"/>
      <c r="S151" s="64"/>
      <c r="T151" s="64"/>
      <c r="U151" s="64"/>
      <c r="V151" s="64"/>
      <c r="W151" s="64"/>
      <c r="X151" s="64"/>
      <c r="Y151" s="64"/>
      <c r="Z151" s="64"/>
    </row>
    <row r="152" ht="12.75" customHeight="1">
      <c r="A152" s="108"/>
      <c r="B152" s="64"/>
      <c r="C152" s="64"/>
      <c r="D152" s="64"/>
      <c r="E152" s="64"/>
      <c r="F152" s="63"/>
      <c r="G152" s="63"/>
      <c r="H152" s="64"/>
      <c r="I152" s="64"/>
      <c r="J152" s="64"/>
      <c r="K152" s="64"/>
      <c r="L152" s="64"/>
      <c r="M152" s="64"/>
      <c r="N152" s="64"/>
      <c r="O152" s="64"/>
      <c r="P152" s="64"/>
      <c r="Q152" s="64"/>
      <c r="R152" s="64"/>
      <c r="S152" s="64"/>
      <c r="T152" s="64"/>
      <c r="U152" s="64"/>
      <c r="V152" s="64"/>
      <c r="W152" s="64"/>
      <c r="X152" s="64"/>
      <c r="Y152" s="64"/>
      <c r="Z152" s="64"/>
    </row>
    <row r="153" ht="12.75" customHeight="1">
      <c r="A153" s="108"/>
      <c r="B153" s="64"/>
      <c r="C153" s="64"/>
      <c r="D153" s="64"/>
      <c r="E153" s="64"/>
      <c r="F153" s="63"/>
      <c r="G153" s="63"/>
      <c r="H153" s="64"/>
      <c r="I153" s="64"/>
      <c r="J153" s="64"/>
      <c r="K153" s="64"/>
      <c r="L153" s="64"/>
      <c r="M153" s="64"/>
      <c r="N153" s="64"/>
      <c r="O153" s="64"/>
      <c r="P153" s="64"/>
      <c r="Q153" s="64"/>
      <c r="R153" s="64"/>
      <c r="S153" s="64"/>
      <c r="T153" s="64"/>
      <c r="U153" s="64"/>
      <c r="V153" s="64"/>
      <c r="W153" s="64"/>
      <c r="X153" s="64"/>
      <c r="Y153" s="64"/>
      <c r="Z153" s="64"/>
    </row>
    <row r="154" ht="12.75" customHeight="1">
      <c r="A154" s="108"/>
      <c r="B154" s="64"/>
      <c r="C154" s="64"/>
      <c r="D154" s="64"/>
      <c r="E154" s="64"/>
      <c r="F154" s="63"/>
      <c r="G154" s="63"/>
      <c r="H154" s="64"/>
      <c r="I154" s="64"/>
      <c r="J154" s="64"/>
      <c r="K154" s="64"/>
      <c r="L154" s="64"/>
      <c r="M154" s="64"/>
      <c r="N154" s="64"/>
      <c r="O154" s="64"/>
      <c r="P154" s="64"/>
      <c r="Q154" s="64"/>
      <c r="R154" s="64"/>
      <c r="S154" s="64"/>
      <c r="T154" s="64"/>
      <c r="U154" s="64"/>
      <c r="V154" s="64"/>
      <c r="W154" s="64"/>
      <c r="X154" s="64"/>
      <c r="Y154" s="64"/>
      <c r="Z154" s="64"/>
    </row>
    <row r="155" ht="12.75" customHeight="1">
      <c r="A155" s="108"/>
      <c r="B155" s="64"/>
      <c r="C155" s="64"/>
      <c r="D155" s="64"/>
      <c r="E155" s="64"/>
      <c r="F155" s="63"/>
      <c r="G155" s="63"/>
      <c r="H155" s="64"/>
      <c r="I155" s="64"/>
      <c r="J155" s="64"/>
      <c r="K155" s="64"/>
      <c r="L155" s="64"/>
      <c r="M155" s="64"/>
      <c r="N155" s="64"/>
      <c r="O155" s="64"/>
      <c r="P155" s="64"/>
      <c r="Q155" s="64"/>
      <c r="R155" s="64"/>
      <c r="S155" s="64"/>
      <c r="T155" s="64"/>
      <c r="U155" s="64"/>
      <c r="V155" s="64"/>
      <c r="W155" s="64"/>
      <c r="X155" s="64"/>
      <c r="Y155" s="64"/>
      <c r="Z155" s="64"/>
    </row>
    <row r="156" ht="12.75" customHeight="1">
      <c r="A156" s="108"/>
      <c r="B156" s="64"/>
      <c r="C156" s="64"/>
      <c r="D156" s="64"/>
      <c r="E156" s="64"/>
      <c r="F156" s="63"/>
      <c r="G156" s="63"/>
      <c r="H156" s="64"/>
      <c r="I156" s="64"/>
      <c r="J156" s="64"/>
      <c r="K156" s="64"/>
      <c r="L156" s="64"/>
      <c r="M156" s="64"/>
      <c r="N156" s="64"/>
      <c r="O156" s="64"/>
      <c r="P156" s="64"/>
      <c r="Q156" s="64"/>
      <c r="R156" s="64"/>
      <c r="S156" s="64"/>
      <c r="T156" s="64"/>
      <c r="U156" s="64"/>
      <c r="V156" s="64"/>
      <c r="W156" s="64"/>
      <c r="X156" s="64"/>
      <c r="Y156" s="64"/>
      <c r="Z156" s="64"/>
    </row>
    <row r="157" ht="12.75" customHeight="1">
      <c r="A157" s="108"/>
      <c r="B157" s="64"/>
      <c r="C157" s="64"/>
      <c r="D157" s="64"/>
      <c r="E157" s="64"/>
      <c r="F157" s="63"/>
      <c r="G157" s="63"/>
      <c r="H157" s="64"/>
      <c r="I157" s="64"/>
      <c r="J157" s="64"/>
      <c r="K157" s="64"/>
      <c r="L157" s="64"/>
      <c r="M157" s="64"/>
      <c r="N157" s="64"/>
      <c r="O157" s="64"/>
      <c r="P157" s="64"/>
      <c r="Q157" s="64"/>
      <c r="R157" s="64"/>
      <c r="S157" s="64"/>
      <c r="T157" s="64"/>
      <c r="U157" s="64"/>
      <c r="V157" s="64"/>
      <c r="W157" s="64"/>
      <c r="X157" s="64"/>
      <c r="Y157" s="64"/>
      <c r="Z157" s="64"/>
    </row>
    <row r="158" ht="12.75" customHeight="1">
      <c r="A158" s="108"/>
      <c r="B158" s="64"/>
      <c r="C158" s="64"/>
      <c r="D158" s="64"/>
      <c r="E158" s="64"/>
      <c r="F158" s="63"/>
      <c r="G158" s="63"/>
      <c r="H158" s="64"/>
      <c r="I158" s="64"/>
      <c r="J158" s="64"/>
      <c r="K158" s="64"/>
      <c r="L158" s="64"/>
      <c r="M158" s="64"/>
      <c r="N158" s="64"/>
      <c r="O158" s="64"/>
      <c r="P158" s="64"/>
      <c r="Q158" s="64"/>
      <c r="R158" s="64"/>
      <c r="S158" s="64"/>
      <c r="T158" s="64"/>
      <c r="U158" s="64"/>
      <c r="V158" s="64"/>
      <c r="W158" s="64"/>
      <c r="X158" s="64"/>
      <c r="Y158" s="64"/>
      <c r="Z158" s="64"/>
    </row>
    <row r="159" ht="12.75" customHeight="1">
      <c r="A159" s="108"/>
      <c r="B159" s="64"/>
      <c r="C159" s="64"/>
      <c r="D159" s="64"/>
      <c r="E159" s="64"/>
      <c r="F159" s="63"/>
      <c r="G159" s="63"/>
      <c r="H159" s="64"/>
      <c r="I159" s="64"/>
      <c r="J159" s="64"/>
      <c r="K159" s="64"/>
      <c r="L159" s="64"/>
      <c r="M159" s="64"/>
      <c r="N159" s="64"/>
      <c r="O159" s="64"/>
      <c r="P159" s="64"/>
      <c r="Q159" s="64"/>
      <c r="R159" s="64"/>
      <c r="S159" s="64"/>
      <c r="T159" s="64"/>
      <c r="U159" s="64"/>
      <c r="V159" s="64"/>
      <c r="W159" s="64"/>
      <c r="X159" s="64"/>
      <c r="Y159" s="64"/>
      <c r="Z159" s="64"/>
    </row>
    <row r="160" ht="12.75" customHeight="1">
      <c r="A160" s="108"/>
      <c r="B160" s="64"/>
      <c r="C160" s="64"/>
      <c r="D160" s="64"/>
      <c r="E160" s="64"/>
      <c r="F160" s="63"/>
      <c r="G160" s="63"/>
      <c r="H160" s="64"/>
      <c r="I160" s="64"/>
      <c r="J160" s="64"/>
      <c r="K160" s="64"/>
      <c r="L160" s="64"/>
      <c r="M160" s="64"/>
      <c r="N160" s="64"/>
      <c r="O160" s="64"/>
      <c r="P160" s="64"/>
      <c r="Q160" s="64"/>
      <c r="R160" s="64"/>
      <c r="S160" s="64"/>
      <c r="T160" s="64"/>
      <c r="U160" s="64"/>
      <c r="V160" s="64"/>
      <c r="W160" s="64"/>
      <c r="X160" s="64"/>
      <c r="Y160" s="64"/>
      <c r="Z160" s="64"/>
    </row>
    <row r="161" ht="12.75" customHeight="1">
      <c r="A161" s="108"/>
      <c r="B161" s="64"/>
      <c r="C161" s="64"/>
      <c r="D161" s="64"/>
      <c r="E161" s="64"/>
      <c r="F161" s="63"/>
      <c r="G161" s="63"/>
      <c r="H161" s="64"/>
      <c r="I161" s="64"/>
      <c r="J161" s="64"/>
      <c r="K161" s="64"/>
      <c r="L161" s="64"/>
      <c r="M161" s="64"/>
      <c r="N161" s="64"/>
      <c r="O161" s="64"/>
      <c r="P161" s="64"/>
      <c r="Q161" s="64"/>
      <c r="R161" s="64"/>
      <c r="S161" s="64"/>
      <c r="T161" s="64"/>
      <c r="U161" s="64"/>
      <c r="V161" s="64"/>
      <c r="W161" s="64"/>
      <c r="X161" s="64"/>
      <c r="Y161" s="64"/>
      <c r="Z161" s="64"/>
    </row>
    <row r="162" ht="12.75" customHeight="1">
      <c r="A162" s="108"/>
      <c r="B162" s="64"/>
      <c r="C162" s="64"/>
      <c r="D162" s="64"/>
      <c r="E162" s="64"/>
      <c r="F162" s="63"/>
      <c r="G162" s="63"/>
      <c r="H162" s="64"/>
      <c r="I162" s="64"/>
      <c r="J162" s="64"/>
      <c r="K162" s="64"/>
      <c r="L162" s="64"/>
      <c r="M162" s="64"/>
      <c r="N162" s="64"/>
      <c r="O162" s="64"/>
      <c r="P162" s="64"/>
      <c r="Q162" s="64"/>
      <c r="R162" s="64"/>
      <c r="S162" s="64"/>
      <c r="T162" s="64"/>
      <c r="U162" s="64"/>
      <c r="V162" s="64"/>
      <c r="W162" s="64"/>
      <c r="X162" s="64"/>
      <c r="Y162" s="64"/>
      <c r="Z162" s="64"/>
    </row>
    <row r="163" ht="12.75" customHeight="1">
      <c r="A163" s="108"/>
      <c r="B163" s="64"/>
      <c r="C163" s="64"/>
      <c r="D163" s="64"/>
      <c r="E163" s="64"/>
      <c r="F163" s="63"/>
      <c r="G163" s="63"/>
      <c r="H163" s="64"/>
      <c r="I163" s="64"/>
      <c r="J163" s="64"/>
      <c r="K163" s="64"/>
      <c r="L163" s="64"/>
      <c r="M163" s="64"/>
      <c r="N163" s="64"/>
      <c r="O163" s="64"/>
      <c r="P163" s="64"/>
      <c r="Q163" s="64"/>
      <c r="R163" s="64"/>
      <c r="S163" s="64"/>
      <c r="T163" s="64"/>
      <c r="U163" s="64"/>
      <c r="V163" s="64"/>
      <c r="W163" s="64"/>
      <c r="X163" s="64"/>
      <c r="Y163" s="64"/>
      <c r="Z163" s="64"/>
    </row>
    <row r="164" ht="12.75" customHeight="1">
      <c r="A164" s="108"/>
      <c r="B164" s="64"/>
      <c r="C164" s="64"/>
      <c r="D164" s="64"/>
      <c r="E164" s="64"/>
      <c r="F164" s="63"/>
      <c r="G164" s="63"/>
      <c r="H164" s="64"/>
      <c r="I164" s="64"/>
      <c r="J164" s="64"/>
      <c r="K164" s="64"/>
      <c r="L164" s="64"/>
      <c r="M164" s="64"/>
      <c r="N164" s="64"/>
      <c r="O164" s="64"/>
      <c r="P164" s="64"/>
      <c r="Q164" s="64"/>
      <c r="R164" s="64"/>
      <c r="S164" s="64"/>
      <c r="T164" s="64"/>
      <c r="U164" s="64"/>
      <c r="V164" s="64"/>
      <c r="W164" s="64"/>
      <c r="X164" s="64"/>
      <c r="Y164" s="64"/>
      <c r="Z164" s="64"/>
    </row>
    <row r="165" ht="12.75" customHeight="1">
      <c r="A165" s="108"/>
      <c r="B165" s="64"/>
      <c r="C165" s="64"/>
      <c r="D165" s="64"/>
      <c r="E165" s="64"/>
      <c r="F165" s="63"/>
      <c r="G165" s="63"/>
      <c r="H165" s="64"/>
      <c r="I165" s="64"/>
      <c r="J165" s="64"/>
      <c r="K165" s="64"/>
      <c r="L165" s="64"/>
      <c r="M165" s="64"/>
      <c r="N165" s="64"/>
      <c r="O165" s="64"/>
      <c r="P165" s="64"/>
      <c r="Q165" s="64"/>
      <c r="R165" s="64"/>
      <c r="S165" s="64"/>
      <c r="T165" s="64"/>
      <c r="U165" s="64"/>
      <c r="V165" s="64"/>
      <c r="W165" s="64"/>
      <c r="X165" s="64"/>
      <c r="Y165" s="64"/>
      <c r="Z165" s="64"/>
    </row>
    <row r="166" ht="12.75" customHeight="1">
      <c r="A166" s="108"/>
      <c r="B166" s="64"/>
      <c r="C166" s="64"/>
      <c r="D166" s="64"/>
      <c r="E166" s="64"/>
      <c r="F166" s="63"/>
      <c r="G166" s="63"/>
      <c r="H166" s="64"/>
      <c r="I166" s="64"/>
      <c r="J166" s="64"/>
      <c r="K166" s="64"/>
      <c r="L166" s="64"/>
      <c r="M166" s="64"/>
      <c r="N166" s="64"/>
      <c r="O166" s="64"/>
      <c r="P166" s="64"/>
      <c r="Q166" s="64"/>
      <c r="R166" s="64"/>
      <c r="S166" s="64"/>
      <c r="T166" s="64"/>
      <c r="U166" s="64"/>
      <c r="V166" s="64"/>
      <c r="W166" s="64"/>
      <c r="X166" s="64"/>
      <c r="Y166" s="64"/>
      <c r="Z166" s="64"/>
    </row>
    <row r="167" ht="12.75" customHeight="1">
      <c r="A167" s="108"/>
      <c r="B167" s="64"/>
      <c r="C167" s="64"/>
      <c r="D167" s="64"/>
      <c r="E167" s="64"/>
      <c r="F167" s="63"/>
      <c r="G167" s="63"/>
      <c r="H167" s="64"/>
      <c r="I167" s="64"/>
      <c r="J167" s="64"/>
      <c r="K167" s="64"/>
      <c r="L167" s="64"/>
      <c r="M167" s="64"/>
      <c r="N167" s="64"/>
      <c r="O167" s="64"/>
      <c r="P167" s="64"/>
      <c r="Q167" s="64"/>
      <c r="R167" s="64"/>
      <c r="S167" s="64"/>
      <c r="T167" s="64"/>
      <c r="U167" s="64"/>
      <c r="V167" s="64"/>
      <c r="W167" s="64"/>
      <c r="X167" s="64"/>
      <c r="Y167" s="64"/>
      <c r="Z167" s="64"/>
    </row>
    <row r="168" ht="12.75" customHeight="1">
      <c r="A168" s="108"/>
      <c r="B168" s="64"/>
      <c r="C168" s="64"/>
      <c r="D168" s="64"/>
      <c r="E168" s="64"/>
      <c r="F168" s="63"/>
      <c r="G168" s="63"/>
      <c r="H168" s="64"/>
      <c r="I168" s="64"/>
      <c r="J168" s="64"/>
      <c r="K168" s="64"/>
      <c r="L168" s="64"/>
      <c r="M168" s="64"/>
      <c r="N168" s="64"/>
      <c r="O168" s="64"/>
      <c r="P168" s="64"/>
      <c r="Q168" s="64"/>
      <c r="R168" s="64"/>
      <c r="S168" s="64"/>
      <c r="T168" s="64"/>
      <c r="U168" s="64"/>
      <c r="V168" s="64"/>
      <c r="W168" s="64"/>
      <c r="X168" s="64"/>
      <c r="Y168" s="64"/>
      <c r="Z168" s="64"/>
    </row>
    <row r="169" ht="12.75" customHeight="1">
      <c r="A169" s="108"/>
      <c r="B169" s="64"/>
      <c r="C169" s="64"/>
      <c r="D169" s="64"/>
      <c r="E169" s="64"/>
      <c r="F169" s="63"/>
      <c r="G169" s="63"/>
      <c r="H169" s="64"/>
      <c r="I169" s="64"/>
      <c r="J169" s="64"/>
      <c r="K169" s="64"/>
      <c r="L169" s="64"/>
      <c r="M169" s="64"/>
      <c r="N169" s="64"/>
      <c r="O169" s="64"/>
      <c r="P169" s="64"/>
      <c r="Q169" s="64"/>
      <c r="R169" s="64"/>
      <c r="S169" s="64"/>
      <c r="T169" s="64"/>
      <c r="U169" s="64"/>
      <c r="V169" s="64"/>
      <c r="W169" s="64"/>
      <c r="X169" s="64"/>
      <c r="Y169" s="64"/>
      <c r="Z169" s="64"/>
    </row>
    <row r="170" ht="12.75" customHeight="1">
      <c r="A170" s="108"/>
      <c r="B170" s="64"/>
      <c r="C170" s="64"/>
      <c r="D170" s="64"/>
      <c r="E170" s="64"/>
      <c r="F170" s="63"/>
      <c r="G170" s="63"/>
      <c r="H170" s="64"/>
      <c r="I170" s="64"/>
      <c r="J170" s="64"/>
      <c r="K170" s="64"/>
      <c r="L170" s="64"/>
      <c r="M170" s="64"/>
      <c r="N170" s="64"/>
      <c r="O170" s="64"/>
      <c r="P170" s="64"/>
      <c r="Q170" s="64"/>
      <c r="R170" s="64"/>
      <c r="S170" s="64"/>
      <c r="T170" s="64"/>
      <c r="U170" s="64"/>
      <c r="V170" s="64"/>
      <c r="W170" s="64"/>
      <c r="X170" s="64"/>
      <c r="Y170" s="64"/>
      <c r="Z170" s="64"/>
    </row>
    <row r="171" ht="12.75" customHeight="1">
      <c r="A171" s="108"/>
      <c r="B171" s="64"/>
      <c r="C171" s="64"/>
      <c r="D171" s="64"/>
      <c r="E171" s="64"/>
      <c r="F171" s="63"/>
      <c r="G171" s="63"/>
      <c r="H171" s="64"/>
      <c r="I171" s="64"/>
      <c r="J171" s="64"/>
      <c r="K171" s="64"/>
      <c r="L171" s="64"/>
      <c r="M171" s="64"/>
      <c r="N171" s="64"/>
      <c r="O171" s="64"/>
      <c r="P171" s="64"/>
      <c r="Q171" s="64"/>
      <c r="R171" s="64"/>
      <c r="S171" s="64"/>
      <c r="T171" s="64"/>
      <c r="U171" s="64"/>
      <c r="V171" s="64"/>
      <c r="W171" s="64"/>
      <c r="X171" s="64"/>
      <c r="Y171" s="64"/>
      <c r="Z171" s="64"/>
    </row>
    <row r="172" ht="12.75" customHeight="1">
      <c r="A172" s="108"/>
      <c r="B172" s="64"/>
      <c r="C172" s="64"/>
      <c r="D172" s="64"/>
      <c r="E172" s="64"/>
      <c r="F172" s="63"/>
      <c r="G172" s="63"/>
      <c r="H172" s="64"/>
      <c r="I172" s="64"/>
      <c r="J172" s="64"/>
      <c r="K172" s="64"/>
      <c r="L172" s="64"/>
      <c r="M172" s="64"/>
      <c r="N172" s="64"/>
      <c r="O172" s="64"/>
      <c r="P172" s="64"/>
      <c r="Q172" s="64"/>
      <c r="R172" s="64"/>
      <c r="S172" s="64"/>
      <c r="T172" s="64"/>
      <c r="U172" s="64"/>
      <c r="V172" s="64"/>
      <c r="W172" s="64"/>
      <c r="X172" s="64"/>
      <c r="Y172" s="64"/>
      <c r="Z172" s="64"/>
    </row>
    <row r="173" ht="12.75" customHeight="1">
      <c r="A173" s="108"/>
      <c r="B173" s="64"/>
      <c r="C173" s="64"/>
      <c r="D173" s="64"/>
      <c r="E173" s="64"/>
      <c r="F173" s="63"/>
      <c r="G173" s="63"/>
      <c r="H173" s="64"/>
      <c r="I173" s="64"/>
      <c r="J173" s="64"/>
      <c r="K173" s="64"/>
      <c r="L173" s="64"/>
      <c r="M173" s="64"/>
      <c r="N173" s="64"/>
      <c r="O173" s="64"/>
      <c r="P173" s="64"/>
      <c r="Q173" s="64"/>
      <c r="R173" s="64"/>
      <c r="S173" s="64"/>
      <c r="T173" s="64"/>
      <c r="U173" s="64"/>
      <c r="V173" s="64"/>
      <c r="W173" s="64"/>
      <c r="X173" s="64"/>
      <c r="Y173" s="64"/>
      <c r="Z173" s="64"/>
    </row>
    <row r="174" ht="12.75" customHeight="1">
      <c r="A174" s="108"/>
      <c r="B174" s="64"/>
      <c r="C174" s="64"/>
      <c r="D174" s="64"/>
      <c r="E174" s="64"/>
      <c r="F174" s="63"/>
      <c r="G174" s="63"/>
      <c r="H174" s="64"/>
      <c r="I174" s="64"/>
      <c r="J174" s="64"/>
      <c r="K174" s="64"/>
      <c r="L174" s="64"/>
      <c r="M174" s="64"/>
      <c r="N174" s="64"/>
      <c r="O174" s="64"/>
      <c r="P174" s="64"/>
      <c r="Q174" s="64"/>
      <c r="R174" s="64"/>
      <c r="S174" s="64"/>
      <c r="T174" s="64"/>
      <c r="U174" s="64"/>
      <c r="V174" s="64"/>
      <c r="W174" s="64"/>
      <c r="X174" s="64"/>
      <c r="Y174" s="64"/>
      <c r="Z174" s="64"/>
    </row>
    <row r="175" ht="12.75" customHeight="1">
      <c r="A175" s="108"/>
      <c r="B175" s="64"/>
      <c r="C175" s="64"/>
      <c r="D175" s="64"/>
      <c r="E175" s="64"/>
      <c r="F175" s="63"/>
      <c r="G175" s="63"/>
      <c r="H175" s="64"/>
      <c r="I175" s="64"/>
      <c r="J175" s="64"/>
      <c r="K175" s="64"/>
      <c r="L175" s="64"/>
      <c r="M175" s="64"/>
      <c r="N175" s="64"/>
      <c r="O175" s="64"/>
      <c r="P175" s="64"/>
      <c r="Q175" s="64"/>
      <c r="R175" s="64"/>
      <c r="S175" s="64"/>
      <c r="T175" s="64"/>
      <c r="U175" s="64"/>
      <c r="V175" s="64"/>
      <c r="W175" s="64"/>
      <c r="X175" s="64"/>
      <c r="Y175" s="64"/>
      <c r="Z175" s="64"/>
    </row>
    <row r="176" ht="12.75" customHeight="1">
      <c r="A176" s="108"/>
      <c r="B176" s="64"/>
      <c r="C176" s="64"/>
      <c r="D176" s="64"/>
      <c r="E176" s="64"/>
      <c r="F176" s="63"/>
      <c r="G176" s="63"/>
      <c r="H176" s="64"/>
      <c r="I176" s="64"/>
      <c r="J176" s="64"/>
      <c r="K176" s="64"/>
      <c r="L176" s="64"/>
      <c r="M176" s="64"/>
      <c r="N176" s="64"/>
      <c r="O176" s="64"/>
      <c r="P176" s="64"/>
      <c r="Q176" s="64"/>
      <c r="R176" s="64"/>
      <c r="S176" s="64"/>
      <c r="T176" s="64"/>
      <c r="U176" s="64"/>
      <c r="V176" s="64"/>
      <c r="W176" s="64"/>
      <c r="X176" s="64"/>
      <c r="Y176" s="64"/>
      <c r="Z176" s="64"/>
    </row>
    <row r="177" ht="12.75" customHeight="1">
      <c r="A177" s="108"/>
      <c r="B177" s="64"/>
      <c r="C177" s="64"/>
      <c r="D177" s="64"/>
      <c r="E177" s="64"/>
      <c r="F177" s="63"/>
      <c r="G177" s="63"/>
      <c r="H177" s="64"/>
      <c r="I177" s="64"/>
      <c r="J177" s="64"/>
      <c r="K177" s="64"/>
      <c r="L177" s="64"/>
      <c r="M177" s="64"/>
      <c r="N177" s="64"/>
      <c r="O177" s="64"/>
      <c r="P177" s="64"/>
      <c r="Q177" s="64"/>
      <c r="R177" s="64"/>
      <c r="S177" s="64"/>
      <c r="T177" s="64"/>
      <c r="U177" s="64"/>
      <c r="V177" s="64"/>
      <c r="W177" s="64"/>
      <c r="X177" s="64"/>
      <c r="Y177" s="64"/>
      <c r="Z177" s="64"/>
    </row>
    <row r="178" ht="12.75" customHeight="1">
      <c r="A178" s="108"/>
      <c r="B178" s="64"/>
      <c r="C178" s="64"/>
      <c r="D178" s="64"/>
      <c r="E178" s="64"/>
      <c r="F178" s="63"/>
      <c r="G178" s="63"/>
      <c r="H178" s="64"/>
      <c r="I178" s="64"/>
      <c r="J178" s="64"/>
      <c r="K178" s="64"/>
      <c r="L178" s="64"/>
      <c r="M178" s="64"/>
      <c r="N178" s="64"/>
      <c r="O178" s="64"/>
      <c r="P178" s="64"/>
      <c r="Q178" s="64"/>
      <c r="R178" s="64"/>
      <c r="S178" s="64"/>
      <c r="T178" s="64"/>
      <c r="U178" s="64"/>
      <c r="V178" s="64"/>
      <c r="W178" s="64"/>
      <c r="X178" s="64"/>
      <c r="Y178" s="64"/>
      <c r="Z178" s="64"/>
    </row>
    <row r="179" ht="12.75" customHeight="1">
      <c r="A179" s="108"/>
      <c r="B179" s="64"/>
      <c r="C179" s="64"/>
      <c r="D179" s="64"/>
      <c r="E179" s="64"/>
      <c r="F179" s="63"/>
      <c r="G179" s="63"/>
      <c r="H179" s="64"/>
      <c r="I179" s="64"/>
      <c r="J179" s="64"/>
      <c r="K179" s="64"/>
      <c r="L179" s="64"/>
      <c r="M179" s="64"/>
      <c r="N179" s="64"/>
      <c r="O179" s="64"/>
      <c r="P179" s="64"/>
      <c r="Q179" s="64"/>
      <c r="R179" s="64"/>
      <c r="S179" s="64"/>
      <c r="T179" s="64"/>
      <c r="U179" s="64"/>
      <c r="V179" s="64"/>
      <c r="W179" s="64"/>
      <c r="X179" s="64"/>
      <c r="Y179" s="64"/>
      <c r="Z179" s="64"/>
    </row>
    <row r="180" ht="12.75" customHeight="1">
      <c r="A180" s="108"/>
      <c r="B180" s="64"/>
      <c r="C180" s="64"/>
      <c r="D180" s="64"/>
      <c r="E180" s="64"/>
      <c r="F180" s="63"/>
      <c r="G180" s="63"/>
      <c r="H180" s="64"/>
      <c r="I180" s="64"/>
      <c r="J180" s="64"/>
      <c r="K180" s="64"/>
      <c r="L180" s="64"/>
      <c r="M180" s="64"/>
      <c r="N180" s="64"/>
      <c r="O180" s="64"/>
      <c r="P180" s="64"/>
      <c r="Q180" s="64"/>
      <c r="R180" s="64"/>
      <c r="S180" s="64"/>
      <c r="T180" s="64"/>
      <c r="U180" s="64"/>
      <c r="V180" s="64"/>
      <c r="W180" s="64"/>
      <c r="X180" s="64"/>
      <c r="Y180" s="64"/>
      <c r="Z180" s="64"/>
    </row>
    <row r="181" ht="12.75" customHeight="1">
      <c r="A181" s="108"/>
      <c r="B181" s="64"/>
      <c r="C181" s="64"/>
      <c r="D181" s="64"/>
      <c r="E181" s="64"/>
      <c r="F181" s="63"/>
      <c r="G181" s="63"/>
      <c r="H181" s="64"/>
      <c r="I181" s="64"/>
      <c r="J181" s="64"/>
      <c r="K181" s="64"/>
      <c r="L181" s="64"/>
      <c r="M181" s="64"/>
      <c r="N181" s="64"/>
      <c r="O181" s="64"/>
      <c r="P181" s="64"/>
      <c r="Q181" s="64"/>
      <c r="R181" s="64"/>
      <c r="S181" s="64"/>
      <c r="T181" s="64"/>
      <c r="U181" s="64"/>
      <c r="V181" s="64"/>
      <c r="W181" s="64"/>
      <c r="X181" s="64"/>
      <c r="Y181" s="64"/>
      <c r="Z181" s="64"/>
    </row>
    <row r="182" ht="12.75" customHeight="1">
      <c r="A182" s="108"/>
      <c r="B182" s="64"/>
      <c r="C182" s="64"/>
      <c r="D182" s="64"/>
      <c r="E182" s="64"/>
      <c r="F182" s="63"/>
      <c r="G182" s="63"/>
      <c r="H182" s="64"/>
      <c r="I182" s="64"/>
      <c r="J182" s="64"/>
      <c r="K182" s="64"/>
      <c r="L182" s="64"/>
      <c r="M182" s="64"/>
      <c r="N182" s="64"/>
      <c r="O182" s="64"/>
      <c r="P182" s="64"/>
      <c r="Q182" s="64"/>
      <c r="R182" s="64"/>
      <c r="S182" s="64"/>
      <c r="T182" s="64"/>
      <c r="U182" s="64"/>
      <c r="V182" s="64"/>
      <c r="W182" s="64"/>
      <c r="X182" s="64"/>
      <c r="Y182" s="64"/>
      <c r="Z182" s="64"/>
    </row>
    <row r="183" ht="12.75" customHeight="1">
      <c r="A183" s="108"/>
      <c r="B183" s="64"/>
      <c r="C183" s="64"/>
      <c r="D183" s="64"/>
      <c r="E183" s="64"/>
      <c r="F183" s="63"/>
      <c r="G183" s="63"/>
      <c r="H183" s="64"/>
      <c r="I183" s="64"/>
      <c r="J183" s="64"/>
      <c r="K183" s="64"/>
      <c r="L183" s="64"/>
      <c r="M183" s="64"/>
      <c r="N183" s="64"/>
      <c r="O183" s="64"/>
      <c r="P183" s="64"/>
      <c r="Q183" s="64"/>
      <c r="R183" s="64"/>
      <c r="S183" s="64"/>
      <c r="T183" s="64"/>
      <c r="U183" s="64"/>
      <c r="V183" s="64"/>
      <c r="W183" s="64"/>
      <c r="X183" s="64"/>
      <c r="Y183" s="64"/>
      <c r="Z183" s="64"/>
    </row>
    <row r="184" ht="12.75" customHeight="1">
      <c r="A184" s="108"/>
      <c r="B184" s="64"/>
      <c r="C184" s="64"/>
      <c r="D184" s="64"/>
      <c r="E184" s="64"/>
      <c r="F184" s="63"/>
      <c r="G184" s="63"/>
      <c r="H184" s="64"/>
      <c r="I184" s="64"/>
      <c r="J184" s="64"/>
      <c r="K184" s="64"/>
      <c r="L184" s="64"/>
      <c r="M184" s="64"/>
      <c r="N184" s="64"/>
      <c r="O184" s="64"/>
      <c r="P184" s="64"/>
      <c r="Q184" s="64"/>
      <c r="R184" s="64"/>
      <c r="S184" s="64"/>
      <c r="T184" s="64"/>
      <c r="U184" s="64"/>
      <c r="V184" s="64"/>
      <c r="W184" s="64"/>
      <c r="X184" s="64"/>
      <c r="Y184" s="64"/>
      <c r="Z184" s="64"/>
    </row>
    <row r="185" ht="12.75" customHeight="1">
      <c r="A185" s="108"/>
      <c r="B185" s="64"/>
      <c r="C185" s="64"/>
      <c r="D185" s="64"/>
      <c r="E185" s="64"/>
      <c r="F185" s="63"/>
      <c r="G185" s="63"/>
      <c r="H185" s="64"/>
      <c r="I185" s="64"/>
      <c r="J185" s="64"/>
      <c r="K185" s="64"/>
      <c r="L185" s="64"/>
      <c r="M185" s="64"/>
      <c r="N185" s="64"/>
      <c r="O185" s="64"/>
      <c r="P185" s="64"/>
      <c r="Q185" s="64"/>
      <c r="R185" s="64"/>
      <c r="S185" s="64"/>
      <c r="T185" s="64"/>
      <c r="U185" s="64"/>
      <c r="V185" s="64"/>
      <c r="W185" s="64"/>
      <c r="X185" s="64"/>
      <c r="Y185" s="64"/>
      <c r="Z185" s="64"/>
    </row>
    <row r="186" ht="12.75" customHeight="1">
      <c r="A186" s="108"/>
      <c r="B186" s="64"/>
      <c r="C186" s="64"/>
      <c r="D186" s="64"/>
      <c r="E186" s="64"/>
      <c r="F186" s="63"/>
      <c r="G186" s="63"/>
      <c r="H186" s="64"/>
      <c r="I186" s="64"/>
      <c r="J186" s="64"/>
      <c r="K186" s="64"/>
      <c r="L186" s="64"/>
      <c r="M186" s="64"/>
      <c r="N186" s="64"/>
      <c r="O186" s="64"/>
      <c r="P186" s="64"/>
      <c r="Q186" s="64"/>
      <c r="R186" s="64"/>
      <c r="S186" s="64"/>
      <c r="T186" s="64"/>
      <c r="U186" s="64"/>
      <c r="V186" s="64"/>
      <c r="W186" s="64"/>
      <c r="X186" s="64"/>
      <c r="Y186" s="64"/>
      <c r="Z186" s="64"/>
    </row>
    <row r="187" ht="12.75" customHeight="1">
      <c r="A187" s="108"/>
      <c r="B187" s="64"/>
      <c r="C187" s="64"/>
      <c r="D187" s="64"/>
      <c r="E187" s="64"/>
      <c r="F187" s="63"/>
      <c r="G187" s="63"/>
      <c r="H187" s="64"/>
      <c r="I187" s="64"/>
      <c r="J187" s="64"/>
      <c r="K187" s="64"/>
      <c r="L187" s="64"/>
      <c r="M187" s="64"/>
      <c r="N187" s="64"/>
      <c r="O187" s="64"/>
      <c r="P187" s="64"/>
      <c r="Q187" s="64"/>
      <c r="R187" s="64"/>
      <c r="S187" s="64"/>
      <c r="T187" s="64"/>
      <c r="U187" s="64"/>
      <c r="V187" s="64"/>
      <c r="W187" s="64"/>
      <c r="X187" s="64"/>
      <c r="Y187" s="64"/>
      <c r="Z187" s="64"/>
    </row>
    <row r="188" ht="12.75" customHeight="1">
      <c r="A188" s="108"/>
      <c r="B188" s="64"/>
      <c r="C188" s="64"/>
      <c r="D188" s="64"/>
      <c r="E188" s="64"/>
      <c r="F188" s="63"/>
      <c r="G188" s="63"/>
      <c r="H188" s="64"/>
      <c r="I188" s="64"/>
      <c r="J188" s="64"/>
      <c r="K188" s="64"/>
      <c r="L188" s="64"/>
      <c r="M188" s="64"/>
      <c r="N188" s="64"/>
      <c r="O188" s="64"/>
      <c r="P188" s="64"/>
      <c r="Q188" s="64"/>
      <c r="R188" s="64"/>
      <c r="S188" s="64"/>
      <c r="T188" s="64"/>
      <c r="U188" s="64"/>
      <c r="V188" s="64"/>
      <c r="W188" s="64"/>
      <c r="X188" s="64"/>
      <c r="Y188" s="64"/>
      <c r="Z188" s="64"/>
    </row>
    <row r="189" ht="12.75" customHeight="1">
      <c r="A189" s="108"/>
      <c r="B189" s="64"/>
      <c r="C189" s="64"/>
      <c r="D189" s="64"/>
      <c r="E189" s="64"/>
      <c r="F189" s="63"/>
      <c r="G189" s="63"/>
      <c r="H189" s="64"/>
      <c r="I189" s="64"/>
      <c r="J189" s="64"/>
      <c r="K189" s="64"/>
      <c r="L189" s="64"/>
      <c r="M189" s="64"/>
      <c r="N189" s="64"/>
      <c r="O189" s="64"/>
      <c r="P189" s="64"/>
      <c r="Q189" s="64"/>
      <c r="R189" s="64"/>
      <c r="S189" s="64"/>
      <c r="T189" s="64"/>
      <c r="U189" s="64"/>
      <c r="V189" s="64"/>
      <c r="W189" s="64"/>
      <c r="X189" s="64"/>
      <c r="Y189" s="64"/>
      <c r="Z189" s="64"/>
    </row>
    <row r="190" ht="12.75" customHeight="1">
      <c r="A190" s="108"/>
      <c r="B190" s="64"/>
      <c r="C190" s="64"/>
      <c r="D190" s="64"/>
      <c r="E190" s="64"/>
      <c r="F190" s="63"/>
      <c r="G190" s="63"/>
      <c r="H190" s="64"/>
      <c r="I190" s="64"/>
      <c r="J190" s="64"/>
      <c r="K190" s="64"/>
      <c r="L190" s="64"/>
      <c r="M190" s="64"/>
      <c r="N190" s="64"/>
      <c r="O190" s="64"/>
      <c r="P190" s="64"/>
      <c r="Q190" s="64"/>
      <c r="R190" s="64"/>
      <c r="S190" s="64"/>
      <c r="T190" s="64"/>
      <c r="U190" s="64"/>
      <c r="V190" s="64"/>
      <c r="W190" s="64"/>
      <c r="X190" s="64"/>
      <c r="Y190" s="64"/>
      <c r="Z190" s="64"/>
    </row>
    <row r="191" ht="12.75" customHeight="1">
      <c r="A191" s="108"/>
      <c r="B191" s="64"/>
      <c r="C191" s="64"/>
      <c r="D191" s="64"/>
      <c r="E191" s="64"/>
      <c r="F191" s="63"/>
      <c r="G191" s="63"/>
      <c r="H191" s="64"/>
      <c r="I191" s="64"/>
      <c r="J191" s="64"/>
      <c r="K191" s="64"/>
      <c r="L191" s="64"/>
      <c r="M191" s="64"/>
      <c r="N191" s="64"/>
      <c r="O191" s="64"/>
      <c r="P191" s="64"/>
      <c r="Q191" s="64"/>
      <c r="R191" s="64"/>
      <c r="S191" s="64"/>
      <c r="T191" s="64"/>
      <c r="U191" s="64"/>
      <c r="V191" s="64"/>
      <c r="W191" s="64"/>
      <c r="X191" s="64"/>
      <c r="Y191" s="64"/>
      <c r="Z191" s="64"/>
    </row>
    <row r="192" ht="12.75" customHeight="1">
      <c r="A192" s="108"/>
      <c r="B192" s="64"/>
      <c r="C192" s="64"/>
      <c r="D192" s="64"/>
      <c r="E192" s="64"/>
      <c r="F192" s="63"/>
      <c r="G192" s="63"/>
      <c r="H192" s="64"/>
      <c r="I192" s="64"/>
      <c r="J192" s="64"/>
      <c r="K192" s="64"/>
      <c r="L192" s="64"/>
      <c r="M192" s="64"/>
      <c r="N192" s="64"/>
      <c r="O192" s="64"/>
      <c r="P192" s="64"/>
      <c r="Q192" s="64"/>
      <c r="R192" s="64"/>
      <c r="S192" s="64"/>
      <c r="T192" s="64"/>
      <c r="U192" s="64"/>
      <c r="V192" s="64"/>
      <c r="W192" s="64"/>
      <c r="X192" s="64"/>
      <c r="Y192" s="64"/>
      <c r="Z192" s="64"/>
    </row>
    <row r="193" ht="12.75" customHeight="1">
      <c r="A193" s="108"/>
      <c r="B193" s="64"/>
      <c r="C193" s="64"/>
      <c r="D193" s="64"/>
      <c r="E193" s="64"/>
      <c r="F193" s="63"/>
      <c r="G193" s="63"/>
      <c r="H193" s="64"/>
      <c r="I193" s="64"/>
      <c r="J193" s="64"/>
      <c r="K193" s="64"/>
      <c r="L193" s="64"/>
      <c r="M193" s="64"/>
      <c r="N193" s="64"/>
      <c r="O193" s="64"/>
      <c r="P193" s="64"/>
      <c r="Q193" s="64"/>
      <c r="R193" s="64"/>
      <c r="S193" s="64"/>
      <c r="T193" s="64"/>
      <c r="U193" s="64"/>
      <c r="V193" s="64"/>
      <c r="W193" s="64"/>
      <c r="X193" s="64"/>
      <c r="Y193" s="64"/>
      <c r="Z193" s="64"/>
    </row>
    <row r="194" ht="12.75" customHeight="1">
      <c r="A194" s="108"/>
      <c r="B194" s="64"/>
      <c r="C194" s="64"/>
      <c r="D194" s="64"/>
      <c r="E194" s="64"/>
      <c r="F194" s="63"/>
      <c r="G194" s="63"/>
      <c r="H194" s="64"/>
      <c r="I194" s="64"/>
      <c r="J194" s="64"/>
      <c r="K194" s="64"/>
      <c r="L194" s="64"/>
      <c r="M194" s="64"/>
      <c r="N194" s="64"/>
      <c r="O194" s="64"/>
      <c r="P194" s="64"/>
      <c r="Q194" s="64"/>
      <c r="R194" s="64"/>
      <c r="S194" s="64"/>
      <c r="T194" s="64"/>
      <c r="U194" s="64"/>
      <c r="V194" s="64"/>
      <c r="W194" s="64"/>
      <c r="X194" s="64"/>
      <c r="Y194" s="64"/>
      <c r="Z194" s="64"/>
    </row>
    <row r="195" ht="12.75" customHeight="1">
      <c r="A195" s="108"/>
      <c r="B195" s="64"/>
      <c r="C195" s="64"/>
      <c r="D195" s="64"/>
      <c r="E195" s="64"/>
      <c r="F195" s="63"/>
      <c r="G195" s="63"/>
      <c r="H195" s="64"/>
      <c r="I195" s="64"/>
      <c r="J195" s="64"/>
      <c r="K195" s="64"/>
      <c r="L195" s="64"/>
      <c r="M195" s="64"/>
      <c r="N195" s="64"/>
      <c r="O195" s="64"/>
      <c r="P195" s="64"/>
      <c r="Q195" s="64"/>
      <c r="R195" s="64"/>
      <c r="S195" s="64"/>
      <c r="T195" s="64"/>
      <c r="U195" s="64"/>
      <c r="V195" s="64"/>
      <c r="W195" s="64"/>
      <c r="X195" s="64"/>
      <c r="Y195" s="64"/>
      <c r="Z195" s="64"/>
    </row>
    <row r="196" ht="12.75" customHeight="1">
      <c r="A196" s="108"/>
      <c r="B196" s="64"/>
      <c r="C196" s="64"/>
      <c r="D196" s="64"/>
      <c r="E196" s="64"/>
      <c r="F196" s="63"/>
      <c r="G196" s="63"/>
      <c r="H196" s="64"/>
      <c r="I196" s="64"/>
      <c r="J196" s="64"/>
      <c r="K196" s="64"/>
      <c r="L196" s="64"/>
      <c r="M196" s="64"/>
      <c r="N196" s="64"/>
      <c r="O196" s="64"/>
      <c r="P196" s="64"/>
      <c r="Q196" s="64"/>
      <c r="R196" s="64"/>
      <c r="S196" s="64"/>
      <c r="T196" s="64"/>
      <c r="U196" s="64"/>
      <c r="V196" s="64"/>
      <c r="W196" s="64"/>
      <c r="X196" s="64"/>
      <c r="Y196" s="64"/>
      <c r="Z196" s="64"/>
    </row>
    <row r="197" ht="12.75" customHeight="1">
      <c r="A197" s="108"/>
      <c r="B197" s="64"/>
      <c r="C197" s="64"/>
      <c r="D197" s="64"/>
      <c r="E197" s="64"/>
      <c r="F197" s="63"/>
      <c r="G197" s="63"/>
      <c r="H197" s="64"/>
      <c r="I197" s="64"/>
      <c r="J197" s="64"/>
      <c r="K197" s="64"/>
      <c r="L197" s="64"/>
      <c r="M197" s="64"/>
      <c r="N197" s="64"/>
      <c r="O197" s="64"/>
      <c r="P197" s="64"/>
      <c r="Q197" s="64"/>
      <c r="R197" s="64"/>
      <c r="S197" s="64"/>
      <c r="T197" s="64"/>
      <c r="U197" s="64"/>
      <c r="V197" s="64"/>
      <c r="W197" s="64"/>
      <c r="X197" s="64"/>
      <c r="Y197" s="64"/>
      <c r="Z197" s="64"/>
    </row>
    <row r="198" ht="12.75" customHeight="1">
      <c r="A198" s="108"/>
      <c r="B198" s="64"/>
      <c r="C198" s="64"/>
      <c r="D198" s="64"/>
      <c r="E198" s="64"/>
      <c r="F198" s="63"/>
      <c r="G198" s="63"/>
      <c r="H198" s="64"/>
      <c r="I198" s="64"/>
      <c r="J198" s="64"/>
      <c r="K198" s="64"/>
      <c r="L198" s="64"/>
      <c r="M198" s="64"/>
      <c r="N198" s="64"/>
      <c r="O198" s="64"/>
      <c r="P198" s="64"/>
      <c r="Q198" s="64"/>
      <c r="R198" s="64"/>
      <c r="S198" s="64"/>
      <c r="T198" s="64"/>
      <c r="U198" s="64"/>
      <c r="V198" s="64"/>
      <c r="W198" s="64"/>
      <c r="X198" s="64"/>
      <c r="Y198" s="64"/>
      <c r="Z198" s="64"/>
    </row>
    <row r="199" ht="12.75" customHeight="1">
      <c r="A199" s="108"/>
      <c r="B199" s="64"/>
      <c r="C199" s="64"/>
      <c r="D199" s="64"/>
      <c r="E199" s="64"/>
      <c r="F199" s="63"/>
      <c r="G199" s="63"/>
      <c r="H199" s="64"/>
      <c r="I199" s="64"/>
      <c r="J199" s="64"/>
      <c r="K199" s="64"/>
      <c r="L199" s="64"/>
      <c r="M199" s="64"/>
      <c r="N199" s="64"/>
      <c r="O199" s="64"/>
      <c r="P199" s="64"/>
      <c r="Q199" s="64"/>
      <c r="R199" s="64"/>
      <c r="S199" s="64"/>
      <c r="T199" s="64"/>
      <c r="U199" s="64"/>
      <c r="V199" s="64"/>
      <c r="W199" s="64"/>
      <c r="X199" s="64"/>
      <c r="Y199" s="64"/>
      <c r="Z199" s="64"/>
    </row>
    <row r="200" ht="12.75" customHeight="1">
      <c r="A200" s="108"/>
      <c r="B200" s="64"/>
      <c r="C200" s="64"/>
      <c r="D200" s="64"/>
      <c r="E200" s="64"/>
      <c r="F200" s="63"/>
      <c r="G200" s="63"/>
      <c r="H200" s="64"/>
      <c r="I200" s="64"/>
      <c r="J200" s="64"/>
      <c r="K200" s="64"/>
      <c r="L200" s="64"/>
      <c r="M200" s="64"/>
      <c r="N200" s="64"/>
      <c r="O200" s="64"/>
      <c r="P200" s="64"/>
      <c r="Q200" s="64"/>
      <c r="R200" s="64"/>
      <c r="S200" s="64"/>
      <c r="T200" s="64"/>
      <c r="U200" s="64"/>
      <c r="V200" s="64"/>
      <c r="W200" s="64"/>
      <c r="X200" s="64"/>
      <c r="Y200" s="64"/>
      <c r="Z200" s="64"/>
    </row>
    <row r="201" ht="12.75" customHeight="1">
      <c r="A201" s="108"/>
      <c r="B201" s="64"/>
      <c r="C201" s="64"/>
      <c r="D201" s="64"/>
      <c r="E201" s="64"/>
      <c r="F201" s="63"/>
      <c r="G201" s="63"/>
      <c r="H201" s="64"/>
      <c r="I201" s="64"/>
      <c r="J201" s="64"/>
      <c r="K201" s="64"/>
      <c r="L201" s="64"/>
      <c r="M201" s="64"/>
      <c r="N201" s="64"/>
      <c r="O201" s="64"/>
      <c r="P201" s="64"/>
      <c r="Q201" s="64"/>
      <c r="R201" s="64"/>
      <c r="S201" s="64"/>
      <c r="T201" s="64"/>
      <c r="U201" s="64"/>
      <c r="V201" s="64"/>
      <c r="W201" s="64"/>
      <c r="X201" s="64"/>
      <c r="Y201" s="64"/>
      <c r="Z201" s="64"/>
    </row>
    <row r="202" ht="12.75" customHeight="1">
      <c r="A202" s="108"/>
      <c r="B202" s="64"/>
      <c r="C202" s="64"/>
      <c r="D202" s="64"/>
      <c r="E202" s="64"/>
      <c r="F202" s="63"/>
      <c r="G202" s="63"/>
      <c r="H202" s="64"/>
      <c r="I202" s="64"/>
      <c r="J202" s="64"/>
      <c r="K202" s="64"/>
      <c r="L202" s="64"/>
      <c r="M202" s="64"/>
      <c r="N202" s="64"/>
      <c r="O202" s="64"/>
      <c r="P202" s="64"/>
      <c r="Q202" s="64"/>
      <c r="R202" s="64"/>
      <c r="S202" s="64"/>
      <c r="T202" s="64"/>
      <c r="U202" s="64"/>
      <c r="V202" s="64"/>
      <c r="W202" s="64"/>
      <c r="X202" s="64"/>
      <c r="Y202" s="64"/>
      <c r="Z202" s="64"/>
    </row>
    <row r="203" ht="12.75" customHeight="1">
      <c r="A203" s="108"/>
      <c r="B203" s="64"/>
      <c r="C203" s="64"/>
      <c r="D203" s="64"/>
      <c r="E203" s="64"/>
      <c r="F203" s="63"/>
      <c r="G203" s="63"/>
      <c r="H203" s="64"/>
      <c r="I203" s="64"/>
      <c r="J203" s="64"/>
      <c r="K203" s="64"/>
      <c r="L203" s="64"/>
      <c r="M203" s="64"/>
      <c r="N203" s="64"/>
      <c r="O203" s="64"/>
      <c r="P203" s="64"/>
      <c r="Q203" s="64"/>
      <c r="R203" s="64"/>
      <c r="S203" s="64"/>
      <c r="T203" s="64"/>
      <c r="U203" s="64"/>
      <c r="V203" s="64"/>
      <c r="W203" s="64"/>
      <c r="X203" s="64"/>
      <c r="Y203" s="64"/>
      <c r="Z203" s="64"/>
    </row>
    <row r="204" ht="12.75" customHeight="1">
      <c r="A204" s="108"/>
      <c r="B204" s="64"/>
      <c r="C204" s="64"/>
      <c r="D204" s="64"/>
      <c r="E204" s="64"/>
      <c r="F204" s="63"/>
      <c r="G204" s="63"/>
      <c r="H204" s="64"/>
      <c r="I204" s="64"/>
      <c r="J204" s="64"/>
      <c r="K204" s="64"/>
      <c r="L204" s="64"/>
      <c r="M204" s="64"/>
      <c r="N204" s="64"/>
      <c r="O204" s="64"/>
      <c r="P204" s="64"/>
      <c r="Q204" s="64"/>
      <c r="R204" s="64"/>
      <c r="S204" s="64"/>
      <c r="T204" s="64"/>
      <c r="U204" s="64"/>
      <c r="V204" s="64"/>
      <c r="W204" s="64"/>
      <c r="X204" s="64"/>
      <c r="Y204" s="64"/>
      <c r="Z204" s="64"/>
    </row>
    <row r="205" ht="12.75" customHeight="1">
      <c r="A205" s="108"/>
      <c r="B205" s="64"/>
      <c r="C205" s="64"/>
      <c r="D205" s="64"/>
      <c r="E205" s="64"/>
      <c r="F205" s="63"/>
      <c r="G205" s="63"/>
      <c r="H205" s="64"/>
      <c r="I205" s="64"/>
      <c r="J205" s="64"/>
      <c r="K205" s="64"/>
      <c r="L205" s="64"/>
      <c r="M205" s="64"/>
      <c r="N205" s="64"/>
      <c r="O205" s="64"/>
      <c r="P205" s="64"/>
      <c r="Q205" s="64"/>
      <c r="R205" s="64"/>
      <c r="S205" s="64"/>
      <c r="T205" s="64"/>
      <c r="U205" s="64"/>
      <c r="V205" s="64"/>
      <c r="W205" s="64"/>
      <c r="X205" s="64"/>
      <c r="Y205" s="64"/>
      <c r="Z205" s="64"/>
    </row>
    <row r="206" ht="12.75" customHeight="1">
      <c r="A206" s="108"/>
      <c r="B206" s="64"/>
      <c r="C206" s="64"/>
      <c r="D206" s="64"/>
      <c r="E206" s="64"/>
      <c r="F206" s="63"/>
      <c r="G206" s="63"/>
      <c r="H206" s="64"/>
      <c r="I206" s="64"/>
      <c r="J206" s="64"/>
      <c r="K206" s="64"/>
      <c r="L206" s="64"/>
      <c r="M206" s="64"/>
      <c r="N206" s="64"/>
      <c r="O206" s="64"/>
      <c r="P206" s="64"/>
      <c r="Q206" s="64"/>
      <c r="R206" s="64"/>
      <c r="S206" s="64"/>
      <c r="T206" s="64"/>
      <c r="U206" s="64"/>
      <c r="V206" s="64"/>
      <c r="W206" s="64"/>
      <c r="X206" s="64"/>
      <c r="Y206" s="64"/>
      <c r="Z206" s="64"/>
    </row>
    <row r="207" ht="12.75" customHeight="1">
      <c r="A207" s="108"/>
      <c r="B207" s="64"/>
      <c r="C207" s="64"/>
      <c r="D207" s="64"/>
      <c r="E207" s="64"/>
      <c r="F207" s="63"/>
      <c r="G207" s="63"/>
      <c r="H207" s="64"/>
      <c r="I207" s="64"/>
      <c r="J207" s="64"/>
      <c r="K207" s="64"/>
      <c r="L207" s="64"/>
      <c r="M207" s="64"/>
      <c r="N207" s="64"/>
      <c r="O207" s="64"/>
      <c r="P207" s="64"/>
      <c r="Q207" s="64"/>
      <c r="R207" s="64"/>
      <c r="S207" s="64"/>
      <c r="T207" s="64"/>
      <c r="U207" s="64"/>
      <c r="V207" s="64"/>
      <c r="W207" s="64"/>
      <c r="X207" s="64"/>
      <c r="Y207" s="64"/>
      <c r="Z207" s="64"/>
    </row>
    <row r="208" ht="12.75" customHeight="1">
      <c r="A208" s="108"/>
      <c r="B208" s="64"/>
      <c r="C208" s="64"/>
      <c r="D208" s="64"/>
      <c r="E208" s="64"/>
      <c r="F208" s="63"/>
      <c r="G208" s="63"/>
      <c r="H208" s="64"/>
      <c r="I208" s="64"/>
      <c r="J208" s="64"/>
      <c r="K208" s="64"/>
      <c r="L208" s="64"/>
      <c r="M208" s="64"/>
      <c r="N208" s="64"/>
      <c r="O208" s="64"/>
      <c r="P208" s="64"/>
      <c r="Q208" s="64"/>
      <c r="R208" s="64"/>
      <c r="S208" s="64"/>
      <c r="T208" s="64"/>
      <c r="U208" s="64"/>
      <c r="V208" s="64"/>
      <c r="W208" s="64"/>
      <c r="X208" s="64"/>
      <c r="Y208" s="64"/>
      <c r="Z208" s="64"/>
    </row>
    <row r="209" ht="12.75" customHeight="1">
      <c r="A209" s="108"/>
      <c r="B209" s="64"/>
      <c r="C209" s="64"/>
      <c r="D209" s="64"/>
      <c r="E209" s="64"/>
      <c r="F209" s="63"/>
      <c r="G209" s="63"/>
      <c r="H209" s="64"/>
      <c r="I209" s="64"/>
      <c r="J209" s="64"/>
      <c r="K209" s="64"/>
      <c r="L209" s="64"/>
      <c r="M209" s="64"/>
      <c r="N209" s="64"/>
      <c r="O209" s="64"/>
      <c r="P209" s="64"/>
      <c r="Q209" s="64"/>
      <c r="R209" s="64"/>
      <c r="S209" s="64"/>
      <c r="T209" s="64"/>
      <c r="U209" s="64"/>
      <c r="V209" s="64"/>
      <c r="W209" s="64"/>
      <c r="X209" s="64"/>
      <c r="Y209" s="64"/>
      <c r="Z209" s="64"/>
    </row>
    <row r="210" ht="12.75" customHeight="1">
      <c r="A210" s="108"/>
      <c r="B210" s="64"/>
      <c r="C210" s="64"/>
      <c r="D210" s="64"/>
      <c r="E210" s="64"/>
      <c r="F210" s="63"/>
      <c r="G210" s="63"/>
      <c r="H210" s="64"/>
      <c r="I210" s="64"/>
      <c r="J210" s="64"/>
      <c r="K210" s="64"/>
      <c r="L210" s="64"/>
      <c r="M210" s="64"/>
      <c r="N210" s="64"/>
      <c r="O210" s="64"/>
      <c r="P210" s="64"/>
      <c r="Q210" s="64"/>
      <c r="R210" s="64"/>
      <c r="S210" s="64"/>
      <c r="T210" s="64"/>
      <c r="U210" s="64"/>
      <c r="V210" s="64"/>
      <c r="W210" s="64"/>
      <c r="X210" s="64"/>
      <c r="Y210" s="64"/>
      <c r="Z210" s="64"/>
    </row>
    <row r="211" ht="12.75" customHeight="1">
      <c r="A211" s="108"/>
      <c r="B211" s="64"/>
      <c r="C211" s="64"/>
      <c r="D211" s="64"/>
      <c r="E211" s="64"/>
      <c r="F211" s="63"/>
      <c r="G211" s="63"/>
      <c r="H211" s="64"/>
      <c r="I211" s="64"/>
      <c r="J211" s="64"/>
      <c r="K211" s="64"/>
      <c r="L211" s="64"/>
      <c r="M211" s="64"/>
      <c r="N211" s="64"/>
      <c r="O211" s="64"/>
      <c r="P211" s="64"/>
      <c r="Q211" s="64"/>
      <c r="R211" s="64"/>
      <c r="S211" s="64"/>
      <c r="T211" s="64"/>
      <c r="U211" s="64"/>
      <c r="V211" s="64"/>
      <c r="W211" s="64"/>
      <c r="X211" s="64"/>
      <c r="Y211" s="64"/>
      <c r="Z211" s="64"/>
    </row>
    <row r="212" ht="12.75" customHeight="1">
      <c r="A212" s="108"/>
      <c r="B212" s="64"/>
      <c r="C212" s="64"/>
      <c r="D212" s="64"/>
      <c r="E212" s="64"/>
      <c r="F212" s="63"/>
      <c r="G212" s="63"/>
      <c r="H212" s="64"/>
      <c r="I212" s="64"/>
      <c r="J212" s="64"/>
      <c r="K212" s="64"/>
      <c r="L212" s="64"/>
      <c r="M212" s="64"/>
      <c r="N212" s="64"/>
      <c r="O212" s="64"/>
      <c r="P212" s="64"/>
      <c r="Q212" s="64"/>
      <c r="R212" s="64"/>
      <c r="S212" s="64"/>
      <c r="T212" s="64"/>
      <c r="U212" s="64"/>
      <c r="V212" s="64"/>
      <c r="W212" s="64"/>
      <c r="X212" s="64"/>
      <c r="Y212" s="64"/>
      <c r="Z212" s="64"/>
    </row>
    <row r="213" ht="12.75" customHeight="1">
      <c r="A213" s="108"/>
      <c r="B213" s="64"/>
      <c r="C213" s="64"/>
      <c r="D213" s="64"/>
      <c r="E213" s="64"/>
      <c r="F213" s="63"/>
      <c r="G213" s="63"/>
      <c r="H213" s="64"/>
      <c r="I213" s="64"/>
      <c r="J213" s="64"/>
      <c r="K213" s="64"/>
      <c r="L213" s="64"/>
      <c r="M213" s="64"/>
      <c r="N213" s="64"/>
      <c r="O213" s="64"/>
      <c r="P213" s="64"/>
      <c r="Q213" s="64"/>
      <c r="R213" s="64"/>
      <c r="S213" s="64"/>
      <c r="T213" s="64"/>
      <c r="U213" s="64"/>
      <c r="V213" s="64"/>
      <c r="W213" s="64"/>
      <c r="X213" s="64"/>
      <c r="Y213" s="64"/>
      <c r="Z213" s="64"/>
    </row>
    <row r="214" ht="12.75" customHeight="1">
      <c r="A214" s="108"/>
      <c r="B214" s="64"/>
      <c r="C214" s="64"/>
      <c r="D214" s="64"/>
      <c r="E214" s="64"/>
      <c r="F214" s="63"/>
      <c r="G214" s="63"/>
      <c r="H214" s="64"/>
      <c r="I214" s="64"/>
      <c r="J214" s="64"/>
      <c r="K214" s="64"/>
      <c r="L214" s="64"/>
      <c r="M214" s="64"/>
      <c r="N214" s="64"/>
      <c r="O214" s="64"/>
      <c r="P214" s="64"/>
      <c r="Q214" s="64"/>
      <c r="R214" s="64"/>
      <c r="S214" s="64"/>
      <c r="T214" s="64"/>
      <c r="U214" s="64"/>
      <c r="V214" s="64"/>
      <c r="W214" s="64"/>
      <c r="X214" s="64"/>
      <c r="Y214" s="64"/>
      <c r="Z214" s="64"/>
    </row>
    <row r="215" ht="12.75" customHeight="1">
      <c r="A215" s="108"/>
      <c r="B215" s="64"/>
      <c r="C215" s="64"/>
      <c r="D215" s="64"/>
      <c r="E215" s="64"/>
      <c r="F215" s="63"/>
      <c r="G215" s="63"/>
      <c r="H215" s="64"/>
      <c r="I215" s="64"/>
      <c r="J215" s="64"/>
      <c r="K215" s="64"/>
      <c r="L215" s="64"/>
      <c r="M215" s="64"/>
      <c r="N215" s="64"/>
      <c r="O215" s="64"/>
      <c r="P215" s="64"/>
      <c r="Q215" s="64"/>
      <c r="R215" s="64"/>
      <c r="S215" s="64"/>
      <c r="T215" s="64"/>
      <c r="U215" s="64"/>
      <c r="V215" s="64"/>
      <c r="W215" s="64"/>
      <c r="X215" s="64"/>
      <c r="Y215" s="64"/>
      <c r="Z215" s="64"/>
    </row>
    <row r="216" ht="12.75" customHeight="1">
      <c r="A216" s="108"/>
      <c r="B216" s="64"/>
      <c r="C216" s="64"/>
      <c r="D216" s="64"/>
      <c r="E216" s="64"/>
      <c r="F216" s="63"/>
      <c r="G216" s="63"/>
      <c r="H216" s="64"/>
      <c r="I216" s="64"/>
      <c r="J216" s="64"/>
      <c r="K216" s="64"/>
      <c r="L216" s="64"/>
      <c r="M216" s="64"/>
      <c r="N216" s="64"/>
      <c r="O216" s="64"/>
      <c r="P216" s="64"/>
      <c r="Q216" s="64"/>
      <c r="R216" s="64"/>
      <c r="S216" s="64"/>
      <c r="T216" s="64"/>
      <c r="U216" s="64"/>
      <c r="V216" s="64"/>
      <c r="W216" s="64"/>
      <c r="X216" s="64"/>
      <c r="Y216" s="64"/>
      <c r="Z216" s="64"/>
    </row>
    <row r="217" ht="12.75" customHeight="1">
      <c r="A217" s="108"/>
      <c r="B217" s="64"/>
      <c r="C217" s="64"/>
      <c r="D217" s="64"/>
      <c r="E217" s="64"/>
      <c r="F217" s="63"/>
      <c r="G217" s="63"/>
      <c r="H217" s="64"/>
      <c r="I217" s="64"/>
      <c r="J217" s="64"/>
      <c r="K217" s="64"/>
      <c r="L217" s="64"/>
      <c r="M217" s="64"/>
      <c r="N217" s="64"/>
      <c r="O217" s="64"/>
      <c r="P217" s="64"/>
      <c r="Q217" s="64"/>
      <c r="R217" s="64"/>
      <c r="S217" s="64"/>
      <c r="T217" s="64"/>
      <c r="U217" s="64"/>
      <c r="V217" s="64"/>
      <c r="W217" s="64"/>
      <c r="X217" s="64"/>
      <c r="Y217" s="64"/>
      <c r="Z217" s="64"/>
    </row>
    <row r="218" ht="12.75" customHeight="1">
      <c r="A218" s="108"/>
      <c r="B218" s="64"/>
      <c r="C218" s="64"/>
      <c r="D218" s="64"/>
      <c r="E218" s="64"/>
      <c r="F218" s="63"/>
      <c r="G218" s="63"/>
      <c r="H218" s="64"/>
      <c r="I218" s="64"/>
      <c r="J218" s="64"/>
      <c r="K218" s="64"/>
      <c r="L218" s="64"/>
      <c r="M218" s="64"/>
      <c r="N218" s="64"/>
      <c r="O218" s="64"/>
      <c r="P218" s="64"/>
      <c r="Q218" s="64"/>
      <c r="R218" s="64"/>
      <c r="S218" s="64"/>
      <c r="T218" s="64"/>
      <c r="U218" s="64"/>
      <c r="V218" s="64"/>
      <c r="W218" s="64"/>
      <c r="X218" s="64"/>
      <c r="Y218" s="64"/>
      <c r="Z218" s="64"/>
    </row>
    <row r="219" ht="12.75" customHeight="1">
      <c r="A219" s="108"/>
      <c r="B219" s="64"/>
      <c r="C219" s="64"/>
      <c r="D219" s="64"/>
      <c r="E219" s="64"/>
      <c r="F219" s="63"/>
      <c r="G219" s="63"/>
      <c r="H219" s="64"/>
      <c r="I219" s="64"/>
      <c r="J219" s="64"/>
      <c r="K219" s="64"/>
      <c r="L219" s="64"/>
      <c r="M219" s="64"/>
      <c r="N219" s="64"/>
      <c r="O219" s="64"/>
      <c r="P219" s="64"/>
      <c r="Q219" s="64"/>
      <c r="R219" s="64"/>
      <c r="S219" s="64"/>
      <c r="T219" s="64"/>
      <c r="U219" s="64"/>
      <c r="V219" s="64"/>
      <c r="W219" s="64"/>
      <c r="X219" s="64"/>
      <c r="Y219" s="64"/>
      <c r="Z219" s="64"/>
    </row>
    <row r="220" ht="12.75" customHeight="1">
      <c r="A220" s="108"/>
      <c r="B220" s="64"/>
      <c r="C220" s="64"/>
      <c r="D220" s="64"/>
      <c r="E220" s="64"/>
      <c r="F220" s="63"/>
      <c r="G220" s="63"/>
      <c r="H220" s="64"/>
      <c r="I220" s="64"/>
      <c r="J220" s="64"/>
      <c r="K220" s="64"/>
      <c r="L220" s="64"/>
      <c r="M220" s="64"/>
      <c r="N220" s="64"/>
      <c r="O220" s="64"/>
      <c r="P220" s="64"/>
      <c r="Q220" s="64"/>
      <c r="R220" s="64"/>
      <c r="S220" s="64"/>
      <c r="T220" s="64"/>
      <c r="U220" s="64"/>
      <c r="V220" s="64"/>
      <c r="W220" s="64"/>
      <c r="X220" s="64"/>
      <c r="Y220" s="64"/>
      <c r="Z220" s="64"/>
    </row>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C18:D18"/>
    <mergeCell ref="C19:D19"/>
    <mergeCell ref="C20:D20"/>
    <mergeCell ref="C11:D11"/>
    <mergeCell ref="C12:D12"/>
    <mergeCell ref="C13:D13"/>
    <mergeCell ref="C14:D14"/>
    <mergeCell ref="C15:D15"/>
    <mergeCell ref="C16:D16"/>
    <mergeCell ref="C17:D17"/>
  </mergeCells>
  <dataValidations>
    <dataValidation type="decimal" allowBlank="1" showErrorMessage="1" sqref="F12:F19">
      <formula1>0.0</formula1>
      <formula2>50.0</formula2>
    </dataValidation>
  </dataValidations>
  <printOptions/>
  <pageMargins bottom="0.75" footer="0.0" header="0.0" left="0.7" right="0.7" top="0.75"/>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4A3B8"/>
    <pageSetUpPr/>
  </sheetPr>
  <sheetViews>
    <sheetView showGridLines="0" workbookViewId="0"/>
  </sheetViews>
  <sheetFormatPr customHeight="1" defaultColWidth="12.63" defaultRowHeight="15.0"/>
  <cols>
    <col customWidth="1" min="1" max="1" width="16.63"/>
    <col customWidth="1" min="2" max="2" width="47.38"/>
    <col customWidth="1" min="3" max="3" width="26.38"/>
    <col customWidth="1" min="4" max="4" width="14.25"/>
    <col customWidth="1" min="5" max="5" width="24.75"/>
    <col customWidth="1" min="6" max="6" width="17.75"/>
    <col customWidth="1" min="7" max="7" width="15.0"/>
    <col customWidth="1" min="8" max="26" width="9.13"/>
  </cols>
  <sheetData>
    <row r="1" ht="12.75" customHeight="1">
      <c r="A1" s="105" t="s">
        <v>260</v>
      </c>
      <c r="B1" s="77" t="s">
        <v>737</v>
      </c>
      <c r="C1" s="78"/>
      <c r="D1" s="78"/>
      <c r="E1" s="64"/>
      <c r="F1" s="63"/>
      <c r="G1" s="63"/>
      <c r="H1" s="64"/>
      <c r="I1" s="64"/>
      <c r="J1" s="64"/>
      <c r="K1" s="64"/>
      <c r="L1" s="64"/>
      <c r="M1" s="64"/>
      <c r="N1" s="64"/>
      <c r="O1" s="64"/>
      <c r="P1" s="64"/>
      <c r="Q1" s="64"/>
      <c r="R1" s="64"/>
      <c r="S1" s="64"/>
      <c r="T1" s="64"/>
      <c r="U1" s="64"/>
      <c r="V1" s="64"/>
      <c r="W1" s="64"/>
      <c r="X1" s="64"/>
      <c r="Y1" s="64"/>
      <c r="Z1" s="64"/>
    </row>
    <row r="2" ht="12.75" customHeight="1">
      <c r="A2" s="110" t="s">
        <v>5</v>
      </c>
      <c r="B2" s="62" t="str">
        <f t="array" ref="B2">IFERROR(INDEX(Sessions!$C$2:$C$173,MATCH($B$1,Sessions!$B$2:$B$173,0))&amp;"","")</f>
        <v/>
      </c>
      <c r="C2" s="64"/>
      <c r="D2" s="64"/>
      <c r="E2" s="64"/>
      <c r="F2" s="63"/>
      <c r="G2" s="63"/>
      <c r="H2" s="64"/>
      <c r="I2" s="64"/>
      <c r="J2" s="64"/>
      <c r="K2" s="64"/>
      <c r="L2" s="64"/>
      <c r="M2" s="64"/>
      <c r="N2" s="64"/>
      <c r="O2" s="64"/>
      <c r="P2" s="64"/>
      <c r="Q2" s="64"/>
      <c r="R2" s="64"/>
      <c r="S2" s="64"/>
      <c r="T2" s="64"/>
      <c r="U2" s="64"/>
      <c r="V2" s="64"/>
      <c r="W2" s="64"/>
      <c r="X2" s="64"/>
      <c r="Y2" s="64"/>
      <c r="Z2" s="64"/>
    </row>
    <row r="3" ht="12.75" customHeight="1">
      <c r="A3" s="112" t="s">
        <v>704</v>
      </c>
      <c r="B3" s="86" t="str">
        <f>IF(LEFT($B$1,2)="T1",Schedule!$A$4&amp;", "&amp;Schedule!$A$10,IF(LEFT($B$1,2)="T2",Schedule!$A$4&amp;", "&amp;Schedule!$A$12,IF(LEFT($B$1,2)="T3",Schedule!$A$4&amp;", "&amp;#REF!,IF(LEFT($B$1,2)="T4",Schedule!$A$16&amp;", "&amp;Schedule!$A$18,IF($B$1="Keynote 1",Schedule!$A$4&amp;", "&amp;Schedule!$A$8,IF($B$1="Keynote 2",Schedule!$A$4&amp;", "&amp;Schedule!$A$13,IF($B$1="Keynote 3",Schedule!$A$16&amp;", "&amp;Schedule!$A$19,IF($B$1="IEEE Workshop",Schedule!$A$16&amp;", "&amp;#REF!,""))))))))</f>
        <v>Day 1, 14:30-16:30</v>
      </c>
      <c r="C3" s="80"/>
      <c r="D3" s="80"/>
      <c r="E3" s="64"/>
      <c r="F3" s="63"/>
      <c r="G3" s="63"/>
      <c r="H3" s="64"/>
      <c r="I3" s="64"/>
      <c r="J3" s="64"/>
      <c r="K3" s="64"/>
      <c r="L3" s="64"/>
      <c r="M3" s="64"/>
      <c r="N3" s="64"/>
      <c r="O3" s="64"/>
      <c r="P3" s="64"/>
      <c r="Q3" s="64"/>
      <c r="R3" s="64"/>
      <c r="S3" s="64"/>
      <c r="T3" s="64"/>
      <c r="U3" s="64"/>
      <c r="V3" s="64"/>
      <c r="W3" s="64"/>
      <c r="X3" s="64"/>
      <c r="Y3" s="64"/>
      <c r="Z3" s="64"/>
    </row>
    <row r="4" ht="12.75" customHeight="1">
      <c r="A4" s="112" t="s">
        <v>11</v>
      </c>
      <c r="B4" s="115" t="s">
        <v>741</v>
      </c>
      <c r="C4" s="80"/>
      <c r="D4" s="80"/>
      <c r="E4" s="64"/>
      <c r="F4" s="63"/>
      <c r="G4" s="63"/>
      <c r="H4" s="64"/>
      <c r="I4" s="64"/>
      <c r="J4" s="64"/>
      <c r="K4" s="64"/>
      <c r="L4" s="64"/>
      <c r="M4" s="64"/>
      <c r="N4" s="64"/>
      <c r="O4" s="64"/>
      <c r="P4" s="64"/>
      <c r="Q4" s="64"/>
      <c r="R4" s="64"/>
      <c r="S4" s="64"/>
      <c r="T4" s="64"/>
      <c r="U4" s="64"/>
      <c r="V4" s="64"/>
      <c r="W4" s="64"/>
      <c r="X4" s="64"/>
      <c r="Y4" s="64"/>
      <c r="Z4" s="64"/>
    </row>
    <row r="5" ht="12.75" customHeight="1">
      <c r="A5" s="112" t="s">
        <v>707</v>
      </c>
      <c r="B5" s="86" t="str">
        <f t="array" ref="B5">IFERROR(INDEX(Chairs!$J$2:$J$359,MATCH(1,INDEX((Chairs!$K$2:$K$359=$B$1)*(Chairs!$N$2:$N$359=1),0),0)),"")</f>
        <v/>
      </c>
      <c r="C5" s="86" t="str">
        <f t="array" ref="C5">IFERROR(INDEX(Chairs!$L$2:$L$359,MATCH(1,INDEX((Chairs!$K$2:$K$359=$B$1)*(Chairs!$N$2:$N$359=1),0),0))&amp;"","")</f>
        <v/>
      </c>
      <c r="D5" s="86" t="str">
        <f t="array" ref="D5">IFERROR(INDEX(Chairs!$M$2:$M$359,MATCH(1,INDEX((Chairs!$K$2:$K$359=$B$1)*(Chairs!$N$2:$N$359=1),0),0))&amp;"","")</f>
        <v/>
      </c>
      <c r="E5" s="64"/>
      <c r="F5" s="63"/>
      <c r="G5" s="63"/>
      <c r="H5" s="64"/>
      <c r="I5" s="64"/>
      <c r="J5" s="64"/>
      <c r="K5" s="64"/>
      <c r="L5" s="64"/>
      <c r="M5" s="64"/>
      <c r="N5" s="64"/>
      <c r="O5" s="64"/>
      <c r="P5" s="64"/>
      <c r="Q5" s="64"/>
      <c r="R5" s="64"/>
      <c r="S5" s="64"/>
      <c r="T5" s="64"/>
      <c r="U5" s="64"/>
      <c r="V5" s="64"/>
      <c r="W5" s="64"/>
      <c r="X5" s="64"/>
      <c r="Y5" s="64"/>
      <c r="Z5" s="64"/>
    </row>
    <row r="6" ht="12.75" customHeight="1">
      <c r="A6" s="112" t="s">
        <v>709</v>
      </c>
      <c r="B6" s="86" t="str">
        <f t="array" ref="B6">IFERROR(INDEX('Senior Faculty'!$J$2:$J$401,MATCH(1,INDEX(('Senior Faculty'!$K$2:$K$401=$B$1)*('Senior Faculty'!$N$2:$N$401=1),0),0)),"")</f>
        <v/>
      </c>
      <c r="C6" s="86" t="str">
        <f t="array" ref="C6">IFERROR(INDEX('Senior Faculty'!$L$2:$L$401,MATCH(1,INDEX(('Senior Faculty'!$K$2:$K$401=$B$1)*('Senior Faculty'!$N$2:$N$401=1),0),0))&amp;"","")</f>
        <v/>
      </c>
      <c r="D6" s="86" t="str">
        <f t="array" ref="D6">IFERROR(INDEX('Senior Faculty'!$M$2:$M$401,MATCH(1,INDEX(('Senior Faculty'!$K$2:$K$401=$B$1)*('Senior Faculty'!$N$2:$N$401=1),0),0))&amp;"","")</f>
        <v/>
      </c>
      <c r="E6" s="64"/>
      <c r="F6" s="63"/>
      <c r="G6" s="63"/>
      <c r="H6" s="64"/>
      <c r="I6" s="64"/>
      <c r="J6" s="64"/>
      <c r="K6" s="64"/>
      <c r="L6" s="64"/>
      <c r="M6" s="64"/>
      <c r="N6" s="64"/>
      <c r="O6" s="64"/>
      <c r="P6" s="64"/>
      <c r="Q6" s="64"/>
      <c r="R6" s="64"/>
      <c r="S6" s="64"/>
      <c r="T6" s="64"/>
      <c r="U6" s="64"/>
      <c r="V6" s="64"/>
      <c r="W6" s="64"/>
      <c r="X6" s="64"/>
      <c r="Y6" s="64"/>
      <c r="Z6" s="64"/>
    </row>
    <row r="7" ht="12.75" customHeight="1">
      <c r="A7" s="112" t="s">
        <v>713</v>
      </c>
      <c r="B7" s="86" t="str">
        <f t="array" ref="B7">IFERROR(INDEX('Junior Faculty'!$J$2:$J$401,MATCH(1,INDEX(('Junior Faculty'!$K$2:$K$401=$B$1)*('Junior Faculty'!$N$2:$N$401=1),0),0)),"")</f>
        <v/>
      </c>
      <c r="C7" s="86" t="str">
        <f t="array" ref="C7">IFERROR(INDEX('Junior Faculty'!$L$2:$L$401,MATCH(1,INDEX(('Junior Faculty'!$K$2:$K$401=$B$1)*('Junior Faculty'!$N$2:$N$401=1),0),0))&amp;"","")</f>
        <v/>
      </c>
      <c r="D7" s="86" t="str">
        <f t="array" ref="D7">IFERROR(INDEX('Junior Faculty'!$M$2:$M$401,MATCH(1,INDEX(('Junior Faculty'!$K$2:$K$401=$B$1)*('Junior Faculty'!$N$2:$N$401=1),0),0))&amp;"","")</f>
        <v/>
      </c>
      <c r="E7" s="64"/>
      <c r="F7" s="63"/>
      <c r="G7" s="63"/>
      <c r="H7" s="64"/>
      <c r="I7" s="64"/>
      <c r="J7" s="64"/>
      <c r="K7" s="64"/>
      <c r="L7" s="64"/>
      <c r="M7" s="64"/>
      <c r="N7" s="64"/>
      <c r="O7" s="64"/>
      <c r="P7" s="64"/>
      <c r="Q7" s="64"/>
      <c r="R7" s="64"/>
      <c r="S7" s="64"/>
      <c r="T7" s="64"/>
      <c r="U7" s="64"/>
      <c r="V7" s="64"/>
      <c r="W7" s="64"/>
      <c r="X7" s="64"/>
      <c r="Y7" s="64"/>
      <c r="Z7" s="64"/>
    </row>
    <row r="8" ht="12.75" customHeight="1">
      <c r="A8" s="119" t="s">
        <v>714</v>
      </c>
      <c r="B8" s="95" t="str">
        <f t="array" ref="B8">IFERROR(INDEX('Junior Faculty'!$J$2:$J$401,MATCH(1,INDEX(('Junior Faculty'!$K$2:$K$401=$B$1)*('Junior Faculty'!$N$2:$N$401=2),0),0)),"")</f>
        <v/>
      </c>
      <c r="C8" s="95" t="str">
        <f t="array" ref="C8">IFERROR(INDEX('Junior Faculty'!$L$2:$L$401,MATCH(1,INDEX(('Junior Faculty'!$K$2:$K$401=$B$1)*('Junior Faculty'!$N$2:$N$401=2),0),0))&amp;"","")</f>
        <v/>
      </c>
      <c r="D8" s="95" t="str">
        <f t="array" ref="D8">IFERROR(INDEX('Junior Faculty'!$M$2:$M$401,MATCH(1,INDEX(('Junior Faculty'!$K$2:$K$401=$B$1)*('Junior Faculty'!$N$2:$N$401=2),0),0))&amp;"","")</f>
        <v/>
      </c>
      <c r="E8" s="64"/>
      <c r="F8" s="63"/>
      <c r="G8" s="63"/>
      <c r="H8" s="64"/>
      <c r="I8" s="64"/>
      <c r="J8" s="64"/>
      <c r="K8" s="64"/>
      <c r="L8" s="64"/>
      <c r="M8" s="64"/>
      <c r="N8" s="64"/>
      <c r="O8" s="64"/>
      <c r="P8" s="64"/>
      <c r="Q8" s="64"/>
      <c r="R8" s="64"/>
      <c r="S8" s="64"/>
      <c r="T8" s="64"/>
      <c r="U8" s="64"/>
      <c r="V8" s="64"/>
      <c r="W8" s="64"/>
      <c r="X8" s="64"/>
      <c r="Y8" s="64"/>
      <c r="Z8" s="64"/>
    </row>
    <row r="9" ht="12.75" customHeight="1">
      <c r="A9" s="108"/>
      <c r="B9" s="64"/>
      <c r="C9" s="64"/>
      <c r="D9" s="64"/>
      <c r="E9" s="64"/>
      <c r="F9" s="63"/>
      <c r="G9" s="63"/>
      <c r="H9" s="64"/>
      <c r="I9" s="64"/>
      <c r="J9" s="64"/>
      <c r="K9" s="64"/>
      <c r="L9" s="64"/>
      <c r="M9" s="64"/>
      <c r="N9" s="64"/>
      <c r="O9" s="64"/>
      <c r="P9" s="64"/>
      <c r="Q9" s="64"/>
      <c r="R9" s="64"/>
      <c r="S9" s="64"/>
      <c r="T9" s="64"/>
      <c r="U9" s="64"/>
      <c r="V9" s="64"/>
      <c r="W9" s="64"/>
      <c r="X9" s="64"/>
      <c r="Y9" s="64"/>
      <c r="Z9" s="64"/>
    </row>
    <row r="10" ht="12.75" customHeight="1">
      <c r="A10" s="121" t="s">
        <v>727</v>
      </c>
      <c r="B10" s="86"/>
      <c r="C10" s="86"/>
      <c r="D10" s="86"/>
      <c r="E10" s="64"/>
      <c r="F10" s="63"/>
      <c r="G10" s="63"/>
      <c r="H10" s="64"/>
      <c r="I10" s="64"/>
      <c r="J10" s="64"/>
      <c r="K10" s="64"/>
      <c r="L10" s="64"/>
      <c r="M10" s="64"/>
      <c r="N10" s="64"/>
      <c r="O10" s="64"/>
      <c r="P10" s="64"/>
      <c r="Q10" s="64"/>
      <c r="R10" s="64"/>
      <c r="S10" s="64"/>
      <c r="T10" s="64"/>
      <c r="U10" s="64"/>
      <c r="V10" s="64"/>
      <c r="W10" s="64"/>
      <c r="X10" s="64"/>
      <c r="Y10" s="64"/>
      <c r="Z10" s="64"/>
    </row>
    <row r="11" ht="15.0" customHeight="1">
      <c r="A11" s="122" t="s">
        <v>174</v>
      </c>
      <c r="B11" s="122" t="s">
        <v>256</v>
      </c>
      <c r="C11" s="123" t="s">
        <v>257</v>
      </c>
      <c r="D11" s="124"/>
      <c r="E11" s="61" t="s">
        <v>258</v>
      </c>
      <c r="F11" s="60" t="s">
        <v>265</v>
      </c>
      <c r="G11" s="64"/>
      <c r="H11" s="64"/>
      <c r="I11" s="64"/>
      <c r="J11" s="64"/>
      <c r="K11" s="64"/>
      <c r="L11" s="64"/>
      <c r="M11" s="64"/>
      <c r="N11" s="64"/>
      <c r="O11" s="64"/>
      <c r="P11" s="64"/>
      <c r="Q11" s="64"/>
      <c r="R11" s="64"/>
      <c r="S11" s="64"/>
      <c r="T11" s="64"/>
      <c r="U11" s="64"/>
      <c r="V11" s="64"/>
      <c r="W11" s="64"/>
      <c r="X11" s="64"/>
      <c r="Y11" s="64"/>
      <c r="Z11" s="64"/>
    </row>
    <row r="12" ht="12.75" customHeight="1">
      <c r="A12" s="113" t="str">
        <f t="array" ref="A12">IFERROR(INDEX(Papers!$A$2:$A$201,MATCH(1,INDEX((Papers!$G$2:$G$201=$B$1)*(Papers!$I$2:$I$201=1),0),0)),"")</f>
        <v/>
      </c>
      <c r="B12" s="113" t="str">
        <f t="array" ref="B12">IFERROR(INDEX(Papers!$C$2:$C$201,MATCH(1,INDEX((Papers!$G$2:$G$201=$B$1)*(Papers!$I$2:$I$201=1),0),0)),"")</f>
        <v/>
      </c>
      <c r="C12" s="113" t="str">
        <f t="array" ref="C12">IFERROR(INDEX(Papers!$D$2:$D$201,MATCH(1,INDEX((Papers!$G$2:$G$201=$B$1)*(Papers!$I$2:$I$201=1),0),0)),"")</f>
        <v/>
      </c>
      <c r="D12" s="125"/>
      <c r="E12" s="86" t="str">
        <f t="array" ref="E12">IFERROR(INDEX(Papers!$E$2:$E$201,MATCH(1,INDEX((Papers!$G$2:$G$201=$B$1)*(Papers!$I$2:$I$201=1),0),0)),"")</f>
        <v/>
      </c>
      <c r="F12" s="67"/>
      <c r="G12" s="64"/>
      <c r="H12" s="64"/>
      <c r="I12" s="64"/>
      <c r="J12" s="64"/>
      <c r="K12" s="64"/>
      <c r="L12" s="64"/>
      <c r="M12" s="64"/>
      <c r="N12" s="64"/>
      <c r="O12" s="64"/>
      <c r="P12" s="64"/>
      <c r="Q12" s="64"/>
      <c r="R12" s="64"/>
      <c r="S12" s="64"/>
      <c r="T12" s="64"/>
      <c r="U12" s="64"/>
      <c r="V12" s="64"/>
      <c r="W12" s="64"/>
      <c r="X12" s="64"/>
      <c r="Y12" s="64"/>
      <c r="Z12" s="64"/>
    </row>
    <row r="13" ht="12.75" customHeight="1">
      <c r="A13" s="113" t="str">
        <f t="array" ref="A13">IFERROR(INDEX(Papers!$A$2:$A$201,MATCH(1,INDEX((Papers!$G$2:$G$201=$B$1)*(Papers!$I$2:$I$201=2),0),0)),"")</f>
        <v/>
      </c>
      <c r="B13" s="113" t="str">
        <f t="array" ref="B13">IFERROR(INDEX(Papers!$C$2:$C$201,MATCH(1,INDEX((Papers!$G$2:$G$201=$B$1)*(Papers!$I$2:$I$201=2),0),0)),"")</f>
        <v/>
      </c>
      <c r="C13" s="113" t="str">
        <f t="array" ref="C13">IFERROR(INDEX(Papers!$D$2:$D$201,MATCH(1,INDEX((Papers!$G$2:$G$201=$B$1)*(Papers!$I$2:$I$201=2),0),0)),"")</f>
        <v/>
      </c>
      <c r="D13" s="125"/>
      <c r="E13" s="86" t="str">
        <f t="array" ref="E13">IFERROR(INDEX(Papers!$E$2:$E$201,MATCH(1,INDEX((Papers!$G$2:$G$201=$B$1)*(Papers!$I$2:$I$201=2),0),0)),"")</f>
        <v/>
      </c>
      <c r="F13" s="67"/>
      <c r="G13" s="64"/>
      <c r="H13" s="64"/>
      <c r="I13" s="64"/>
      <c r="J13" s="64"/>
      <c r="K13" s="64"/>
      <c r="L13" s="64"/>
      <c r="M13" s="64"/>
      <c r="N13" s="64"/>
      <c r="O13" s="64"/>
      <c r="P13" s="64"/>
      <c r="Q13" s="64"/>
      <c r="R13" s="64"/>
      <c r="S13" s="64"/>
      <c r="T13" s="64"/>
      <c r="U13" s="64"/>
      <c r="V13" s="64"/>
      <c r="W13" s="64"/>
      <c r="X13" s="64"/>
      <c r="Y13" s="64"/>
      <c r="Z13" s="64"/>
    </row>
    <row r="14" ht="12.75" customHeight="1">
      <c r="A14" s="113" t="str">
        <f t="array" ref="A14">IFERROR(INDEX(Papers!$A$2:$A$201,MATCH(1,INDEX((Papers!$G$2:$G$201=$B$1)*(Papers!$I$2:$I$201=3),0),0)),"")</f>
        <v/>
      </c>
      <c r="B14" s="113" t="str">
        <f t="array" ref="B14">IFERROR(INDEX(Papers!$C$2:$C$201,MATCH(1,INDEX((Papers!$G$2:$G$201=$B$1)*(Papers!$I$2:$I$201=3),0),0)),"")</f>
        <v/>
      </c>
      <c r="C14" s="113" t="str">
        <f t="array" ref="C14">IFERROR(INDEX(Papers!$D$2:$D$201,MATCH(1,INDEX((Papers!$G$2:$G$201=$B$1)*(Papers!$I$2:$I$201=3),0),0)),"")</f>
        <v/>
      </c>
      <c r="D14" s="125"/>
      <c r="E14" s="86" t="str">
        <f t="array" ref="E14">IFERROR(INDEX(Papers!$E$2:$E$201,MATCH(1,INDEX((Papers!$G$2:$G$201=$B$1)*(Papers!$I$2:$I$201=3),0),0)),"")</f>
        <v/>
      </c>
      <c r="F14" s="67"/>
      <c r="G14" s="64"/>
      <c r="H14" s="64"/>
      <c r="I14" s="64"/>
      <c r="J14" s="64"/>
      <c r="K14" s="64"/>
      <c r="L14" s="64"/>
      <c r="M14" s="64"/>
      <c r="N14" s="64"/>
      <c r="O14" s="64"/>
      <c r="P14" s="64"/>
      <c r="Q14" s="64"/>
      <c r="R14" s="64"/>
      <c r="S14" s="64"/>
      <c r="T14" s="64"/>
      <c r="U14" s="64"/>
      <c r="V14" s="64"/>
      <c r="W14" s="64"/>
      <c r="X14" s="64"/>
      <c r="Y14" s="64"/>
      <c r="Z14" s="64"/>
    </row>
    <row r="15" ht="12.75" customHeight="1">
      <c r="A15" s="113" t="str">
        <f t="array" ref="A15">IFERROR(INDEX(Papers!$A$2:$A$201,MATCH(1,INDEX((Papers!$G$2:$G$201=$B$1)*(Papers!$I$2:$I$201=4),0),0)),"")</f>
        <v/>
      </c>
      <c r="B15" s="113" t="str">
        <f t="array" ref="B15">IFERROR(INDEX(Papers!$C$2:$C$201,MATCH(1,INDEX((Papers!$G$2:$G$201=$B$1)*(Papers!$I$2:$I$201=4),0),0)),"")</f>
        <v/>
      </c>
      <c r="C15" s="113" t="str">
        <f t="array" ref="C15">IFERROR(INDEX(Papers!$D$2:$D$201,MATCH(1,INDEX((Papers!$G$2:$G$201=$B$1)*(Papers!$I$2:$I$201=4),0),0)),"")</f>
        <v/>
      </c>
      <c r="D15" s="125"/>
      <c r="E15" s="86" t="str">
        <f t="array" ref="E15">IFERROR(INDEX(Papers!$E$2:$E$201,MATCH(1,INDEX((Papers!$G$2:$G$201=$B$1)*(Papers!$I$2:$I$201=4),0),0)),"")</f>
        <v/>
      </c>
      <c r="F15" s="67"/>
      <c r="G15" s="64"/>
      <c r="H15" s="64"/>
      <c r="I15" s="64"/>
      <c r="J15" s="64"/>
      <c r="K15" s="64"/>
      <c r="L15" s="64"/>
      <c r="M15" s="64"/>
      <c r="N15" s="64"/>
      <c r="O15" s="64"/>
      <c r="P15" s="64"/>
      <c r="Q15" s="64"/>
      <c r="R15" s="64"/>
      <c r="S15" s="64"/>
      <c r="T15" s="64"/>
      <c r="U15" s="64"/>
      <c r="V15" s="64"/>
      <c r="W15" s="64"/>
      <c r="X15" s="64"/>
      <c r="Y15" s="64"/>
      <c r="Z15" s="64"/>
    </row>
    <row r="16" ht="12.75" customHeight="1">
      <c r="A16" s="113" t="str">
        <f t="array" ref="A16">IFERROR(INDEX(Papers!$A$2:$A$201,MATCH(1,INDEX((Papers!$G$2:$G$201=$B$1)*(Papers!$I$2:$I$201=5),0),0)),"")</f>
        <v/>
      </c>
      <c r="B16" s="113" t="str">
        <f t="array" ref="B16">IFERROR(INDEX(Papers!$C$2:$C$201,MATCH(1,INDEX((Papers!$G$2:$G$201=$B$1)*(Papers!$I$2:$I$201=5),0),0)),"")</f>
        <v/>
      </c>
      <c r="C16" s="113" t="str">
        <f t="array" ref="C16">IFERROR(INDEX(Papers!$D$2:$D$201,MATCH(1,INDEX((Papers!$G$2:$G$201=$B$1)*(Papers!$I$2:$I$201=5),0),0)),"")</f>
        <v/>
      </c>
      <c r="D16" s="125"/>
      <c r="E16" s="86" t="str">
        <f t="array" ref="E16">IFERROR(INDEX(Papers!$E$2:$E$201,MATCH(1,INDEX((Papers!$G$2:$G$201=$B$1)*(Papers!$I$2:$I$201=5),0),0)),"")</f>
        <v/>
      </c>
      <c r="F16" s="67"/>
      <c r="G16" s="64"/>
      <c r="H16" s="64"/>
      <c r="I16" s="64"/>
      <c r="J16" s="64"/>
      <c r="K16" s="64"/>
      <c r="L16" s="64"/>
      <c r="M16" s="64"/>
      <c r="N16" s="64"/>
      <c r="O16" s="64"/>
      <c r="P16" s="64"/>
      <c r="Q16" s="64"/>
      <c r="R16" s="64"/>
      <c r="S16" s="64"/>
      <c r="T16" s="64"/>
      <c r="U16" s="64"/>
      <c r="V16" s="64"/>
      <c r="W16" s="64"/>
      <c r="X16" s="64"/>
      <c r="Y16" s="64"/>
      <c r="Z16" s="64"/>
    </row>
    <row r="17" ht="12.75" customHeight="1">
      <c r="A17" s="113" t="str">
        <f t="array" ref="A17">IFERROR(INDEX(Papers!$A$2:$A$201,MATCH(1,INDEX((Papers!$G$2:$G$201=$B$1)*(Papers!$I$2:$I$201=6),0),0)),"")</f>
        <v/>
      </c>
      <c r="B17" s="113" t="str">
        <f t="array" ref="B17">IFERROR(INDEX(Papers!$C$2:$C$201,MATCH(1,INDEX((Papers!$G$2:$G$201=$B$1)*(Papers!$I$2:$I$201=6),0),0)),"")</f>
        <v/>
      </c>
      <c r="C17" s="113" t="str">
        <f t="array" ref="C17">IFERROR(INDEX(Papers!$D$2:$D$201,MATCH(1,INDEX((Papers!$G$2:$G$201=$B$1)*(Papers!$I$2:$I$201=6),0),0)),"")</f>
        <v/>
      </c>
      <c r="D17" s="125"/>
      <c r="E17" s="86" t="str">
        <f t="array" ref="E17">IFERROR(INDEX(Papers!$E$2:$E$201,MATCH(1,INDEX((Papers!$G$2:$G$201=$B$1)*(Papers!$I$2:$I$201=6),0),0)),"")</f>
        <v/>
      </c>
      <c r="F17" s="67"/>
      <c r="G17" s="64"/>
      <c r="H17" s="64"/>
      <c r="I17" s="64"/>
      <c r="J17" s="64"/>
      <c r="K17" s="64"/>
      <c r="L17" s="64"/>
      <c r="M17" s="64"/>
      <c r="N17" s="64"/>
      <c r="O17" s="64"/>
      <c r="P17" s="64"/>
      <c r="Q17" s="64"/>
      <c r="R17" s="64"/>
      <c r="S17" s="64"/>
      <c r="T17" s="64"/>
      <c r="U17" s="64"/>
      <c r="V17" s="64"/>
      <c r="W17" s="64"/>
      <c r="X17" s="64"/>
      <c r="Y17" s="64"/>
      <c r="Z17" s="64"/>
    </row>
    <row r="18" ht="12.75" customHeight="1">
      <c r="A18" s="113" t="str">
        <f t="array" ref="A18">IFERROR(INDEX(Papers!$A$2:$A$201,MATCH(1,INDEX((Papers!$G$2:$G$201=$B$1)*(Papers!$I$2:$I$201=7),0),0)),"")</f>
        <v/>
      </c>
      <c r="B18" s="113" t="str">
        <f t="array" ref="B18">IFERROR(INDEX(Papers!$C$2:$C$201,MATCH(1,INDEX((Papers!$G$2:$G$201=$B$1)*(Papers!$I$2:$I$201=7),0),0)),"")</f>
        <v/>
      </c>
      <c r="C18" s="113" t="str">
        <f t="array" ref="C18">IFERROR(INDEX(Papers!$D$2:$D$201,MATCH(1,INDEX((Papers!$G$2:$G$201=$B$1)*(Papers!$I$2:$I$201=7),0),0)),"")</f>
        <v/>
      </c>
      <c r="D18" s="125"/>
      <c r="E18" s="86" t="str">
        <f t="array" ref="E18">IFERROR(INDEX(Papers!$E$2:$E$201,MATCH(1,INDEX((Papers!$G$2:$G$201=$B$1)*(Papers!$I$2:$I$201=7),0),0)),"")</f>
        <v/>
      </c>
      <c r="F18" s="67"/>
      <c r="G18" s="64"/>
      <c r="H18" s="64"/>
      <c r="I18" s="64"/>
      <c r="J18" s="64"/>
      <c r="K18" s="64"/>
      <c r="L18" s="64"/>
      <c r="M18" s="64"/>
      <c r="N18" s="64"/>
      <c r="O18" s="64"/>
      <c r="P18" s="64"/>
      <c r="Q18" s="64"/>
      <c r="R18" s="64"/>
      <c r="S18" s="64"/>
      <c r="T18" s="64"/>
      <c r="U18" s="64"/>
      <c r="V18" s="64"/>
      <c r="W18" s="64"/>
      <c r="X18" s="64"/>
      <c r="Y18" s="64"/>
      <c r="Z18" s="64"/>
    </row>
    <row r="19" ht="12.75" customHeight="1">
      <c r="A19" s="113" t="str">
        <f t="array" ref="A19">IFERROR(INDEX(Papers!$A$2:$A$201,MATCH(1,INDEX((Papers!$G$2:$G$201=$B$1)*(Papers!$I$2:$I$201=8),0),0)),"")</f>
        <v/>
      </c>
      <c r="B19" s="113" t="str">
        <f t="array" ref="B19">IFERROR(INDEX(Papers!$C$2:$C$201,MATCH(1,INDEX((Papers!$G$2:$G$201=$B$1)*(Papers!$I$2:$I$201=8),0),0)),"")</f>
        <v/>
      </c>
      <c r="C19" s="113" t="str">
        <f t="array" ref="C19">IFERROR(INDEX(Papers!$D$2:$D$201,MATCH(1,INDEX((Papers!$G$2:$G$201=$B$1)*(Papers!$I$2:$I$201=8),0),0)),"")</f>
        <v/>
      </c>
      <c r="D19" s="125"/>
      <c r="E19" s="86" t="str">
        <f t="array" ref="E19">IFERROR(INDEX(Papers!$E$2:$E$201,MATCH(1,INDEX((Papers!$G$2:$G$201=$B$1)*(Papers!$I$2:$I$201=8),0),0)),"")</f>
        <v/>
      </c>
      <c r="F19" s="67"/>
      <c r="G19" s="64"/>
      <c r="H19" s="64"/>
      <c r="I19" s="64"/>
      <c r="J19" s="64"/>
      <c r="K19" s="64"/>
      <c r="L19" s="64"/>
      <c r="M19" s="64"/>
      <c r="N19" s="64"/>
      <c r="O19" s="64"/>
      <c r="P19" s="64"/>
      <c r="Q19" s="64"/>
      <c r="R19" s="64"/>
      <c r="S19" s="64"/>
      <c r="T19" s="64"/>
      <c r="U19" s="64"/>
      <c r="V19" s="64"/>
      <c r="W19" s="64"/>
      <c r="X19" s="64"/>
      <c r="Y19" s="64"/>
      <c r="Z19" s="64"/>
    </row>
    <row r="20" ht="12.75" customHeight="1">
      <c r="A20" s="108"/>
      <c r="B20" s="64"/>
      <c r="C20" s="64"/>
      <c r="E20" s="64"/>
      <c r="F20" s="63"/>
      <c r="G20" s="64"/>
      <c r="H20" s="64"/>
      <c r="I20" s="64"/>
      <c r="J20" s="64"/>
      <c r="K20" s="64"/>
      <c r="L20" s="64"/>
      <c r="M20" s="64"/>
      <c r="N20" s="64"/>
      <c r="O20" s="64"/>
      <c r="P20" s="64"/>
      <c r="Q20" s="64"/>
      <c r="R20" s="64"/>
      <c r="S20" s="64"/>
      <c r="T20" s="64"/>
      <c r="U20" s="64"/>
      <c r="V20" s="64"/>
      <c r="W20" s="64"/>
      <c r="X20" s="64"/>
      <c r="Y20" s="64"/>
      <c r="Z20" s="64"/>
    </row>
    <row r="21" ht="12.75" customHeight="1">
      <c r="A21" s="108"/>
      <c r="B21" s="64"/>
      <c r="C21" s="64"/>
      <c r="D21" s="64"/>
      <c r="E21" s="64"/>
      <c r="F21" s="63"/>
      <c r="G21" s="63"/>
      <c r="H21" s="64"/>
      <c r="I21" s="64"/>
      <c r="J21" s="64"/>
      <c r="K21" s="64"/>
      <c r="L21" s="64"/>
      <c r="M21" s="64"/>
      <c r="N21" s="64"/>
      <c r="O21" s="64"/>
      <c r="P21" s="64"/>
      <c r="Q21" s="64"/>
      <c r="R21" s="64"/>
      <c r="S21" s="64"/>
      <c r="T21" s="64"/>
      <c r="U21" s="64"/>
      <c r="V21" s="64"/>
      <c r="W21" s="64"/>
      <c r="X21" s="64"/>
      <c r="Y21" s="64"/>
      <c r="Z21" s="64"/>
    </row>
    <row r="22" ht="12.75" customHeight="1">
      <c r="A22" s="108"/>
      <c r="B22" s="64"/>
      <c r="C22" s="64"/>
      <c r="D22" s="64"/>
      <c r="E22" s="64"/>
      <c r="F22" s="63"/>
      <c r="G22" s="63"/>
      <c r="H22" s="64"/>
      <c r="I22" s="64"/>
      <c r="J22" s="64"/>
      <c r="K22" s="64"/>
      <c r="L22" s="64"/>
      <c r="M22" s="64"/>
      <c r="N22" s="64"/>
      <c r="O22" s="64"/>
      <c r="P22" s="64"/>
      <c r="Q22" s="64"/>
      <c r="R22" s="64"/>
      <c r="S22" s="64"/>
      <c r="T22" s="64"/>
      <c r="U22" s="64"/>
      <c r="V22" s="64"/>
      <c r="W22" s="64"/>
      <c r="X22" s="64"/>
      <c r="Y22" s="64"/>
      <c r="Z22" s="64"/>
    </row>
    <row r="23" ht="12.75" customHeight="1">
      <c r="A23" s="108"/>
      <c r="B23" s="64"/>
      <c r="C23" s="64"/>
      <c r="D23" s="64"/>
      <c r="E23" s="64"/>
      <c r="F23" s="63"/>
      <c r="G23" s="63"/>
      <c r="H23" s="64"/>
      <c r="I23" s="64"/>
      <c r="J23" s="64"/>
      <c r="K23" s="64"/>
      <c r="L23" s="64"/>
      <c r="M23" s="64"/>
      <c r="N23" s="64"/>
      <c r="O23" s="64"/>
      <c r="P23" s="64"/>
      <c r="Q23" s="64"/>
      <c r="R23" s="64"/>
      <c r="S23" s="64"/>
      <c r="T23" s="64"/>
      <c r="U23" s="64"/>
      <c r="V23" s="64"/>
      <c r="W23" s="64"/>
      <c r="X23" s="64"/>
      <c r="Y23" s="64"/>
      <c r="Z23" s="64"/>
    </row>
    <row r="24" ht="12.75" customHeight="1">
      <c r="A24" s="108"/>
      <c r="B24" s="64"/>
      <c r="C24" s="64"/>
      <c r="D24" s="64"/>
      <c r="E24" s="64"/>
      <c r="F24" s="63"/>
      <c r="G24" s="63"/>
      <c r="H24" s="64"/>
      <c r="I24" s="64"/>
      <c r="J24" s="64"/>
      <c r="K24" s="64"/>
      <c r="L24" s="64"/>
      <c r="M24" s="64"/>
      <c r="N24" s="64"/>
      <c r="O24" s="64"/>
      <c r="P24" s="64"/>
      <c r="Q24" s="64"/>
      <c r="R24" s="64"/>
      <c r="S24" s="64"/>
      <c r="T24" s="64"/>
      <c r="U24" s="64"/>
      <c r="V24" s="64"/>
      <c r="W24" s="64"/>
      <c r="X24" s="64"/>
      <c r="Y24" s="64"/>
      <c r="Z24" s="64"/>
    </row>
    <row r="25" ht="12.75" customHeight="1">
      <c r="A25" s="108"/>
      <c r="B25" s="64"/>
      <c r="C25" s="64"/>
      <c r="D25" s="64"/>
      <c r="E25" s="64"/>
      <c r="F25" s="63"/>
      <c r="G25" s="63"/>
      <c r="H25" s="64"/>
      <c r="I25" s="64"/>
      <c r="J25" s="64"/>
      <c r="K25" s="64"/>
      <c r="L25" s="64"/>
      <c r="M25" s="64"/>
      <c r="N25" s="64"/>
      <c r="O25" s="64"/>
      <c r="P25" s="64"/>
      <c r="Q25" s="64"/>
      <c r="R25" s="64"/>
      <c r="S25" s="64"/>
      <c r="T25" s="64"/>
      <c r="U25" s="64"/>
      <c r="V25" s="64"/>
      <c r="W25" s="64"/>
      <c r="X25" s="64"/>
      <c r="Y25" s="64"/>
      <c r="Z25" s="64"/>
    </row>
    <row r="26" ht="12.75" customHeight="1">
      <c r="A26" s="108"/>
      <c r="B26" s="64"/>
      <c r="C26" s="64"/>
      <c r="D26" s="64"/>
      <c r="E26" s="64"/>
      <c r="F26" s="63"/>
      <c r="G26" s="63"/>
      <c r="H26" s="64"/>
      <c r="I26" s="64"/>
      <c r="J26" s="64"/>
      <c r="K26" s="64"/>
      <c r="L26" s="64"/>
      <c r="M26" s="64"/>
      <c r="N26" s="64"/>
      <c r="O26" s="64"/>
      <c r="P26" s="64"/>
      <c r="Q26" s="64"/>
      <c r="R26" s="64"/>
      <c r="S26" s="64"/>
      <c r="T26" s="64"/>
      <c r="U26" s="64"/>
      <c r="V26" s="64"/>
      <c r="W26" s="64"/>
      <c r="X26" s="64"/>
      <c r="Y26" s="64"/>
      <c r="Z26" s="64"/>
    </row>
    <row r="27" ht="12.75" customHeight="1">
      <c r="A27" s="108"/>
      <c r="B27" s="64"/>
      <c r="C27" s="64"/>
      <c r="D27" s="64"/>
      <c r="E27" s="64"/>
      <c r="F27" s="63"/>
      <c r="G27" s="63"/>
      <c r="H27" s="64"/>
      <c r="I27" s="64"/>
      <c r="J27" s="64"/>
      <c r="K27" s="64"/>
      <c r="L27" s="64"/>
      <c r="M27" s="64"/>
      <c r="N27" s="64"/>
      <c r="O27" s="64"/>
      <c r="P27" s="64"/>
      <c r="Q27" s="64"/>
      <c r="R27" s="64"/>
      <c r="S27" s="64"/>
      <c r="T27" s="64"/>
      <c r="U27" s="64"/>
      <c r="V27" s="64"/>
      <c r="W27" s="64"/>
      <c r="X27" s="64"/>
      <c r="Y27" s="64"/>
      <c r="Z27" s="64"/>
    </row>
    <row r="28" ht="12.75" customHeight="1">
      <c r="A28" s="108"/>
      <c r="B28" s="64"/>
      <c r="C28" s="64"/>
      <c r="D28" s="64"/>
      <c r="E28" s="64"/>
      <c r="F28" s="63"/>
      <c r="G28" s="63"/>
      <c r="H28" s="64"/>
      <c r="I28" s="64"/>
      <c r="J28" s="64"/>
      <c r="K28" s="64"/>
      <c r="L28" s="64"/>
      <c r="M28" s="64"/>
      <c r="N28" s="64"/>
      <c r="O28" s="64"/>
      <c r="P28" s="64"/>
      <c r="Q28" s="64"/>
      <c r="R28" s="64"/>
      <c r="S28" s="64"/>
      <c r="T28" s="64"/>
      <c r="U28" s="64"/>
      <c r="V28" s="64"/>
      <c r="W28" s="64"/>
      <c r="X28" s="64"/>
      <c r="Y28" s="64"/>
      <c r="Z28" s="64"/>
    </row>
    <row r="29" ht="12.75" customHeight="1">
      <c r="A29" s="108"/>
      <c r="B29" s="64"/>
      <c r="C29" s="64"/>
      <c r="D29" s="64"/>
      <c r="E29" s="64"/>
      <c r="F29" s="63"/>
      <c r="G29" s="63"/>
      <c r="H29" s="64"/>
      <c r="I29" s="64"/>
      <c r="J29" s="64"/>
      <c r="K29" s="64"/>
      <c r="L29" s="64"/>
      <c r="M29" s="64"/>
      <c r="N29" s="64"/>
      <c r="O29" s="64"/>
      <c r="P29" s="64"/>
      <c r="Q29" s="64"/>
      <c r="R29" s="64"/>
      <c r="S29" s="64"/>
      <c r="T29" s="64"/>
      <c r="U29" s="64"/>
      <c r="V29" s="64"/>
      <c r="W29" s="64"/>
      <c r="X29" s="64"/>
      <c r="Y29" s="64"/>
      <c r="Z29" s="64"/>
    </row>
    <row r="30" ht="12.75" customHeight="1">
      <c r="A30" s="108"/>
      <c r="B30" s="64"/>
      <c r="C30" s="64"/>
      <c r="D30" s="64"/>
      <c r="E30" s="64"/>
      <c r="F30" s="63"/>
      <c r="G30" s="63"/>
      <c r="H30" s="64"/>
      <c r="I30" s="64"/>
      <c r="J30" s="64"/>
      <c r="K30" s="64"/>
      <c r="L30" s="64"/>
      <c r="M30" s="64"/>
      <c r="N30" s="64"/>
      <c r="O30" s="64"/>
      <c r="P30" s="64"/>
      <c r="Q30" s="64"/>
      <c r="R30" s="64"/>
      <c r="S30" s="64"/>
      <c r="T30" s="64"/>
      <c r="U30" s="64"/>
      <c r="V30" s="64"/>
      <c r="W30" s="64"/>
      <c r="X30" s="64"/>
      <c r="Y30" s="64"/>
      <c r="Z30" s="64"/>
    </row>
    <row r="31" ht="12.75" customHeight="1">
      <c r="A31" s="108"/>
      <c r="B31" s="64"/>
      <c r="C31" s="64"/>
      <c r="D31" s="64"/>
      <c r="E31" s="64"/>
      <c r="F31" s="63"/>
      <c r="G31" s="63"/>
      <c r="H31" s="64"/>
      <c r="I31" s="64"/>
      <c r="J31" s="64"/>
      <c r="K31" s="64"/>
      <c r="L31" s="64"/>
      <c r="M31" s="64"/>
      <c r="N31" s="64"/>
      <c r="O31" s="64"/>
      <c r="P31" s="64"/>
      <c r="Q31" s="64"/>
      <c r="R31" s="64"/>
      <c r="S31" s="64"/>
      <c r="T31" s="64"/>
      <c r="U31" s="64"/>
      <c r="V31" s="64"/>
      <c r="W31" s="64"/>
      <c r="X31" s="64"/>
      <c r="Y31" s="64"/>
      <c r="Z31" s="64"/>
    </row>
    <row r="32" ht="12.75" customHeight="1">
      <c r="A32" s="108"/>
      <c r="B32" s="64"/>
      <c r="C32" s="64"/>
      <c r="D32" s="64"/>
      <c r="E32" s="64"/>
      <c r="F32" s="63"/>
      <c r="G32" s="63"/>
      <c r="H32" s="64"/>
      <c r="I32" s="64"/>
      <c r="J32" s="64"/>
      <c r="K32" s="64"/>
      <c r="L32" s="64"/>
      <c r="M32" s="64"/>
      <c r="N32" s="64"/>
      <c r="O32" s="64"/>
      <c r="P32" s="64"/>
      <c r="Q32" s="64"/>
      <c r="R32" s="64"/>
      <c r="S32" s="64"/>
      <c r="T32" s="64"/>
      <c r="U32" s="64"/>
      <c r="V32" s="64"/>
      <c r="W32" s="64"/>
      <c r="X32" s="64"/>
      <c r="Y32" s="64"/>
      <c r="Z32" s="64"/>
    </row>
    <row r="33" ht="12.75" customHeight="1">
      <c r="A33" s="108"/>
      <c r="B33" s="64"/>
      <c r="C33" s="64"/>
      <c r="D33" s="64"/>
      <c r="E33" s="64"/>
      <c r="F33" s="63"/>
      <c r="G33" s="63"/>
      <c r="H33" s="64"/>
      <c r="I33" s="64"/>
      <c r="J33" s="64"/>
      <c r="K33" s="64"/>
      <c r="L33" s="64"/>
      <c r="M33" s="64"/>
      <c r="N33" s="64"/>
      <c r="O33" s="64"/>
      <c r="P33" s="64"/>
      <c r="Q33" s="64"/>
      <c r="R33" s="64"/>
      <c r="S33" s="64"/>
      <c r="T33" s="64"/>
      <c r="U33" s="64"/>
      <c r="V33" s="64"/>
      <c r="W33" s="64"/>
      <c r="X33" s="64"/>
      <c r="Y33" s="64"/>
      <c r="Z33" s="64"/>
    </row>
    <row r="34" ht="12.75" customHeight="1">
      <c r="A34" s="108"/>
      <c r="B34" s="64"/>
      <c r="C34" s="64"/>
      <c r="D34" s="64"/>
      <c r="E34" s="64"/>
      <c r="F34" s="63"/>
      <c r="G34" s="63"/>
      <c r="H34" s="64"/>
      <c r="I34" s="64"/>
      <c r="J34" s="64"/>
      <c r="K34" s="64"/>
      <c r="L34" s="64"/>
      <c r="M34" s="64"/>
      <c r="N34" s="64"/>
      <c r="O34" s="64"/>
      <c r="P34" s="64"/>
      <c r="Q34" s="64"/>
      <c r="R34" s="64"/>
      <c r="S34" s="64"/>
      <c r="T34" s="64"/>
      <c r="U34" s="64"/>
      <c r="V34" s="64"/>
      <c r="W34" s="64"/>
      <c r="X34" s="64"/>
      <c r="Y34" s="64"/>
      <c r="Z34" s="64"/>
    </row>
    <row r="35" ht="12.75" customHeight="1">
      <c r="A35" s="108"/>
      <c r="B35" s="64"/>
      <c r="C35" s="64"/>
      <c r="D35" s="64"/>
      <c r="E35" s="64"/>
      <c r="F35" s="63"/>
      <c r="G35" s="63"/>
      <c r="H35" s="64"/>
      <c r="I35" s="64"/>
      <c r="J35" s="64"/>
      <c r="K35" s="64"/>
      <c r="L35" s="64"/>
      <c r="M35" s="64"/>
      <c r="N35" s="64"/>
      <c r="O35" s="64"/>
      <c r="P35" s="64"/>
      <c r="Q35" s="64"/>
      <c r="R35" s="64"/>
      <c r="S35" s="64"/>
      <c r="T35" s="64"/>
      <c r="U35" s="64"/>
      <c r="V35" s="64"/>
      <c r="W35" s="64"/>
      <c r="X35" s="64"/>
      <c r="Y35" s="64"/>
      <c r="Z35" s="64"/>
    </row>
    <row r="36" ht="12.75" customHeight="1">
      <c r="A36" s="108"/>
      <c r="B36" s="64"/>
      <c r="C36" s="64"/>
      <c r="D36" s="64"/>
      <c r="E36" s="64"/>
      <c r="F36" s="63"/>
      <c r="G36" s="63"/>
      <c r="H36" s="64"/>
      <c r="I36" s="64"/>
      <c r="J36" s="64"/>
      <c r="K36" s="64"/>
      <c r="L36" s="64"/>
      <c r="M36" s="64"/>
      <c r="N36" s="64"/>
      <c r="O36" s="64"/>
      <c r="P36" s="64"/>
      <c r="Q36" s="64"/>
      <c r="R36" s="64"/>
      <c r="S36" s="64"/>
      <c r="T36" s="64"/>
      <c r="U36" s="64"/>
      <c r="V36" s="64"/>
      <c r="W36" s="64"/>
      <c r="X36" s="64"/>
      <c r="Y36" s="64"/>
      <c r="Z36" s="64"/>
    </row>
    <row r="37" ht="12.75" customHeight="1">
      <c r="A37" s="108"/>
      <c r="B37" s="64"/>
      <c r="C37" s="64"/>
      <c r="D37" s="64"/>
      <c r="E37" s="64"/>
      <c r="F37" s="63"/>
      <c r="G37" s="63"/>
      <c r="H37" s="64"/>
      <c r="I37" s="64"/>
      <c r="J37" s="64"/>
      <c r="K37" s="64"/>
      <c r="L37" s="64"/>
      <c r="M37" s="64"/>
      <c r="N37" s="64"/>
      <c r="O37" s="64"/>
      <c r="P37" s="64"/>
      <c r="Q37" s="64"/>
      <c r="R37" s="64"/>
      <c r="S37" s="64"/>
      <c r="T37" s="64"/>
      <c r="U37" s="64"/>
      <c r="V37" s="64"/>
      <c r="W37" s="64"/>
      <c r="X37" s="64"/>
      <c r="Y37" s="64"/>
      <c r="Z37" s="64"/>
    </row>
    <row r="38" ht="12.75" customHeight="1">
      <c r="A38" s="108"/>
      <c r="B38" s="64"/>
      <c r="C38" s="64"/>
      <c r="D38" s="64"/>
      <c r="E38" s="64"/>
      <c r="F38" s="63"/>
      <c r="G38" s="63"/>
      <c r="H38" s="64"/>
      <c r="I38" s="64"/>
      <c r="J38" s="64"/>
      <c r="K38" s="64"/>
      <c r="L38" s="64"/>
      <c r="M38" s="64"/>
      <c r="N38" s="64"/>
      <c r="O38" s="64"/>
      <c r="P38" s="64"/>
      <c r="Q38" s="64"/>
      <c r="R38" s="64"/>
      <c r="S38" s="64"/>
      <c r="T38" s="64"/>
      <c r="U38" s="64"/>
      <c r="V38" s="64"/>
      <c r="W38" s="64"/>
      <c r="X38" s="64"/>
      <c r="Y38" s="64"/>
      <c r="Z38" s="64"/>
    </row>
    <row r="39" ht="12.75" customHeight="1">
      <c r="A39" s="108"/>
      <c r="B39" s="64"/>
      <c r="C39" s="64"/>
      <c r="D39" s="64"/>
      <c r="E39" s="64"/>
      <c r="F39" s="63"/>
      <c r="G39" s="63"/>
      <c r="H39" s="64"/>
      <c r="I39" s="64"/>
      <c r="J39" s="64"/>
      <c r="K39" s="64"/>
      <c r="L39" s="64"/>
      <c r="M39" s="64"/>
      <c r="N39" s="64"/>
      <c r="O39" s="64"/>
      <c r="P39" s="64"/>
      <c r="Q39" s="64"/>
      <c r="R39" s="64"/>
      <c r="S39" s="64"/>
      <c r="T39" s="64"/>
      <c r="U39" s="64"/>
      <c r="V39" s="64"/>
      <c r="W39" s="64"/>
      <c r="X39" s="64"/>
      <c r="Y39" s="64"/>
      <c r="Z39" s="64"/>
    </row>
    <row r="40" ht="12.75" customHeight="1">
      <c r="A40" s="108"/>
      <c r="B40" s="64"/>
      <c r="C40" s="64"/>
      <c r="D40" s="64"/>
      <c r="E40" s="64"/>
      <c r="F40" s="63"/>
      <c r="G40" s="63"/>
      <c r="H40" s="64"/>
      <c r="I40" s="64"/>
      <c r="J40" s="64"/>
      <c r="K40" s="64"/>
      <c r="L40" s="64"/>
      <c r="M40" s="64"/>
      <c r="N40" s="64"/>
      <c r="O40" s="64"/>
      <c r="P40" s="64"/>
      <c r="Q40" s="64"/>
      <c r="R40" s="64"/>
      <c r="S40" s="64"/>
      <c r="T40" s="64"/>
      <c r="U40" s="64"/>
      <c r="V40" s="64"/>
      <c r="W40" s="64"/>
      <c r="X40" s="64"/>
      <c r="Y40" s="64"/>
      <c r="Z40" s="64"/>
    </row>
    <row r="41" ht="12.75" customHeight="1">
      <c r="A41" s="108"/>
      <c r="B41" s="64"/>
      <c r="C41" s="64"/>
      <c r="D41" s="64"/>
      <c r="E41" s="64"/>
      <c r="F41" s="63"/>
      <c r="G41" s="63"/>
      <c r="H41" s="64"/>
      <c r="I41" s="64"/>
      <c r="J41" s="64"/>
      <c r="K41" s="64"/>
      <c r="L41" s="64"/>
      <c r="M41" s="64"/>
      <c r="N41" s="64"/>
      <c r="O41" s="64"/>
      <c r="P41" s="64"/>
      <c r="Q41" s="64"/>
      <c r="R41" s="64"/>
      <c r="S41" s="64"/>
      <c r="T41" s="64"/>
      <c r="U41" s="64"/>
      <c r="V41" s="64"/>
      <c r="W41" s="64"/>
      <c r="X41" s="64"/>
      <c r="Y41" s="64"/>
      <c r="Z41" s="64"/>
    </row>
    <row r="42" ht="12.75" customHeight="1">
      <c r="A42" s="108"/>
      <c r="B42" s="64"/>
      <c r="C42" s="64"/>
      <c r="D42" s="64"/>
      <c r="E42" s="64"/>
      <c r="F42" s="63"/>
      <c r="G42" s="63"/>
      <c r="H42" s="64"/>
      <c r="I42" s="64"/>
      <c r="J42" s="64"/>
      <c r="K42" s="64"/>
      <c r="L42" s="64"/>
      <c r="M42" s="64"/>
      <c r="N42" s="64"/>
      <c r="O42" s="64"/>
      <c r="P42" s="64"/>
      <c r="Q42" s="64"/>
      <c r="R42" s="64"/>
      <c r="S42" s="64"/>
      <c r="T42" s="64"/>
      <c r="U42" s="64"/>
      <c r="V42" s="64"/>
      <c r="W42" s="64"/>
      <c r="X42" s="64"/>
      <c r="Y42" s="64"/>
      <c r="Z42" s="64"/>
    </row>
    <row r="43" ht="12.75" customHeight="1">
      <c r="A43" s="108"/>
      <c r="B43" s="64"/>
      <c r="C43" s="64"/>
      <c r="D43" s="64"/>
      <c r="E43" s="64"/>
      <c r="F43" s="63"/>
      <c r="G43" s="63"/>
      <c r="H43" s="64"/>
      <c r="I43" s="64"/>
      <c r="J43" s="64"/>
      <c r="K43" s="64"/>
      <c r="L43" s="64"/>
      <c r="M43" s="64"/>
      <c r="N43" s="64"/>
      <c r="O43" s="64"/>
      <c r="P43" s="64"/>
      <c r="Q43" s="64"/>
      <c r="R43" s="64"/>
      <c r="S43" s="64"/>
      <c r="T43" s="64"/>
      <c r="U43" s="64"/>
      <c r="V43" s="64"/>
      <c r="W43" s="64"/>
      <c r="X43" s="64"/>
      <c r="Y43" s="64"/>
      <c r="Z43" s="64"/>
    </row>
    <row r="44" ht="12.75" customHeight="1">
      <c r="A44" s="108"/>
      <c r="B44" s="64"/>
      <c r="C44" s="64"/>
      <c r="D44" s="64"/>
      <c r="E44" s="64"/>
      <c r="F44" s="63"/>
      <c r="G44" s="63"/>
      <c r="H44" s="64"/>
      <c r="I44" s="64"/>
      <c r="J44" s="64"/>
      <c r="K44" s="64"/>
      <c r="L44" s="64"/>
      <c r="M44" s="64"/>
      <c r="N44" s="64"/>
      <c r="O44" s="64"/>
      <c r="P44" s="64"/>
      <c r="Q44" s="64"/>
      <c r="R44" s="64"/>
      <c r="S44" s="64"/>
      <c r="T44" s="64"/>
      <c r="U44" s="64"/>
      <c r="V44" s="64"/>
      <c r="W44" s="64"/>
      <c r="X44" s="64"/>
      <c r="Y44" s="64"/>
      <c r="Z44" s="64"/>
    </row>
    <row r="45" ht="12.75" customHeight="1">
      <c r="A45" s="108"/>
      <c r="B45" s="64"/>
      <c r="C45" s="64"/>
      <c r="D45" s="64"/>
      <c r="E45" s="64"/>
      <c r="F45" s="63"/>
      <c r="G45" s="63"/>
      <c r="H45" s="64"/>
      <c r="I45" s="64"/>
      <c r="J45" s="64"/>
      <c r="K45" s="64"/>
      <c r="L45" s="64"/>
      <c r="M45" s="64"/>
      <c r="N45" s="64"/>
      <c r="O45" s="64"/>
      <c r="P45" s="64"/>
      <c r="Q45" s="64"/>
      <c r="R45" s="64"/>
      <c r="S45" s="64"/>
      <c r="T45" s="64"/>
      <c r="U45" s="64"/>
      <c r="V45" s="64"/>
      <c r="W45" s="64"/>
      <c r="X45" s="64"/>
      <c r="Y45" s="64"/>
      <c r="Z45" s="64"/>
    </row>
    <row r="46" ht="12.75" customHeight="1">
      <c r="A46" s="108"/>
      <c r="B46" s="64"/>
      <c r="C46" s="64"/>
      <c r="D46" s="64"/>
      <c r="E46" s="64"/>
      <c r="F46" s="63"/>
      <c r="G46" s="63"/>
      <c r="H46" s="64"/>
      <c r="I46" s="64"/>
      <c r="J46" s="64"/>
      <c r="K46" s="64"/>
      <c r="L46" s="64"/>
      <c r="M46" s="64"/>
      <c r="N46" s="64"/>
      <c r="O46" s="64"/>
      <c r="P46" s="64"/>
      <c r="Q46" s="64"/>
      <c r="R46" s="64"/>
      <c r="S46" s="64"/>
      <c r="T46" s="64"/>
      <c r="U46" s="64"/>
      <c r="V46" s="64"/>
      <c r="W46" s="64"/>
      <c r="X46" s="64"/>
      <c r="Y46" s="64"/>
      <c r="Z46" s="64"/>
    </row>
    <row r="47" ht="12.75" customHeight="1">
      <c r="A47" s="108"/>
      <c r="B47" s="64"/>
      <c r="C47" s="64"/>
      <c r="D47" s="64"/>
      <c r="E47" s="64"/>
      <c r="F47" s="63"/>
      <c r="G47" s="63"/>
      <c r="H47" s="64"/>
      <c r="I47" s="64"/>
      <c r="J47" s="64"/>
      <c r="K47" s="64"/>
      <c r="L47" s="64"/>
      <c r="M47" s="64"/>
      <c r="N47" s="64"/>
      <c r="O47" s="64"/>
      <c r="P47" s="64"/>
      <c r="Q47" s="64"/>
      <c r="R47" s="64"/>
      <c r="S47" s="64"/>
      <c r="T47" s="64"/>
      <c r="U47" s="64"/>
      <c r="V47" s="64"/>
      <c r="W47" s="64"/>
      <c r="X47" s="64"/>
      <c r="Y47" s="64"/>
      <c r="Z47" s="64"/>
    </row>
    <row r="48" ht="12.75" customHeight="1">
      <c r="A48" s="108"/>
      <c r="B48" s="64"/>
      <c r="C48" s="64"/>
      <c r="D48" s="64"/>
      <c r="E48" s="64"/>
      <c r="F48" s="63"/>
      <c r="G48" s="63"/>
      <c r="H48" s="64"/>
      <c r="I48" s="64"/>
      <c r="J48" s="64"/>
      <c r="K48" s="64"/>
      <c r="L48" s="64"/>
      <c r="M48" s="64"/>
      <c r="N48" s="64"/>
      <c r="O48" s="64"/>
      <c r="P48" s="64"/>
      <c r="Q48" s="64"/>
      <c r="R48" s="64"/>
      <c r="S48" s="64"/>
      <c r="T48" s="64"/>
      <c r="U48" s="64"/>
      <c r="V48" s="64"/>
      <c r="W48" s="64"/>
      <c r="X48" s="64"/>
      <c r="Y48" s="64"/>
      <c r="Z48" s="64"/>
    </row>
    <row r="49" ht="12.75" customHeight="1">
      <c r="A49" s="108"/>
      <c r="B49" s="64"/>
      <c r="C49" s="64"/>
      <c r="D49" s="64"/>
      <c r="E49" s="64"/>
      <c r="F49" s="63"/>
      <c r="G49" s="63"/>
      <c r="H49" s="64"/>
      <c r="I49" s="64"/>
      <c r="J49" s="64"/>
      <c r="K49" s="64"/>
      <c r="L49" s="64"/>
      <c r="M49" s="64"/>
      <c r="N49" s="64"/>
      <c r="O49" s="64"/>
      <c r="P49" s="64"/>
      <c r="Q49" s="64"/>
      <c r="R49" s="64"/>
      <c r="S49" s="64"/>
      <c r="T49" s="64"/>
      <c r="U49" s="64"/>
      <c r="V49" s="64"/>
      <c r="W49" s="64"/>
      <c r="X49" s="64"/>
      <c r="Y49" s="64"/>
      <c r="Z49" s="64"/>
    </row>
    <row r="50" ht="12.75" customHeight="1">
      <c r="A50" s="108"/>
      <c r="B50" s="64"/>
      <c r="C50" s="64"/>
      <c r="D50" s="64"/>
      <c r="E50" s="64"/>
      <c r="F50" s="63"/>
      <c r="G50" s="63"/>
      <c r="H50" s="64"/>
      <c r="I50" s="64"/>
      <c r="J50" s="64"/>
      <c r="K50" s="64"/>
      <c r="L50" s="64"/>
      <c r="M50" s="64"/>
      <c r="N50" s="64"/>
      <c r="O50" s="64"/>
      <c r="P50" s="64"/>
      <c r="Q50" s="64"/>
      <c r="R50" s="64"/>
      <c r="S50" s="64"/>
      <c r="T50" s="64"/>
      <c r="U50" s="64"/>
      <c r="V50" s="64"/>
      <c r="W50" s="64"/>
      <c r="X50" s="64"/>
      <c r="Y50" s="64"/>
      <c r="Z50" s="64"/>
    </row>
    <row r="51" ht="12.75" customHeight="1">
      <c r="A51" s="108"/>
      <c r="B51" s="64"/>
      <c r="C51" s="64"/>
      <c r="D51" s="64"/>
      <c r="E51" s="64"/>
      <c r="F51" s="63"/>
      <c r="G51" s="63"/>
      <c r="H51" s="64"/>
      <c r="I51" s="64"/>
      <c r="J51" s="64"/>
      <c r="K51" s="64"/>
      <c r="L51" s="64"/>
      <c r="M51" s="64"/>
      <c r="N51" s="64"/>
      <c r="O51" s="64"/>
      <c r="P51" s="64"/>
      <c r="Q51" s="64"/>
      <c r="R51" s="64"/>
      <c r="S51" s="64"/>
      <c r="T51" s="64"/>
      <c r="U51" s="64"/>
      <c r="V51" s="64"/>
      <c r="W51" s="64"/>
      <c r="X51" s="64"/>
      <c r="Y51" s="64"/>
      <c r="Z51" s="64"/>
    </row>
    <row r="52" ht="12.75" customHeight="1">
      <c r="A52" s="108"/>
      <c r="B52" s="64"/>
      <c r="C52" s="64"/>
      <c r="D52" s="64"/>
      <c r="E52" s="64"/>
      <c r="F52" s="63"/>
      <c r="G52" s="63"/>
      <c r="H52" s="64"/>
      <c r="I52" s="64"/>
      <c r="J52" s="64"/>
      <c r="K52" s="64"/>
      <c r="L52" s="64"/>
      <c r="M52" s="64"/>
      <c r="N52" s="64"/>
      <c r="O52" s="64"/>
      <c r="P52" s="64"/>
      <c r="Q52" s="64"/>
      <c r="R52" s="64"/>
      <c r="S52" s="64"/>
      <c r="T52" s="64"/>
      <c r="U52" s="64"/>
      <c r="V52" s="64"/>
      <c r="W52" s="64"/>
      <c r="X52" s="64"/>
      <c r="Y52" s="64"/>
      <c r="Z52" s="64"/>
    </row>
    <row r="53" ht="12.75" customHeight="1">
      <c r="A53" s="108"/>
      <c r="B53" s="64"/>
      <c r="C53" s="64"/>
      <c r="D53" s="64"/>
      <c r="E53" s="64"/>
      <c r="F53" s="63"/>
      <c r="G53" s="63"/>
      <c r="H53" s="64"/>
      <c r="I53" s="64"/>
      <c r="J53" s="64"/>
      <c r="K53" s="64"/>
      <c r="L53" s="64"/>
      <c r="M53" s="64"/>
      <c r="N53" s="64"/>
      <c r="O53" s="64"/>
      <c r="P53" s="64"/>
      <c r="Q53" s="64"/>
      <c r="R53" s="64"/>
      <c r="S53" s="64"/>
      <c r="T53" s="64"/>
      <c r="U53" s="64"/>
      <c r="V53" s="64"/>
      <c r="W53" s="64"/>
      <c r="X53" s="64"/>
      <c r="Y53" s="64"/>
      <c r="Z53" s="64"/>
    </row>
    <row r="54" ht="12.75" customHeight="1">
      <c r="A54" s="108"/>
      <c r="B54" s="64"/>
      <c r="C54" s="64"/>
      <c r="D54" s="64"/>
      <c r="E54" s="64"/>
      <c r="F54" s="63"/>
      <c r="G54" s="63"/>
      <c r="H54" s="64"/>
      <c r="I54" s="64"/>
      <c r="J54" s="64"/>
      <c r="K54" s="64"/>
      <c r="L54" s="64"/>
      <c r="M54" s="64"/>
      <c r="N54" s="64"/>
      <c r="O54" s="64"/>
      <c r="P54" s="64"/>
      <c r="Q54" s="64"/>
      <c r="R54" s="64"/>
      <c r="S54" s="64"/>
      <c r="T54" s="64"/>
      <c r="U54" s="64"/>
      <c r="V54" s="64"/>
      <c r="W54" s="64"/>
      <c r="X54" s="64"/>
      <c r="Y54" s="64"/>
      <c r="Z54" s="64"/>
    </row>
    <row r="55" ht="12.75" customHeight="1">
      <c r="A55" s="108"/>
      <c r="B55" s="64"/>
      <c r="C55" s="64"/>
      <c r="D55" s="64"/>
      <c r="E55" s="64"/>
      <c r="F55" s="63"/>
      <c r="G55" s="63"/>
      <c r="H55" s="64"/>
      <c r="I55" s="64"/>
      <c r="J55" s="64"/>
      <c r="K55" s="64"/>
      <c r="L55" s="64"/>
      <c r="M55" s="64"/>
      <c r="N55" s="64"/>
      <c r="O55" s="64"/>
      <c r="P55" s="64"/>
      <c r="Q55" s="64"/>
      <c r="R55" s="64"/>
      <c r="S55" s="64"/>
      <c r="T55" s="64"/>
      <c r="U55" s="64"/>
      <c r="V55" s="64"/>
      <c r="W55" s="64"/>
      <c r="X55" s="64"/>
      <c r="Y55" s="64"/>
      <c r="Z55" s="64"/>
    </row>
    <row r="56" ht="12.75" customHeight="1">
      <c r="A56" s="108"/>
      <c r="B56" s="64"/>
      <c r="C56" s="64"/>
      <c r="D56" s="64"/>
      <c r="E56" s="64"/>
      <c r="F56" s="63"/>
      <c r="G56" s="63"/>
      <c r="H56" s="64"/>
      <c r="I56" s="64"/>
      <c r="J56" s="64"/>
      <c r="K56" s="64"/>
      <c r="L56" s="64"/>
      <c r="M56" s="64"/>
      <c r="N56" s="64"/>
      <c r="O56" s="64"/>
      <c r="P56" s="64"/>
      <c r="Q56" s="64"/>
      <c r="R56" s="64"/>
      <c r="S56" s="64"/>
      <c r="T56" s="64"/>
      <c r="U56" s="64"/>
      <c r="V56" s="64"/>
      <c r="W56" s="64"/>
      <c r="X56" s="64"/>
      <c r="Y56" s="64"/>
      <c r="Z56" s="64"/>
    </row>
    <row r="57" ht="12.75" customHeight="1">
      <c r="A57" s="108"/>
      <c r="B57" s="64"/>
      <c r="C57" s="64"/>
      <c r="D57" s="64"/>
      <c r="E57" s="64"/>
      <c r="F57" s="63"/>
      <c r="G57" s="63"/>
      <c r="H57" s="64"/>
      <c r="I57" s="64"/>
      <c r="J57" s="64"/>
      <c r="K57" s="64"/>
      <c r="L57" s="64"/>
      <c r="M57" s="64"/>
      <c r="N57" s="64"/>
      <c r="O57" s="64"/>
      <c r="P57" s="64"/>
      <c r="Q57" s="64"/>
      <c r="R57" s="64"/>
      <c r="S57" s="64"/>
      <c r="T57" s="64"/>
      <c r="U57" s="64"/>
      <c r="V57" s="64"/>
      <c r="W57" s="64"/>
      <c r="X57" s="64"/>
      <c r="Y57" s="64"/>
      <c r="Z57" s="64"/>
    </row>
    <row r="58" ht="12.75" customHeight="1">
      <c r="A58" s="108"/>
      <c r="B58" s="64"/>
      <c r="C58" s="64"/>
      <c r="D58" s="64"/>
      <c r="E58" s="64"/>
      <c r="F58" s="63"/>
      <c r="G58" s="63"/>
      <c r="H58" s="64"/>
      <c r="I58" s="64"/>
      <c r="J58" s="64"/>
      <c r="K58" s="64"/>
      <c r="L58" s="64"/>
      <c r="M58" s="64"/>
      <c r="N58" s="64"/>
      <c r="O58" s="64"/>
      <c r="P58" s="64"/>
      <c r="Q58" s="64"/>
      <c r="R58" s="64"/>
      <c r="S58" s="64"/>
      <c r="T58" s="64"/>
      <c r="U58" s="64"/>
      <c r="V58" s="64"/>
      <c r="W58" s="64"/>
      <c r="X58" s="64"/>
      <c r="Y58" s="64"/>
      <c r="Z58" s="64"/>
    </row>
    <row r="59" ht="12.75" customHeight="1">
      <c r="A59" s="108"/>
      <c r="B59" s="64"/>
      <c r="C59" s="64"/>
      <c r="D59" s="64"/>
      <c r="E59" s="64"/>
      <c r="F59" s="63"/>
      <c r="G59" s="63"/>
      <c r="H59" s="64"/>
      <c r="I59" s="64"/>
      <c r="J59" s="64"/>
      <c r="K59" s="64"/>
      <c r="L59" s="64"/>
      <c r="M59" s="64"/>
      <c r="N59" s="64"/>
      <c r="O59" s="64"/>
      <c r="P59" s="64"/>
      <c r="Q59" s="64"/>
      <c r="R59" s="64"/>
      <c r="S59" s="64"/>
      <c r="T59" s="64"/>
      <c r="U59" s="64"/>
      <c r="V59" s="64"/>
      <c r="W59" s="64"/>
      <c r="X59" s="64"/>
      <c r="Y59" s="64"/>
      <c r="Z59" s="64"/>
    </row>
    <row r="60" ht="12.75" customHeight="1">
      <c r="A60" s="108"/>
      <c r="B60" s="64"/>
      <c r="C60" s="64"/>
      <c r="D60" s="64"/>
      <c r="E60" s="64"/>
      <c r="F60" s="63"/>
      <c r="G60" s="63"/>
      <c r="H60" s="64"/>
      <c r="I60" s="64"/>
      <c r="J60" s="64"/>
      <c r="K60" s="64"/>
      <c r="L60" s="64"/>
      <c r="M60" s="64"/>
      <c r="N60" s="64"/>
      <c r="O60" s="64"/>
      <c r="P60" s="64"/>
      <c r="Q60" s="64"/>
      <c r="R60" s="64"/>
      <c r="S60" s="64"/>
      <c r="T60" s="64"/>
      <c r="U60" s="64"/>
      <c r="V60" s="64"/>
      <c r="W60" s="64"/>
      <c r="X60" s="64"/>
      <c r="Y60" s="64"/>
      <c r="Z60" s="64"/>
    </row>
    <row r="61" ht="12.75" customHeight="1">
      <c r="A61" s="108"/>
      <c r="B61" s="64"/>
      <c r="C61" s="64"/>
      <c r="D61" s="64"/>
      <c r="E61" s="64"/>
      <c r="F61" s="63"/>
      <c r="G61" s="63"/>
      <c r="H61" s="64"/>
      <c r="I61" s="64"/>
      <c r="J61" s="64"/>
      <c r="K61" s="64"/>
      <c r="L61" s="64"/>
      <c r="M61" s="64"/>
      <c r="N61" s="64"/>
      <c r="O61" s="64"/>
      <c r="P61" s="64"/>
      <c r="Q61" s="64"/>
      <c r="R61" s="64"/>
      <c r="S61" s="64"/>
      <c r="T61" s="64"/>
      <c r="U61" s="64"/>
      <c r="V61" s="64"/>
      <c r="W61" s="64"/>
      <c r="X61" s="64"/>
      <c r="Y61" s="64"/>
      <c r="Z61" s="64"/>
    </row>
    <row r="62" ht="12.75" customHeight="1">
      <c r="A62" s="108"/>
      <c r="B62" s="64"/>
      <c r="C62" s="64"/>
      <c r="D62" s="64"/>
      <c r="E62" s="64"/>
      <c r="F62" s="63"/>
      <c r="G62" s="63"/>
      <c r="H62" s="64"/>
      <c r="I62" s="64"/>
      <c r="J62" s="64"/>
      <c r="K62" s="64"/>
      <c r="L62" s="64"/>
      <c r="M62" s="64"/>
      <c r="N62" s="64"/>
      <c r="O62" s="64"/>
      <c r="P62" s="64"/>
      <c r="Q62" s="64"/>
      <c r="R62" s="64"/>
      <c r="S62" s="64"/>
      <c r="T62" s="64"/>
      <c r="U62" s="64"/>
      <c r="V62" s="64"/>
      <c r="W62" s="64"/>
      <c r="X62" s="64"/>
      <c r="Y62" s="64"/>
      <c r="Z62" s="64"/>
    </row>
    <row r="63" ht="12.75" customHeight="1">
      <c r="A63" s="108"/>
      <c r="B63" s="64"/>
      <c r="C63" s="64"/>
      <c r="D63" s="64"/>
      <c r="E63" s="64"/>
      <c r="F63" s="63"/>
      <c r="G63" s="63"/>
      <c r="H63" s="64"/>
      <c r="I63" s="64"/>
      <c r="J63" s="64"/>
      <c r="K63" s="64"/>
      <c r="L63" s="64"/>
      <c r="M63" s="64"/>
      <c r="N63" s="64"/>
      <c r="O63" s="64"/>
      <c r="P63" s="64"/>
      <c r="Q63" s="64"/>
      <c r="R63" s="64"/>
      <c r="S63" s="64"/>
      <c r="T63" s="64"/>
      <c r="U63" s="64"/>
      <c r="V63" s="64"/>
      <c r="W63" s="64"/>
      <c r="X63" s="64"/>
      <c r="Y63" s="64"/>
      <c r="Z63" s="64"/>
    </row>
    <row r="64" ht="12.75" customHeight="1">
      <c r="A64" s="108"/>
      <c r="B64" s="64"/>
      <c r="C64" s="64"/>
      <c r="D64" s="64"/>
      <c r="E64" s="64"/>
      <c r="F64" s="63"/>
      <c r="G64" s="63"/>
      <c r="H64" s="64"/>
      <c r="I64" s="64"/>
      <c r="J64" s="64"/>
      <c r="K64" s="64"/>
      <c r="L64" s="64"/>
      <c r="M64" s="64"/>
      <c r="N64" s="64"/>
      <c r="O64" s="64"/>
      <c r="P64" s="64"/>
      <c r="Q64" s="64"/>
      <c r="R64" s="64"/>
      <c r="S64" s="64"/>
      <c r="T64" s="64"/>
      <c r="U64" s="64"/>
      <c r="V64" s="64"/>
      <c r="W64" s="64"/>
      <c r="X64" s="64"/>
      <c r="Y64" s="64"/>
      <c r="Z64" s="64"/>
    </row>
    <row r="65" ht="12.75" customHeight="1">
      <c r="A65" s="108"/>
      <c r="B65" s="64"/>
      <c r="C65" s="64"/>
      <c r="D65" s="64"/>
      <c r="E65" s="64"/>
      <c r="F65" s="63"/>
      <c r="G65" s="63"/>
      <c r="H65" s="64"/>
      <c r="I65" s="64"/>
      <c r="J65" s="64"/>
      <c r="K65" s="64"/>
      <c r="L65" s="64"/>
      <c r="M65" s="64"/>
      <c r="N65" s="64"/>
      <c r="O65" s="64"/>
      <c r="P65" s="64"/>
      <c r="Q65" s="64"/>
      <c r="R65" s="64"/>
      <c r="S65" s="64"/>
      <c r="T65" s="64"/>
      <c r="U65" s="64"/>
      <c r="V65" s="64"/>
      <c r="W65" s="64"/>
      <c r="X65" s="64"/>
      <c r="Y65" s="64"/>
      <c r="Z65" s="64"/>
    </row>
    <row r="66" ht="12.75" customHeight="1">
      <c r="A66" s="108"/>
      <c r="B66" s="64"/>
      <c r="C66" s="64"/>
      <c r="D66" s="64"/>
      <c r="E66" s="64"/>
      <c r="F66" s="63"/>
      <c r="G66" s="63"/>
      <c r="H66" s="64"/>
      <c r="I66" s="64"/>
      <c r="J66" s="64"/>
      <c r="K66" s="64"/>
      <c r="L66" s="64"/>
      <c r="M66" s="64"/>
      <c r="N66" s="64"/>
      <c r="O66" s="64"/>
      <c r="P66" s="64"/>
      <c r="Q66" s="64"/>
      <c r="R66" s="64"/>
      <c r="S66" s="64"/>
      <c r="T66" s="64"/>
      <c r="U66" s="64"/>
      <c r="V66" s="64"/>
      <c r="W66" s="64"/>
      <c r="X66" s="64"/>
      <c r="Y66" s="64"/>
      <c r="Z66" s="64"/>
    </row>
    <row r="67" ht="12.75" customHeight="1">
      <c r="A67" s="108"/>
      <c r="B67" s="64"/>
      <c r="C67" s="64"/>
      <c r="D67" s="64"/>
      <c r="E67" s="64"/>
      <c r="F67" s="63"/>
      <c r="G67" s="63"/>
      <c r="H67" s="64"/>
      <c r="I67" s="64"/>
      <c r="J67" s="64"/>
      <c r="K67" s="64"/>
      <c r="L67" s="64"/>
      <c r="M67" s="64"/>
      <c r="N67" s="64"/>
      <c r="O67" s="64"/>
      <c r="P67" s="64"/>
      <c r="Q67" s="64"/>
      <c r="R67" s="64"/>
      <c r="S67" s="64"/>
      <c r="T67" s="64"/>
      <c r="U67" s="64"/>
      <c r="V67" s="64"/>
      <c r="W67" s="64"/>
      <c r="X67" s="64"/>
      <c r="Y67" s="64"/>
      <c r="Z67" s="64"/>
    </row>
    <row r="68" ht="12.75" customHeight="1">
      <c r="A68" s="108"/>
      <c r="B68" s="64"/>
      <c r="C68" s="64"/>
      <c r="D68" s="64"/>
      <c r="E68" s="64"/>
      <c r="F68" s="63"/>
      <c r="G68" s="63"/>
      <c r="H68" s="64"/>
      <c r="I68" s="64"/>
      <c r="J68" s="64"/>
      <c r="K68" s="64"/>
      <c r="L68" s="64"/>
      <c r="M68" s="64"/>
      <c r="N68" s="64"/>
      <c r="O68" s="64"/>
      <c r="P68" s="64"/>
      <c r="Q68" s="64"/>
      <c r="R68" s="64"/>
      <c r="S68" s="64"/>
      <c r="T68" s="64"/>
      <c r="U68" s="64"/>
      <c r="V68" s="64"/>
      <c r="W68" s="64"/>
      <c r="X68" s="64"/>
      <c r="Y68" s="64"/>
      <c r="Z68" s="64"/>
    </row>
    <row r="69" ht="12.75" customHeight="1">
      <c r="A69" s="108"/>
      <c r="B69" s="64"/>
      <c r="C69" s="64"/>
      <c r="D69" s="64"/>
      <c r="E69" s="64"/>
      <c r="F69" s="63"/>
      <c r="G69" s="63"/>
      <c r="H69" s="64"/>
      <c r="I69" s="64"/>
      <c r="J69" s="64"/>
      <c r="K69" s="64"/>
      <c r="L69" s="64"/>
      <c r="M69" s="64"/>
      <c r="N69" s="64"/>
      <c r="O69" s="64"/>
      <c r="P69" s="64"/>
      <c r="Q69" s="64"/>
      <c r="R69" s="64"/>
      <c r="S69" s="64"/>
      <c r="T69" s="64"/>
      <c r="U69" s="64"/>
      <c r="V69" s="64"/>
      <c r="W69" s="64"/>
      <c r="X69" s="64"/>
      <c r="Y69" s="64"/>
      <c r="Z69" s="64"/>
    </row>
    <row r="70" ht="12.75" customHeight="1">
      <c r="A70" s="108"/>
      <c r="B70" s="64"/>
      <c r="C70" s="64"/>
      <c r="D70" s="64"/>
      <c r="E70" s="64"/>
      <c r="F70" s="63"/>
      <c r="G70" s="63"/>
      <c r="H70" s="64"/>
      <c r="I70" s="64"/>
      <c r="J70" s="64"/>
      <c r="K70" s="64"/>
      <c r="L70" s="64"/>
      <c r="M70" s="64"/>
      <c r="N70" s="64"/>
      <c r="O70" s="64"/>
      <c r="P70" s="64"/>
      <c r="Q70" s="64"/>
      <c r="R70" s="64"/>
      <c r="S70" s="64"/>
      <c r="T70" s="64"/>
      <c r="U70" s="64"/>
      <c r="V70" s="64"/>
      <c r="W70" s="64"/>
      <c r="X70" s="64"/>
      <c r="Y70" s="64"/>
      <c r="Z70" s="64"/>
    </row>
    <row r="71" ht="12.75" customHeight="1">
      <c r="A71" s="108"/>
      <c r="B71" s="64"/>
      <c r="C71" s="64"/>
      <c r="D71" s="64"/>
      <c r="E71" s="64"/>
      <c r="F71" s="63"/>
      <c r="G71" s="63"/>
      <c r="H71" s="64"/>
      <c r="I71" s="64"/>
      <c r="J71" s="64"/>
      <c r="K71" s="64"/>
      <c r="L71" s="64"/>
      <c r="M71" s="64"/>
      <c r="N71" s="64"/>
      <c r="O71" s="64"/>
      <c r="P71" s="64"/>
      <c r="Q71" s="64"/>
      <c r="R71" s="64"/>
      <c r="S71" s="64"/>
      <c r="T71" s="64"/>
      <c r="U71" s="64"/>
      <c r="V71" s="64"/>
      <c r="W71" s="64"/>
      <c r="X71" s="64"/>
      <c r="Y71" s="64"/>
      <c r="Z71" s="64"/>
    </row>
    <row r="72" ht="12.75" customHeight="1">
      <c r="A72" s="108"/>
      <c r="B72" s="64"/>
      <c r="C72" s="64"/>
      <c r="D72" s="64"/>
      <c r="E72" s="64"/>
      <c r="F72" s="63"/>
      <c r="G72" s="63"/>
      <c r="H72" s="64"/>
      <c r="I72" s="64"/>
      <c r="J72" s="64"/>
      <c r="K72" s="64"/>
      <c r="L72" s="64"/>
      <c r="M72" s="64"/>
      <c r="N72" s="64"/>
      <c r="O72" s="64"/>
      <c r="P72" s="64"/>
      <c r="Q72" s="64"/>
      <c r="R72" s="64"/>
      <c r="S72" s="64"/>
      <c r="T72" s="64"/>
      <c r="U72" s="64"/>
      <c r="V72" s="64"/>
      <c r="W72" s="64"/>
      <c r="X72" s="64"/>
      <c r="Y72" s="64"/>
      <c r="Z72" s="64"/>
    </row>
    <row r="73" ht="12.75" customHeight="1">
      <c r="A73" s="108"/>
      <c r="B73" s="64"/>
      <c r="C73" s="64"/>
      <c r="D73" s="64"/>
      <c r="E73" s="64"/>
      <c r="F73" s="63"/>
      <c r="G73" s="63"/>
      <c r="H73" s="64"/>
      <c r="I73" s="64"/>
      <c r="J73" s="64"/>
      <c r="K73" s="64"/>
      <c r="L73" s="64"/>
      <c r="M73" s="64"/>
      <c r="N73" s="64"/>
      <c r="O73" s="64"/>
      <c r="P73" s="64"/>
      <c r="Q73" s="64"/>
      <c r="R73" s="64"/>
      <c r="S73" s="64"/>
      <c r="T73" s="64"/>
      <c r="U73" s="64"/>
      <c r="V73" s="64"/>
      <c r="W73" s="64"/>
      <c r="X73" s="64"/>
      <c r="Y73" s="64"/>
      <c r="Z73" s="64"/>
    </row>
    <row r="74" ht="12.75" customHeight="1">
      <c r="A74" s="108"/>
      <c r="B74" s="64"/>
      <c r="C74" s="64"/>
      <c r="D74" s="64"/>
      <c r="E74" s="64"/>
      <c r="F74" s="63"/>
      <c r="G74" s="63"/>
      <c r="H74" s="64"/>
      <c r="I74" s="64"/>
      <c r="J74" s="64"/>
      <c r="K74" s="64"/>
      <c r="L74" s="64"/>
      <c r="M74" s="64"/>
      <c r="N74" s="64"/>
      <c r="O74" s="64"/>
      <c r="P74" s="64"/>
      <c r="Q74" s="64"/>
      <c r="R74" s="64"/>
      <c r="S74" s="64"/>
      <c r="T74" s="64"/>
      <c r="U74" s="64"/>
      <c r="V74" s="64"/>
      <c r="W74" s="64"/>
      <c r="X74" s="64"/>
      <c r="Y74" s="64"/>
      <c r="Z74" s="64"/>
    </row>
    <row r="75" ht="12.75" customHeight="1">
      <c r="A75" s="108"/>
      <c r="B75" s="64"/>
      <c r="C75" s="64"/>
      <c r="D75" s="64"/>
      <c r="E75" s="64"/>
      <c r="F75" s="63"/>
      <c r="G75" s="63"/>
      <c r="H75" s="64"/>
      <c r="I75" s="64"/>
      <c r="J75" s="64"/>
      <c r="K75" s="64"/>
      <c r="L75" s="64"/>
      <c r="M75" s="64"/>
      <c r="N75" s="64"/>
      <c r="O75" s="64"/>
      <c r="P75" s="64"/>
      <c r="Q75" s="64"/>
      <c r="R75" s="64"/>
      <c r="S75" s="64"/>
      <c r="T75" s="64"/>
      <c r="U75" s="64"/>
      <c r="V75" s="64"/>
      <c r="W75" s="64"/>
      <c r="X75" s="64"/>
      <c r="Y75" s="64"/>
      <c r="Z75" s="64"/>
    </row>
    <row r="76" ht="12.75" customHeight="1">
      <c r="A76" s="108"/>
      <c r="B76" s="64"/>
      <c r="C76" s="64"/>
      <c r="D76" s="64"/>
      <c r="E76" s="64"/>
      <c r="F76" s="63"/>
      <c r="G76" s="63"/>
      <c r="H76" s="64"/>
      <c r="I76" s="64"/>
      <c r="J76" s="64"/>
      <c r="K76" s="64"/>
      <c r="L76" s="64"/>
      <c r="M76" s="64"/>
      <c r="N76" s="64"/>
      <c r="O76" s="64"/>
      <c r="P76" s="64"/>
      <c r="Q76" s="64"/>
      <c r="R76" s="64"/>
      <c r="S76" s="64"/>
      <c r="T76" s="64"/>
      <c r="U76" s="64"/>
      <c r="V76" s="64"/>
      <c r="W76" s="64"/>
      <c r="X76" s="64"/>
      <c r="Y76" s="64"/>
      <c r="Z76" s="64"/>
    </row>
    <row r="77" ht="12.75" customHeight="1">
      <c r="A77" s="108"/>
      <c r="B77" s="64"/>
      <c r="C77" s="64"/>
      <c r="D77" s="64"/>
      <c r="E77" s="64"/>
      <c r="F77" s="63"/>
      <c r="G77" s="63"/>
      <c r="H77" s="64"/>
      <c r="I77" s="64"/>
      <c r="J77" s="64"/>
      <c r="K77" s="64"/>
      <c r="L77" s="64"/>
      <c r="M77" s="64"/>
      <c r="N77" s="64"/>
      <c r="O77" s="64"/>
      <c r="P77" s="64"/>
      <c r="Q77" s="64"/>
      <c r="R77" s="64"/>
      <c r="S77" s="64"/>
      <c r="T77" s="64"/>
      <c r="U77" s="64"/>
      <c r="V77" s="64"/>
      <c r="W77" s="64"/>
      <c r="X77" s="64"/>
      <c r="Y77" s="64"/>
      <c r="Z77" s="64"/>
    </row>
    <row r="78" ht="12.75" customHeight="1">
      <c r="A78" s="108"/>
      <c r="B78" s="64"/>
      <c r="C78" s="64"/>
      <c r="D78" s="64"/>
      <c r="E78" s="64"/>
      <c r="F78" s="63"/>
      <c r="G78" s="63"/>
      <c r="H78" s="64"/>
      <c r="I78" s="64"/>
      <c r="J78" s="64"/>
      <c r="K78" s="64"/>
      <c r="L78" s="64"/>
      <c r="M78" s="64"/>
      <c r="N78" s="64"/>
      <c r="O78" s="64"/>
      <c r="P78" s="64"/>
      <c r="Q78" s="64"/>
      <c r="R78" s="64"/>
      <c r="S78" s="64"/>
      <c r="T78" s="64"/>
      <c r="U78" s="64"/>
      <c r="V78" s="64"/>
      <c r="W78" s="64"/>
      <c r="X78" s="64"/>
      <c r="Y78" s="64"/>
      <c r="Z78" s="64"/>
    </row>
    <row r="79" ht="12.75" customHeight="1">
      <c r="A79" s="108"/>
      <c r="B79" s="64"/>
      <c r="C79" s="64"/>
      <c r="D79" s="64"/>
      <c r="E79" s="64"/>
      <c r="F79" s="63"/>
      <c r="G79" s="63"/>
      <c r="H79" s="64"/>
      <c r="I79" s="64"/>
      <c r="J79" s="64"/>
      <c r="K79" s="64"/>
      <c r="L79" s="64"/>
      <c r="M79" s="64"/>
      <c r="N79" s="64"/>
      <c r="O79" s="64"/>
      <c r="P79" s="64"/>
      <c r="Q79" s="64"/>
      <c r="R79" s="64"/>
      <c r="S79" s="64"/>
      <c r="T79" s="64"/>
      <c r="U79" s="64"/>
      <c r="V79" s="64"/>
      <c r="W79" s="64"/>
      <c r="X79" s="64"/>
      <c r="Y79" s="64"/>
      <c r="Z79" s="64"/>
    </row>
    <row r="80" ht="12.75" customHeight="1">
      <c r="A80" s="108"/>
      <c r="B80" s="64"/>
      <c r="C80" s="64"/>
      <c r="D80" s="64"/>
      <c r="E80" s="64"/>
      <c r="F80" s="63"/>
      <c r="G80" s="63"/>
      <c r="H80" s="64"/>
      <c r="I80" s="64"/>
      <c r="J80" s="64"/>
      <c r="K80" s="64"/>
      <c r="L80" s="64"/>
      <c r="M80" s="64"/>
      <c r="N80" s="64"/>
      <c r="O80" s="64"/>
      <c r="P80" s="64"/>
      <c r="Q80" s="64"/>
      <c r="R80" s="64"/>
      <c r="S80" s="64"/>
      <c r="T80" s="64"/>
      <c r="U80" s="64"/>
      <c r="V80" s="64"/>
      <c r="W80" s="64"/>
      <c r="X80" s="64"/>
      <c r="Y80" s="64"/>
      <c r="Z80" s="64"/>
    </row>
    <row r="81" ht="12.75" customHeight="1">
      <c r="A81" s="108"/>
      <c r="B81" s="64"/>
      <c r="C81" s="64"/>
      <c r="D81" s="64"/>
      <c r="E81" s="64"/>
      <c r="F81" s="63"/>
      <c r="G81" s="63"/>
      <c r="H81" s="64"/>
      <c r="I81" s="64"/>
      <c r="J81" s="64"/>
      <c r="K81" s="64"/>
      <c r="L81" s="64"/>
      <c r="M81" s="64"/>
      <c r="N81" s="64"/>
      <c r="O81" s="64"/>
      <c r="P81" s="64"/>
      <c r="Q81" s="64"/>
      <c r="R81" s="64"/>
      <c r="S81" s="64"/>
      <c r="T81" s="64"/>
      <c r="U81" s="64"/>
      <c r="V81" s="64"/>
      <c r="W81" s="64"/>
      <c r="X81" s="64"/>
      <c r="Y81" s="64"/>
      <c r="Z81" s="64"/>
    </row>
    <row r="82" ht="12.75" customHeight="1">
      <c r="A82" s="108"/>
      <c r="B82" s="64"/>
      <c r="C82" s="64"/>
      <c r="D82" s="64"/>
      <c r="E82" s="64"/>
      <c r="F82" s="63"/>
      <c r="G82" s="63"/>
      <c r="H82" s="64"/>
      <c r="I82" s="64"/>
      <c r="J82" s="64"/>
      <c r="K82" s="64"/>
      <c r="L82" s="64"/>
      <c r="M82" s="64"/>
      <c r="N82" s="64"/>
      <c r="O82" s="64"/>
      <c r="P82" s="64"/>
      <c r="Q82" s="64"/>
      <c r="R82" s="64"/>
      <c r="S82" s="64"/>
      <c r="T82" s="64"/>
      <c r="U82" s="64"/>
      <c r="V82" s="64"/>
      <c r="W82" s="64"/>
      <c r="X82" s="64"/>
      <c r="Y82" s="64"/>
      <c r="Z82" s="64"/>
    </row>
    <row r="83" ht="12.75" customHeight="1">
      <c r="A83" s="108"/>
      <c r="B83" s="64"/>
      <c r="C83" s="64"/>
      <c r="D83" s="64"/>
      <c r="E83" s="64"/>
      <c r="F83" s="63"/>
      <c r="G83" s="63"/>
      <c r="H83" s="64"/>
      <c r="I83" s="64"/>
      <c r="J83" s="64"/>
      <c r="K83" s="64"/>
      <c r="L83" s="64"/>
      <c r="M83" s="64"/>
      <c r="N83" s="64"/>
      <c r="O83" s="64"/>
      <c r="P83" s="64"/>
      <c r="Q83" s="64"/>
      <c r="R83" s="64"/>
      <c r="S83" s="64"/>
      <c r="T83" s="64"/>
      <c r="U83" s="64"/>
      <c r="V83" s="64"/>
      <c r="W83" s="64"/>
      <c r="X83" s="64"/>
      <c r="Y83" s="64"/>
      <c r="Z83" s="64"/>
    </row>
    <row r="84" ht="12.75" customHeight="1">
      <c r="A84" s="108"/>
      <c r="B84" s="64"/>
      <c r="C84" s="64"/>
      <c r="D84" s="64"/>
      <c r="E84" s="64"/>
      <c r="F84" s="63"/>
      <c r="G84" s="63"/>
      <c r="H84" s="64"/>
      <c r="I84" s="64"/>
      <c r="J84" s="64"/>
      <c r="K84" s="64"/>
      <c r="L84" s="64"/>
      <c r="M84" s="64"/>
      <c r="N84" s="64"/>
      <c r="O84" s="64"/>
      <c r="P84" s="64"/>
      <c r="Q84" s="64"/>
      <c r="R84" s="64"/>
      <c r="S84" s="64"/>
      <c r="T84" s="64"/>
      <c r="U84" s="64"/>
      <c r="V84" s="64"/>
      <c r="W84" s="64"/>
      <c r="X84" s="64"/>
      <c r="Y84" s="64"/>
      <c r="Z84" s="64"/>
    </row>
    <row r="85" ht="12.75" customHeight="1">
      <c r="A85" s="108"/>
      <c r="B85" s="64"/>
      <c r="C85" s="64"/>
      <c r="D85" s="64"/>
      <c r="E85" s="64"/>
      <c r="F85" s="63"/>
      <c r="G85" s="63"/>
      <c r="H85" s="64"/>
      <c r="I85" s="64"/>
      <c r="J85" s="64"/>
      <c r="K85" s="64"/>
      <c r="L85" s="64"/>
      <c r="M85" s="64"/>
      <c r="N85" s="64"/>
      <c r="O85" s="64"/>
      <c r="P85" s="64"/>
      <c r="Q85" s="64"/>
      <c r="R85" s="64"/>
      <c r="S85" s="64"/>
      <c r="T85" s="64"/>
      <c r="U85" s="64"/>
      <c r="V85" s="64"/>
      <c r="W85" s="64"/>
      <c r="X85" s="64"/>
      <c r="Y85" s="64"/>
      <c r="Z85" s="64"/>
    </row>
    <row r="86" ht="12.75" customHeight="1">
      <c r="A86" s="108"/>
      <c r="B86" s="64"/>
      <c r="C86" s="64"/>
      <c r="D86" s="64"/>
      <c r="E86" s="64"/>
      <c r="F86" s="63"/>
      <c r="G86" s="63"/>
      <c r="H86" s="64"/>
      <c r="I86" s="64"/>
      <c r="J86" s="64"/>
      <c r="K86" s="64"/>
      <c r="L86" s="64"/>
      <c r="M86" s="64"/>
      <c r="N86" s="64"/>
      <c r="O86" s="64"/>
      <c r="P86" s="64"/>
      <c r="Q86" s="64"/>
      <c r="R86" s="64"/>
      <c r="S86" s="64"/>
      <c r="T86" s="64"/>
      <c r="U86" s="64"/>
      <c r="V86" s="64"/>
      <c r="W86" s="64"/>
      <c r="X86" s="64"/>
      <c r="Y86" s="64"/>
      <c r="Z86" s="64"/>
    </row>
    <row r="87" ht="12.75" customHeight="1">
      <c r="A87" s="108"/>
      <c r="B87" s="64"/>
      <c r="C87" s="64"/>
      <c r="D87" s="64"/>
      <c r="E87" s="64"/>
      <c r="F87" s="63"/>
      <c r="G87" s="63"/>
      <c r="H87" s="64"/>
      <c r="I87" s="64"/>
      <c r="J87" s="64"/>
      <c r="K87" s="64"/>
      <c r="L87" s="64"/>
      <c r="M87" s="64"/>
      <c r="N87" s="64"/>
      <c r="O87" s="64"/>
      <c r="P87" s="64"/>
      <c r="Q87" s="64"/>
      <c r="R87" s="64"/>
      <c r="S87" s="64"/>
      <c r="T87" s="64"/>
      <c r="U87" s="64"/>
      <c r="V87" s="64"/>
      <c r="W87" s="64"/>
      <c r="X87" s="64"/>
      <c r="Y87" s="64"/>
      <c r="Z87" s="64"/>
    </row>
    <row r="88" ht="12.75" customHeight="1">
      <c r="A88" s="108"/>
      <c r="B88" s="64"/>
      <c r="C88" s="64"/>
      <c r="D88" s="64"/>
      <c r="E88" s="64"/>
      <c r="F88" s="63"/>
      <c r="G88" s="63"/>
      <c r="H88" s="64"/>
      <c r="I88" s="64"/>
      <c r="J88" s="64"/>
      <c r="K88" s="64"/>
      <c r="L88" s="64"/>
      <c r="M88" s="64"/>
      <c r="N88" s="64"/>
      <c r="O88" s="64"/>
      <c r="P88" s="64"/>
      <c r="Q88" s="64"/>
      <c r="R88" s="64"/>
      <c r="S88" s="64"/>
      <c r="T88" s="64"/>
      <c r="U88" s="64"/>
      <c r="V88" s="64"/>
      <c r="W88" s="64"/>
      <c r="X88" s="64"/>
      <c r="Y88" s="64"/>
      <c r="Z88" s="64"/>
    </row>
    <row r="89" ht="12.75" customHeight="1">
      <c r="A89" s="108"/>
      <c r="B89" s="64"/>
      <c r="C89" s="64"/>
      <c r="D89" s="64"/>
      <c r="E89" s="64"/>
      <c r="F89" s="63"/>
      <c r="G89" s="63"/>
      <c r="H89" s="64"/>
      <c r="I89" s="64"/>
      <c r="J89" s="64"/>
      <c r="K89" s="64"/>
      <c r="L89" s="64"/>
      <c r="M89" s="64"/>
      <c r="N89" s="64"/>
      <c r="O89" s="64"/>
      <c r="P89" s="64"/>
      <c r="Q89" s="64"/>
      <c r="R89" s="64"/>
      <c r="S89" s="64"/>
      <c r="T89" s="64"/>
      <c r="U89" s="64"/>
      <c r="V89" s="64"/>
      <c r="W89" s="64"/>
      <c r="X89" s="64"/>
      <c r="Y89" s="64"/>
      <c r="Z89" s="64"/>
    </row>
    <row r="90" ht="12.75" customHeight="1">
      <c r="A90" s="108"/>
      <c r="B90" s="64"/>
      <c r="C90" s="64"/>
      <c r="D90" s="64"/>
      <c r="E90" s="64"/>
      <c r="F90" s="63"/>
      <c r="G90" s="63"/>
      <c r="H90" s="64"/>
      <c r="I90" s="64"/>
      <c r="J90" s="64"/>
      <c r="K90" s="64"/>
      <c r="L90" s="64"/>
      <c r="M90" s="64"/>
      <c r="N90" s="64"/>
      <c r="O90" s="64"/>
      <c r="P90" s="64"/>
      <c r="Q90" s="64"/>
      <c r="R90" s="64"/>
      <c r="S90" s="64"/>
      <c r="T90" s="64"/>
      <c r="U90" s="64"/>
      <c r="V90" s="64"/>
      <c r="W90" s="64"/>
      <c r="X90" s="64"/>
      <c r="Y90" s="64"/>
      <c r="Z90" s="64"/>
    </row>
    <row r="91" ht="12.75" customHeight="1">
      <c r="A91" s="108"/>
      <c r="B91" s="64"/>
      <c r="C91" s="64"/>
      <c r="D91" s="64"/>
      <c r="E91" s="64"/>
      <c r="F91" s="63"/>
      <c r="G91" s="63"/>
      <c r="H91" s="64"/>
      <c r="I91" s="64"/>
      <c r="J91" s="64"/>
      <c r="K91" s="64"/>
      <c r="L91" s="64"/>
      <c r="M91" s="64"/>
      <c r="N91" s="64"/>
      <c r="O91" s="64"/>
      <c r="P91" s="64"/>
      <c r="Q91" s="64"/>
      <c r="R91" s="64"/>
      <c r="S91" s="64"/>
      <c r="T91" s="64"/>
      <c r="U91" s="64"/>
      <c r="V91" s="64"/>
      <c r="W91" s="64"/>
      <c r="X91" s="64"/>
      <c r="Y91" s="64"/>
      <c r="Z91" s="64"/>
    </row>
    <row r="92" ht="12.75" customHeight="1">
      <c r="A92" s="108"/>
      <c r="B92" s="64"/>
      <c r="C92" s="64"/>
      <c r="D92" s="64"/>
      <c r="E92" s="64"/>
      <c r="F92" s="63"/>
      <c r="G92" s="63"/>
      <c r="H92" s="64"/>
      <c r="I92" s="64"/>
      <c r="J92" s="64"/>
      <c r="K92" s="64"/>
      <c r="L92" s="64"/>
      <c r="M92" s="64"/>
      <c r="N92" s="64"/>
      <c r="O92" s="64"/>
      <c r="P92" s="64"/>
      <c r="Q92" s="64"/>
      <c r="R92" s="64"/>
      <c r="S92" s="64"/>
      <c r="T92" s="64"/>
      <c r="U92" s="64"/>
      <c r="V92" s="64"/>
      <c r="W92" s="64"/>
      <c r="X92" s="64"/>
      <c r="Y92" s="64"/>
      <c r="Z92" s="64"/>
    </row>
    <row r="93" ht="12.75" customHeight="1">
      <c r="A93" s="108"/>
      <c r="B93" s="64"/>
      <c r="C93" s="64"/>
      <c r="D93" s="64"/>
      <c r="E93" s="64"/>
      <c r="F93" s="63"/>
      <c r="G93" s="63"/>
      <c r="H93" s="64"/>
      <c r="I93" s="64"/>
      <c r="J93" s="64"/>
      <c r="K93" s="64"/>
      <c r="L93" s="64"/>
      <c r="M93" s="64"/>
      <c r="N93" s="64"/>
      <c r="O93" s="64"/>
      <c r="P93" s="64"/>
      <c r="Q93" s="64"/>
      <c r="R93" s="64"/>
      <c r="S93" s="64"/>
      <c r="T93" s="64"/>
      <c r="U93" s="64"/>
      <c r="V93" s="64"/>
      <c r="W93" s="64"/>
      <c r="X93" s="64"/>
      <c r="Y93" s="64"/>
      <c r="Z93" s="64"/>
    </row>
    <row r="94" ht="12.75" customHeight="1">
      <c r="A94" s="108"/>
      <c r="B94" s="64"/>
      <c r="C94" s="64"/>
      <c r="D94" s="64"/>
      <c r="E94" s="64"/>
      <c r="F94" s="63"/>
      <c r="G94" s="63"/>
      <c r="H94" s="64"/>
      <c r="I94" s="64"/>
      <c r="J94" s="64"/>
      <c r="K94" s="64"/>
      <c r="L94" s="64"/>
      <c r="M94" s="64"/>
      <c r="N94" s="64"/>
      <c r="O94" s="64"/>
      <c r="P94" s="64"/>
      <c r="Q94" s="64"/>
      <c r="R94" s="64"/>
      <c r="S94" s="64"/>
      <c r="T94" s="64"/>
      <c r="U94" s="64"/>
      <c r="V94" s="64"/>
      <c r="W94" s="64"/>
      <c r="X94" s="64"/>
      <c r="Y94" s="64"/>
      <c r="Z94" s="64"/>
    </row>
    <row r="95" ht="12.75" customHeight="1">
      <c r="A95" s="108"/>
      <c r="B95" s="64"/>
      <c r="C95" s="64"/>
      <c r="D95" s="64"/>
      <c r="E95" s="64"/>
      <c r="F95" s="63"/>
      <c r="G95" s="63"/>
      <c r="H95" s="64"/>
      <c r="I95" s="64"/>
      <c r="J95" s="64"/>
      <c r="K95" s="64"/>
      <c r="L95" s="64"/>
      <c r="M95" s="64"/>
      <c r="N95" s="64"/>
      <c r="O95" s="64"/>
      <c r="P95" s="64"/>
      <c r="Q95" s="64"/>
      <c r="R95" s="64"/>
      <c r="S95" s="64"/>
      <c r="T95" s="64"/>
      <c r="U95" s="64"/>
      <c r="V95" s="64"/>
      <c r="W95" s="64"/>
      <c r="X95" s="64"/>
      <c r="Y95" s="64"/>
      <c r="Z95" s="64"/>
    </row>
    <row r="96" ht="12.75" customHeight="1">
      <c r="A96" s="108"/>
      <c r="B96" s="64"/>
      <c r="C96" s="64"/>
      <c r="D96" s="64"/>
      <c r="E96" s="64"/>
      <c r="F96" s="63"/>
      <c r="G96" s="63"/>
      <c r="H96" s="64"/>
      <c r="I96" s="64"/>
      <c r="J96" s="64"/>
      <c r="K96" s="64"/>
      <c r="L96" s="64"/>
      <c r="M96" s="64"/>
      <c r="N96" s="64"/>
      <c r="O96" s="64"/>
      <c r="P96" s="64"/>
      <c r="Q96" s="64"/>
      <c r="R96" s="64"/>
      <c r="S96" s="64"/>
      <c r="T96" s="64"/>
      <c r="U96" s="64"/>
      <c r="V96" s="64"/>
      <c r="W96" s="64"/>
      <c r="X96" s="64"/>
      <c r="Y96" s="64"/>
      <c r="Z96" s="64"/>
    </row>
    <row r="97" ht="12.75" customHeight="1">
      <c r="A97" s="108"/>
      <c r="B97" s="64"/>
      <c r="C97" s="64"/>
      <c r="D97" s="64"/>
      <c r="E97" s="64"/>
      <c r="F97" s="63"/>
      <c r="G97" s="63"/>
      <c r="H97" s="64"/>
      <c r="I97" s="64"/>
      <c r="J97" s="64"/>
      <c r="K97" s="64"/>
      <c r="L97" s="64"/>
      <c r="M97" s="64"/>
      <c r="N97" s="64"/>
      <c r="O97" s="64"/>
      <c r="P97" s="64"/>
      <c r="Q97" s="64"/>
      <c r="R97" s="64"/>
      <c r="S97" s="64"/>
      <c r="T97" s="64"/>
      <c r="U97" s="64"/>
      <c r="V97" s="64"/>
      <c r="W97" s="64"/>
      <c r="X97" s="64"/>
      <c r="Y97" s="64"/>
      <c r="Z97" s="64"/>
    </row>
    <row r="98" ht="12.75" customHeight="1">
      <c r="A98" s="108"/>
      <c r="B98" s="64"/>
      <c r="C98" s="64"/>
      <c r="D98" s="64"/>
      <c r="E98" s="64"/>
      <c r="F98" s="63"/>
      <c r="G98" s="63"/>
      <c r="H98" s="64"/>
      <c r="I98" s="64"/>
      <c r="J98" s="64"/>
      <c r="K98" s="64"/>
      <c r="L98" s="64"/>
      <c r="M98" s="64"/>
      <c r="N98" s="64"/>
      <c r="O98" s="64"/>
      <c r="P98" s="64"/>
      <c r="Q98" s="64"/>
      <c r="R98" s="64"/>
      <c r="S98" s="64"/>
      <c r="T98" s="64"/>
      <c r="U98" s="64"/>
      <c r="V98" s="64"/>
      <c r="W98" s="64"/>
      <c r="X98" s="64"/>
      <c r="Y98" s="64"/>
      <c r="Z98" s="64"/>
    </row>
    <row r="99" ht="12.75" customHeight="1">
      <c r="A99" s="108"/>
      <c r="B99" s="64"/>
      <c r="C99" s="64"/>
      <c r="D99" s="64"/>
      <c r="E99" s="64"/>
      <c r="F99" s="63"/>
      <c r="G99" s="63"/>
      <c r="H99" s="64"/>
      <c r="I99" s="64"/>
      <c r="J99" s="64"/>
      <c r="K99" s="64"/>
      <c r="L99" s="64"/>
      <c r="M99" s="64"/>
      <c r="N99" s="64"/>
      <c r="O99" s="64"/>
      <c r="P99" s="64"/>
      <c r="Q99" s="64"/>
      <c r="R99" s="64"/>
      <c r="S99" s="64"/>
      <c r="T99" s="64"/>
      <c r="U99" s="64"/>
      <c r="V99" s="64"/>
      <c r="W99" s="64"/>
      <c r="X99" s="64"/>
      <c r="Y99" s="64"/>
      <c r="Z99" s="64"/>
    </row>
    <row r="100" ht="12.75" customHeight="1">
      <c r="A100" s="108"/>
      <c r="B100" s="64"/>
      <c r="C100" s="64"/>
      <c r="D100" s="64"/>
      <c r="E100" s="64"/>
      <c r="F100" s="63"/>
      <c r="G100" s="63"/>
      <c r="H100" s="64"/>
      <c r="I100" s="64"/>
      <c r="J100" s="64"/>
      <c r="K100" s="64"/>
      <c r="L100" s="64"/>
      <c r="M100" s="64"/>
      <c r="N100" s="64"/>
      <c r="O100" s="64"/>
      <c r="P100" s="64"/>
      <c r="Q100" s="64"/>
      <c r="R100" s="64"/>
      <c r="S100" s="64"/>
      <c r="T100" s="64"/>
      <c r="U100" s="64"/>
      <c r="V100" s="64"/>
      <c r="W100" s="64"/>
      <c r="X100" s="64"/>
      <c r="Y100" s="64"/>
      <c r="Z100" s="64"/>
    </row>
    <row r="101" ht="12.75" customHeight="1">
      <c r="A101" s="108"/>
      <c r="B101" s="64"/>
      <c r="C101" s="64"/>
      <c r="D101" s="64"/>
      <c r="E101" s="64"/>
      <c r="F101" s="63"/>
      <c r="G101" s="63"/>
      <c r="H101" s="64"/>
      <c r="I101" s="64"/>
      <c r="J101" s="64"/>
      <c r="K101" s="64"/>
      <c r="L101" s="64"/>
      <c r="M101" s="64"/>
      <c r="N101" s="64"/>
      <c r="O101" s="64"/>
      <c r="P101" s="64"/>
      <c r="Q101" s="64"/>
      <c r="R101" s="64"/>
      <c r="S101" s="64"/>
      <c r="T101" s="64"/>
      <c r="U101" s="64"/>
      <c r="V101" s="64"/>
      <c r="W101" s="64"/>
      <c r="X101" s="64"/>
      <c r="Y101" s="64"/>
      <c r="Z101" s="64"/>
    </row>
    <row r="102" ht="12.75" customHeight="1">
      <c r="A102" s="108"/>
      <c r="B102" s="64"/>
      <c r="C102" s="64"/>
      <c r="D102" s="64"/>
      <c r="E102" s="64"/>
      <c r="F102" s="63"/>
      <c r="G102" s="63"/>
      <c r="H102" s="64"/>
      <c r="I102" s="64"/>
      <c r="J102" s="64"/>
      <c r="K102" s="64"/>
      <c r="L102" s="64"/>
      <c r="M102" s="64"/>
      <c r="N102" s="64"/>
      <c r="O102" s="64"/>
      <c r="P102" s="64"/>
      <c r="Q102" s="64"/>
      <c r="R102" s="64"/>
      <c r="S102" s="64"/>
      <c r="T102" s="64"/>
      <c r="U102" s="64"/>
      <c r="V102" s="64"/>
      <c r="W102" s="64"/>
      <c r="X102" s="64"/>
      <c r="Y102" s="64"/>
      <c r="Z102" s="64"/>
    </row>
    <row r="103" ht="12.75" customHeight="1">
      <c r="A103" s="108"/>
      <c r="B103" s="64"/>
      <c r="C103" s="64"/>
      <c r="D103" s="64"/>
      <c r="E103" s="64"/>
      <c r="F103" s="63"/>
      <c r="G103" s="63"/>
      <c r="H103" s="64"/>
      <c r="I103" s="64"/>
      <c r="J103" s="64"/>
      <c r="K103" s="64"/>
      <c r="L103" s="64"/>
      <c r="M103" s="64"/>
      <c r="N103" s="64"/>
      <c r="O103" s="64"/>
      <c r="P103" s="64"/>
      <c r="Q103" s="64"/>
      <c r="R103" s="64"/>
      <c r="S103" s="64"/>
      <c r="T103" s="64"/>
      <c r="U103" s="64"/>
      <c r="V103" s="64"/>
      <c r="W103" s="64"/>
      <c r="X103" s="64"/>
      <c r="Y103" s="64"/>
      <c r="Z103" s="64"/>
    </row>
    <row r="104" ht="12.75" customHeight="1">
      <c r="A104" s="108"/>
      <c r="B104" s="64"/>
      <c r="C104" s="64"/>
      <c r="D104" s="64"/>
      <c r="E104" s="64"/>
      <c r="F104" s="63"/>
      <c r="G104" s="63"/>
      <c r="H104" s="64"/>
      <c r="I104" s="64"/>
      <c r="J104" s="64"/>
      <c r="K104" s="64"/>
      <c r="L104" s="64"/>
      <c r="M104" s="64"/>
      <c r="N104" s="64"/>
      <c r="O104" s="64"/>
      <c r="P104" s="64"/>
      <c r="Q104" s="64"/>
      <c r="R104" s="64"/>
      <c r="S104" s="64"/>
      <c r="T104" s="64"/>
      <c r="U104" s="64"/>
      <c r="V104" s="64"/>
      <c r="W104" s="64"/>
      <c r="X104" s="64"/>
      <c r="Y104" s="64"/>
      <c r="Z104" s="64"/>
    </row>
    <row r="105" ht="12.75" customHeight="1">
      <c r="A105" s="108"/>
      <c r="B105" s="64"/>
      <c r="C105" s="64"/>
      <c r="D105" s="64"/>
      <c r="E105" s="64"/>
      <c r="F105" s="63"/>
      <c r="G105" s="63"/>
      <c r="H105" s="64"/>
      <c r="I105" s="64"/>
      <c r="J105" s="64"/>
      <c r="K105" s="64"/>
      <c r="L105" s="64"/>
      <c r="M105" s="64"/>
      <c r="N105" s="64"/>
      <c r="O105" s="64"/>
      <c r="P105" s="64"/>
      <c r="Q105" s="64"/>
      <c r="R105" s="64"/>
      <c r="S105" s="64"/>
      <c r="T105" s="64"/>
      <c r="U105" s="64"/>
      <c r="V105" s="64"/>
      <c r="W105" s="64"/>
      <c r="X105" s="64"/>
      <c r="Y105" s="64"/>
      <c r="Z105" s="64"/>
    </row>
    <row r="106" ht="12.75" customHeight="1">
      <c r="A106" s="108"/>
      <c r="B106" s="64"/>
      <c r="C106" s="64"/>
      <c r="D106" s="64"/>
      <c r="E106" s="64"/>
      <c r="F106" s="63"/>
      <c r="G106" s="63"/>
      <c r="H106" s="64"/>
      <c r="I106" s="64"/>
      <c r="J106" s="64"/>
      <c r="K106" s="64"/>
      <c r="L106" s="64"/>
      <c r="M106" s="64"/>
      <c r="N106" s="64"/>
      <c r="O106" s="64"/>
      <c r="P106" s="64"/>
      <c r="Q106" s="64"/>
      <c r="R106" s="64"/>
      <c r="S106" s="64"/>
      <c r="T106" s="64"/>
      <c r="U106" s="64"/>
      <c r="V106" s="64"/>
      <c r="W106" s="64"/>
      <c r="X106" s="64"/>
      <c r="Y106" s="64"/>
      <c r="Z106" s="64"/>
    </row>
    <row r="107" ht="12.75" customHeight="1">
      <c r="A107" s="108"/>
      <c r="B107" s="64"/>
      <c r="C107" s="64"/>
      <c r="D107" s="64"/>
      <c r="E107" s="64"/>
      <c r="F107" s="63"/>
      <c r="G107" s="63"/>
      <c r="H107" s="64"/>
      <c r="I107" s="64"/>
      <c r="J107" s="64"/>
      <c r="K107" s="64"/>
      <c r="L107" s="64"/>
      <c r="M107" s="64"/>
      <c r="N107" s="64"/>
      <c r="O107" s="64"/>
      <c r="P107" s="64"/>
      <c r="Q107" s="64"/>
      <c r="R107" s="64"/>
      <c r="S107" s="64"/>
      <c r="T107" s="64"/>
      <c r="U107" s="64"/>
      <c r="V107" s="64"/>
      <c r="W107" s="64"/>
      <c r="X107" s="64"/>
      <c r="Y107" s="64"/>
      <c r="Z107" s="64"/>
    </row>
    <row r="108" ht="12.75" customHeight="1">
      <c r="A108" s="108"/>
      <c r="B108" s="64"/>
      <c r="C108" s="64"/>
      <c r="D108" s="64"/>
      <c r="E108" s="64"/>
      <c r="F108" s="63"/>
      <c r="G108" s="63"/>
      <c r="H108" s="64"/>
      <c r="I108" s="64"/>
      <c r="J108" s="64"/>
      <c r="K108" s="64"/>
      <c r="L108" s="64"/>
      <c r="M108" s="64"/>
      <c r="N108" s="64"/>
      <c r="O108" s="64"/>
      <c r="P108" s="64"/>
      <c r="Q108" s="64"/>
      <c r="R108" s="64"/>
      <c r="S108" s="64"/>
      <c r="T108" s="64"/>
      <c r="U108" s="64"/>
      <c r="V108" s="64"/>
      <c r="W108" s="64"/>
      <c r="X108" s="64"/>
      <c r="Y108" s="64"/>
      <c r="Z108" s="64"/>
    </row>
    <row r="109" ht="12.75" customHeight="1">
      <c r="A109" s="108"/>
      <c r="B109" s="64"/>
      <c r="C109" s="64"/>
      <c r="D109" s="64"/>
      <c r="E109" s="64"/>
      <c r="F109" s="63"/>
      <c r="G109" s="63"/>
      <c r="H109" s="64"/>
      <c r="I109" s="64"/>
      <c r="J109" s="64"/>
      <c r="K109" s="64"/>
      <c r="L109" s="64"/>
      <c r="M109" s="64"/>
      <c r="N109" s="64"/>
      <c r="O109" s="64"/>
      <c r="P109" s="64"/>
      <c r="Q109" s="64"/>
      <c r="R109" s="64"/>
      <c r="S109" s="64"/>
      <c r="T109" s="64"/>
      <c r="U109" s="64"/>
      <c r="V109" s="64"/>
      <c r="W109" s="64"/>
      <c r="X109" s="64"/>
      <c r="Y109" s="64"/>
      <c r="Z109" s="64"/>
    </row>
    <row r="110" ht="12.75" customHeight="1">
      <c r="A110" s="108"/>
      <c r="B110" s="64"/>
      <c r="C110" s="64"/>
      <c r="D110" s="64"/>
      <c r="E110" s="64"/>
      <c r="F110" s="63"/>
      <c r="G110" s="63"/>
      <c r="H110" s="64"/>
      <c r="I110" s="64"/>
      <c r="J110" s="64"/>
      <c r="K110" s="64"/>
      <c r="L110" s="64"/>
      <c r="M110" s="64"/>
      <c r="N110" s="64"/>
      <c r="O110" s="64"/>
      <c r="P110" s="64"/>
      <c r="Q110" s="64"/>
      <c r="R110" s="64"/>
      <c r="S110" s="64"/>
      <c r="T110" s="64"/>
      <c r="U110" s="64"/>
      <c r="V110" s="64"/>
      <c r="W110" s="64"/>
      <c r="X110" s="64"/>
      <c r="Y110" s="64"/>
      <c r="Z110" s="64"/>
    </row>
    <row r="111" ht="12.75" customHeight="1">
      <c r="A111" s="108"/>
      <c r="B111" s="64"/>
      <c r="C111" s="64"/>
      <c r="D111" s="64"/>
      <c r="E111" s="64"/>
      <c r="F111" s="63"/>
      <c r="G111" s="63"/>
      <c r="H111" s="64"/>
      <c r="I111" s="64"/>
      <c r="J111" s="64"/>
      <c r="K111" s="64"/>
      <c r="L111" s="64"/>
      <c r="M111" s="64"/>
      <c r="N111" s="64"/>
      <c r="O111" s="64"/>
      <c r="P111" s="64"/>
      <c r="Q111" s="64"/>
      <c r="R111" s="64"/>
      <c r="S111" s="64"/>
      <c r="T111" s="64"/>
      <c r="U111" s="64"/>
      <c r="V111" s="64"/>
      <c r="W111" s="64"/>
      <c r="X111" s="64"/>
      <c r="Y111" s="64"/>
      <c r="Z111" s="64"/>
    </row>
    <row r="112" ht="12.75" customHeight="1">
      <c r="A112" s="108"/>
      <c r="B112" s="64"/>
      <c r="C112" s="64"/>
      <c r="D112" s="64"/>
      <c r="E112" s="64"/>
      <c r="F112" s="63"/>
      <c r="G112" s="63"/>
      <c r="H112" s="64"/>
      <c r="I112" s="64"/>
      <c r="J112" s="64"/>
      <c r="K112" s="64"/>
      <c r="L112" s="64"/>
      <c r="M112" s="64"/>
      <c r="N112" s="64"/>
      <c r="O112" s="64"/>
      <c r="P112" s="64"/>
      <c r="Q112" s="64"/>
      <c r="R112" s="64"/>
      <c r="S112" s="64"/>
      <c r="T112" s="64"/>
      <c r="U112" s="64"/>
      <c r="V112" s="64"/>
      <c r="W112" s="64"/>
      <c r="X112" s="64"/>
      <c r="Y112" s="64"/>
      <c r="Z112" s="64"/>
    </row>
    <row r="113" ht="12.75" customHeight="1">
      <c r="A113" s="108"/>
      <c r="B113" s="64"/>
      <c r="C113" s="64"/>
      <c r="D113" s="64"/>
      <c r="E113" s="64"/>
      <c r="F113" s="63"/>
      <c r="G113" s="63"/>
      <c r="H113" s="64"/>
      <c r="I113" s="64"/>
      <c r="J113" s="64"/>
      <c r="K113" s="64"/>
      <c r="L113" s="64"/>
      <c r="M113" s="64"/>
      <c r="N113" s="64"/>
      <c r="O113" s="64"/>
      <c r="P113" s="64"/>
      <c r="Q113" s="64"/>
      <c r="R113" s="64"/>
      <c r="S113" s="64"/>
      <c r="T113" s="64"/>
      <c r="U113" s="64"/>
      <c r="V113" s="64"/>
      <c r="W113" s="64"/>
      <c r="X113" s="64"/>
      <c r="Y113" s="64"/>
      <c r="Z113" s="64"/>
    </row>
    <row r="114" ht="12.75" customHeight="1">
      <c r="A114" s="108"/>
      <c r="B114" s="64"/>
      <c r="C114" s="64"/>
      <c r="D114" s="64"/>
      <c r="E114" s="64"/>
      <c r="F114" s="63"/>
      <c r="G114" s="63"/>
      <c r="H114" s="64"/>
      <c r="I114" s="64"/>
      <c r="J114" s="64"/>
      <c r="K114" s="64"/>
      <c r="L114" s="64"/>
      <c r="M114" s="64"/>
      <c r="N114" s="64"/>
      <c r="O114" s="64"/>
      <c r="P114" s="64"/>
      <c r="Q114" s="64"/>
      <c r="R114" s="64"/>
      <c r="S114" s="64"/>
      <c r="T114" s="64"/>
      <c r="U114" s="64"/>
      <c r="V114" s="64"/>
      <c r="W114" s="64"/>
      <c r="X114" s="64"/>
      <c r="Y114" s="64"/>
      <c r="Z114" s="64"/>
    </row>
    <row r="115" ht="12.75" customHeight="1">
      <c r="A115" s="108"/>
      <c r="B115" s="64"/>
      <c r="C115" s="64"/>
      <c r="D115" s="64"/>
      <c r="E115" s="64"/>
      <c r="F115" s="63"/>
      <c r="G115" s="63"/>
      <c r="H115" s="64"/>
      <c r="I115" s="64"/>
      <c r="J115" s="64"/>
      <c r="K115" s="64"/>
      <c r="L115" s="64"/>
      <c r="M115" s="64"/>
      <c r="N115" s="64"/>
      <c r="O115" s="64"/>
      <c r="P115" s="64"/>
      <c r="Q115" s="64"/>
      <c r="R115" s="64"/>
      <c r="S115" s="64"/>
      <c r="T115" s="64"/>
      <c r="U115" s="64"/>
      <c r="V115" s="64"/>
      <c r="W115" s="64"/>
      <c r="X115" s="64"/>
      <c r="Y115" s="64"/>
      <c r="Z115" s="64"/>
    </row>
    <row r="116" ht="12.75" customHeight="1">
      <c r="A116" s="108"/>
      <c r="B116" s="64"/>
      <c r="C116" s="64"/>
      <c r="D116" s="64"/>
      <c r="E116" s="64"/>
      <c r="F116" s="63"/>
      <c r="G116" s="63"/>
      <c r="H116" s="64"/>
      <c r="I116" s="64"/>
      <c r="J116" s="64"/>
      <c r="K116" s="64"/>
      <c r="L116" s="64"/>
      <c r="M116" s="64"/>
      <c r="N116" s="64"/>
      <c r="O116" s="64"/>
      <c r="P116" s="64"/>
      <c r="Q116" s="64"/>
      <c r="R116" s="64"/>
      <c r="S116" s="64"/>
      <c r="T116" s="64"/>
      <c r="U116" s="64"/>
      <c r="V116" s="64"/>
      <c r="W116" s="64"/>
      <c r="X116" s="64"/>
      <c r="Y116" s="64"/>
      <c r="Z116" s="64"/>
    </row>
    <row r="117" ht="12.75" customHeight="1">
      <c r="A117" s="108"/>
      <c r="B117" s="64"/>
      <c r="C117" s="64"/>
      <c r="D117" s="64"/>
      <c r="E117" s="64"/>
      <c r="F117" s="63"/>
      <c r="G117" s="63"/>
      <c r="H117" s="64"/>
      <c r="I117" s="64"/>
      <c r="J117" s="64"/>
      <c r="K117" s="64"/>
      <c r="L117" s="64"/>
      <c r="M117" s="64"/>
      <c r="N117" s="64"/>
      <c r="O117" s="64"/>
      <c r="P117" s="64"/>
      <c r="Q117" s="64"/>
      <c r="R117" s="64"/>
      <c r="S117" s="64"/>
      <c r="T117" s="64"/>
      <c r="U117" s="64"/>
      <c r="V117" s="64"/>
      <c r="W117" s="64"/>
      <c r="X117" s="64"/>
      <c r="Y117" s="64"/>
      <c r="Z117" s="64"/>
    </row>
    <row r="118" ht="12.75" customHeight="1">
      <c r="A118" s="108"/>
      <c r="B118" s="64"/>
      <c r="C118" s="64"/>
      <c r="D118" s="64"/>
      <c r="E118" s="64"/>
      <c r="F118" s="63"/>
      <c r="G118" s="63"/>
      <c r="H118" s="64"/>
      <c r="I118" s="64"/>
      <c r="J118" s="64"/>
      <c r="K118" s="64"/>
      <c r="L118" s="64"/>
      <c r="M118" s="64"/>
      <c r="N118" s="64"/>
      <c r="O118" s="64"/>
      <c r="P118" s="64"/>
      <c r="Q118" s="64"/>
      <c r="R118" s="64"/>
      <c r="S118" s="64"/>
      <c r="T118" s="64"/>
      <c r="U118" s="64"/>
      <c r="V118" s="64"/>
      <c r="W118" s="64"/>
      <c r="X118" s="64"/>
      <c r="Y118" s="64"/>
      <c r="Z118" s="64"/>
    </row>
    <row r="119" ht="12.75" customHeight="1">
      <c r="A119" s="108"/>
      <c r="B119" s="64"/>
      <c r="C119" s="64"/>
      <c r="D119" s="64"/>
      <c r="E119" s="64"/>
      <c r="F119" s="63"/>
      <c r="G119" s="63"/>
      <c r="H119" s="64"/>
      <c r="I119" s="64"/>
      <c r="J119" s="64"/>
      <c r="K119" s="64"/>
      <c r="L119" s="64"/>
      <c r="M119" s="64"/>
      <c r="N119" s="64"/>
      <c r="O119" s="64"/>
      <c r="P119" s="64"/>
      <c r="Q119" s="64"/>
      <c r="R119" s="64"/>
      <c r="S119" s="64"/>
      <c r="T119" s="64"/>
      <c r="U119" s="64"/>
      <c r="V119" s="64"/>
      <c r="W119" s="64"/>
      <c r="X119" s="64"/>
      <c r="Y119" s="64"/>
      <c r="Z119" s="64"/>
    </row>
    <row r="120" ht="12.75" customHeight="1">
      <c r="A120" s="108"/>
      <c r="B120" s="64"/>
      <c r="C120" s="64"/>
      <c r="D120" s="64"/>
      <c r="E120" s="64"/>
      <c r="F120" s="63"/>
      <c r="G120" s="63"/>
      <c r="H120" s="64"/>
      <c r="I120" s="64"/>
      <c r="J120" s="64"/>
      <c r="K120" s="64"/>
      <c r="L120" s="64"/>
      <c r="M120" s="64"/>
      <c r="N120" s="64"/>
      <c r="O120" s="64"/>
      <c r="P120" s="64"/>
      <c r="Q120" s="64"/>
      <c r="R120" s="64"/>
      <c r="S120" s="64"/>
      <c r="T120" s="64"/>
      <c r="U120" s="64"/>
      <c r="V120" s="64"/>
      <c r="W120" s="64"/>
      <c r="X120" s="64"/>
      <c r="Y120" s="64"/>
      <c r="Z120" s="64"/>
    </row>
    <row r="121" ht="12.75" customHeight="1">
      <c r="A121" s="108"/>
      <c r="B121" s="64"/>
      <c r="C121" s="64"/>
      <c r="D121" s="64"/>
      <c r="E121" s="64"/>
      <c r="F121" s="63"/>
      <c r="G121" s="63"/>
      <c r="H121" s="64"/>
      <c r="I121" s="64"/>
      <c r="J121" s="64"/>
      <c r="K121" s="64"/>
      <c r="L121" s="64"/>
      <c r="M121" s="64"/>
      <c r="N121" s="64"/>
      <c r="O121" s="64"/>
      <c r="P121" s="64"/>
      <c r="Q121" s="64"/>
      <c r="R121" s="64"/>
      <c r="S121" s="64"/>
      <c r="T121" s="64"/>
      <c r="U121" s="64"/>
      <c r="V121" s="64"/>
      <c r="W121" s="64"/>
      <c r="X121" s="64"/>
      <c r="Y121" s="64"/>
      <c r="Z121" s="64"/>
    </row>
    <row r="122" ht="12.75" customHeight="1">
      <c r="A122" s="108"/>
      <c r="B122" s="64"/>
      <c r="C122" s="64"/>
      <c r="D122" s="64"/>
      <c r="E122" s="64"/>
      <c r="F122" s="63"/>
      <c r="G122" s="63"/>
      <c r="H122" s="64"/>
      <c r="I122" s="64"/>
      <c r="J122" s="64"/>
      <c r="K122" s="64"/>
      <c r="L122" s="64"/>
      <c r="M122" s="64"/>
      <c r="N122" s="64"/>
      <c r="O122" s="64"/>
      <c r="P122" s="64"/>
      <c r="Q122" s="64"/>
      <c r="R122" s="64"/>
      <c r="S122" s="64"/>
      <c r="T122" s="64"/>
      <c r="U122" s="64"/>
      <c r="V122" s="64"/>
      <c r="W122" s="64"/>
      <c r="X122" s="64"/>
      <c r="Y122" s="64"/>
      <c r="Z122" s="64"/>
    </row>
    <row r="123" ht="12.75" customHeight="1">
      <c r="A123" s="108"/>
      <c r="B123" s="64"/>
      <c r="C123" s="64"/>
      <c r="D123" s="64"/>
      <c r="E123" s="64"/>
      <c r="F123" s="63"/>
      <c r="G123" s="63"/>
      <c r="H123" s="64"/>
      <c r="I123" s="64"/>
      <c r="J123" s="64"/>
      <c r="K123" s="64"/>
      <c r="L123" s="64"/>
      <c r="M123" s="64"/>
      <c r="N123" s="64"/>
      <c r="O123" s="64"/>
      <c r="P123" s="64"/>
      <c r="Q123" s="64"/>
      <c r="R123" s="64"/>
      <c r="S123" s="64"/>
      <c r="T123" s="64"/>
      <c r="U123" s="64"/>
      <c r="V123" s="64"/>
      <c r="W123" s="64"/>
      <c r="X123" s="64"/>
      <c r="Y123" s="64"/>
      <c r="Z123" s="64"/>
    </row>
    <row r="124" ht="12.75" customHeight="1">
      <c r="A124" s="108"/>
      <c r="B124" s="64"/>
      <c r="C124" s="64"/>
      <c r="D124" s="64"/>
      <c r="E124" s="64"/>
      <c r="F124" s="63"/>
      <c r="G124" s="63"/>
      <c r="H124" s="64"/>
      <c r="I124" s="64"/>
      <c r="J124" s="64"/>
      <c r="K124" s="64"/>
      <c r="L124" s="64"/>
      <c r="M124" s="64"/>
      <c r="N124" s="64"/>
      <c r="O124" s="64"/>
      <c r="P124" s="64"/>
      <c r="Q124" s="64"/>
      <c r="R124" s="64"/>
      <c r="S124" s="64"/>
      <c r="T124" s="64"/>
      <c r="U124" s="64"/>
      <c r="V124" s="64"/>
      <c r="W124" s="64"/>
      <c r="X124" s="64"/>
      <c r="Y124" s="64"/>
      <c r="Z124" s="64"/>
    </row>
    <row r="125" ht="12.75" customHeight="1">
      <c r="A125" s="108"/>
      <c r="B125" s="64"/>
      <c r="C125" s="64"/>
      <c r="D125" s="64"/>
      <c r="E125" s="64"/>
      <c r="F125" s="63"/>
      <c r="G125" s="63"/>
      <c r="H125" s="64"/>
      <c r="I125" s="64"/>
      <c r="J125" s="64"/>
      <c r="K125" s="64"/>
      <c r="L125" s="64"/>
      <c r="M125" s="64"/>
      <c r="N125" s="64"/>
      <c r="O125" s="64"/>
      <c r="P125" s="64"/>
      <c r="Q125" s="64"/>
      <c r="R125" s="64"/>
      <c r="S125" s="64"/>
      <c r="T125" s="64"/>
      <c r="U125" s="64"/>
      <c r="V125" s="64"/>
      <c r="W125" s="64"/>
      <c r="X125" s="64"/>
      <c r="Y125" s="64"/>
      <c r="Z125" s="64"/>
    </row>
    <row r="126" ht="12.75" customHeight="1">
      <c r="A126" s="108"/>
      <c r="B126" s="64"/>
      <c r="C126" s="64"/>
      <c r="D126" s="64"/>
      <c r="E126" s="64"/>
      <c r="F126" s="63"/>
      <c r="G126" s="63"/>
      <c r="H126" s="64"/>
      <c r="I126" s="64"/>
      <c r="J126" s="64"/>
      <c r="K126" s="64"/>
      <c r="L126" s="64"/>
      <c r="M126" s="64"/>
      <c r="N126" s="64"/>
      <c r="O126" s="64"/>
      <c r="P126" s="64"/>
      <c r="Q126" s="64"/>
      <c r="R126" s="64"/>
      <c r="S126" s="64"/>
      <c r="T126" s="64"/>
      <c r="U126" s="64"/>
      <c r="V126" s="64"/>
      <c r="W126" s="64"/>
      <c r="X126" s="64"/>
      <c r="Y126" s="64"/>
      <c r="Z126" s="64"/>
    </row>
    <row r="127" ht="12.75" customHeight="1">
      <c r="A127" s="108"/>
      <c r="B127" s="64"/>
      <c r="C127" s="64"/>
      <c r="D127" s="64"/>
      <c r="E127" s="64"/>
      <c r="F127" s="63"/>
      <c r="G127" s="63"/>
      <c r="H127" s="64"/>
      <c r="I127" s="64"/>
      <c r="J127" s="64"/>
      <c r="K127" s="64"/>
      <c r="L127" s="64"/>
      <c r="M127" s="64"/>
      <c r="N127" s="64"/>
      <c r="O127" s="64"/>
      <c r="P127" s="64"/>
      <c r="Q127" s="64"/>
      <c r="R127" s="64"/>
      <c r="S127" s="64"/>
      <c r="T127" s="64"/>
      <c r="U127" s="64"/>
      <c r="V127" s="64"/>
      <c r="W127" s="64"/>
      <c r="X127" s="64"/>
      <c r="Y127" s="64"/>
      <c r="Z127" s="64"/>
    </row>
    <row r="128" ht="12.75" customHeight="1">
      <c r="A128" s="108"/>
      <c r="B128" s="64"/>
      <c r="C128" s="64"/>
      <c r="D128" s="64"/>
      <c r="E128" s="64"/>
      <c r="F128" s="63"/>
      <c r="G128" s="63"/>
      <c r="H128" s="64"/>
      <c r="I128" s="64"/>
      <c r="J128" s="64"/>
      <c r="K128" s="64"/>
      <c r="L128" s="64"/>
      <c r="M128" s="64"/>
      <c r="N128" s="64"/>
      <c r="O128" s="64"/>
      <c r="P128" s="64"/>
      <c r="Q128" s="64"/>
      <c r="R128" s="64"/>
      <c r="S128" s="64"/>
      <c r="T128" s="64"/>
      <c r="U128" s="64"/>
      <c r="V128" s="64"/>
      <c r="W128" s="64"/>
      <c r="X128" s="64"/>
      <c r="Y128" s="64"/>
      <c r="Z128" s="64"/>
    </row>
    <row r="129" ht="12.75" customHeight="1">
      <c r="A129" s="108"/>
      <c r="B129" s="64"/>
      <c r="C129" s="64"/>
      <c r="D129" s="64"/>
      <c r="E129" s="64"/>
      <c r="F129" s="63"/>
      <c r="G129" s="63"/>
      <c r="H129" s="64"/>
      <c r="I129" s="64"/>
      <c r="J129" s="64"/>
      <c r="K129" s="64"/>
      <c r="L129" s="64"/>
      <c r="M129" s="64"/>
      <c r="N129" s="64"/>
      <c r="O129" s="64"/>
      <c r="P129" s="64"/>
      <c r="Q129" s="64"/>
      <c r="R129" s="64"/>
      <c r="S129" s="64"/>
      <c r="T129" s="64"/>
      <c r="U129" s="64"/>
      <c r="V129" s="64"/>
      <c r="W129" s="64"/>
      <c r="X129" s="64"/>
      <c r="Y129" s="64"/>
      <c r="Z129" s="64"/>
    </row>
    <row r="130" ht="12.75" customHeight="1">
      <c r="A130" s="108"/>
      <c r="B130" s="64"/>
      <c r="C130" s="64"/>
      <c r="D130" s="64"/>
      <c r="E130" s="64"/>
      <c r="F130" s="63"/>
      <c r="G130" s="63"/>
      <c r="H130" s="64"/>
      <c r="I130" s="64"/>
      <c r="J130" s="64"/>
      <c r="K130" s="64"/>
      <c r="L130" s="64"/>
      <c r="M130" s="64"/>
      <c r="N130" s="64"/>
      <c r="O130" s="64"/>
      <c r="P130" s="64"/>
      <c r="Q130" s="64"/>
      <c r="R130" s="64"/>
      <c r="S130" s="64"/>
      <c r="T130" s="64"/>
      <c r="U130" s="64"/>
      <c r="V130" s="64"/>
      <c r="W130" s="64"/>
      <c r="X130" s="64"/>
      <c r="Y130" s="64"/>
      <c r="Z130" s="64"/>
    </row>
    <row r="131" ht="12.75" customHeight="1">
      <c r="A131" s="108"/>
      <c r="B131" s="64"/>
      <c r="C131" s="64"/>
      <c r="D131" s="64"/>
      <c r="E131" s="64"/>
      <c r="F131" s="63"/>
      <c r="G131" s="63"/>
      <c r="H131" s="64"/>
      <c r="I131" s="64"/>
      <c r="J131" s="64"/>
      <c r="K131" s="64"/>
      <c r="L131" s="64"/>
      <c r="M131" s="64"/>
      <c r="N131" s="64"/>
      <c r="O131" s="64"/>
      <c r="P131" s="64"/>
      <c r="Q131" s="64"/>
      <c r="R131" s="64"/>
      <c r="S131" s="64"/>
      <c r="T131" s="64"/>
      <c r="U131" s="64"/>
      <c r="V131" s="64"/>
      <c r="W131" s="64"/>
      <c r="X131" s="64"/>
      <c r="Y131" s="64"/>
      <c r="Z131" s="64"/>
    </row>
    <row r="132" ht="12.75" customHeight="1">
      <c r="A132" s="108"/>
      <c r="B132" s="64"/>
      <c r="C132" s="64"/>
      <c r="D132" s="64"/>
      <c r="E132" s="64"/>
      <c r="F132" s="63"/>
      <c r="G132" s="63"/>
      <c r="H132" s="64"/>
      <c r="I132" s="64"/>
      <c r="J132" s="64"/>
      <c r="K132" s="64"/>
      <c r="L132" s="64"/>
      <c r="M132" s="64"/>
      <c r="N132" s="64"/>
      <c r="O132" s="64"/>
      <c r="P132" s="64"/>
      <c r="Q132" s="64"/>
      <c r="R132" s="64"/>
      <c r="S132" s="64"/>
      <c r="T132" s="64"/>
      <c r="U132" s="64"/>
      <c r="V132" s="64"/>
      <c r="W132" s="64"/>
      <c r="X132" s="64"/>
      <c r="Y132" s="64"/>
      <c r="Z132" s="64"/>
    </row>
    <row r="133" ht="12.75" customHeight="1">
      <c r="A133" s="108"/>
      <c r="B133" s="64"/>
      <c r="C133" s="64"/>
      <c r="D133" s="64"/>
      <c r="E133" s="64"/>
      <c r="F133" s="63"/>
      <c r="G133" s="63"/>
      <c r="H133" s="64"/>
      <c r="I133" s="64"/>
      <c r="J133" s="64"/>
      <c r="K133" s="64"/>
      <c r="L133" s="64"/>
      <c r="M133" s="64"/>
      <c r="N133" s="64"/>
      <c r="O133" s="64"/>
      <c r="P133" s="64"/>
      <c r="Q133" s="64"/>
      <c r="R133" s="64"/>
      <c r="S133" s="64"/>
      <c r="T133" s="64"/>
      <c r="U133" s="64"/>
      <c r="V133" s="64"/>
      <c r="W133" s="64"/>
      <c r="X133" s="64"/>
      <c r="Y133" s="64"/>
      <c r="Z133" s="64"/>
    </row>
    <row r="134" ht="12.75" customHeight="1">
      <c r="A134" s="108"/>
      <c r="B134" s="64"/>
      <c r="C134" s="64"/>
      <c r="D134" s="64"/>
      <c r="E134" s="64"/>
      <c r="F134" s="63"/>
      <c r="G134" s="63"/>
      <c r="H134" s="64"/>
      <c r="I134" s="64"/>
      <c r="J134" s="64"/>
      <c r="K134" s="64"/>
      <c r="L134" s="64"/>
      <c r="M134" s="64"/>
      <c r="N134" s="64"/>
      <c r="O134" s="64"/>
      <c r="P134" s="64"/>
      <c r="Q134" s="64"/>
      <c r="R134" s="64"/>
      <c r="S134" s="64"/>
      <c r="T134" s="64"/>
      <c r="U134" s="64"/>
      <c r="V134" s="64"/>
      <c r="W134" s="64"/>
      <c r="X134" s="64"/>
      <c r="Y134" s="64"/>
      <c r="Z134" s="64"/>
    </row>
    <row r="135" ht="12.75" customHeight="1">
      <c r="A135" s="108"/>
      <c r="B135" s="64"/>
      <c r="C135" s="64"/>
      <c r="D135" s="64"/>
      <c r="E135" s="64"/>
      <c r="F135" s="63"/>
      <c r="G135" s="63"/>
      <c r="H135" s="64"/>
      <c r="I135" s="64"/>
      <c r="J135" s="64"/>
      <c r="K135" s="64"/>
      <c r="L135" s="64"/>
      <c r="M135" s="64"/>
      <c r="N135" s="64"/>
      <c r="O135" s="64"/>
      <c r="P135" s="64"/>
      <c r="Q135" s="64"/>
      <c r="R135" s="64"/>
      <c r="S135" s="64"/>
      <c r="T135" s="64"/>
      <c r="U135" s="64"/>
      <c r="V135" s="64"/>
      <c r="W135" s="64"/>
      <c r="X135" s="64"/>
      <c r="Y135" s="64"/>
      <c r="Z135" s="64"/>
    </row>
    <row r="136" ht="12.75" customHeight="1">
      <c r="A136" s="108"/>
      <c r="B136" s="64"/>
      <c r="C136" s="64"/>
      <c r="D136" s="64"/>
      <c r="E136" s="64"/>
      <c r="F136" s="63"/>
      <c r="G136" s="63"/>
      <c r="H136" s="64"/>
      <c r="I136" s="64"/>
      <c r="J136" s="64"/>
      <c r="K136" s="64"/>
      <c r="L136" s="64"/>
      <c r="M136" s="64"/>
      <c r="N136" s="64"/>
      <c r="O136" s="64"/>
      <c r="P136" s="64"/>
      <c r="Q136" s="64"/>
      <c r="R136" s="64"/>
      <c r="S136" s="64"/>
      <c r="T136" s="64"/>
      <c r="U136" s="64"/>
      <c r="V136" s="64"/>
      <c r="W136" s="64"/>
      <c r="X136" s="64"/>
      <c r="Y136" s="64"/>
      <c r="Z136" s="64"/>
    </row>
    <row r="137" ht="12.75" customHeight="1">
      <c r="A137" s="108"/>
      <c r="B137" s="64"/>
      <c r="C137" s="64"/>
      <c r="D137" s="64"/>
      <c r="E137" s="64"/>
      <c r="F137" s="63"/>
      <c r="G137" s="63"/>
      <c r="H137" s="64"/>
      <c r="I137" s="64"/>
      <c r="J137" s="64"/>
      <c r="K137" s="64"/>
      <c r="L137" s="64"/>
      <c r="M137" s="64"/>
      <c r="N137" s="64"/>
      <c r="O137" s="64"/>
      <c r="P137" s="64"/>
      <c r="Q137" s="64"/>
      <c r="R137" s="64"/>
      <c r="S137" s="64"/>
      <c r="T137" s="64"/>
      <c r="U137" s="64"/>
      <c r="V137" s="64"/>
      <c r="W137" s="64"/>
      <c r="X137" s="64"/>
      <c r="Y137" s="64"/>
      <c r="Z137" s="64"/>
    </row>
    <row r="138" ht="12.75" customHeight="1">
      <c r="A138" s="108"/>
      <c r="B138" s="64"/>
      <c r="C138" s="64"/>
      <c r="D138" s="64"/>
      <c r="E138" s="64"/>
      <c r="F138" s="63"/>
      <c r="G138" s="63"/>
      <c r="H138" s="64"/>
      <c r="I138" s="64"/>
      <c r="J138" s="64"/>
      <c r="K138" s="64"/>
      <c r="L138" s="64"/>
      <c r="M138" s="64"/>
      <c r="N138" s="64"/>
      <c r="O138" s="64"/>
      <c r="P138" s="64"/>
      <c r="Q138" s="64"/>
      <c r="R138" s="64"/>
      <c r="S138" s="64"/>
      <c r="T138" s="64"/>
      <c r="U138" s="64"/>
      <c r="V138" s="64"/>
      <c r="W138" s="64"/>
      <c r="X138" s="64"/>
      <c r="Y138" s="64"/>
      <c r="Z138" s="64"/>
    </row>
    <row r="139" ht="12.75" customHeight="1">
      <c r="A139" s="108"/>
      <c r="B139" s="64"/>
      <c r="C139" s="64"/>
      <c r="D139" s="64"/>
      <c r="E139" s="64"/>
      <c r="F139" s="63"/>
      <c r="G139" s="63"/>
      <c r="H139" s="64"/>
      <c r="I139" s="64"/>
      <c r="J139" s="64"/>
      <c r="K139" s="64"/>
      <c r="L139" s="64"/>
      <c r="M139" s="64"/>
      <c r="N139" s="64"/>
      <c r="O139" s="64"/>
      <c r="P139" s="64"/>
      <c r="Q139" s="64"/>
      <c r="R139" s="64"/>
      <c r="S139" s="64"/>
      <c r="T139" s="64"/>
      <c r="U139" s="64"/>
      <c r="V139" s="64"/>
      <c r="W139" s="64"/>
      <c r="X139" s="64"/>
      <c r="Y139" s="64"/>
      <c r="Z139" s="64"/>
    </row>
    <row r="140" ht="12.75" customHeight="1">
      <c r="A140" s="108"/>
      <c r="B140" s="64"/>
      <c r="C140" s="64"/>
      <c r="D140" s="64"/>
      <c r="E140" s="64"/>
      <c r="F140" s="63"/>
      <c r="G140" s="63"/>
      <c r="H140" s="64"/>
      <c r="I140" s="64"/>
      <c r="J140" s="64"/>
      <c r="K140" s="64"/>
      <c r="L140" s="64"/>
      <c r="M140" s="64"/>
      <c r="N140" s="64"/>
      <c r="O140" s="64"/>
      <c r="P140" s="64"/>
      <c r="Q140" s="64"/>
      <c r="R140" s="64"/>
      <c r="S140" s="64"/>
      <c r="T140" s="64"/>
      <c r="U140" s="64"/>
      <c r="V140" s="64"/>
      <c r="W140" s="64"/>
      <c r="X140" s="64"/>
      <c r="Y140" s="64"/>
      <c r="Z140" s="64"/>
    </row>
    <row r="141" ht="12.75" customHeight="1">
      <c r="A141" s="108"/>
      <c r="B141" s="64"/>
      <c r="C141" s="64"/>
      <c r="D141" s="64"/>
      <c r="E141" s="64"/>
      <c r="F141" s="63"/>
      <c r="G141" s="63"/>
      <c r="H141" s="64"/>
      <c r="I141" s="64"/>
      <c r="J141" s="64"/>
      <c r="K141" s="64"/>
      <c r="L141" s="64"/>
      <c r="M141" s="64"/>
      <c r="N141" s="64"/>
      <c r="O141" s="64"/>
      <c r="P141" s="64"/>
      <c r="Q141" s="64"/>
      <c r="R141" s="64"/>
      <c r="S141" s="64"/>
      <c r="T141" s="64"/>
      <c r="U141" s="64"/>
      <c r="V141" s="64"/>
      <c r="W141" s="64"/>
      <c r="X141" s="64"/>
      <c r="Y141" s="64"/>
      <c r="Z141" s="64"/>
    </row>
    <row r="142" ht="12.75" customHeight="1">
      <c r="A142" s="108"/>
      <c r="B142" s="64"/>
      <c r="C142" s="64"/>
      <c r="D142" s="64"/>
      <c r="E142" s="64"/>
      <c r="F142" s="63"/>
      <c r="G142" s="63"/>
      <c r="H142" s="64"/>
      <c r="I142" s="64"/>
      <c r="J142" s="64"/>
      <c r="K142" s="64"/>
      <c r="L142" s="64"/>
      <c r="M142" s="64"/>
      <c r="N142" s="64"/>
      <c r="O142" s="64"/>
      <c r="P142" s="64"/>
      <c r="Q142" s="64"/>
      <c r="R142" s="64"/>
      <c r="S142" s="64"/>
      <c r="T142" s="64"/>
      <c r="U142" s="64"/>
      <c r="V142" s="64"/>
      <c r="W142" s="64"/>
      <c r="X142" s="64"/>
      <c r="Y142" s="64"/>
      <c r="Z142" s="64"/>
    </row>
    <row r="143" ht="12.75" customHeight="1">
      <c r="A143" s="108"/>
      <c r="B143" s="64"/>
      <c r="C143" s="64"/>
      <c r="D143" s="64"/>
      <c r="E143" s="64"/>
      <c r="F143" s="63"/>
      <c r="G143" s="63"/>
      <c r="H143" s="64"/>
      <c r="I143" s="64"/>
      <c r="J143" s="64"/>
      <c r="K143" s="64"/>
      <c r="L143" s="64"/>
      <c r="M143" s="64"/>
      <c r="N143" s="64"/>
      <c r="O143" s="64"/>
      <c r="P143" s="64"/>
      <c r="Q143" s="64"/>
      <c r="R143" s="64"/>
      <c r="S143" s="64"/>
      <c r="T143" s="64"/>
      <c r="U143" s="64"/>
      <c r="V143" s="64"/>
      <c r="W143" s="64"/>
      <c r="X143" s="64"/>
      <c r="Y143" s="64"/>
      <c r="Z143" s="64"/>
    </row>
    <row r="144" ht="12.75" customHeight="1">
      <c r="A144" s="108"/>
      <c r="B144" s="64"/>
      <c r="C144" s="64"/>
      <c r="D144" s="64"/>
      <c r="E144" s="64"/>
      <c r="F144" s="63"/>
      <c r="G144" s="63"/>
      <c r="H144" s="64"/>
      <c r="I144" s="64"/>
      <c r="J144" s="64"/>
      <c r="K144" s="64"/>
      <c r="L144" s="64"/>
      <c r="M144" s="64"/>
      <c r="N144" s="64"/>
      <c r="O144" s="64"/>
      <c r="P144" s="64"/>
      <c r="Q144" s="64"/>
      <c r="R144" s="64"/>
      <c r="S144" s="64"/>
      <c r="T144" s="64"/>
      <c r="U144" s="64"/>
      <c r="V144" s="64"/>
      <c r="W144" s="64"/>
      <c r="X144" s="64"/>
      <c r="Y144" s="64"/>
      <c r="Z144" s="64"/>
    </row>
    <row r="145" ht="12.75" customHeight="1">
      <c r="A145" s="108"/>
      <c r="B145" s="64"/>
      <c r="C145" s="64"/>
      <c r="D145" s="64"/>
      <c r="E145" s="64"/>
      <c r="F145" s="63"/>
      <c r="G145" s="63"/>
      <c r="H145" s="64"/>
      <c r="I145" s="64"/>
      <c r="J145" s="64"/>
      <c r="K145" s="64"/>
      <c r="L145" s="64"/>
      <c r="M145" s="64"/>
      <c r="N145" s="64"/>
      <c r="O145" s="64"/>
      <c r="P145" s="64"/>
      <c r="Q145" s="64"/>
      <c r="R145" s="64"/>
      <c r="S145" s="64"/>
      <c r="T145" s="64"/>
      <c r="U145" s="64"/>
      <c r="V145" s="64"/>
      <c r="W145" s="64"/>
      <c r="X145" s="64"/>
      <c r="Y145" s="64"/>
      <c r="Z145" s="64"/>
    </row>
    <row r="146" ht="12.75" customHeight="1">
      <c r="A146" s="108"/>
      <c r="B146" s="64"/>
      <c r="C146" s="64"/>
      <c r="D146" s="64"/>
      <c r="E146" s="64"/>
      <c r="F146" s="63"/>
      <c r="G146" s="63"/>
      <c r="H146" s="64"/>
      <c r="I146" s="64"/>
      <c r="J146" s="64"/>
      <c r="K146" s="64"/>
      <c r="L146" s="64"/>
      <c r="M146" s="64"/>
      <c r="N146" s="64"/>
      <c r="O146" s="64"/>
      <c r="P146" s="64"/>
      <c r="Q146" s="64"/>
      <c r="R146" s="64"/>
      <c r="S146" s="64"/>
      <c r="T146" s="64"/>
      <c r="U146" s="64"/>
      <c r="V146" s="64"/>
      <c r="W146" s="64"/>
      <c r="X146" s="64"/>
      <c r="Y146" s="64"/>
      <c r="Z146" s="64"/>
    </row>
    <row r="147" ht="12.75" customHeight="1">
      <c r="A147" s="108"/>
      <c r="B147" s="64"/>
      <c r="C147" s="64"/>
      <c r="D147" s="64"/>
      <c r="E147" s="64"/>
      <c r="F147" s="63"/>
      <c r="G147" s="63"/>
      <c r="H147" s="64"/>
      <c r="I147" s="64"/>
      <c r="J147" s="64"/>
      <c r="K147" s="64"/>
      <c r="L147" s="64"/>
      <c r="M147" s="64"/>
      <c r="N147" s="64"/>
      <c r="O147" s="64"/>
      <c r="P147" s="64"/>
      <c r="Q147" s="64"/>
      <c r="R147" s="64"/>
      <c r="S147" s="64"/>
      <c r="T147" s="64"/>
      <c r="U147" s="64"/>
      <c r="V147" s="64"/>
      <c r="W147" s="64"/>
      <c r="X147" s="64"/>
      <c r="Y147" s="64"/>
      <c r="Z147" s="64"/>
    </row>
    <row r="148" ht="12.75" customHeight="1">
      <c r="A148" s="108"/>
      <c r="B148" s="64"/>
      <c r="C148" s="64"/>
      <c r="D148" s="64"/>
      <c r="E148" s="64"/>
      <c r="F148" s="63"/>
      <c r="G148" s="63"/>
      <c r="H148" s="64"/>
      <c r="I148" s="64"/>
      <c r="J148" s="64"/>
      <c r="K148" s="64"/>
      <c r="L148" s="64"/>
      <c r="M148" s="64"/>
      <c r="N148" s="64"/>
      <c r="O148" s="64"/>
      <c r="P148" s="64"/>
      <c r="Q148" s="64"/>
      <c r="R148" s="64"/>
      <c r="S148" s="64"/>
      <c r="T148" s="64"/>
      <c r="U148" s="64"/>
      <c r="V148" s="64"/>
      <c r="W148" s="64"/>
      <c r="X148" s="64"/>
      <c r="Y148" s="64"/>
      <c r="Z148" s="64"/>
    </row>
    <row r="149" ht="12.75" customHeight="1">
      <c r="A149" s="108"/>
      <c r="B149" s="64"/>
      <c r="C149" s="64"/>
      <c r="D149" s="64"/>
      <c r="E149" s="64"/>
      <c r="F149" s="63"/>
      <c r="G149" s="63"/>
      <c r="H149" s="64"/>
      <c r="I149" s="64"/>
      <c r="J149" s="64"/>
      <c r="K149" s="64"/>
      <c r="L149" s="64"/>
      <c r="M149" s="64"/>
      <c r="N149" s="64"/>
      <c r="O149" s="64"/>
      <c r="P149" s="64"/>
      <c r="Q149" s="64"/>
      <c r="R149" s="64"/>
      <c r="S149" s="64"/>
      <c r="T149" s="64"/>
      <c r="U149" s="64"/>
      <c r="V149" s="64"/>
      <c r="W149" s="64"/>
      <c r="X149" s="64"/>
      <c r="Y149" s="64"/>
      <c r="Z149" s="64"/>
    </row>
    <row r="150" ht="12.75" customHeight="1">
      <c r="A150" s="108"/>
      <c r="B150" s="64"/>
      <c r="C150" s="64"/>
      <c r="D150" s="64"/>
      <c r="E150" s="64"/>
      <c r="F150" s="63"/>
      <c r="G150" s="63"/>
      <c r="H150" s="64"/>
      <c r="I150" s="64"/>
      <c r="J150" s="64"/>
      <c r="K150" s="64"/>
      <c r="L150" s="64"/>
      <c r="M150" s="64"/>
      <c r="N150" s="64"/>
      <c r="O150" s="64"/>
      <c r="P150" s="64"/>
      <c r="Q150" s="64"/>
      <c r="R150" s="64"/>
      <c r="S150" s="64"/>
      <c r="T150" s="64"/>
      <c r="U150" s="64"/>
      <c r="V150" s="64"/>
      <c r="W150" s="64"/>
      <c r="X150" s="64"/>
      <c r="Y150" s="64"/>
      <c r="Z150" s="64"/>
    </row>
    <row r="151" ht="12.75" customHeight="1">
      <c r="A151" s="108"/>
      <c r="B151" s="64"/>
      <c r="C151" s="64"/>
      <c r="D151" s="64"/>
      <c r="E151" s="64"/>
      <c r="F151" s="63"/>
      <c r="G151" s="63"/>
      <c r="H151" s="64"/>
      <c r="I151" s="64"/>
      <c r="J151" s="64"/>
      <c r="K151" s="64"/>
      <c r="L151" s="64"/>
      <c r="M151" s="64"/>
      <c r="N151" s="64"/>
      <c r="O151" s="64"/>
      <c r="P151" s="64"/>
      <c r="Q151" s="64"/>
      <c r="R151" s="64"/>
      <c r="S151" s="64"/>
      <c r="T151" s="64"/>
      <c r="U151" s="64"/>
      <c r="V151" s="64"/>
      <c r="W151" s="64"/>
      <c r="X151" s="64"/>
      <c r="Y151" s="64"/>
      <c r="Z151" s="64"/>
    </row>
    <row r="152" ht="12.75" customHeight="1">
      <c r="A152" s="108"/>
      <c r="B152" s="64"/>
      <c r="C152" s="64"/>
      <c r="D152" s="64"/>
      <c r="E152" s="64"/>
      <c r="F152" s="63"/>
      <c r="G152" s="63"/>
      <c r="H152" s="64"/>
      <c r="I152" s="64"/>
      <c r="J152" s="64"/>
      <c r="K152" s="64"/>
      <c r="L152" s="64"/>
      <c r="M152" s="64"/>
      <c r="N152" s="64"/>
      <c r="O152" s="64"/>
      <c r="P152" s="64"/>
      <c r="Q152" s="64"/>
      <c r="R152" s="64"/>
      <c r="S152" s="64"/>
      <c r="T152" s="64"/>
      <c r="U152" s="64"/>
      <c r="V152" s="64"/>
      <c r="W152" s="64"/>
      <c r="X152" s="64"/>
      <c r="Y152" s="64"/>
      <c r="Z152" s="64"/>
    </row>
    <row r="153" ht="12.75" customHeight="1">
      <c r="A153" s="108"/>
      <c r="B153" s="64"/>
      <c r="C153" s="64"/>
      <c r="D153" s="64"/>
      <c r="E153" s="64"/>
      <c r="F153" s="63"/>
      <c r="G153" s="63"/>
      <c r="H153" s="64"/>
      <c r="I153" s="64"/>
      <c r="J153" s="64"/>
      <c r="K153" s="64"/>
      <c r="L153" s="64"/>
      <c r="M153" s="64"/>
      <c r="N153" s="64"/>
      <c r="O153" s="64"/>
      <c r="P153" s="64"/>
      <c r="Q153" s="64"/>
      <c r="R153" s="64"/>
      <c r="S153" s="64"/>
      <c r="T153" s="64"/>
      <c r="U153" s="64"/>
      <c r="V153" s="64"/>
      <c r="W153" s="64"/>
      <c r="X153" s="64"/>
      <c r="Y153" s="64"/>
      <c r="Z153" s="64"/>
    </row>
    <row r="154" ht="12.75" customHeight="1">
      <c r="A154" s="108"/>
      <c r="B154" s="64"/>
      <c r="C154" s="64"/>
      <c r="D154" s="64"/>
      <c r="E154" s="64"/>
      <c r="F154" s="63"/>
      <c r="G154" s="63"/>
      <c r="H154" s="64"/>
      <c r="I154" s="64"/>
      <c r="J154" s="64"/>
      <c r="K154" s="64"/>
      <c r="L154" s="64"/>
      <c r="M154" s="64"/>
      <c r="N154" s="64"/>
      <c r="O154" s="64"/>
      <c r="P154" s="64"/>
      <c r="Q154" s="64"/>
      <c r="R154" s="64"/>
      <c r="S154" s="64"/>
      <c r="T154" s="64"/>
      <c r="U154" s="64"/>
      <c r="V154" s="64"/>
      <c r="W154" s="64"/>
      <c r="X154" s="64"/>
      <c r="Y154" s="64"/>
      <c r="Z154" s="64"/>
    </row>
    <row r="155" ht="12.75" customHeight="1">
      <c r="A155" s="108"/>
      <c r="B155" s="64"/>
      <c r="C155" s="64"/>
      <c r="D155" s="64"/>
      <c r="E155" s="64"/>
      <c r="F155" s="63"/>
      <c r="G155" s="63"/>
      <c r="H155" s="64"/>
      <c r="I155" s="64"/>
      <c r="J155" s="64"/>
      <c r="K155" s="64"/>
      <c r="L155" s="64"/>
      <c r="M155" s="64"/>
      <c r="N155" s="64"/>
      <c r="O155" s="64"/>
      <c r="P155" s="64"/>
      <c r="Q155" s="64"/>
      <c r="R155" s="64"/>
      <c r="S155" s="64"/>
      <c r="T155" s="64"/>
      <c r="U155" s="64"/>
      <c r="V155" s="64"/>
      <c r="W155" s="64"/>
      <c r="X155" s="64"/>
      <c r="Y155" s="64"/>
      <c r="Z155" s="64"/>
    </row>
    <row r="156" ht="12.75" customHeight="1">
      <c r="A156" s="108"/>
      <c r="B156" s="64"/>
      <c r="C156" s="64"/>
      <c r="D156" s="64"/>
      <c r="E156" s="64"/>
      <c r="F156" s="63"/>
      <c r="G156" s="63"/>
      <c r="H156" s="64"/>
      <c r="I156" s="64"/>
      <c r="J156" s="64"/>
      <c r="K156" s="64"/>
      <c r="L156" s="64"/>
      <c r="M156" s="64"/>
      <c r="N156" s="64"/>
      <c r="O156" s="64"/>
      <c r="P156" s="64"/>
      <c r="Q156" s="64"/>
      <c r="R156" s="64"/>
      <c r="S156" s="64"/>
      <c r="T156" s="64"/>
      <c r="U156" s="64"/>
      <c r="V156" s="64"/>
      <c r="W156" s="64"/>
      <c r="X156" s="64"/>
      <c r="Y156" s="64"/>
      <c r="Z156" s="64"/>
    </row>
    <row r="157" ht="12.75" customHeight="1">
      <c r="A157" s="108"/>
      <c r="B157" s="64"/>
      <c r="C157" s="64"/>
      <c r="D157" s="64"/>
      <c r="E157" s="64"/>
      <c r="F157" s="63"/>
      <c r="G157" s="63"/>
      <c r="H157" s="64"/>
      <c r="I157" s="64"/>
      <c r="J157" s="64"/>
      <c r="K157" s="64"/>
      <c r="L157" s="64"/>
      <c r="M157" s="64"/>
      <c r="N157" s="64"/>
      <c r="O157" s="64"/>
      <c r="P157" s="64"/>
      <c r="Q157" s="64"/>
      <c r="R157" s="64"/>
      <c r="S157" s="64"/>
      <c r="T157" s="64"/>
      <c r="U157" s="64"/>
      <c r="V157" s="64"/>
      <c r="W157" s="64"/>
      <c r="X157" s="64"/>
      <c r="Y157" s="64"/>
      <c r="Z157" s="64"/>
    </row>
    <row r="158" ht="12.75" customHeight="1">
      <c r="A158" s="108"/>
      <c r="B158" s="64"/>
      <c r="C158" s="64"/>
      <c r="D158" s="64"/>
      <c r="E158" s="64"/>
      <c r="F158" s="63"/>
      <c r="G158" s="63"/>
      <c r="H158" s="64"/>
      <c r="I158" s="64"/>
      <c r="J158" s="64"/>
      <c r="K158" s="64"/>
      <c r="L158" s="64"/>
      <c r="M158" s="64"/>
      <c r="N158" s="64"/>
      <c r="O158" s="64"/>
      <c r="P158" s="64"/>
      <c r="Q158" s="64"/>
      <c r="R158" s="64"/>
      <c r="S158" s="64"/>
      <c r="T158" s="64"/>
      <c r="U158" s="64"/>
      <c r="V158" s="64"/>
      <c r="W158" s="64"/>
      <c r="X158" s="64"/>
      <c r="Y158" s="64"/>
      <c r="Z158" s="64"/>
    </row>
    <row r="159" ht="12.75" customHeight="1">
      <c r="A159" s="108"/>
      <c r="B159" s="64"/>
      <c r="C159" s="64"/>
      <c r="D159" s="64"/>
      <c r="E159" s="64"/>
      <c r="F159" s="63"/>
      <c r="G159" s="63"/>
      <c r="H159" s="64"/>
      <c r="I159" s="64"/>
      <c r="J159" s="64"/>
      <c r="K159" s="64"/>
      <c r="L159" s="64"/>
      <c r="M159" s="64"/>
      <c r="N159" s="64"/>
      <c r="O159" s="64"/>
      <c r="P159" s="64"/>
      <c r="Q159" s="64"/>
      <c r="R159" s="64"/>
      <c r="S159" s="64"/>
      <c r="T159" s="64"/>
      <c r="U159" s="64"/>
      <c r="V159" s="64"/>
      <c r="W159" s="64"/>
      <c r="X159" s="64"/>
      <c r="Y159" s="64"/>
      <c r="Z159" s="64"/>
    </row>
    <row r="160" ht="12.75" customHeight="1">
      <c r="A160" s="108"/>
      <c r="B160" s="64"/>
      <c r="C160" s="64"/>
      <c r="D160" s="64"/>
      <c r="E160" s="64"/>
      <c r="F160" s="63"/>
      <c r="G160" s="63"/>
      <c r="H160" s="64"/>
      <c r="I160" s="64"/>
      <c r="J160" s="64"/>
      <c r="K160" s="64"/>
      <c r="L160" s="64"/>
      <c r="M160" s="64"/>
      <c r="N160" s="64"/>
      <c r="O160" s="64"/>
      <c r="P160" s="64"/>
      <c r="Q160" s="64"/>
      <c r="R160" s="64"/>
      <c r="S160" s="64"/>
      <c r="T160" s="64"/>
      <c r="U160" s="64"/>
      <c r="V160" s="64"/>
      <c r="W160" s="64"/>
      <c r="X160" s="64"/>
      <c r="Y160" s="64"/>
      <c r="Z160" s="64"/>
    </row>
    <row r="161" ht="12.75" customHeight="1">
      <c r="A161" s="108"/>
      <c r="B161" s="64"/>
      <c r="C161" s="64"/>
      <c r="D161" s="64"/>
      <c r="E161" s="64"/>
      <c r="F161" s="63"/>
      <c r="G161" s="63"/>
      <c r="H161" s="64"/>
      <c r="I161" s="64"/>
      <c r="J161" s="64"/>
      <c r="K161" s="64"/>
      <c r="L161" s="64"/>
      <c r="M161" s="64"/>
      <c r="N161" s="64"/>
      <c r="O161" s="64"/>
      <c r="P161" s="64"/>
      <c r="Q161" s="64"/>
      <c r="R161" s="64"/>
      <c r="S161" s="64"/>
      <c r="T161" s="64"/>
      <c r="U161" s="64"/>
      <c r="V161" s="64"/>
      <c r="W161" s="64"/>
      <c r="X161" s="64"/>
      <c r="Y161" s="64"/>
      <c r="Z161" s="64"/>
    </row>
    <row r="162" ht="12.75" customHeight="1">
      <c r="A162" s="108"/>
      <c r="B162" s="64"/>
      <c r="C162" s="64"/>
      <c r="D162" s="64"/>
      <c r="E162" s="64"/>
      <c r="F162" s="63"/>
      <c r="G162" s="63"/>
      <c r="H162" s="64"/>
      <c r="I162" s="64"/>
      <c r="J162" s="64"/>
      <c r="K162" s="64"/>
      <c r="L162" s="64"/>
      <c r="M162" s="64"/>
      <c r="N162" s="64"/>
      <c r="O162" s="64"/>
      <c r="P162" s="64"/>
      <c r="Q162" s="64"/>
      <c r="R162" s="64"/>
      <c r="S162" s="64"/>
      <c r="T162" s="64"/>
      <c r="U162" s="64"/>
      <c r="V162" s="64"/>
      <c r="W162" s="64"/>
      <c r="X162" s="64"/>
      <c r="Y162" s="64"/>
      <c r="Z162" s="64"/>
    </row>
    <row r="163" ht="12.75" customHeight="1">
      <c r="A163" s="108"/>
      <c r="B163" s="64"/>
      <c r="C163" s="64"/>
      <c r="D163" s="64"/>
      <c r="E163" s="64"/>
      <c r="F163" s="63"/>
      <c r="G163" s="63"/>
      <c r="H163" s="64"/>
      <c r="I163" s="64"/>
      <c r="J163" s="64"/>
      <c r="K163" s="64"/>
      <c r="L163" s="64"/>
      <c r="M163" s="64"/>
      <c r="N163" s="64"/>
      <c r="O163" s="64"/>
      <c r="P163" s="64"/>
      <c r="Q163" s="64"/>
      <c r="R163" s="64"/>
      <c r="S163" s="64"/>
      <c r="T163" s="64"/>
      <c r="U163" s="64"/>
      <c r="V163" s="64"/>
      <c r="W163" s="64"/>
      <c r="X163" s="64"/>
      <c r="Y163" s="64"/>
      <c r="Z163" s="64"/>
    </row>
    <row r="164" ht="12.75" customHeight="1">
      <c r="A164" s="108"/>
      <c r="B164" s="64"/>
      <c r="C164" s="64"/>
      <c r="D164" s="64"/>
      <c r="E164" s="64"/>
      <c r="F164" s="63"/>
      <c r="G164" s="63"/>
      <c r="H164" s="64"/>
      <c r="I164" s="64"/>
      <c r="J164" s="64"/>
      <c r="K164" s="64"/>
      <c r="L164" s="64"/>
      <c r="M164" s="64"/>
      <c r="N164" s="64"/>
      <c r="O164" s="64"/>
      <c r="P164" s="64"/>
      <c r="Q164" s="64"/>
      <c r="R164" s="64"/>
      <c r="S164" s="64"/>
      <c r="T164" s="64"/>
      <c r="U164" s="64"/>
      <c r="V164" s="64"/>
      <c r="W164" s="64"/>
      <c r="X164" s="64"/>
      <c r="Y164" s="64"/>
      <c r="Z164" s="64"/>
    </row>
    <row r="165" ht="12.75" customHeight="1">
      <c r="A165" s="108"/>
      <c r="B165" s="64"/>
      <c r="C165" s="64"/>
      <c r="D165" s="64"/>
      <c r="E165" s="64"/>
      <c r="F165" s="63"/>
      <c r="G165" s="63"/>
      <c r="H165" s="64"/>
      <c r="I165" s="64"/>
      <c r="J165" s="64"/>
      <c r="K165" s="64"/>
      <c r="L165" s="64"/>
      <c r="M165" s="64"/>
      <c r="N165" s="64"/>
      <c r="O165" s="64"/>
      <c r="P165" s="64"/>
      <c r="Q165" s="64"/>
      <c r="R165" s="64"/>
      <c r="S165" s="64"/>
      <c r="T165" s="64"/>
      <c r="U165" s="64"/>
      <c r="V165" s="64"/>
      <c r="W165" s="64"/>
      <c r="X165" s="64"/>
      <c r="Y165" s="64"/>
      <c r="Z165" s="64"/>
    </row>
    <row r="166" ht="12.75" customHeight="1">
      <c r="A166" s="108"/>
      <c r="B166" s="64"/>
      <c r="C166" s="64"/>
      <c r="D166" s="64"/>
      <c r="E166" s="64"/>
      <c r="F166" s="63"/>
      <c r="G166" s="63"/>
      <c r="H166" s="64"/>
      <c r="I166" s="64"/>
      <c r="J166" s="64"/>
      <c r="K166" s="64"/>
      <c r="L166" s="64"/>
      <c r="M166" s="64"/>
      <c r="N166" s="64"/>
      <c r="O166" s="64"/>
      <c r="P166" s="64"/>
      <c r="Q166" s="64"/>
      <c r="R166" s="64"/>
      <c r="S166" s="64"/>
      <c r="T166" s="64"/>
      <c r="U166" s="64"/>
      <c r="V166" s="64"/>
      <c r="W166" s="64"/>
      <c r="X166" s="64"/>
      <c r="Y166" s="64"/>
      <c r="Z166" s="64"/>
    </row>
    <row r="167" ht="12.75" customHeight="1">
      <c r="A167" s="108"/>
      <c r="B167" s="64"/>
      <c r="C167" s="64"/>
      <c r="D167" s="64"/>
      <c r="E167" s="64"/>
      <c r="F167" s="63"/>
      <c r="G167" s="63"/>
      <c r="H167" s="64"/>
      <c r="I167" s="64"/>
      <c r="J167" s="64"/>
      <c r="K167" s="64"/>
      <c r="L167" s="64"/>
      <c r="M167" s="64"/>
      <c r="N167" s="64"/>
      <c r="O167" s="64"/>
      <c r="P167" s="64"/>
      <c r="Q167" s="64"/>
      <c r="R167" s="64"/>
      <c r="S167" s="64"/>
      <c r="T167" s="64"/>
      <c r="U167" s="64"/>
      <c r="V167" s="64"/>
      <c r="W167" s="64"/>
      <c r="X167" s="64"/>
      <c r="Y167" s="64"/>
      <c r="Z167" s="64"/>
    </row>
    <row r="168" ht="12.75" customHeight="1">
      <c r="A168" s="108"/>
      <c r="B168" s="64"/>
      <c r="C168" s="64"/>
      <c r="D168" s="64"/>
      <c r="E168" s="64"/>
      <c r="F168" s="63"/>
      <c r="G168" s="63"/>
      <c r="H168" s="64"/>
      <c r="I168" s="64"/>
      <c r="J168" s="64"/>
      <c r="K168" s="64"/>
      <c r="L168" s="64"/>
      <c r="M168" s="64"/>
      <c r="N168" s="64"/>
      <c r="O168" s="64"/>
      <c r="P168" s="64"/>
      <c r="Q168" s="64"/>
      <c r="R168" s="64"/>
      <c r="S168" s="64"/>
      <c r="T168" s="64"/>
      <c r="U168" s="64"/>
      <c r="V168" s="64"/>
      <c r="W168" s="64"/>
      <c r="X168" s="64"/>
      <c r="Y168" s="64"/>
      <c r="Z168" s="64"/>
    </row>
    <row r="169" ht="12.75" customHeight="1">
      <c r="A169" s="108"/>
      <c r="B169" s="64"/>
      <c r="C169" s="64"/>
      <c r="D169" s="64"/>
      <c r="E169" s="64"/>
      <c r="F169" s="63"/>
      <c r="G169" s="63"/>
      <c r="H169" s="64"/>
      <c r="I169" s="64"/>
      <c r="J169" s="64"/>
      <c r="K169" s="64"/>
      <c r="L169" s="64"/>
      <c r="M169" s="64"/>
      <c r="N169" s="64"/>
      <c r="O169" s="64"/>
      <c r="P169" s="64"/>
      <c r="Q169" s="64"/>
      <c r="R169" s="64"/>
      <c r="S169" s="64"/>
      <c r="T169" s="64"/>
      <c r="U169" s="64"/>
      <c r="V169" s="64"/>
      <c r="W169" s="64"/>
      <c r="X169" s="64"/>
      <c r="Y169" s="64"/>
      <c r="Z169" s="64"/>
    </row>
    <row r="170" ht="12.75" customHeight="1">
      <c r="A170" s="108"/>
      <c r="B170" s="64"/>
      <c r="C170" s="64"/>
      <c r="D170" s="64"/>
      <c r="E170" s="64"/>
      <c r="F170" s="63"/>
      <c r="G170" s="63"/>
      <c r="H170" s="64"/>
      <c r="I170" s="64"/>
      <c r="J170" s="64"/>
      <c r="K170" s="64"/>
      <c r="L170" s="64"/>
      <c r="M170" s="64"/>
      <c r="N170" s="64"/>
      <c r="O170" s="64"/>
      <c r="P170" s="64"/>
      <c r="Q170" s="64"/>
      <c r="R170" s="64"/>
      <c r="S170" s="64"/>
      <c r="T170" s="64"/>
      <c r="U170" s="64"/>
      <c r="V170" s="64"/>
      <c r="W170" s="64"/>
      <c r="X170" s="64"/>
      <c r="Y170" s="64"/>
      <c r="Z170" s="64"/>
    </row>
    <row r="171" ht="12.75" customHeight="1">
      <c r="A171" s="108"/>
      <c r="B171" s="64"/>
      <c r="C171" s="64"/>
      <c r="D171" s="64"/>
      <c r="E171" s="64"/>
      <c r="F171" s="63"/>
      <c r="G171" s="63"/>
      <c r="H171" s="64"/>
      <c r="I171" s="64"/>
      <c r="J171" s="64"/>
      <c r="K171" s="64"/>
      <c r="L171" s="64"/>
      <c r="M171" s="64"/>
      <c r="N171" s="64"/>
      <c r="O171" s="64"/>
      <c r="P171" s="64"/>
      <c r="Q171" s="64"/>
      <c r="R171" s="64"/>
      <c r="S171" s="64"/>
      <c r="T171" s="64"/>
      <c r="U171" s="64"/>
      <c r="V171" s="64"/>
      <c r="W171" s="64"/>
      <c r="X171" s="64"/>
      <c r="Y171" s="64"/>
      <c r="Z171" s="64"/>
    </row>
    <row r="172" ht="12.75" customHeight="1">
      <c r="A172" s="108"/>
      <c r="B172" s="64"/>
      <c r="C172" s="64"/>
      <c r="D172" s="64"/>
      <c r="E172" s="64"/>
      <c r="F172" s="63"/>
      <c r="G172" s="63"/>
      <c r="H172" s="64"/>
      <c r="I172" s="64"/>
      <c r="J172" s="64"/>
      <c r="K172" s="64"/>
      <c r="L172" s="64"/>
      <c r="M172" s="64"/>
      <c r="N172" s="64"/>
      <c r="O172" s="64"/>
      <c r="P172" s="64"/>
      <c r="Q172" s="64"/>
      <c r="R172" s="64"/>
      <c r="S172" s="64"/>
      <c r="T172" s="64"/>
      <c r="U172" s="64"/>
      <c r="V172" s="64"/>
      <c r="W172" s="64"/>
      <c r="X172" s="64"/>
      <c r="Y172" s="64"/>
      <c r="Z172" s="64"/>
    </row>
    <row r="173" ht="12.75" customHeight="1">
      <c r="A173" s="108"/>
      <c r="B173" s="64"/>
      <c r="C173" s="64"/>
      <c r="D173" s="64"/>
      <c r="E173" s="64"/>
      <c r="F173" s="63"/>
      <c r="G173" s="63"/>
      <c r="H173" s="64"/>
      <c r="I173" s="64"/>
      <c r="J173" s="64"/>
      <c r="K173" s="64"/>
      <c r="L173" s="64"/>
      <c r="M173" s="64"/>
      <c r="N173" s="64"/>
      <c r="O173" s="64"/>
      <c r="P173" s="64"/>
      <c r="Q173" s="64"/>
      <c r="R173" s="64"/>
      <c r="S173" s="64"/>
      <c r="T173" s="64"/>
      <c r="U173" s="64"/>
      <c r="V173" s="64"/>
      <c r="W173" s="64"/>
      <c r="X173" s="64"/>
      <c r="Y173" s="64"/>
      <c r="Z173" s="64"/>
    </row>
    <row r="174" ht="12.75" customHeight="1">
      <c r="A174" s="108"/>
      <c r="B174" s="64"/>
      <c r="C174" s="64"/>
      <c r="D174" s="64"/>
      <c r="E174" s="64"/>
      <c r="F174" s="63"/>
      <c r="G174" s="63"/>
      <c r="H174" s="64"/>
      <c r="I174" s="64"/>
      <c r="J174" s="64"/>
      <c r="K174" s="64"/>
      <c r="L174" s="64"/>
      <c r="M174" s="64"/>
      <c r="N174" s="64"/>
      <c r="O174" s="64"/>
      <c r="P174" s="64"/>
      <c r="Q174" s="64"/>
      <c r="R174" s="64"/>
      <c r="S174" s="64"/>
      <c r="T174" s="64"/>
      <c r="U174" s="64"/>
      <c r="V174" s="64"/>
      <c r="W174" s="64"/>
      <c r="X174" s="64"/>
      <c r="Y174" s="64"/>
      <c r="Z174" s="64"/>
    </row>
    <row r="175" ht="12.75" customHeight="1">
      <c r="A175" s="108"/>
      <c r="B175" s="64"/>
      <c r="C175" s="64"/>
      <c r="D175" s="64"/>
      <c r="E175" s="64"/>
      <c r="F175" s="63"/>
      <c r="G175" s="63"/>
      <c r="H175" s="64"/>
      <c r="I175" s="64"/>
      <c r="J175" s="64"/>
      <c r="K175" s="64"/>
      <c r="L175" s="64"/>
      <c r="M175" s="64"/>
      <c r="N175" s="64"/>
      <c r="O175" s="64"/>
      <c r="P175" s="64"/>
      <c r="Q175" s="64"/>
      <c r="R175" s="64"/>
      <c r="S175" s="64"/>
      <c r="T175" s="64"/>
      <c r="U175" s="64"/>
      <c r="V175" s="64"/>
      <c r="W175" s="64"/>
      <c r="X175" s="64"/>
      <c r="Y175" s="64"/>
      <c r="Z175" s="64"/>
    </row>
    <row r="176" ht="12.75" customHeight="1">
      <c r="A176" s="108"/>
      <c r="B176" s="64"/>
      <c r="C176" s="64"/>
      <c r="D176" s="64"/>
      <c r="E176" s="64"/>
      <c r="F176" s="63"/>
      <c r="G176" s="63"/>
      <c r="H176" s="64"/>
      <c r="I176" s="64"/>
      <c r="J176" s="64"/>
      <c r="K176" s="64"/>
      <c r="L176" s="64"/>
      <c r="M176" s="64"/>
      <c r="N176" s="64"/>
      <c r="O176" s="64"/>
      <c r="P176" s="64"/>
      <c r="Q176" s="64"/>
      <c r="R176" s="64"/>
      <c r="S176" s="64"/>
      <c r="T176" s="64"/>
      <c r="U176" s="64"/>
      <c r="V176" s="64"/>
      <c r="W176" s="64"/>
      <c r="X176" s="64"/>
      <c r="Y176" s="64"/>
      <c r="Z176" s="64"/>
    </row>
    <row r="177" ht="12.75" customHeight="1">
      <c r="A177" s="108"/>
      <c r="B177" s="64"/>
      <c r="C177" s="64"/>
      <c r="D177" s="64"/>
      <c r="E177" s="64"/>
      <c r="F177" s="63"/>
      <c r="G177" s="63"/>
      <c r="H177" s="64"/>
      <c r="I177" s="64"/>
      <c r="J177" s="64"/>
      <c r="K177" s="64"/>
      <c r="L177" s="64"/>
      <c r="M177" s="64"/>
      <c r="N177" s="64"/>
      <c r="O177" s="64"/>
      <c r="P177" s="64"/>
      <c r="Q177" s="64"/>
      <c r="R177" s="64"/>
      <c r="S177" s="64"/>
      <c r="T177" s="64"/>
      <c r="U177" s="64"/>
      <c r="V177" s="64"/>
      <c r="W177" s="64"/>
      <c r="X177" s="64"/>
      <c r="Y177" s="64"/>
      <c r="Z177" s="64"/>
    </row>
    <row r="178" ht="12.75" customHeight="1">
      <c r="A178" s="108"/>
      <c r="B178" s="64"/>
      <c r="C178" s="64"/>
      <c r="D178" s="64"/>
      <c r="E178" s="64"/>
      <c r="F178" s="63"/>
      <c r="G178" s="63"/>
      <c r="H178" s="64"/>
      <c r="I178" s="64"/>
      <c r="J178" s="64"/>
      <c r="K178" s="64"/>
      <c r="L178" s="64"/>
      <c r="M178" s="64"/>
      <c r="N178" s="64"/>
      <c r="O178" s="64"/>
      <c r="P178" s="64"/>
      <c r="Q178" s="64"/>
      <c r="R178" s="64"/>
      <c r="S178" s="64"/>
      <c r="T178" s="64"/>
      <c r="U178" s="64"/>
      <c r="V178" s="64"/>
      <c r="W178" s="64"/>
      <c r="X178" s="64"/>
      <c r="Y178" s="64"/>
      <c r="Z178" s="64"/>
    </row>
    <row r="179" ht="12.75" customHeight="1">
      <c r="A179" s="108"/>
      <c r="B179" s="64"/>
      <c r="C179" s="64"/>
      <c r="D179" s="64"/>
      <c r="E179" s="64"/>
      <c r="F179" s="63"/>
      <c r="G179" s="63"/>
      <c r="H179" s="64"/>
      <c r="I179" s="64"/>
      <c r="J179" s="64"/>
      <c r="K179" s="64"/>
      <c r="L179" s="64"/>
      <c r="M179" s="64"/>
      <c r="N179" s="64"/>
      <c r="O179" s="64"/>
      <c r="P179" s="64"/>
      <c r="Q179" s="64"/>
      <c r="R179" s="64"/>
      <c r="S179" s="64"/>
      <c r="T179" s="64"/>
      <c r="U179" s="64"/>
      <c r="V179" s="64"/>
      <c r="W179" s="64"/>
      <c r="X179" s="64"/>
      <c r="Y179" s="64"/>
      <c r="Z179" s="64"/>
    </row>
    <row r="180" ht="12.75" customHeight="1">
      <c r="A180" s="108"/>
      <c r="B180" s="64"/>
      <c r="C180" s="64"/>
      <c r="D180" s="64"/>
      <c r="E180" s="64"/>
      <c r="F180" s="63"/>
      <c r="G180" s="63"/>
      <c r="H180" s="64"/>
      <c r="I180" s="64"/>
      <c r="J180" s="64"/>
      <c r="K180" s="64"/>
      <c r="L180" s="64"/>
      <c r="M180" s="64"/>
      <c r="N180" s="64"/>
      <c r="O180" s="64"/>
      <c r="P180" s="64"/>
      <c r="Q180" s="64"/>
      <c r="R180" s="64"/>
      <c r="S180" s="64"/>
      <c r="T180" s="64"/>
      <c r="U180" s="64"/>
      <c r="V180" s="64"/>
      <c r="W180" s="64"/>
      <c r="X180" s="64"/>
      <c r="Y180" s="64"/>
      <c r="Z180" s="64"/>
    </row>
    <row r="181" ht="12.75" customHeight="1">
      <c r="A181" s="108"/>
      <c r="B181" s="64"/>
      <c r="C181" s="64"/>
      <c r="D181" s="64"/>
      <c r="E181" s="64"/>
      <c r="F181" s="63"/>
      <c r="G181" s="63"/>
      <c r="H181" s="64"/>
      <c r="I181" s="64"/>
      <c r="J181" s="64"/>
      <c r="K181" s="64"/>
      <c r="L181" s="64"/>
      <c r="M181" s="64"/>
      <c r="N181" s="64"/>
      <c r="O181" s="64"/>
      <c r="P181" s="64"/>
      <c r="Q181" s="64"/>
      <c r="R181" s="64"/>
      <c r="S181" s="64"/>
      <c r="T181" s="64"/>
      <c r="U181" s="64"/>
      <c r="V181" s="64"/>
      <c r="W181" s="64"/>
      <c r="X181" s="64"/>
      <c r="Y181" s="64"/>
      <c r="Z181" s="64"/>
    </row>
    <row r="182" ht="12.75" customHeight="1">
      <c r="A182" s="108"/>
      <c r="B182" s="64"/>
      <c r="C182" s="64"/>
      <c r="D182" s="64"/>
      <c r="E182" s="64"/>
      <c r="F182" s="63"/>
      <c r="G182" s="63"/>
      <c r="H182" s="64"/>
      <c r="I182" s="64"/>
      <c r="J182" s="64"/>
      <c r="K182" s="64"/>
      <c r="L182" s="64"/>
      <c r="M182" s="64"/>
      <c r="N182" s="64"/>
      <c r="O182" s="64"/>
      <c r="P182" s="64"/>
      <c r="Q182" s="64"/>
      <c r="R182" s="64"/>
      <c r="S182" s="64"/>
      <c r="T182" s="64"/>
      <c r="U182" s="64"/>
      <c r="V182" s="64"/>
      <c r="W182" s="64"/>
      <c r="X182" s="64"/>
      <c r="Y182" s="64"/>
      <c r="Z182" s="64"/>
    </row>
    <row r="183" ht="12.75" customHeight="1">
      <c r="A183" s="108"/>
      <c r="B183" s="64"/>
      <c r="C183" s="64"/>
      <c r="D183" s="64"/>
      <c r="E183" s="64"/>
      <c r="F183" s="63"/>
      <c r="G183" s="63"/>
      <c r="H183" s="64"/>
      <c r="I183" s="64"/>
      <c r="J183" s="64"/>
      <c r="K183" s="64"/>
      <c r="L183" s="64"/>
      <c r="M183" s="64"/>
      <c r="N183" s="64"/>
      <c r="O183" s="64"/>
      <c r="P183" s="64"/>
      <c r="Q183" s="64"/>
      <c r="R183" s="64"/>
      <c r="S183" s="64"/>
      <c r="T183" s="64"/>
      <c r="U183" s="64"/>
      <c r="V183" s="64"/>
      <c r="W183" s="64"/>
      <c r="X183" s="64"/>
      <c r="Y183" s="64"/>
      <c r="Z183" s="64"/>
    </row>
    <row r="184" ht="12.75" customHeight="1">
      <c r="A184" s="108"/>
      <c r="B184" s="64"/>
      <c r="C184" s="64"/>
      <c r="D184" s="64"/>
      <c r="E184" s="64"/>
      <c r="F184" s="63"/>
      <c r="G184" s="63"/>
      <c r="H184" s="64"/>
      <c r="I184" s="64"/>
      <c r="J184" s="64"/>
      <c r="K184" s="64"/>
      <c r="L184" s="64"/>
      <c r="M184" s="64"/>
      <c r="N184" s="64"/>
      <c r="O184" s="64"/>
      <c r="P184" s="64"/>
      <c r="Q184" s="64"/>
      <c r="R184" s="64"/>
      <c r="S184" s="64"/>
      <c r="T184" s="64"/>
      <c r="U184" s="64"/>
      <c r="V184" s="64"/>
      <c r="W184" s="64"/>
      <c r="X184" s="64"/>
      <c r="Y184" s="64"/>
      <c r="Z184" s="64"/>
    </row>
    <row r="185" ht="12.75" customHeight="1">
      <c r="A185" s="108"/>
      <c r="B185" s="64"/>
      <c r="C185" s="64"/>
      <c r="D185" s="64"/>
      <c r="E185" s="64"/>
      <c r="F185" s="63"/>
      <c r="G185" s="63"/>
      <c r="H185" s="64"/>
      <c r="I185" s="64"/>
      <c r="J185" s="64"/>
      <c r="K185" s="64"/>
      <c r="L185" s="64"/>
      <c r="M185" s="64"/>
      <c r="N185" s="64"/>
      <c r="O185" s="64"/>
      <c r="P185" s="64"/>
      <c r="Q185" s="64"/>
      <c r="R185" s="64"/>
      <c r="S185" s="64"/>
      <c r="T185" s="64"/>
      <c r="U185" s="64"/>
      <c r="V185" s="64"/>
      <c r="W185" s="64"/>
      <c r="X185" s="64"/>
      <c r="Y185" s="64"/>
      <c r="Z185" s="64"/>
    </row>
    <row r="186" ht="12.75" customHeight="1">
      <c r="A186" s="108"/>
      <c r="B186" s="64"/>
      <c r="C186" s="64"/>
      <c r="D186" s="64"/>
      <c r="E186" s="64"/>
      <c r="F186" s="63"/>
      <c r="G186" s="63"/>
      <c r="H186" s="64"/>
      <c r="I186" s="64"/>
      <c r="J186" s="64"/>
      <c r="K186" s="64"/>
      <c r="L186" s="64"/>
      <c r="M186" s="64"/>
      <c r="N186" s="64"/>
      <c r="O186" s="64"/>
      <c r="P186" s="64"/>
      <c r="Q186" s="64"/>
      <c r="R186" s="64"/>
      <c r="S186" s="64"/>
      <c r="T186" s="64"/>
      <c r="U186" s="64"/>
      <c r="V186" s="64"/>
      <c r="W186" s="64"/>
      <c r="X186" s="64"/>
      <c r="Y186" s="64"/>
      <c r="Z186" s="64"/>
    </row>
    <row r="187" ht="12.75" customHeight="1">
      <c r="A187" s="108"/>
      <c r="B187" s="64"/>
      <c r="C187" s="64"/>
      <c r="D187" s="64"/>
      <c r="E187" s="64"/>
      <c r="F187" s="63"/>
      <c r="G187" s="63"/>
      <c r="H187" s="64"/>
      <c r="I187" s="64"/>
      <c r="J187" s="64"/>
      <c r="K187" s="64"/>
      <c r="L187" s="64"/>
      <c r="M187" s="64"/>
      <c r="N187" s="64"/>
      <c r="O187" s="64"/>
      <c r="P187" s="64"/>
      <c r="Q187" s="64"/>
      <c r="R187" s="64"/>
      <c r="S187" s="64"/>
      <c r="T187" s="64"/>
      <c r="U187" s="64"/>
      <c r="V187" s="64"/>
      <c r="W187" s="64"/>
      <c r="X187" s="64"/>
      <c r="Y187" s="64"/>
      <c r="Z187" s="64"/>
    </row>
    <row r="188" ht="12.75" customHeight="1">
      <c r="A188" s="108"/>
      <c r="B188" s="64"/>
      <c r="C188" s="64"/>
      <c r="D188" s="64"/>
      <c r="E188" s="64"/>
      <c r="F188" s="63"/>
      <c r="G188" s="63"/>
      <c r="H188" s="64"/>
      <c r="I188" s="64"/>
      <c r="J188" s="64"/>
      <c r="K188" s="64"/>
      <c r="L188" s="64"/>
      <c r="M188" s="64"/>
      <c r="N188" s="64"/>
      <c r="O188" s="64"/>
      <c r="P188" s="64"/>
      <c r="Q188" s="64"/>
      <c r="R188" s="64"/>
      <c r="S188" s="64"/>
      <c r="T188" s="64"/>
      <c r="U188" s="64"/>
      <c r="V188" s="64"/>
      <c r="W188" s="64"/>
      <c r="X188" s="64"/>
      <c r="Y188" s="64"/>
      <c r="Z188" s="64"/>
    </row>
    <row r="189" ht="12.75" customHeight="1">
      <c r="A189" s="108"/>
      <c r="B189" s="64"/>
      <c r="C189" s="64"/>
      <c r="D189" s="64"/>
      <c r="E189" s="64"/>
      <c r="F189" s="63"/>
      <c r="G189" s="63"/>
      <c r="H189" s="64"/>
      <c r="I189" s="64"/>
      <c r="J189" s="64"/>
      <c r="K189" s="64"/>
      <c r="L189" s="64"/>
      <c r="M189" s="64"/>
      <c r="N189" s="64"/>
      <c r="O189" s="64"/>
      <c r="P189" s="64"/>
      <c r="Q189" s="64"/>
      <c r="R189" s="64"/>
      <c r="S189" s="64"/>
      <c r="T189" s="64"/>
      <c r="U189" s="64"/>
      <c r="V189" s="64"/>
      <c r="W189" s="64"/>
      <c r="X189" s="64"/>
      <c r="Y189" s="64"/>
      <c r="Z189" s="64"/>
    </row>
    <row r="190" ht="12.75" customHeight="1">
      <c r="A190" s="108"/>
      <c r="B190" s="64"/>
      <c r="C190" s="64"/>
      <c r="D190" s="64"/>
      <c r="E190" s="64"/>
      <c r="F190" s="63"/>
      <c r="G190" s="63"/>
      <c r="H190" s="64"/>
      <c r="I190" s="64"/>
      <c r="J190" s="64"/>
      <c r="K190" s="64"/>
      <c r="L190" s="64"/>
      <c r="M190" s="64"/>
      <c r="N190" s="64"/>
      <c r="O190" s="64"/>
      <c r="P190" s="64"/>
      <c r="Q190" s="64"/>
      <c r="R190" s="64"/>
      <c r="S190" s="64"/>
      <c r="T190" s="64"/>
      <c r="U190" s="64"/>
      <c r="V190" s="64"/>
      <c r="W190" s="64"/>
      <c r="X190" s="64"/>
      <c r="Y190" s="64"/>
      <c r="Z190" s="64"/>
    </row>
    <row r="191" ht="12.75" customHeight="1">
      <c r="A191" s="108"/>
      <c r="B191" s="64"/>
      <c r="C191" s="64"/>
      <c r="D191" s="64"/>
      <c r="E191" s="64"/>
      <c r="F191" s="63"/>
      <c r="G191" s="63"/>
      <c r="H191" s="64"/>
      <c r="I191" s="64"/>
      <c r="J191" s="64"/>
      <c r="K191" s="64"/>
      <c r="L191" s="64"/>
      <c r="M191" s="64"/>
      <c r="N191" s="64"/>
      <c r="O191" s="64"/>
      <c r="P191" s="64"/>
      <c r="Q191" s="64"/>
      <c r="R191" s="64"/>
      <c r="S191" s="64"/>
      <c r="T191" s="64"/>
      <c r="U191" s="64"/>
      <c r="V191" s="64"/>
      <c r="W191" s="64"/>
      <c r="X191" s="64"/>
      <c r="Y191" s="64"/>
      <c r="Z191" s="64"/>
    </row>
    <row r="192" ht="12.75" customHeight="1">
      <c r="A192" s="108"/>
      <c r="B192" s="64"/>
      <c r="C192" s="64"/>
      <c r="D192" s="64"/>
      <c r="E192" s="64"/>
      <c r="F192" s="63"/>
      <c r="G192" s="63"/>
      <c r="H192" s="64"/>
      <c r="I192" s="64"/>
      <c r="J192" s="64"/>
      <c r="K192" s="64"/>
      <c r="L192" s="64"/>
      <c r="M192" s="64"/>
      <c r="N192" s="64"/>
      <c r="O192" s="64"/>
      <c r="P192" s="64"/>
      <c r="Q192" s="64"/>
      <c r="R192" s="64"/>
      <c r="S192" s="64"/>
      <c r="T192" s="64"/>
      <c r="U192" s="64"/>
      <c r="V192" s="64"/>
      <c r="W192" s="64"/>
      <c r="X192" s="64"/>
      <c r="Y192" s="64"/>
      <c r="Z192" s="64"/>
    </row>
    <row r="193" ht="12.75" customHeight="1">
      <c r="A193" s="108"/>
      <c r="B193" s="64"/>
      <c r="C193" s="64"/>
      <c r="D193" s="64"/>
      <c r="E193" s="64"/>
      <c r="F193" s="63"/>
      <c r="G193" s="63"/>
      <c r="H193" s="64"/>
      <c r="I193" s="64"/>
      <c r="J193" s="64"/>
      <c r="K193" s="64"/>
      <c r="L193" s="64"/>
      <c r="M193" s="64"/>
      <c r="N193" s="64"/>
      <c r="O193" s="64"/>
      <c r="P193" s="64"/>
      <c r="Q193" s="64"/>
      <c r="R193" s="64"/>
      <c r="S193" s="64"/>
      <c r="T193" s="64"/>
      <c r="U193" s="64"/>
      <c r="V193" s="64"/>
      <c r="W193" s="64"/>
      <c r="X193" s="64"/>
      <c r="Y193" s="64"/>
      <c r="Z193" s="64"/>
    </row>
    <row r="194" ht="12.75" customHeight="1">
      <c r="A194" s="108"/>
      <c r="B194" s="64"/>
      <c r="C194" s="64"/>
      <c r="D194" s="64"/>
      <c r="E194" s="64"/>
      <c r="F194" s="63"/>
      <c r="G194" s="63"/>
      <c r="H194" s="64"/>
      <c r="I194" s="64"/>
      <c r="J194" s="64"/>
      <c r="K194" s="64"/>
      <c r="L194" s="64"/>
      <c r="M194" s="64"/>
      <c r="N194" s="64"/>
      <c r="O194" s="64"/>
      <c r="P194" s="64"/>
      <c r="Q194" s="64"/>
      <c r="R194" s="64"/>
      <c r="S194" s="64"/>
      <c r="T194" s="64"/>
      <c r="U194" s="64"/>
      <c r="V194" s="64"/>
      <c r="W194" s="64"/>
      <c r="X194" s="64"/>
      <c r="Y194" s="64"/>
      <c r="Z194" s="64"/>
    </row>
    <row r="195" ht="12.75" customHeight="1">
      <c r="A195" s="108"/>
      <c r="B195" s="64"/>
      <c r="C195" s="64"/>
      <c r="D195" s="64"/>
      <c r="E195" s="64"/>
      <c r="F195" s="63"/>
      <c r="G195" s="63"/>
      <c r="H195" s="64"/>
      <c r="I195" s="64"/>
      <c r="J195" s="64"/>
      <c r="K195" s="64"/>
      <c r="L195" s="64"/>
      <c r="M195" s="64"/>
      <c r="N195" s="64"/>
      <c r="O195" s="64"/>
      <c r="P195" s="64"/>
      <c r="Q195" s="64"/>
      <c r="R195" s="64"/>
      <c r="S195" s="64"/>
      <c r="T195" s="64"/>
      <c r="U195" s="64"/>
      <c r="V195" s="64"/>
      <c r="W195" s="64"/>
      <c r="X195" s="64"/>
      <c r="Y195" s="64"/>
      <c r="Z195" s="64"/>
    </row>
    <row r="196" ht="12.75" customHeight="1">
      <c r="A196" s="108"/>
      <c r="B196" s="64"/>
      <c r="C196" s="64"/>
      <c r="D196" s="64"/>
      <c r="E196" s="64"/>
      <c r="F196" s="63"/>
      <c r="G196" s="63"/>
      <c r="H196" s="64"/>
      <c r="I196" s="64"/>
      <c r="J196" s="64"/>
      <c r="K196" s="64"/>
      <c r="L196" s="64"/>
      <c r="M196" s="64"/>
      <c r="N196" s="64"/>
      <c r="O196" s="64"/>
      <c r="P196" s="64"/>
      <c r="Q196" s="64"/>
      <c r="R196" s="64"/>
      <c r="S196" s="64"/>
      <c r="T196" s="64"/>
      <c r="U196" s="64"/>
      <c r="V196" s="64"/>
      <c r="W196" s="64"/>
      <c r="X196" s="64"/>
      <c r="Y196" s="64"/>
      <c r="Z196" s="64"/>
    </row>
    <row r="197" ht="12.75" customHeight="1">
      <c r="A197" s="108"/>
      <c r="B197" s="64"/>
      <c r="C197" s="64"/>
      <c r="D197" s="64"/>
      <c r="E197" s="64"/>
      <c r="F197" s="63"/>
      <c r="G197" s="63"/>
      <c r="H197" s="64"/>
      <c r="I197" s="64"/>
      <c r="J197" s="64"/>
      <c r="K197" s="64"/>
      <c r="L197" s="64"/>
      <c r="M197" s="64"/>
      <c r="N197" s="64"/>
      <c r="O197" s="64"/>
      <c r="P197" s="64"/>
      <c r="Q197" s="64"/>
      <c r="R197" s="64"/>
      <c r="S197" s="64"/>
      <c r="T197" s="64"/>
      <c r="U197" s="64"/>
      <c r="V197" s="64"/>
      <c r="W197" s="64"/>
      <c r="X197" s="64"/>
      <c r="Y197" s="64"/>
      <c r="Z197" s="64"/>
    </row>
    <row r="198" ht="12.75" customHeight="1">
      <c r="A198" s="108"/>
      <c r="B198" s="64"/>
      <c r="C198" s="64"/>
      <c r="D198" s="64"/>
      <c r="E198" s="64"/>
      <c r="F198" s="63"/>
      <c r="G198" s="63"/>
      <c r="H198" s="64"/>
      <c r="I198" s="64"/>
      <c r="J198" s="64"/>
      <c r="K198" s="64"/>
      <c r="L198" s="64"/>
      <c r="M198" s="64"/>
      <c r="N198" s="64"/>
      <c r="O198" s="64"/>
      <c r="P198" s="64"/>
      <c r="Q198" s="64"/>
      <c r="R198" s="64"/>
      <c r="S198" s="64"/>
      <c r="T198" s="64"/>
      <c r="U198" s="64"/>
      <c r="V198" s="64"/>
      <c r="W198" s="64"/>
      <c r="X198" s="64"/>
      <c r="Y198" s="64"/>
      <c r="Z198" s="64"/>
    </row>
    <row r="199" ht="12.75" customHeight="1">
      <c r="A199" s="108"/>
      <c r="B199" s="64"/>
      <c r="C199" s="64"/>
      <c r="D199" s="64"/>
      <c r="E199" s="64"/>
      <c r="F199" s="63"/>
      <c r="G199" s="63"/>
      <c r="H199" s="64"/>
      <c r="I199" s="64"/>
      <c r="J199" s="64"/>
      <c r="K199" s="64"/>
      <c r="L199" s="64"/>
      <c r="M199" s="64"/>
      <c r="N199" s="64"/>
      <c r="O199" s="64"/>
      <c r="P199" s="64"/>
      <c r="Q199" s="64"/>
      <c r="R199" s="64"/>
      <c r="S199" s="64"/>
      <c r="T199" s="64"/>
      <c r="U199" s="64"/>
      <c r="V199" s="64"/>
      <c r="W199" s="64"/>
      <c r="X199" s="64"/>
      <c r="Y199" s="64"/>
      <c r="Z199" s="64"/>
    </row>
    <row r="200" ht="12.75" customHeight="1">
      <c r="A200" s="108"/>
      <c r="B200" s="64"/>
      <c r="C200" s="64"/>
      <c r="D200" s="64"/>
      <c r="E200" s="64"/>
      <c r="F200" s="63"/>
      <c r="G200" s="63"/>
      <c r="H200" s="64"/>
      <c r="I200" s="64"/>
      <c r="J200" s="64"/>
      <c r="K200" s="64"/>
      <c r="L200" s="64"/>
      <c r="M200" s="64"/>
      <c r="N200" s="64"/>
      <c r="O200" s="64"/>
      <c r="P200" s="64"/>
      <c r="Q200" s="64"/>
      <c r="R200" s="64"/>
      <c r="S200" s="64"/>
      <c r="T200" s="64"/>
      <c r="U200" s="64"/>
      <c r="V200" s="64"/>
      <c r="W200" s="64"/>
      <c r="X200" s="64"/>
      <c r="Y200" s="64"/>
      <c r="Z200" s="64"/>
    </row>
    <row r="201" ht="12.75" customHeight="1">
      <c r="A201" s="108"/>
      <c r="B201" s="64"/>
      <c r="C201" s="64"/>
      <c r="D201" s="64"/>
      <c r="E201" s="64"/>
      <c r="F201" s="63"/>
      <c r="G201" s="63"/>
      <c r="H201" s="64"/>
      <c r="I201" s="64"/>
      <c r="J201" s="64"/>
      <c r="K201" s="64"/>
      <c r="L201" s="64"/>
      <c r="M201" s="64"/>
      <c r="N201" s="64"/>
      <c r="O201" s="64"/>
      <c r="P201" s="64"/>
      <c r="Q201" s="64"/>
      <c r="R201" s="64"/>
      <c r="S201" s="64"/>
      <c r="T201" s="64"/>
      <c r="U201" s="64"/>
      <c r="V201" s="64"/>
      <c r="W201" s="64"/>
      <c r="X201" s="64"/>
      <c r="Y201" s="64"/>
      <c r="Z201" s="64"/>
    </row>
    <row r="202" ht="12.75" customHeight="1">
      <c r="A202" s="108"/>
      <c r="B202" s="64"/>
      <c r="C202" s="64"/>
      <c r="D202" s="64"/>
      <c r="E202" s="64"/>
      <c r="F202" s="63"/>
      <c r="G202" s="63"/>
      <c r="H202" s="64"/>
      <c r="I202" s="64"/>
      <c r="J202" s="64"/>
      <c r="K202" s="64"/>
      <c r="L202" s="64"/>
      <c r="M202" s="64"/>
      <c r="N202" s="64"/>
      <c r="O202" s="64"/>
      <c r="P202" s="64"/>
      <c r="Q202" s="64"/>
      <c r="R202" s="64"/>
      <c r="S202" s="64"/>
      <c r="T202" s="64"/>
      <c r="U202" s="64"/>
      <c r="V202" s="64"/>
      <c r="W202" s="64"/>
      <c r="X202" s="64"/>
      <c r="Y202" s="64"/>
      <c r="Z202" s="64"/>
    </row>
    <row r="203" ht="12.75" customHeight="1">
      <c r="A203" s="108"/>
      <c r="B203" s="64"/>
      <c r="C203" s="64"/>
      <c r="D203" s="64"/>
      <c r="E203" s="64"/>
      <c r="F203" s="63"/>
      <c r="G203" s="63"/>
      <c r="H203" s="64"/>
      <c r="I203" s="64"/>
      <c r="J203" s="64"/>
      <c r="K203" s="64"/>
      <c r="L203" s="64"/>
      <c r="M203" s="64"/>
      <c r="N203" s="64"/>
      <c r="O203" s="64"/>
      <c r="P203" s="64"/>
      <c r="Q203" s="64"/>
      <c r="R203" s="64"/>
      <c r="S203" s="64"/>
      <c r="T203" s="64"/>
      <c r="U203" s="64"/>
      <c r="V203" s="64"/>
      <c r="W203" s="64"/>
      <c r="X203" s="64"/>
      <c r="Y203" s="64"/>
      <c r="Z203" s="64"/>
    </row>
    <row r="204" ht="12.75" customHeight="1">
      <c r="A204" s="108"/>
      <c r="B204" s="64"/>
      <c r="C204" s="64"/>
      <c r="D204" s="64"/>
      <c r="E204" s="64"/>
      <c r="F204" s="63"/>
      <c r="G204" s="63"/>
      <c r="H204" s="64"/>
      <c r="I204" s="64"/>
      <c r="J204" s="64"/>
      <c r="K204" s="64"/>
      <c r="L204" s="64"/>
      <c r="M204" s="64"/>
      <c r="N204" s="64"/>
      <c r="O204" s="64"/>
      <c r="P204" s="64"/>
      <c r="Q204" s="64"/>
      <c r="R204" s="64"/>
      <c r="S204" s="64"/>
      <c r="T204" s="64"/>
      <c r="U204" s="64"/>
      <c r="V204" s="64"/>
      <c r="W204" s="64"/>
      <c r="X204" s="64"/>
      <c r="Y204" s="64"/>
      <c r="Z204" s="64"/>
    </row>
    <row r="205" ht="12.75" customHeight="1">
      <c r="A205" s="108"/>
      <c r="B205" s="64"/>
      <c r="C205" s="64"/>
      <c r="D205" s="64"/>
      <c r="E205" s="64"/>
      <c r="F205" s="63"/>
      <c r="G205" s="63"/>
      <c r="H205" s="64"/>
      <c r="I205" s="64"/>
      <c r="J205" s="64"/>
      <c r="K205" s="64"/>
      <c r="L205" s="64"/>
      <c r="M205" s="64"/>
      <c r="N205" s="64"/>
      <c r="O205" s="64"/>
      <c r="P205" s="64"/>
      <c r="Q205" s="64"/>
      <c r="R205" s="64"/>
      <c r="S205" s="64"/>
      <c r="T205" s="64"/>
      <c r="U205" s="64"/>
      <c r="V205" s="64"/>
      <c r="W205" s="64"/>
      <c r="X205" s="64"/>
      <c r="Y205" s="64"/>
      <c r="Z205" s="64"/>
    </row>
    <row r="206" ht="12.75" customHeight="1">
      <c r="A206" s="108"/>
      <c r="B206" s="64"/>
      <c r="C206" s="64"/>
      <c r="D206" s="64"/>
      <c r="E206" s="64"/>
      <c r="F206" s="63"/>
      <c r="G206" s="63"/>
      <c r="H206" s="64"/>
      <c r="I206" s="64"/>
      <c r="J206" s="64"/>
      <c r="K206" s="64"/>
      <c r="L206" s="64"/>
      <c r="M206" s="64"/>
      <c r="N206" s="64"/>
      <c r="O206" s="64"/>
      <c r="P206" s="64"/>
      <c r="Q206" s="64"/>
      <c r="R206" s="64"/>
      <c r="S206" s="64"/>
      <c r="T206" s="64"/>
      <c r="U206" s="64"/>
      <c r="V206" s="64"/>
      <c r="W206" s="64"/>
      <c r="X206" s="64"/>
      <c r="Y206" s="64"/>
      <c r="Z206" s="64"/>
    </row>
    <row r="207" ht="12.75" customHeight="1">
      <c r="A207" s="108"/>
      <c r="B207" s="64"/>
      <c r="C207" s="64"/>
      <c r="D207" s="64"/>
      <c r="E207" s="64"/>
      <c r="F207" s="63"/>
      <c r="G207" s="63"/>
      <c r="H207" s="64"/>
      <c r="I207" s="64"/>
      <c r="J207" s="64"/>
      <c r="K207" s="64"/>
      <c r="L207" s="64"/>
      <c r="M207" s="64"/>
      <c r="N207" s="64"/>
      <c r="O207" s="64"/>
      <c r="P207" s="64"/>
      <c r="Q207" s="64"/>
      <c r="R207" s="64"/>
      <c r="S207" s="64"/>
      <c r="T207" s="64"/>
      <c r="U207" s="64"/>
      <c r="V207" s="64"/>
      <c r="W207" s="64"/>
      <c r="X207" s="64"/>
      <c r="Y207" s="64"/>
      <c r="Z207" s="64"/>
    </row>
    <row r="208" ht="12.75" customHeight="1">
      <c r="A208" s="108"/>
      <c r="B208" s="64"/>
      <c r="C208" s="64"/>
      <c r="D208" s="64"/>
      <c r="E208" s="64"/>
      <c r="F208" s="63"/>
      <c r="G208" s="63"/>
      <c r="H208" s="64"/>
      <c r="I208" s="64"/>
      <c r="J208" s="64"/>
      <c r="K208" s="64"/>
      <c r="L208" s="64"/>
      <c r="M208" s="64"/>
      <c r="N208" s="64"/>
      <c r="O208" s="64"/>
      <c r="P208" s="64"/>
      <c r="Q208" s="64"/>
      <c r="R208" s="64"/>
      <c r="S208" s="64"/>
      <c r="T208" s="64"/>
      <c r="U208" s="64"/>
      <c r="V208" s="64"/>
      <c r="W208" s="64"/>
      <c r="X208" s="64"/>
      <c r="Y208" s="64"/>
      <c r="Z208" s="64"/>
    </row>
    <row r="209" ht="12.75" customHeight="1">
      <c r="A209" s="108"/>
      <c r="B209" s="64"/>
      <c r="C209" s="64"/>
      <c r="D209" s="64"/>
      <c r="E209" s="64"/>
      <c r="F209" s="63"/>
      <c r="G209" s="63"/>
      <c r="H209" s="64"/>
      <c r="I209" s="64"/>
      <c r="J209" s="64"/>
      <c r="K209" s="64"/>
      <c r="L209" s="64"/>
      <c r="M209" s="64"/>
      <c r="N209" s="64"/>
      <c r="O209" s="64"/>
      <c r="P209" s="64"/>
      <c r="Q209" s="64"/>
      <c r="R209" s="64"/>
      <c r="S209" s="64"/>
      <c r="T209" s="64"/>
      <c r="U209" s="64"/>
      <c r="V209" s="64"/>
      <c r="W209" s="64"/>
      <c r="X209" s="64"/>
      <c r="Y209" s="64"/>
      <c r="Z209" s="64"/>
    </row>
    <row r="210" ht="12.75" customHeight="1">
      <c r="A210" s="108"/>
      <c r="B210" s="64"/>
      <c r="C210" s="64"/>
      <c r="D210" s="64"/>
      <c r="E210" s="64"/>
      <c r="F210" s="63"/>
      <c r="G210" s="63"/>
      <c r="H210" s="64"/>
      <c r="I210" s="64"/>
      <c r="J210" s="64"/>
      <c r="K210" s="64"/>
      <c r="L210" s="64"/>
      <c r="M210" s="64"/>
      <c r="N210" s="64"/>
      <c r="O210" s="64"/>
      <c r="P210" s="64"/>
      <c r="Q210" s="64"/>
      <c r="R210" s="64"/>
      <c r="S210" s="64"/>
      <c r="T210" s="64"/>
      <c r="U210" s="64"/>
      <c r="V210" s="64"/>
      <c r="W210" s="64"/>
      <c r="X210" s="64"/>
      <c r="Y210" s="64"/>
      <c r="Z210" s="64"/>
    </row>
    <row r="211" ht="12.75" customHeight="1">
      <c r="A211" s="108"/>
      <c r="B211" s="64"/>
      <c r="C211" s="64"/>
      <c r="D211" s="64"/>
      <c r="E211" s="64"/>
      <c r="F211" s="63"/>
      <c r="G211" s="63"/>
      <c r="H211" s="64"/>
      <c r="I211" s="64"/>
      <c r="J211" s="64"/>
      <c r="K211" s="64"/>
      <c r="L211" s="64"/>
      <c r="M211" s="64"/>
      <c r="N211" s="64"/>
      <c r="O211" s="64"/>
      <c r="P211" s="64"/>
      <c r="Q211" s="64"/>
      <c r="R211" s="64"/>
      <c r="S211" s="64"/>
      <c r="T211" s="64"/>
      <c r="U211" s="64"/>
      <c r="V211" s="64"/>
      <c r="W211" s="64"/>
      <c r="X211" s="64"/>
      <c r="Y211" s="64"/>
      <c r="Z211" s="64"/>
    </row>
    <row r="212" ht="12.75" customHeight="1">
      <c r="A212" s="108"/>
      <c r="B212" s="64"/>
      <c r="C212" s="64"/>
      <c r="D212" s="64"/>
      <c r="E212" s="64"/>
      <c r="F212" s="63"/>
      <c r="G212" s="63"/>
      <c r="H212" s="64"/>
      <c r="I212" s="64"/>
      <c r="J212" s="64"/>
      <c r="K212" s="64"/>
      <c r="L212" s="64"/>
      <c r="M212" s="64"/>
      <c r="N212" s="64"/>
      <c r="O212" s="64"/>
      <c r="P212" s="64"/>
      <c r="Q212" s="64"/>
      <c r="R212" s="64"/>
      <c r="S212" s="64"/>
      <c r="T212" s="64"/>
      <c r="U212" s="64"/>
      <c r="V212" s="64"/>
      <c r="W212" s="64"/>
      <c r="X212" s="64"/>
      <c r="Y212" s="64"/>
      <c r="Z212" s="64"/>
    </row>
    <row r="213" ht="12.75" customHeight="1">
      <c r="A213" s="108"/>
      <c r="B213" s="64"/>
      <c r="C213" s="64"/>
      <c r="D213" s="64"/>
      <c r="E213" s="64"/>
      <c r="F213" s="63"/>
      <c r="G213" s="63"/>
      <c r="H213" s="64"/>
      <c r="I213" s="64"/>
      <c r="J213" s="64"/>
      <c r="K213" s="64"/>
      <c r="L213" s="64"/>
      <c r="M213" s="64"/>
      <c r="N213" s="64"/>
      <c r="O213" s="64"/>
      <c r="P213" s="64"/>
      <c r="Q213" s="64"/>
      <c r="R213" s="64"/>
      <c r="S213" s="64"/>
      <c r="T213" s="64"/>
      <c r="U213" s="64"/>
      <c r="V213" s="64"/>
      <c r="W213" s="64"/>
      <c r="X213" s="64"/>
      <c r="Y213" s="64"/>
      <c r="Z213" s="64"/>
    </row>
    <row r="214" ht="12.75" customHeight="1">
      <c r="A214" s="108"/>
      <c r="B214" s="64"/>
      <c r="C214" s="64"/>
      <c r="D214" s="64"/>
      <c r="E214" s="64"/>
      <c r="F214" s="63"/>
      <c r="G214" s="63"/>
      <c r="H214" s="64"/>
      <c r="I214" s="64"/>
      <c r="J214" s="64"/>
      <c r="K214" s="64"/>
      <c r="L214" s="64"/>
      <c r="M214" s="64"/>
      <c r="N214" s="64"/>
      <c r="O214" s="64"/>
      <c r="P214" s="64"/>
      <c r="Q214" s="64"/>
      <c r="R214" s="64"/>
      <c r="S214" s="64"/>
      <c r="T214" s="64"/>
      <c r="U214" s="64"/>
      <c r="V214" s="64"/>
      <c r="W214" s="64"/>
      <c r="X214" s="64"/>
      <c r="Y214" s="64"/>
      <c r="Z214" s="64"/>
    </row>
    <row r="215" ht="12.75" customHeight="1">
      <c r="A215" s="108"/>
      <c r="B215" s="64"/>
      <c r="C215" s="64"/>
      <c r="D215" s="64"/>
      <c r="E215" s="64"/>
      <c r="F215" s="63"/>
      <c r="G215" s="63"/>
      <c r="H215" s="64"/>
      <c r="I215" s="64"/>
      <c r="J215" s="64"/>
      <c r="K215" s="64"/>
      <c r="L215" s="64"/>
      <c r="M215" s="64"/>
      <c r="N215" s="64"/>
      <c r="O215" s="64"/>
      <c r="P215" s="64"/>
      <c r="Q215" s="64"/>
      <c r="R215" s="64"/>
      <c r="S215" s="64"/>
      <c r="T215" s="64"/>
      <c r="U215" s="64"/>
      <c r="V215" s="64"/>
      <c r="W215" s="64"/>
      <c r="X215" s="64"/>
      <c r="Y215" s="64"/>
      <c r="Z215" s="64"/>
    </row>
    <row r="216" ht="12.75" customHeight="1">
      <c r="A216" s="108"/>
      <c r="B216" s="64"/>
      <c r="C216" s="64"/>
      <c r="D216" s="64"/>
      <c r="E216" s="64"/>
      <c r="F216" s="63"/>
      <c r="G216" s="63"/>
      <c r="H216" s="64"/>
      <c r="I216" s="64"/>
      <c r="J216" s="64"/>
      <c r="K216" s="64"/>
      <c r="L216" s="64"/>
      <c r="M216" s="64"/>
      <c r="N216" s="64"/>
      <c r="O216" s="64"/>
      <c r="P216" s="64"/>
      <c r="Q216" s="64"/>
      <c r="R216" s="64"/>
      <c r="S216" s="64"/>
      <c r="T216" s="64"/>
      <c r="U216" s="64"/>
      <c r="V216" s="64"/>
      <c r="W216" s="64"/>
      <c r="X216" s="64"/>
      <c r="Y216" s="64"/>
      <c r="Z216" s="64"/>
    </row>
    <row r="217" ht="12.75" customHeight="1">
      <c r="A217" s="108"/>
      <c r="B217" s="64"/>
      <c r="C217" s="64"/>
      <c r="D217" s="64"/>
      <c r="E217" s="64"/>
      <c r="F217" s="63"/>
      <c r="G217" s="63"/>
      <c r="H217" s="64"/>
      <c r="I217" s="64"/>
      <c r="J217" s="64"/>
      <c r="K217" s="64"/>
      <c r="L217" s="64"/>
      <c r="M217" s="64"/>
      <c r="N217" s="64"/>
      <c r="O217" s="64"/>
      <c r="P217" s="64"/>
      <c r="Q217" s="64"/>
      <c r="R217" s="64"/>
      <c r="S217" s="64"/>
      <c r="T217" s="64"/>
      <c r="U217" s="64"/>
      <c r="V217" s="64"/>
      <c r="W217" s="64"/>
      <c r="X217" s="64"/>
      <c r="Y217" s="64"/>
      <c r="Z217" s="64"/>
    </row>
    <row r="218" ht="12.75" customHeight="1">
      <c r="A218" s="108"/>
      <c r="B218" s="64"/>
      <c r="C218" s="64"/>
      <c r="D218" s="64"/>
      <c r="E218" s="64"/>
      <c r="F218" s="63"/>
      <c r="G218" s="63"/>
      <c r="H218" s="64"/>
      <c r="I218" s="64"/>
      <c r="J218" s="64"/>
      <c r="K218" s="64"/>
      <c r="L218" s="64"/>
      <c r="M218" s="64"/>
      <c r="N218" s="64"/>
      <c r="O218" s="64"/>
      <c r="P218" s="64"/>
      <c r="Q218" s="64"/>
      <c r="R218" s="64"/>
      <c r="S218" s="64"/>
      <c r="T218" s="64"/>
      <c r="U218" s="64"/>
      <c r="V218" s="64"/>
      <c r="W218" s="64"/>
      <c r="X218" s="64"/>
      <c r="Y218" s="64"/>
      <c r="Z218" s="64"/>
    </row>
    <row r="219" ht="12.75" customHeight="1">
      <c r="A219" s="108"/>
      <c r="B219" s="64"/>
      <c r="C219" s="64"/>
      <c r="D219" s="64"/>
      <c r="E219" s="64"/>
      <c r="F219" s="63"/>
      <c r="G219" s="63"/>
      <c r="H219" s="64"/>
      <c r="I219" s="64"/>
      <c r="J219" s="64"/>
      <c r="K219" s="64"/>
      <c r="L219" s="64"/>
      <c r="M219" s="64"/>
      <c r="N219" s="64"/>
      <c r="O219" s="64"/>
      <c r="P219" s="64"/>
      <c r="Q219" s="64"/>
      <c r="R219" s="64"/>
      <c r="S219" s="64"/>
      <c r="T219" s="64"/>
      <c r="U219" s="64"/>
      <c r="V219" s="64"/>
      <c r="W219" s="64"/>
      <c r="X219" s="64"/>
      <c r="Y219" s="64"/>
      <c r="Z219" s="64"/>
    </row>
    <row r="220" ht="12.75" customHeight="1">
      <c r="A220" s="108"/>
      <c r="B220" s="64"/>
      <c r="C220" s="64"/>
      <c r="D220" s="64"/>
      <c r="E220" s="64"/>
      <c r="F220" s="63"/>
      <c r="G220" s="63"/>
      <c r="H220" s="64"/>
      <c r="I220" s="64"/>
      <c r="J220" s="64"/>
      <c r="K220" s="64"/>
      <c r="L220" s="64"/>
      <c r="M220" s="64"/>
      <c r="N220" s="64"/>
      <c r="O220" s="64"/>
      <c r="P220" s="64"/>
      <c r="Q220" s="64"/>
      <c r="R220" s="64"/>
      <c r="S220" s="64"/>
      <c r="T220" s="64"/>
      <c r="U220" s="64"/>
      <c r="V220" s="64"/>
      <c r="W220" s="64"/>
      <c r="X220" s="64"/>
      <c r="Y220" s="64"/>
      <c r="Z220" s="64"/>
    </row>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C18:D18"/>
    <mergeCell ref="C19:D19"/>
    <mergeCell ref="C20:D20"/>
    <mergeCell ref="C11:D11"/>
    <mergeCell ref="C12:D12"/>
    <mergeCell ref="C13:D13"/>
    <mergeCell ref="C14:D14"/>
    <mergeCell ref="C15:D15"/>
    <mergeCell ref="C16:D16"/>
    <mergeCell ref="C17:D17"/>
  </mergeCells>
  <dataValidations>
    <dataValidation type="decimal" allowBlank="1" showErrorMessage="1" sqref="F12:F19">
      <formula1>0.0</formula1>
      <formula2>50.0</formula2>
    </dataValidation>
  </dataValidations>
  <printOptions/>
  <pageMargins bottom="0.75" footer="0.0" header="0.0" left="0.7" right="0.7" top="0.75"/>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4A3B8"/>
    <pageSetUpPr/>
  </sheetPr>
  <sheetViews>
    <sheetView showGridLines="0" workbookViewId="0"/>
  </sheetViews>
  <sheetFormatPr customHeight="1" defaultColWidth="12.63" defaultRowHeight="15.0"/>
  <cols>
    <col customWidth="1" min="1" max="1" width="15.38"/>
    <col customWidth="1" min="2" max="2" width="46.88"/>
    <col customWidth="1" min="3" max="3" width="28.25"/>
    <col customWidth="1" min="4" max="4" width="15.0"/>
    <col customWidth="1" min="5" max="5" width="24.88"/>
    <col customWidth="1" min="6" max="6" width="17.25"/>
    <col customWidth="1" min="7" max="7" width="15.0"/>
    <col customWidth="1" min="8" max="26" width="9.13"/>
  </cols>
  <sheetData>
    <row r="1" ht="12.75" customHeight="1">
      <c r="A1" s="105" t="s">
        <v>260</v>
      </c>
      <c r="B1" s="77" t="s">
        <v>738</v>
      </c>
      <c r="C1" s="78"/>
      <c r="D1" s="78"/>
      <c r="E1" s="64"/>
      <c r="F1" s="63"/>
      <c r="G1" s="63"/>
      <c r="H1" s="64"/>
      <c r="I1" s="64"/>
      <c r="J1" s="64"/>
      <c r="K1" s="64"/>
      <c r="L1" s="64"/>
      <c r="M1" s="64"/>
      <c r="N1" s="64"/>
      <c r="O1" s="64"/>
      <c r="P1" s="64"/>
      <c r="Q1" s="64"/>
      <c r="R1" s="64"/>
      <c r="S1" s="64"/>
      <c r="T1" s="64"/>
      <c r="U1" s="64"/>
      <c r="V1" s="64"/>
      <c r="W1" s="64"/>
      <c r="X1" s="64"/>
      <c r="Y1" s="64"/>
      <c r="Z1" s="64"/>
    </row>
    <row r="2" ht="12.75" customHeight="1">
      <c r="A2" s="110" t="s">
        <v>5</v>
      </c>
      <c r="B2" s="62" t="str">
        <f t="array" ref="B2">IFERROR(INDEX(Sessions!$C$2:$C$173,MATCH($B$1,Sessions!$B$2:$B$173,0))&amp;"","")</f>
        <v/>
      </c>
      <c r="C2" s="64"/>
      <c r="D2" s="64"/>
      <c r="E2" s="64"/>
      <c r="F2" s="63"/>
      <c r="G2" s="63"/>
      <c r="H2" s="64"/>
      <c r="I2" s="64"/>
      <c r="J2" s="64"/>
      <c r="K2" s="64"/>
      <c r="L2" s="64"/>
      <c r="M2" s="64"/>
      <c r="N2" s="64"/>
      <c r="O2" s="64"/>
      <c r="P2" s="64"/>
      <c r="Q2" s="64"/>
      <c r="R2" s="64"/>
      <c r="S2" s="64"/>
      <c r="T2" s="64"/>
      <c r="U2" s="64"/>
      <c r="V2" s="64"/>
      <c r="W2" s="64"/>
      <c r="X2" s="64"/>
      <c r="Y2" s="64"/>
      <c r="Z2" s="64"/>
    </row>
    <row r="3" ht="12.75" customHeight="1">
      <c r="A3" s="112" t="s">
        <v>704</v>
      </c>
      <c r="B3" s="86" t="str">
        <f>IF(LEFT($B$1,2)="T1",Schedule!$A$4&amp;", "&amp;Schedule!$A$10,IF(LEFT($B$1,2)="T2",Schedule!$A$4&amp;", "&amp;Schedule!$A$12,IF(LEFT($B$1,2)="T3",Schedule!$A$4&amp;", "&amp;#REF!,IF(LEFT($B$1,2)="T4",Schedule!$A$16&amp;", "&amp;Schedule!$A$18,IF($B$1="Keynote 1",Schedule!$A$4&amp;", "&amp;Schedule!$A$8,IF($B$1="Keynote 2",Schedule!$A$4&amp;", "&amp;Schedule!$A$13,IF($B$1="Keynote 3",Schedule!$A$16&amp;", "&amp;Schedule!$A$19,IF($B$1="IEEE Workshop",Schedule!$A$16&amp;", "&amp;#REF!,""))))))))</f>
        <v>#REF!</v>
      </c>
      <c r="C3" s="80"/>
      <c r="D3" s="80"/>
      <c r="E3" s="64"/>
      <c r="F3" s="63"/>
      <c r="G3" s="63"/>
      <c r="H3" s="64"/>
      <c r="I3" s="64"/>
      <c r="J3" s="64"/>
      <c r="K3" s="64"/>
      <c r="L3" s="64"/>
      <c r="M3" s="64"/>
      <c r="N3" s="64"/>
      <c r="O3" s="64"/>
      <c r="P3" s="64"/>
      <c r="Q3" s="64"/>
      <c r="R3" s="64"/>
      <c r="S3" s="64"/>
      <c r="T3" s="64"/>
      <c r="U3" s="64"/>
      <c r="V3" s="64"/>
      <c r="W3" s="64"/>
      <c r="X3" s="64"/>
      <c r="Y3" s="64"/>
      <c r="Z3" s="64"/>
    </row>
    <row r="4" ht="12.75" customHeight="1">
      <c r="A4" s="112" t="s">
        <v>11</v>
      </c>
      <c r="B4" s="80" t="str">
        <f t="array" ref="B4">IFERROR(INDEX(Sessions!$D$2:$D$173,MATCH($B$1,Sessions!$B$2:$B$173,0))&amp;"","")</f>
        <v/>
      </c>
      <c r="C4" s="80"/>
      <c r="D4" s="80"/>
      <c r="E4" s="64"/>
      <c r="F4" s="63"/>
      <c r="G4" s="63"/>
      <c r="H4" s="64"/>
      <c r="I4" s="64"/>
      <c r="J4" s="64"/>
      <c r="K4" s="64"/>
      <c r="L4" s="64"/>
      <c r="M4" s="64"/>
      <c r="N4" s="64"/>
      <c r="O4" s="64"/>
      <c r="P4" s="64"/>
      <c r="Q4" s="64"/>
      <c r="R4" s="64"/>
      <c r="S4" s="64"/>
      <c r="T4" s="64"/>
      <c r="U4" s="64"/>
      <c r="V4" s="64"/>
      <c r="W4" s="64"/>
      <c r="X4" s="64"/>
      <c r="Y4" s="64"/>
      <c r="Z4" s="64"/>
    </row>
    <row r="5" ht="12.75" customHeight="1">
      <c r="A5" s="112" t="s">
        <v>707</v>
      </c>
      <c r="B5" s="86" t="str">
        <f t="array" ref="B5">IFERROR(INDEX(Chairs!$J$2:$J$359,MATCH(1,INDEX((Chairs!$K$2:$K$359=$B$1)*(Chairs!$N$2:$N$359=1),0),0)),"")</f>
        <v/>
      </c>
      <c r="C5" s="86" t="str">
        <f t="array" ref="C5">IFERROR(INDEX(Chairs!$L$2:$L$359,MATCH(1,INDEX((Chairs!$K$2:$K$359=$B$1)*(Chairs!$N$2:$N$359=1),0),0))&amp;"","")</f>
        <v/>
      </c>
      <c r="D5" s="86" t="str">
        <f t="array" ref="D5">IFERROR(INDEX(Chairs!$M$2:$M$359,MATCH(1,INDEX((Chairs!$K$2:$K$359=$B$1)*(Chairs!$N$2:$N$359=1),0),0))&amp;"","")</f>
        <v/>
      </c>
      <c r="E5" s="64"/>
      <c r="F5" s="63"/>
      <c r="G5" s="63"/>
      <c r="H5" s="64"/>
      <c r="I5" s="64"/>
      <c r="J5" s="64"/>
      <c r="K5" s="64"/>
      <c r="L5" s="64"/>
      <c r="M5" s="64"/>
      <c r="N5" s="64"/>
      <c r="O5" s="64"/>
      <c r="P5" s="64"/>
      <c r="Q5" s="64"/>
      <c r="R5" s="64"/>
      <c r="S5" s="64"/>
      <c r="T5" s="64"/>
      <c r="U5" s="64"/>
      <c r="V5" s="64"/>
      <c r="W5" s="64"/>
      <c r="X5" s="64"/>
      <c r="Y5" s="64"/>
      <c r="Z5" s="64"/>
    </row>
    <row r="6" ht="12.75" customHeight="1">
      <c r="A6" s="112" t="s">
        <v>709</v>
      </c>
      <c r="B6" s="86" t="str">
        <f t="array" ref="B6">IFERROR(INDEX('Senior Faculty'!$J$2:$J$401,MATCH(1,INDEX(('Senior Faculty'!$K$2:$K$401=$B$1)*('Senior Faculty'!$N$2:$N$401=1),0),0)),"")</f>
        <v/>
      </c>
      <c r="C6" s="86" t="str">
        <f t="array" ref="C6">IFERROR(INDEX('Senior Faculty'!$L$2:$L$401,MATCH(1,INDEX(('Senior Faculty'!$K$2:$K$401=$B$1)*('Senior Faculty'!$N$2:$N$401=1),0),0))&amp;"","")</f>
        <v/>
      </c>
      <c r="D6" s="86" t="str">
        <f t="array" ref="D6">IFERROR(INDEX('Senior Faculty'!$M$2:$M$401,MATCH(1,INDEX(('Senior Faculty'!$K$2:$K$401=$B$1)*('Senior Faculty'!$N$2:$N$401=1),0),0))&amp;"","")</f>
        <v/>
      </c>
      <c r="E6" s="64"/>
      <c r="F6" s="63"/>
      <c r="G6" s="63"/>
      <c r="H6" s="64"/>
      <c r="I6" s="64"/>
      <c r="J6" s="64"/>
      <c r="K6" s="64"/>
      <c r="L6" s="64"/>
      <c r="M6" s="64"/>
      <c r="N6" s="64"/>
      <c r="O6" s="64"/>
      <c r="P6" s="64"/>
      <c r="Q6" s="64"/>
      <c r="R6" s="64"/>
      <c r="S6" s="64"/>
      <c r="T6" s="64"/>
      <c r="U6" s="64"/>
      <c r="V6" s="64"/>
      <c r="W6" s="64"/>
      <c r="X6" s="64"/>
      <c r="Y6" s="64"/>
      <c r="Z6" s="64"/>
    </row>
    <row r="7" ht="12.75" customHeight="1">
      <c r="A7" s="112" t="s">
        <v>713</v>
      </c>
      <c r="B7" s="86" t="str">
        <f t="array" ref="B7">IFERROR(INDEX('Junior Faculty'!$J$2:$J$401,MATCH(1,INDEX(('Junior Faculty'!$K$2:$K$401=$B$1)*('Junior Faculty'!$N$2:$N$401=1),0),0)),"")</f>
        <v/>
      </c>
      <c r="C7" s="86" t="str">
        <f t="array" ref="C7">IFERROR(INDEX('Junior Faculty'!$L$2:$L$401,MATCH(1,INDEX(('Junior Faculty'!$K$2:$K$401=$B$1)*('Junior Faculty'!$N$2:$N$401=1),0),0))&amp;"","")</f>
        <v/>
      </c>
      <c r="D7" s="86" t="str">
        <f t="array" ref="D7">IFERROR(INDEX('Junior Faculty'!$M$2:$M$401,MATCH(1,INDEX(('Junior Faculty'!$K$2:$K$401=$B$1)*('Junior Faculty'!$N$2:$N$401=1),0),0))&amp;"","")</f>
        <v/>
      </c>
      <c r="E7" s="64"/>
      <c r="F7" s="63"/>
      <c r="G7" s="63"/>
      <c r="H7" s="64"/>
      <c r="I7" s="64"/>
      <c r="J7" s="64"/>
      <c r="K7" s="64"/>
      <c r="L7" s="64"/>
      <c r="M7" s="64"/>
      <c r="N7" s="64"/>
      <c r="O7" s="64"/>
      <c r="P7" s="64"/>
      <c r="Q7" s="64"/>
      <c r="R7" s="64"/>
      <c r="S7" s="64"/>
      <c r="T7" s="64"/>
      <c r="U7" s="64"/>
      <c r="V7" s="64"/>
      <c r="W7" s="64"/>
      <c r="X7" s="64"/>
      <c r="Y7" s="64"/>
      <c r="Z7" s="64"/>
    </row>
    <row r="8" ht="12.75" customHeight="1">
      <c r="A8" s="119" t="s">
        <v>714</v>
      </c>
      <c r="B8" s="95" t="str">
        <f t="array" ref="B8">IFERROR(INDEX('Junior Faculty'!$J$2:$J$401,MATCH(1,INDEX(('Junior Faculty'!$K$2:$K$401=$B$1)*('Junior Faculty'!$N$2:$N$401=2),0),0)),"")</f>
        <v/>
      </c>
      <c r="C8" s="95" t="str">
        <f t="array" ref="C8">IFERROR(INDEX('Junior Faculty'!$L$2:$L$401,MATCH(1,INDEX(('Junior Faculty'!$K$2:$K$401=$B$1)*('Junior Faculty'!$N$2:$N$401=2),0),0))&amp;"","")</f>
        <v/>
      </c>
      <c r="D8" s="95" t="str">
        <f t="array" ref="D8">IFERROR(INDEX('Junior Faculty'!$M$2:$M$401,MATCH(1,INDEX(('Junior Faculty'!$K$2:$K$401=$B$1)*('Junior Faculty'!$N$2:$N$401=2),0),0))&amp;"","")</f>
        <v/>
      </c>
      <c r="E8" s="64"/>
      <c r="F8" s="63"/>
      <c r="G8" s="63"/>
      <c r="H8" s="64"/>
      <c r="I8" s="64"/>
      <c r="J8" s="64"/>
      <c r="K8" s="64"/>
      <c r="L8" s="64"/>
      <c r="M8" s="64"/>
      <c r="N8" s="64"/>
      <c r="O8" s="64"/>
      <c r="P8" s="64"/>
      <c r="Q8" s="64"/>
      <c r="R8" s="64"/>
      <c r="S8" s="64"/>
      <c r="T8" s="64"/>
      <c r="U8" s="64"/>
      <c r="V8" s="64"/>
      <c r="W8" s="64"/>
      <c r="X8" s="64"/>
      <c r="Y8" s="64"/>
      <c r="Z8" s="64"/>
    </row>
    <row r="9" ht="12.75" customHeight="1">
      <c r="A9" s="108"/>
      <c r="B9" s="64"/>
      <c r="C9" s="64"/>
      <c r="D9" s="64"/>
      <c r="E9" s="64"/>
      <c r="F9" s="63"/>
      <c r="G9" s="63"/>
      <c r="H9" s="64"/>
      <c r="I9" s="64"/>
      <c r="J9" s="64"/>
      <c r="K9" s="64"/>
      <c r="L9" s="64"/>
      <c r="M9" s="64"/>
      <c r="N9" s="64"/>
      <c r="O9" s="64"/>
      <c r="P9" s="64"/>
      <c r="Q9" s="64"/>
      <c r="R9" s="64"/>
      <c r="S9" s="64"/>
      <c r="T9" s="64"/>
      <c r="U9" s="64"/>
      <c r="V9" s="64"/>
      <c r="W9" s="64"/>
      <c r="X9" s="64"/>
      <c r="Y9" s="64"/>
      <c r="Z9" s="64"/>
    </row>
    <row r="10" ht="12.75" customHeight="1">
      <c r="A10" s="121" t="s">
        <v>727</v>
      </c>
      <c r="B10" s="86"/>
      <c r="C10" s="86"/>
      <c r="D10" s="86"/>
      <c r="E10" s="64"/>
      <c r="F10" s="63"/>
      <c r="G10" s="63"/>
      <c r="H10" s="64"/>
      <c r="I10" s="64"/>
      <c r="J10" s="64"/>
      <c r="K10" s="64"/>
      <c r="L10" s="64"/>
      <c r="M10" s="64"/>
      <c r="N10" s="64"/>
      <c r="O10" s="64"/>
      <c r="P10" s="64"/>
      <c r="Q10" s="64"/>
      <c r="R10" s="64"/>
      <c r="S10" s="64"/>
      <c r="T10" s="64"/>
      <c r="U10" s="64"/>
      <c r="V10" s="64"/>
      <c r="W10" s="64"/>
      <c r="X10" s="64"/>
      <c r="Y10" s="64"/>
      <c r="Z10" s="64"/>
    </row>
    <row r="11" ht="15.0" customHeight="1">
      <c r="A11" s="122" t="s">
        <v>174</v>
      </c>
      <c r="B11" s="122" t="s">
        <v>256</v>
      </c>
      <c r="C11" s="123" t="s">
        <v>257</v>
      </c>
      <c r="D11" s="124"/>
      <c r="E11" s="61" t="s">
        <v>258</v>
      </c>
      <c r="F11" s="60" t="s">
        <v>265</v>
      </c>
      <c r="G11" s="64"/>
      <c r="H11" s="64"/>
      <c r="I11" s="64"/>
      <c r="J11" s="64"/>
      <c r="K11" s="64"/>
      <c r="L11" s="64"/>
      <c r="M11" s="64"/>
      <c r="N11" s="64"/>
      <c r="O11" s="64"/>
      <c r="P11" s="64"/>
      <c r="Q11" s="64"/>
      <c r="R11" s="64"/>
      <c r="S11" s="64"/>
      <c r="T11" s="64"/>
      <c r="U11" s="64"/>
      <c r="V11" s="64"/>
      <c r="W11" s="64"/>
      <c r="X11" s="64"/>
      <c r="Y11" s="64"/>
      <c r="Z11" s="64"/>
    </row>
    <row r="12" ht="12.75" customHeight="1">
      <c r="A12" s="113" t="str">
        <f t="array" ref="A12">IFERROR(INDEX(Papers!$A$2:$A$201,MATCH(1,INDEX((Papers!$G$2:$G$201=$B$1)*(Papers!$I$2:$I$201=1),0),0)),"")</f>
        <v/>
      </c>
      <c r="B12" s="113" t="str">
        <f t="array" ref="B12">IFERROR(INDEX(Papers!$C$2:$C$201,MATCH(1,INDEX((Papers!$G$2:$G$201=$B$1)*(Papers!$I$2:$I$201=1),0),0)),"")</f>
        <v/>
      </c>
      <c r="C12" s="113" t="str">
        <f t="array" ref="C12">IFERROR(INDEX(Papers!$D$2:$D$201,MATCH(1,INDEX((Papers!$G$2:$G$201=$B$1)*(Papers!$I$2:$I$201=1),0),0)),"")</f>
        <v/>
      </c>
      <c r="D12" s="125"/>
      <c r="E12" s="86" t="str">
        <f t="array" ref="E12">IFERROR(INDEX(Papers!$E$2:$E$201,MATCH(1,INDEX((Papers!$G$2:$G$201=$B$1)*(Papers!$I$2:$I$201=1),0),0)),"")</f>
        <v/>
      </c>
      <c r="F12" s="67"/>
      <c r="G12" s="64"/>
      <c r="H12" s="64"/>
      <c r="I12" s="64"/>
      <c r="J12" s="64"/>
      <c r="K12" s="64"/>
      <c r="L12" s="64"/>
      <c r="M12" s="64"/>
      <c r="N12" s="64"/>
      <c r="O12" s="64"/>
      <c r="P12" s="64"/>
      <c r="Q12" s="64"/>
      <c r="R12" s="64"/>
      <c r="S12" s="64"/>
      <c r="T12" s="64"/>
      <c r="U12" s="64"/>
      <c r="V12" s="64"/>
      <c r="W12" s="64"/>
      <c r="X12" s="64"/>
      <c r="Y12" s="64"/>
      <c r="Z12" s="64"/>
    </row>
    <row r="13" ht="12.75" customHeight="1">
      <c r="A13" s="113" t="str">
        <f t="array" ref="A13">IFERROR(INDEX(Papers!$A$2:$A$201,MATCH(1,INDEX((Papers!$G$2:$G$201=$B$1)*(Papers!$I$2:$I$201=2),0),0)),"")</f>
        <v/>
      </c>
      <c r="B13" s="113" t="str">
        <f t="array" ref="B13">IFERROR(INDEX(Papers!$C$2:$C$201,MATCH(1,INDEX((Papers!$G$2:$G$201=$B$1)*(Papers!$I$2:$I$201=2),0),0)),"")</f>
        <v/>
      </c>
      <c r="C13" s="113" t="str">
        <f t="array" ref="C13">IFERROR(INDEX(Papers!$D$2:$D$201,MATCH(1,INDEX((Papers!$G$2:$G$201=$B$1)*(Papers!$I$2:$I$201=2),0),0)),"")</f>
        <v/>
      </c>
      <c r="D13" s="125"/>
      <c r="E13" s="86" t="str">
        <f t="array" ref="E13">IFERROR(INDEX(Papers!$E$2:$E$201,MATCH(1,INDEX((Papers!$G$2:$G$201=$B$1)*(Papers!$I$2:$I$201=2),0),0)),"")</f>
        <v/>
      </c>
      <c r="F13" s="67"/>
      <c r="G13" s="64"/>
      <c r="H13" s="64"/>
      <c r="I13" s="64"/>
      <c r="J13" s="64"/>
      <c r="K13" s="64"/>
      <c r="L13" s="64"/>
      <c r="M13" s="64"/>
      <c r="N13" s="64"/>
      <c r="O13" s="64"/>
      <c r="P13" s="64"/>
      <c r="Q13" s="64"/>
      <c r="R13" s="64"/>
      <c r="S13" s="64"/>
      <c r="T13" s="64"/>
      <c r="U13" s="64"/>
      <c r="V13" s="64"/>
      <c r="W13" s="64"/>
      <c r="X13" s="64"/>
      <c r="Y13" s="64"/>
      <c r="Z13" s="64"/>
    </row>
    <row r="14" ht="12.75" customHeight="1">
      <c r="A14" s="113" t="str">
        <f t="array" ref="A14">IFERROR(INDEX(Papers!$A$2:$A$201,MATCH(1,INDEX((Papers!$G$2:$G$201=$B$1)*(Papers!$I$2:$I$201=3),0),0)),"")</f>
        <v/>
      </c>
      <c r="B14" s="113" t="str">
        <f t="array" ref="B14">IFERROR(INDEX(Papers!$C$2:$C$201,MATCH(1,INDEX((Papers!$G$2:$G$201=$B$1)*(Papers!$I$2:$I$201=3),0),0)),"")</f>
        <v/>
      </c>
      <c r="C14" s="113" t="str">
        <f t="array" ref="C14">IFERROR(INDEX(Papers!$D$2:$D$201,MATCH(1,INDEX((Papers!$G$2:$G$201=$B$1)*(Papers!$I$2:$I$201=3),0),0)),"")</f>
        <v/>
      </c>
      <c r="D14" s="125"/>
      <c r="E14" s="86" t="str">
        <f t="array" ref="E14">IFERROR(INDEX(Papers!$E$2:$E$201,MATCH(1,INDEX((Papers!$G$2:$G$201=$B$1)*(Papers!$I$2:$I$201=3),0),0)),"")</f>
        <v/>
      </c>
      <c r="F14" s="67"/>
      <c r="G14" s="64"/>
      <c r="H14" s="64"/>
      <c r="I14" s="64"/>
      <c r="J14" s="64"/>
      <c r="K14" s="64"/>
      <c r="L14" s="64"/>
      <c r="M14" s="64"/>
      <c r="N14" s="64"/>
      <c r="O14" s="64"/>
      <c r="P14" s="64"/>
      <c r="Q14" s="64"/>
      <c r="R14" s="64"/>
      <c r="S14" s="64"/>
      <c r="T14" s="64"/>
      <c r="U14" s="64"/>
      <c r="V14" s="64"/>
      <c r="W14" s="64"/>
      <c r="X14" s="64"/>
      <c r="Y14" s="64"/>
      <c r="Z14" s="64"/>
    </row>
    <row r="15" ht="12.75" customHeight="1">
      <c r="A15" s="113" t="str">
        <f t="array" ref="A15">IFERROR(INDEX(Papers!$A$2:$A$201,MATCH(1,INDEX((Papers!$G$2:$G$201=$B$1)*(Papers!$I$2:$I$201=4),0),0)),"")</f>
        <v/>
      </c>
      <c r="B15" s="113" t="str">
        <f t="array" ref="B15">IFERROR(INDEX(Papers!$C$2:$C$201,MATCH(1,INDEX((Papers!$G$2:$G$201=$B$1)*(Papers!$I$2:$I$201=4),0),0)),"")</f>
        <v/>
      </c>
      <c r="C15" s="113" t="str">
        <f t="array" ref="C15">IFERROR(INDEX(Papers!$D$2:$D$201,MATCH(1,INDEX((Papers!$G$2:$G$201=$B$1)*(Papers!$I$2:$I$201=4),0),0)),"")</f>
        <v/>
      </c>
      <c r="D15" s="125"/>
      <c r="E15" s="86" t="str">
        <f t="array" ref="E15">IFERROR(INDEX(Papers!$E$2:$E$201,MATCH(1,INDEX((Papers!$G$2:$G$201=$B$1)*(Papers!$I$2:$I$201=4),0),0)),"")</f>
        <v/>
      </c>
      <c r="F15" s="67"/>
      <c r="G15" s="64"/>
      <c r="H15" s="64"/>
      <c r="I15" s="64"/>
      <c r="J15" s="64"/>
      <c r="K15" s="64"/>
      <c r="L15" s="64"/>
      <c r="M15" s="64"/>
      <c r="N15" s="64"/>
      <c r="O15" s="64"/>
      <c r="P15" s="64"/>
      <c r="Q15" s="64"/>
      <c r="R15" s="64"/>
      <c r="S15" s="64"/>
      <c r="T15" s="64"/>
      <c r="U15" s="64"/>
      <c r="V15" s="64"/>
      <c r="W15" s="64"/>
      <c r="X15" s="64"/>
      <c r="Y15" s="64"/>
      <c r="Z15" s="64"/>
    </row>
    <row r="16" ht="12.75" customHeight="1">
      <c r="A16" s="113" t="str">
        <f t="array" ref="A16">IFERROR(INDEX(Papers!$A$2:$A$201,MATCH(1,INDEX((Papers!$G$2:$G$201=$B$1)*(Papers!$I$2:$I$201=5),0),0)),"")</f>
        <v/>
      </c>
      <c r="B16" s="113" t="str">
        <f t="array" ref="B16">IFERROR(INDEX(Papers!$C$2:$C$201,MATCH(1,INDEX((Papers!$G$2:$G$201=$B$1)*(Papers!$I$2:$I$201=5),0),0)),"")</f>
        <v/>
      </c>
      <c r="C16" s="113" t="str">
        <f t="array" ref="C16">IFERROR(INDEX(Papers!$D$2:$D$201,MATCH(1,INDEX((Papers!$G$2:$G$201=$B$1)*(Papers!$I$2:$I$201=5),0),0)),"")</f>
        <v/>
      </c>
      <c r="D16" s="125"/>
      <c r="E16" s="86" t="str">
        <f t="array" ref="E16">IFERROR(INDEX(Papers!$E$2:$E$201,MATCH(1,INDEX((Papers!$G$2:$G$201=$B$1)*(Papers!$I$2:$I$201=5),0),0)),"")</f>
        <v/>
      </c>
      <c r="F16" s="67"/>
      <c r="G16" s="64"/>
      <c r="H16" s="64"/>
      <c r="I16" s="64"/>
      <c r="J16" s="64"/>
      <c r="K16" s="64"/>
      <c r="L16" s="64"/>
      <c r="M16" s="64"/>
      <c r="N16" s="64"/>
      <c r="O16" s="64"/>
      <c r="P16" s="64"/>
      <c r="Q16" s="64"/>
      <c r="R16" s="64"/>
      <c r="S16" s="64"/>
      <c r="T16" s="64"/>
      <c r="U16" s="64"/>
      <c r="V16" s="64"/>
      <c r="W16" s="64"/>
      <c r="X16" s="64"/>
      <c r="Y16" s="64"/>
      <c r="Z16" s="64"/>
    </row>
    <row r="17" ht="12.75" customHeight="1">
      <c r="A17" s="113" t="str">
        <f t="array" ref="A17">IFERROR(INDEX(Papers!$A$2:$A$201,MATCH(1,INDEX((Papers!$G$2:$G$201=$B$1)*(Papers!$I$2:$I$201=6),0),0)),"")</f>
        <v/>
      </c>
      <c r="B17" s="113" t="str">
        <f t="array" ref="B17">IFERROR(INDEX(Papers!$C$2:$C$201,MATCH(1,INDEX((Papers!$G$2:$G$201=$B$1)*(Papers!$I$2:$I$201=6),0),0)),"")</f>
        <v/>
      </c>
      <c r="C17" s="113" t="str">
        <f t="array" ref="C17">IFERROR(INDEX(Papers!$D$2:$D$201,MATCH(1,INDEX((Papers!$G$2:$G$201=$B$1)*(Papers!$I$2:$I$201=6),0),0)),"")</f>
        <v/>
      </c>
      <c r="D17" s="125"/>
      <c r="E17" s="86" t="str">
        <f t="array" ref="E17">IFERROR(INDEX(Papers!$E$2:$E$201,MATCH(1,INDEX((Papers!$G$2:$G$201=$B$1)*(Papers!$I$2:$I$201=6),0),0)),"")</f>
        <v/>
      </c>
      <c r="F17" s="67"/>
      <c r="G17" s="64"/>
      <c r="H17" s="64"/>
      <c r="I17" s="64"/>
      <c r="J17" s="64"/>
      <c r="K17" s="64"/>
      <c r="L17" s="64"/>
      <c r="M17" s="64"/>
      <c r="N17" s="64"/>
      <c r="O17" s="64"/>
      <c r="P17" s="64"/>
      <c r="Q17" s="64"/>
      <c r="R17" s="64"/>
      <c r="S17" s="64"/>
      <c r="T17" s="64"/>
      <c r="U17" s="64"/>
      <c r="V17" s="64"/>
      <c r="W17" s="64"/>
      <c r="X17" s="64"/>
      <c r="Y17" s="64"/>
      <c r="Z17" s="64"/>
    </row>
    <row r="18" ht="12.75" customHeight="1">
      <c r="A18" s="113" t="str">
        <f t="array" ref="A18">IFERROR(INDEX(Papers!$A$2:$A$201,MATCH(1,INDEX((Papers!$G$2:$G$201=$B$1)*(Papers!$I$2:$I$201=7),0),0)),"")</f>
        <v/>
      </c>
      <c r="B18" s="113" t="str">
        <f t="array" ref="B18">IFERROR(INDEX(Papers!$C$2:$C$201,MATCH(1,INDEX((Papers!$G$2:$G$201=$B$1)*(Papers!$I$2:$I$201=7),0),0)),"")</f>
        <v/>
      </c>
      <c r="C18" s="113" t="str">
        <f t="array" ref="C18">IFERROR(INDEX(Papers!$D$2:$D$201,MATCH(1,INDEX((Papers!$G$2:$G$201=$B$1)*(Papers!$I$2:$I$201=7),0),0)),"")</f>
        <v/>
      </c>
      <c r="D18" s="125"/>
      <c r="E18" s="86" t="str">
        <f t="array" ref="E18">IFERROR(INDEX(Papers!$E$2:$E$201,MATCH(1,INDEX((Papers!$G$2:$G$201=$B$1)*(Papers!$I$2:$I$201=7),0),0)),"")</f>
        <v/>
      </c>
      <c r="F18" s="67"/>
      <c r="G18" s="64"/>
      <c r="H18" s="64"/>
      <c r="I18" s="64"/>
      <c r="J18" s="64"/>
      <c r="K18" s="64"/>
      <c r="L18" s="64"/>
      <c r="M18" s="64"/>
      <c r="N18" s="64"/>
      <c r="O18" s="64"/>
      <c r="P18" s="64"/>
      <c r="Q18" s="64"/>
      <c r="R18" s="64"/>
      <c r="S18" s="64"/>
      <c r="T18" s="64"/>
      <c r="U18" s="64"/>
      <c r="V18" s="64"/>
      <c r="W18" s="64"/>
      <c r="X18" s="64"/>
      <c r="Y18" s="64"/>
      <c r="Z18" s="64"/>
    </row>
    <row r="19" ht="12.75" customHeight="1">
      <c r="A19" s="113" t="str">
        <f t="array" ref="A19">IFERROR(INDEX(Papers!$A$2:$A$201,MATCH(1,INDEX((Papers!$G$2:$G$201=$B$1)*(Papers!$I$2:$I$201=8),0),0)),"")</f>
        <v/>
      </c>
      <c r="B19" s="113" t="str">
        <f t="array" ref="B19">IFERROR(INDEX(Papers!$C$2:$C$201,MATCH(1,INDEX((Papers!$G$2:$G$201=$B$1)*(Papers!$I$2:$I$201=8),0),0)),"")</f>
        <v/>
      </c>
      <c r="C19" s="113" t="str">
        <f t="array" ref="C19">IFERROR(INDEX(Papers!$D$2:$D$201,MATCH(1,INDEX((Papers!$G$2:$G$201=$B$1)*(Papers!$I$2:$I$201=8),0),0)),"")</f>
        <v/>
      </c>
      <c r="D19" s="125"/>
      <c r="E19" s="86" t="str">
        <f t="array" ref="E19">IFERROR(INDEX(Papers!$E$2:$E$201,MATCH(1,INDEX((Papers!$G$2:$G$201=$B$1)*(Papers!$I$2:$I$201=8),0),0)),"")</f>
        <v/>
      </c>
      <c r="F19" s="67"/>
      <c r="G19" s="64"/>
      <c r="H19" s="64"/>
      <c r="I19" s="64"/>
      <c r="J19" s="64"/>
      <c r="K19" s="64"/>
      <c r="L19" s="64"/>
      <c r="M19" s="64"/>
      <c r="N19" s="64"/>
      <c r="O19" s="64"/>
      <c r="P19" s="64"/>
      <c r="Q19" s="64"/>
      <c r="R19" s="64"/>
      <c r="S19" s="64"/>
      <c r="T19" s="64"/>
      <c r="U19" s="64"/>
      <c r="V19" s="64"/>
      <c r="W19" s="64"/>
      <c r="X19" s="64"/>
      <c r="Y19" s="64"/>
      <c r="Z19" s="64"/>
    </row>
    <row r="20" ht="12.75" customHeight="1">
      <c r="A20" s="108"/>
      <c r="B20" s="64"/>
      <c r="C20" s="64"/>
      <c r="E20" s="64"/>
      <c r="F20" s="63"/>
      <c r="G20" s="64"/>
      <c r="H20" s="64"/>
      <c r="I20" s="64"/>
      <c r="J20" s="64"/>
      <c r="K20" s="64"/>
      <c r="L20" s="64"/>
      <c r="M20" s="64"/>
      <c r="N20" s="64"/>
      <c r="O20" s="64"/>
      <c r="P20" s="64"/>
      <c r="Q20" s="64"/>
      <c r="R20" s="64"/>
      <c r="S20" s="64"/>
      <c r="T20" s="64"/>
      <c r="U20" s="64"/>
      <c r="V20" s="64"/>
      <c r="W20" s="64"/>
      <c r="X20" s="64"/>
      <c r="Y20" s="64"/>
      <c r="Z20" s="64"/>
    </row>
    <row r="21" ht="12.75" customHeight="1">
      <c r="A21" s="108"/>
      <c r="B21" s="64"/>
      <c r="C21" s="64"/>
      <c r="D21" s="64"/>
      <c r="E21" s="64"/>
      <c r="F21" s="63"/>
      <c r="G21" s="63"/>
      <c r="H21" s="64"/>
      <c r="I21" s="64"/>
      <c r="J21" s="64"/>
      <c r="K21" s="64"/>
      <c r="L21" s="64"/>
      <c r="M21" s="64"/>
      <c r="N21" s="64"/>
      <c r="O21" s="64"/>
      <c r="P21" s="64"/>
      <c r="Q21" s="64"/>
      <c r="R21" s="64"/>
      <c r="S21" s="64"/>
      <c r="T21" s="64"/>
      <c r="U21" s="64"/>
      <c r="V21" s="64"/>
      <c r="W21" s="64"/>
      <c r="X21" s="64"/>
      <c r="Y21" s="64"/>
      <c r="Z21" s="64"/>
    </row>
    <row r="22" ht="12.75" customHeight="1">
      <c r="A22" s="108"/>
      <c r="B22" s="64"/>
      <c r="C22" s="64"/>
      <c r="D22" s="64"/>
      <c r="E22" s="64"/>
      <c r="F22" s="63"/>
      <c r="G22" s="63"/>
      <c r="H22" s="64"/>
      <c r="I22" s="64"/>
      <c r="J22" s="64"/>
      <c r="K22" s="64"/>
      <c r="L22" s="64"/>
      <c r="M22" s="64"/>
      <c r="N22" s="64"/>
      <c r="O22" s="64"/>
      <c r="P22" s="64"/>
      <c r="Q22" s="64"/>
      <c r="R22" s="64"/>
      <c r="S22" s="64"/>
      <c r="T22" s="64"/>
      <c r="U22" s="64"/>
      <c r="V22" s="64"/>
      <c r="W22" s="64"/>
      <c r="X22" s="64"/>
      <c r="Y22" s="64"/>
      <c r="Z22" s="64"/>
    </row>
    <row r="23" ht="12.75" customHeight="1">
      <c r="A23" s="108"/>
      <c r="B23" s="64"/>
      <c r="C23" s="64"/>
      <c r="D23" s="64"/>
      <c r="E23" s="64"/>
      <c r="F23" s="63"/>
      <c r="G23" s="63"/>
      <c r="H23" s="64"/>
      <c r="I23" s="64"/>
      <c r="J23" s="64"/>
      <c r="K23" s="64"/>
      <c r="L23" s="64"/>
      <c r="M23" s="64"/>
      <c r="N23" s="64"/>
      <c r="O23" s="64"/>
      <c r="P23" s="64"/>
      <c r="Q23" s="64"/>
      <c r="R23" s="64"/>
      <c r="S23" s="64"/>
      <c r="T23" s="64"/>
      <c r="U23" s="64"/>
      <c r="V23" s="64"/>
      <c r="W23" s="64"/>
      <c r="X23" s="64"/>
      <c r="Y23" s="64"/>
      <c r="Z23" s="64"/>
    </row>
    <row r="24" ht="12.75" customHeight="1">
      <c r="A24" s="108"/>
      <c r="B24" s="64"/>
      <c r="C24" s="64"/>
      <c r="D24" s="64"/>
      <c r="E24" s="64"/>
      <c r="F24" s="63"/>
      <c r="G24" s="63"/>
      <c r="H24" s="64"/>
      <c r="I24" s="64"/>
      <c r="J24" s="64"/>
      <c r="K24" s="64"/>
      <c r="L24" s="64"/>
      <c r="M24" s="64"/>
      <c r="N24" s="64"/>
      <c r="O24" s="64"/>
      <c r="P24" s="64"/>
      <c r="Q24" s="64"/>
      <c r="R24" s="64"/>
      <c r="S24" s="64"/>
      <c r="T24" s="64"/>
      <c r="U24" s="64"/>
      <c r="V24" s="64"/>
      <c r="W24" s="64"/>
      <c r="X24" s="64"/>
      <c r="Y24" s="64"/>
      <c r="Z24" s="64"/>
    </row>
    <row r="25" ht="12.75" customHeight="1">
      <c r="A25" s="108"/>
      <c r="B25" s="64"/>
      <c r="C25" s="64"/>
      <c r="D25" s="64"/>
      <c r="E25" s="64"/>
      <c r="F25" s="63"/>
      <c r="G25" s="63"/>
      <c r="H25" s="64"/>
      <c r="I25" s="64"/>
      <c r="J25" s="64"/>
      <c r="K25" s="64"/>
      <c r="L25" s="64"/>
      <c r="M25" s="64"/>
      <c r="N25" s="64"/>
      <c r="O25" s="64"/>
      <c r="P25" s="64"/>
      <c r="Q25" s="64"/>
      <c r="R25" s="64"/>
      <c r="S25" s="64"/>
      <c r="T25" s="64"/>
      <c r="U25" s="64"/>
      <c r="V25" s="64"/>
      <c r="W25" s="64"/>
      <c r="X25" s="64"/>
      <c r="Y25" s="64"/>
      <c r="Z25" s="64"/>
    </row>
    <row r="26" ht="12.75" customHeight="1">
      <c r="A26" s="108"/>
      <c r="B26" s="64"/>
      <c r="C26" s="64"/>
      <c r="D26" s="64"/>
      <c r="E26" s="64"/>
      <c r="F26" s="63"/>
      <c r="G26" s="63"/>
      <c r="H26" s="64"/>
      <c r="I26" s="64"/>
      <c r="J26" s="64"/>
      <c r="K26" s="64"/>
      <c r="L26" s="64"/>
      <c r="M26" s="64"/>
      <c r="N26" s="64"/>
      <c r="O26" s="64"/>
      <c r="P26" s="64"/>
      <c r="Q26" s="64"/>
      <c r="R26" s="64"/>
      <c r="S26" s="64"/>
      <c r="T26" s="64"/>
      <c r="U26" s="64"/>
      <c r="V26" s="64"/>
      <c r="W26" s="64"/>
      <c r="X26" s="64"/>
      <c r="Y26" s="64"/>
      <c r="Z26" s="64"/>
    </row>
    <row r="27" ht="12.75" customHeight="1">
      <c r="A27" s="108"/>
      <c r="B27" s="64"/>
      <c r="C27" s="64"/>
      <c r="D27" s="64"/>
      <c r="E27" s="64"/>
      <c r="F27" s="63"/>
      <c r="G27" s="63"/>
      <c r="H27" s="64"/>
      <c r="I27" s="64"/>
      <c r="J27" s="64"/>
      <c r="K27" s="64"/>
      <c r="L27" s="64"/>
      <c r="M27" s="64"/>
      <c r="N27" s="64"/>
      <c r="O27" s="64"/>
      <c r="P27" s="64"/>
      <c r="Q27" s="64"/>
      <c r="R27" s="64"/>
      <c r="S27" s="64"/>
      <c r="T27" s="64"/>
      <c r="U27" s="64"/>
      <c r="V27" s="64"/>
      <c r="W27" s="64"/>
      <c r="X27" s="64"/>
      <c r="Y27" s="64"/>
      <c r="Z27" s="64"/>
    </row>
    <row r="28" ht="12.75" customHeight="1">
      <c r="A28" s="108"/>
      <c r="B28" s="64"/>
      <c r="C28" s="64"/>
      <c r="D28" s="64"/>
      <c r="E28" s="64"/>
      <c r="F28" s="63"/>
      <c r="G28" s="63"/>
      <c r="H28" s="64"/>
      <c r="I28" s="64"/>
      <c r="J28" s="64"/>
      <c r="K28" s="64"/>
      <c r="L28" s="64"/>
      <c r="M28" s="64"/>
      <c r="N28" s="64"/>
      <c r="O28" s="64"/>
      <c r="P28" s="64"/>
      <c r="Q28" s="64"/>
      <c r="R28" s="64"/>
      <c r="S28" s="64"/>
      <c r="T28" s="64"/>
      <c r="U28" s="64"/>
      <c r="V28" s="64"/>
      <c r="W28" s="64"/>
      <c r="X28" s="64"/>
      <c r="Y28" s="64"/>
      <c r="Z28" s="64"/>
    </row>
    <row r="29" ht="12.75" customHeight="1">
      <c r="A29" s="108"/>
      <c r="B29" s="64"/>
      <c r="C29" s="64"/>
      <c r="D29" s="64"/>
      <c r="E29" s="64"/>
      <c r="F29" s="63"/>
      <c r="G29" s="63"/>
      <c r="H29" s="64"/>
      <c r="I29" s="64"/>
      <c r="J29" s="64"/>
      <c r="K29" s="64"/>
      <c r="L29" s="64"/>
      <c r="M29" s="64"/>
      <c r="N29" s="64"/>
      <c r="O29" s="64"/>
      <c r="P29" s="64"/>
      <c r="Q29" s="64"/>
      <c r="R29" s="64"/>
      <c r="S29" s="64"/>
      <c r="T29" s="64"/>
      <c r="U29" s="64"/>
      <c r="V29" s="64"/>
      <c r="W29" s="64"/>
      <c r="X29" s="64"/>
      <c r="Y29" s="64"/>
      <c r="Z29" s="64"/>
    </row>
    <row r="30" ht="12.75" customHeight="1">
      <c r="A30" s="108"/>
      <c r="B30" s="64"/>
      <c r="C30" s="64"/>
      <c r="D30" s="64"/>
      <c r="E30" s="64"/>
      <c r="F30" s="63"/>
      <c r="G30" s="63"/>
      <c r="H30" s="64"/>
      <c r="I30" s="64"/>
      <c r="J30" s="64"/>
      <c r="K30" s="64"/>
      <c r="L30" s="64"/>
      <c r="M30" s="64"/>
      <c r="N30" s="64"/>
      <c r="O30" s="64"/>
      <c r="P30" s="64"/>
      <c r="Q30" s="64"/>
      <c r="R30" s="64"/>
      <c r="S30" s="64"/>
      <c r="T30" s="64"/>
      <c r="U30" s="64"/>
      <c r="V30" s="64"/>
      <c r="W30" s="64"/>
      <c r="X30" s="64"/>
      <c r="Y30" s="64"/>
      <c r="Z30" s="64"/>
    </row>
    <row r="31" ht="12.75" customHeight="1">
      <c r="A31" s="108"/>
      <c r="B31" s="64"/>
      <c r="C31" s="64"/>
      <c r="D31" s="64"/>
      <c r="E31" s="64"/>
      <c r="F31" s="63"/>
      <c r="G31" s="63"/>
      <c r="H31" s="64"/>
      <c r="I31" s="64"/>
      <c r="J31" s="64"/>
      <c r="K31" s="64"/>
      <c r="L31" s="64"/>
      <c r="M31" s="64"/>
      <c r="N31" s="64"/>
      <c r="O31" s="64"/>
      <c r="P31" s="64"/>
      <c r="Q31" s="64"/>
      <c r="R31" s="64"/>
      <c r="S31" s="64"/>
      <c r="T31" s="64"/>
      <c r="U31" s="64"/>
      <c r="V31" s="64"/>
      <c r="W31" s="64"/>
      <c r="X31" s="64"/>
      <c r="Y31" s="64"/>
      <c r="Z31" s="64"/>
    </row>
    <row r="32" ht="12.75" customHeight="1">
      <c r="A32" s="108"/>
      <c r="B32" s="64"/>
      <c r="C32" s="64"/>
      <c r="D32" s="64"/>
      <c r="E32" s="64"/>
      <c r="F32" s="63"/>
      <c r="G32" s="63"/>
      <c r="H32" s="64"/>
      <c r="I32" s="64"/>
      <c r="J32" s="64"/>
      <c r="K32" s="64"/>
      <c r="L32" s="64"/>
      <c r="M32" s="64"/>
      <c r="N32" s="64"/>
      <c r="O32" s="64"/>
      <c r="P32" s="64"/>
      <c r="Q32" s="64"/>
      <c r="R32" s="64"/>
      <c r="S32" s="64"/>
      <c r="T32" s="64"/>
      <c r="U32" s="64"/>
      <c r="V32" s="64"/>
      <c r="W32" s="64"/>
      <c r="X32" s="64"/>
      <c r="Y32" s="64"/>
      <c r="Z32" s="64"/>
    </row>
    <row r="33" ht="12.75" customHeight="1">
      <c r="A33" s="108"/>
      <c r="B33" s="64"/>
      <c r="C33" s="64"/>
      <c r="D33" s="64"/>
      <c r="E33" s="64"/>
      <c r="F33" s="63"/>
      <c r="G33" s="63"/>
      <c r="H33" s="64"/>
      <c r="I33" s="64"/>
      <c r="J33" s="64"/>
      <c r="K33" s="64"/>
      <c r="L33" s="64"/>
      <c r="M33" s="64"/>
      <c r="N33" s="64"/>
      <c r="O33" s="64"/>
      <c r="P33" s="64"/>
      <c r="Q33" s="64"/>
      <c r="R33" s="64"/>
      <c r="S33" s="64"/>
      <c r="T33" s="64"/>
      <c r="U33" s="64"/>
      <c r="V33" s="64"/>
      <c r="W33" s="64"/>
      <c r="X33" s="64"/>
      <c r="Y33" s="64"/>
      <c r="Z33" s="64"/>
    </row>
    <row r="34" ht="12.75" customHeight="1">
      <c r="A34" s="108"/>
      <c r="B34" s="64"/>
      <c r="C34" s="64"/>
      <c r="D34" s="64"/>
      <c r="E34" s="64"/>
      <c r="F34" s="63"/>
      <c r="G34" s="63"/>
      <c r="H34" s="64"/>
      <c r="I34" s="64"/>
      <c r="J34" s="64"/>
      <c r="K34" s="64"/>
      <c r="L34" s="64"/>
      <c r="M34" s="64"/>
      <c r="N34" s="64"/>
      <c r="O34" s="64"/>
      <c r="P34" s="64"/>
      <c r="Q34" s="64"/>
      <c r="R34" s="64"/>
      <c r="S34" s="64"/>
      <c r="T34" s="64"/>
      <c r="U34" s="64"/>
      <c r="V34" s="64"/>
      <c r="W34" s="64"/>
      <c r="X34" s="64"/>
      <c r="Y34" s="64"/>
      <c r="Z34" s="64"/>
    </row>
    <row r="35" ht="12.75" customHeight="1">
      <c r="A35" s="108"/>
      <c r="B35" s="64"/>
      <c r="C35" s="64"/>
      <c r="D35" s="64"/>
      <c r="E35" s="64"/>
      <c r="F35" s="63"/>
      <c r="G35" s="63"/>
      <c r="H35" s="64"/>
      <c r="I35" s="64"/>
      <c r="J35" s="64"/>
      <c r="K35" s="64"/>
      <c r="L35" s="64"/>
      <c r="M35" s="64"/>
      <c r="N35" s="64"/>
      <c r="O35" s="64"/>
      <c r="P35" s="64"/>
      <c r="Q35" s="64"/>
      <c r="R35" s="64"/>
      <c r="S35" s="64"/>
      <c r="T35" s="64"/>
      <c r="U35" s="64"/>
      <c r="V35" s="64"/>
      <c r="W35" s="64"/>
      <c r="X35" s="64"/>
      <c r="Y35" s="64"/>
      <c r="Z35" s="64"/>
    </row>
    <row r="36" ht="12.75" customHeight="1">
      <c r="A36" s="108"/>
      <c r="B36" s="64"/>
      <c r="C36" s="64"/>
      <c r="D36" s="64"/>
      <c r="E36" s="64"/>
      <c r="F36" s="63"/>
      <c r="G36" s="63"/>
      <c r="H36" s="64"/>
      <c r="I36" s="64"/>
      <c r="J36" s="64"/>
      <c r="K36" s="64"/>
      <c r="L36" s="64"/>
      <c r="M36" s="64"/>
      <c r="N36" s="64"/>
      <c r="O36" s="64"/>
      <c r="P36" s="64"/>
      <c r="Q36" s="64"/>
      <c r="R36" s="64"/>
      <c r="S36" s="64"/>
      <c r="T36" s="64"/>
      <c r="U36" s="64"/>
      <c r="V36" s="64"/>
      <c r="W36" s="64"/>
      <c r="X36" s="64"/>
      <c r="Y36" s="64"/>
      <c r="Z36" s="64"/>
    </row>
    <row r="37" ht="12.75" customHeight="1">
      <c r="A37" s="108"/>
      <c r="B37" s="64"/>
      <c r="C37" s="64"/>
      <c r="D37" s="64"/>
      <c r="E37" s="64"/>
      <c r="F37" s="63"/>
      <c r="G37" s="63"/>
      <c r="H37" s="64"/>
      <c r="I37" s="64"/>
      <c r="J37" s="64"/>
      <c r="K37" s="64"/>
      <c r="L37" s="64"/>
      <c r="M37" s="64"/>
      <c r="N37" s="64"/>
      <c r="O37" s="64"/>
      <c r="P37" s="64"/>
      <c r="Q37" s="64"/>
      <c r="R37" s="64"/>
      <c r="S37" s="64"/>
      <c r="T37" s="64"/>
      <c r="U37" s="64"/>
      <c r="V37" s="64"/>
      <c r="W37" s="64"/>
      <c r="X37" s="64"/>
      <c r="Y37" s="64"/>
      <c r="Z37" s="64"/>
    </row>
    <row r="38" ht="12.75" customHeight="1">
      <c r="A38" s="108"/>
      <c r="B38" s="64"/>
      <c r="C38" s="64"/>
      <c r="D38" s="64"/>
      <c r="E38" s="64"/>
      <c r="F38" s="63"/>
      <c r="G38" s="63"/>
      <c r="H38" s="64"/>
      <c r="I38" s="64"/>
      <c r="J38" s="64"/>
      <c r="K38" s="64"/>
      <c r="L38" s="64"/>
      <c r="M38" s="64"/>
      <c r="N38" s="64"/>
      <c r="O38" s="64"/>
      <c r="P38" s="64"/>
      <c r="Q38" s="64"/>
      <c r="R38" s="64"/>
      <c r="S38" s="64"/>
      <c r="T38" s="64"/>
      <c r="U38" s="64"/>
      <c r="V38" s="64"/>
      <c r="W38" s="64"/>
      <c r="X38" s="64"/>
      <c r="Y38" s="64"/>
      <c r="Z38" s="64"/>
    </row>
    <row r="39" ht="12.75" customHeight="1">
      <c r="A39" s="108"/>
      <c r="B39" s="64"/>
      <c r="C39" s="64"/>
      <c r="D39" s="64"/>
      <c r="E39" s="64"/>
      <c r="F39" s="63"/>
      <c r="G39" s="63"/>
      <c r="H39" s="64"/>
      <c r="I39" s="64"/>
      <c r="J39" s="64"/>
      <c r="K39" s="64"/>
      <c r="L39" s="64"/>
      <c r="M39" s="64"/>
      <c r="N39" s="64"/>
      <c r="O39" s="64"/>
      <c r="P39" s="64"/>
      <c r="Q39" s="64"/>
      <c r="R39" s="64"/>
      <c r="S39" s="64"/>
      <c r="T39" s="64"/>
      <c r="U39" s="64"/>
      <c r="V39" s="64"/>
      <c r="W39" s="64"/>
      <c r="X39" s="64"/>
      <c r="Y39" s="64"/>
      <c r="Z39" s="64"/>
    </row>
    <row r="40" ht="12.75" customHeight="1">
      <c r="A40" s="108"/>
      <c r="B40" s="64"/>
      <c r="C40" s="64"/>
      <c r="D40" s="64"/>
      <c r="E40" s="64"/>
      <c r="F40" s="63"/>
      <c r="G40" s="63"/>
      <c r="H40" s="64"/>
      <c r="I40" s="64"/>
      <c r="J40" s="64"/>
      <c r="K40" s="64"/>
      <c r="L40" s="64"/>
      <c r="M40" s="64"/>
      <c r="N40" s="64"/>
      <c r="O40" s="64"/>
      <c r="P40" s="64"/>
      <c r="Q40" s="64"/>
      <c r="R40" s="64"/>
      <c r="S40" s="64"/>
      <c r="T40" s="64"/>
      <c r="U40" s="64"/>
      <c r="V40" s="64"/>
      <c r="W40" s="64"/>
      <c r="X40" s="64"/>
      <c r="Y40" s="64"/>
      <c r="Z40" s="64"/>
    </row>
    <row r="41" ht="12.75" customHeight="1">
      <c r="A41" s="108"/>
      <c r="B41" s="64"/>
      <c r="C41" s="64"/>
      <c r="D41" s="64"/>
      <c r="E41" s="64"/>
      <c r="F41" s="63"/>
      <c r="G41" s="63"/>
      <c r="H41" s="64"/>
      <c r="I41" s="64"/>
      <c r="J41" s="64"/>
      <c r="K41" s="64"/>
      <c r="L41" s="64"/>
      <c r="M41" s="64"/>
      <c r="N41" s="64"/>
      <c r="O41" s="64"/>
      <c r="P41" s="64"/>
      <c r="Q41" s="64"/>
      <c r="R41" s="64"/>
      <c r="S41" s="64"/>
      <c r="T41" s="64"/>
      <c r="U41" s="64"/>
      <c r="V41" s="64"/>
      <c r="W41" s="64"/>
      <c r="X41" s="64"/>
      <c r="Y41" s="64"/>
      <c r="Z41" s="64"/>
    </row>
    <row r="42" ht="12.75" customHeight="1">
      <c r="A42" s="108"/>
      <c r="B42" s="64"/>
      <c r="C42" s="64"/>
      <c r="D42" s="64"/>
      <c r="E42" s="64"/>
      <c r="F42" s="63"/>
      <c r="G42" s="63"/>
      <c r="H42" s="64"/>
      <c r="I42" s="64"/>
      <c r="J42" s="64"/>
      <c r="K42" s="64"/>
      <c r="L42" s="64"/>
      <c r="M42" s="64"/>
      <c r="N42" s="64"/>
      <c r="O42" s="64"/>
      <c r="P42" s="64"/>
      <c r="Q42" s="64"/>
      <c r="R42" s="64"/>
      <c r="S42" s="64"/>
      <c r="T42" s="64"/>
      <c r="U42" s="64"/>
      <c r="V42" s="64"/>
      <c r="W42" s="64"/>
      <c r="X42" s="64"/>
      <c r="Y42" s="64"/>
      <c r="Z42" s="64"/>
    </row>
    <row r="43" ht="12.75" customHeight="1">
      <c r="A43" s="108"/>
      <c r="B43" s="64"/>
      <c r="C43" s="64"/>
      <c r="D43" s="64"/>
      <c r="E43" s="64"/>
      <c r="F43" s="63"/>
      <c r="G43" s="63"/>
      <c r="H43" s="64"/>
      <c r="I43" s="64"/>
      <c r="J43" s="64"/>
      <c r="K43" s="64"/>
      <c r="L43" s="64"/>
      <c r="M43" s="64"/>
      <c r="N43" s="64"/>
      <c r="O43" s="64"/>
      <c r="P43" s="64"/>
      <c r="Q43" s="64"/>
      <c r="R43" s="64"/>
      <c r="S43" s="64"/>
      <c r="T43" s="64"/>
      <c r="U43" s="64"/>
      <c r="V43" s="64"/>
      <c r="W43" s="64"/>
      <c r="X43" s="64"/>
      <c r="Y43" s="64"/>
      <c r="Z43" s="64"/>
    </row>
    <row r="44" ht="12.75" customHeight="1">
      <c r="A44" s="108"/>
      <c r="B44" s="64"/>
      <c r="C44" s="64"/>
      <c r="D44" s="64"/>
      <c r="E44" s="64"/>
      <c r="F44" s="63"/>
      <c r="G44" s="63"/>
      <c r="H44" s="64"/>
      <c r="I44" s="64"/>
      <c r="J44" s="64"/>
      <c r="K44" s="64"/>
      <c r="L44" s="64"/>
      <c r="M44" s="64"/>
      <c r="N44" s="64"/>
      <c r="O44" s="64"/>
      <c r="P44" s="64"/>
      <c r="Q44" s="64"/>
      <c r="R44" s="64"/>
      <c r="S44" s="64"/>
      <c r="T44" s="64"/>
      <c r="U44" s="64"/>
      <c r="V44" s="64"/>
      <c r="W44" s="64"/>
      <c r="X44" s="64"/>
      <c r="Y44" s="64"/>
      <c r="Z44" s="64"/>
    </row>
    <row r="45" ht="12.75" customHeight="1">
      <c r="A45" s="108"/>
      <c r="B45" s="64"/>
      <c r="C45" s="64"/>
      <c r="D45" s="64"/>
      <c r="E45" s="64"/>
      <c r="F45" s="63"/>
      <c r="G45" s="63"/>
      <c r="H45" s="64"/>
      <c r="I45" s="64"/>
      <c r="J45" s="64"/>
      <c r="K45" s="64"/>
      <c r="L45" s="64"/>
      <c r="M45" s="64"/>
      <c r="N45" s="64"/>
      <c r="O45" s="64"/>
      <c r="P45" s="64"/>
      <c r="Q45" s="64"/>
      <c r="R45" s="64"/>
      <c r="S45" s="64"/>
      <c r="T45" s="64"/>
      <c r="U45" s="64"/>
      <c r="V45" s="64"/>
      <c r="W45" s="64"/>
      <c r="X45" s="64"/>
      <c r="Y45" s="64"/>
      <c r="Z45" s="64"/>
    </row>
    <row r="46" ht="12.75" customHeight="1">
      <c r="A46" s="108"/>
      <c r="B46" s="64"/>
      <c r="C46" s="64"/>
      <c r="D46" s="64"/>
      <c r="E46" s="64"/>
      <c r="F46" s="63"/>
      <c r="G46" s="63"/>
      <c r="H46" s="64"/>
      <c r="I46" s="64"/>
      <c r="J46" s="64"/>
      <c r="K46" s="64"/>
      <c r="L46" s="64"/>
      <c r="M46" s="64"/>
      <c r="N46" s="64"/>
      <c r="O46" s="64"/>
      <c r="P46" s="64"/>
      <c r="Q46" s="64"/>
      <c r="R46" s="64"/>
      <c r="S46" s="64"/>
      <c r="T46" s="64"/>
      <c r="U46" s="64"/>
      <c r="V46" s="64"/>
      <c r="W46" s="64"/>
      <c r="X46" s="64"/>
      <c r="Y46" s="64"/>
      <c r="Z46" s="64"/>
    </row>
    <row r="47" ht="12.75" customHeight="1">
      <c r="A47" s="108"/>
      <c r="B47" s="64"/>
      <c r="C47" s="64"/>
      <c r="D47" s="64"/>
      <c r="E47" s="64"/>
      <c r="F47" s="63"/>
      <c r="G47" s="63"/>
      <c r="H47" s="64"/>
      <c r="I47" s="64"/>
      <c r="J47" s="64"/>
      <c r="K47" s="64"/>
      <c r="L47" s="64"/>
      <c r="M47" s="64"/>
      <c r="N47" s="64"/>
      <c r="O47" s="64"/>
      <c r="P47" s="64"/>
      <c r="Q47" s="64"/>
      <c r="R47" s="64"/>
      <c r="S47" s="64"/>
      <c r="T47" s="64"/>
      <c r="U47" s="64"/>
      <c r="V47" s="64"/>
      <c r="W47" s="64"/>
      <c r="X47" s="64"/>
      <c r="Y47" s="64"/>
      <c r="Z47" s="64"/>
    </row>
    <row r="48" ht="12.75" customHeight="1">
      <c r="A48" s="108"/>
      <c r="B48" s="64"/>
      <c r="C48" s="64"/>
      <c r="D48" s="64"/>
      <c r="E48" s="64"/>
      <c r="F48" s="63"/>
      <c r="G48" s="63"/>
      <c r="H48" s="64"/>
      <c r="I48" s="64"/>
      <c r="J48" s="64"/>
      <c r="K48" s="64"/>
      <c r="L48" s="64"/>
      <c r="M48" s="64"/>
      <c r="N48" s="64"/>
      <c r="O48" s="64"/>
      <c r="P48" s="64"/>
      <c r="Q48" s="64"/>
      <c r="R48" s="64"/>
      <c r="S48" s="64"/>
      <c r="T48" s="64"/>
      <c r="U48" s="64"/>
      <c r="V48" s="64"/>
      <c r="W48" s="64"/>
      <c r="X48" s="64"/>
      <c r="Y48" s="64"/>
      <c r="Z48" s="64"/>
    </row>
    <row r="49" ht="12.75" customHeight="1">
      <c r="A49" s="108"/>
      <c r="B49" s="64"/>
      <c r="C49" s="64"/>
      <c r="D49" s="64"/>
      <c r="E49" s="64"/>
      <c r="F49" s="63"/>
      <c r="G49" s="63"/>
      <c r="H49" s="64"/>
      <c r="I49" s="64"/>
      <c r="J49" s="64"/>
      <c r="K49" s="64"/>
      <c r="L49" s="64"/>
      <c r="M49" s="64"/>
      <c r="N49" s="64"/>
      <c r="O49" s="64"/>
      <c r="P49" s="64"/>
      <c r="Q49" s="64"/>
      <c r="R49" s="64"/>
      <c r="S49" s="64"/>
      <c r="T49" s="64"/>
      <c r="U49" s="64"/>
      <c r="V49" s="64"/>
      <c r="W49" s="64"/>
      <c r="X49" s="64"/>
      <c r="Y49" s="64"/>
      <c r="Z49" s="64"/>
    </row>
    <row r="50" ht="12.75" customHeight="1">
      <c r="A50" s="108"/>
      <c r="B50" s="64"/>
      <c r="C50" s="64"/>
      <c r="D50" s="64"/>
      <c r="E50" s="64"/>
      <c r="F50" s="63"/>
      <c r="G50" s="63"/>
      <c r="H50" s="64"/>
      <c r="I50" s="64"/>
      <c r="J50" s="64"/>
      <c r="K50" s="64"/>
      <c r="L50" s="64"/>
      <c r="M50" s="64"/>
      <c r="N50" s="64"/>
      <c r="O50" s="64"/>
      <c r="P50" s="64"/>
      <c r="Q50" s="64"/>
      <c r="R50" s="64"/>
      <c r="S50" s="64"/>
      <c r="T50" s="64"/>
      <c r="U50" s="64"/>
      <c r="V50" s="64"/>
      <c r="W50" s="64"/>
      <c r="X50" s="64"/>
      <c r="Y50" s="64"/>
      <c r="Z50" s="64"/>
    </row>
    <row r="51" ht="12.75" customHeight="1">
      <c r="A51" s="108"/>
      <c r="B51" s="64"/>
      <c r="C51" s="64"/>
      <c r="D51" s="64"/>
      <c r="E51" s="64"/>
      <c r="F51" s="63"/>
      <c r="G51" s="63"/>
      <c r="H51" s="64"/>
      <c r="I51" s="64"/>
      <c r="J51" s="64"/>
      <c r="K51" s="64"/>
      <c r="L51" s="64"/>
      <c r="M51" s="64"/>
      <c r="N51" s="64"/>
      <c r="O51" s="64"/>
      <c r="P51" s="64"/>
      <c r="Q51" s="64"/>
      <c r="R51" s="64"/>
      <c r="S51" s="64"/>
      <c r="T51" s="64"/>
      <c r="U51" s="64"/>
      <c r="V51" s="64"/>
      <c r="W51" s="64"/>
      <c r="X51" s="64"/>
      <c r="Y51" s="64"/>
      <c r="Z51" s="64"/>
    </row>
    <row r="52" ht="12.75" customHeight="1">
      <c r="A52" s="108"/>
      <c r="B52" s="64"/>
      <c r="C52" s="64"/>
      <c r="D52" s="64"/>
      <c r="E52" s="64"/>
      <c r="F52" s="63"/>
      <c r="G52" s="63"/>
      <c r="H52" s="64"/>
      <c r="I52" s="64"/>
      <c r="J52" s="64"/>
      <c r="K52" s="64"/>
      <c r="L52" s="64"/>
      <c r="M52" s="64"/>
      <c r="N52" s="64"/>
      <c r="O52" s="64"/>
      <c r="P52" s="64"/>
      <c r="Q52" s="64"/>
      <c r="R52" s="64"/>
      <c r="S52" s="64"/>
      <c r="T52" s="64"/>
      <c r="U52" s="64"/>
      <c r="V52" s="64"/>
      <c r="W52" s="64"/>
      <c r="X52" s="64"/>
      <c r="Y52" s="64"/>
      <c r="Z52" s="64"/>
    </row>
    <row r="53" ht="12.75" customHeight="1">
      <c r="A53" s="108"/>
      <c r="B53" s="64"/>
      <c r="C53" s="64"/>
      <c r="D53" s="64"/>
      <c r="E53" s="64"/>
      <c r="F53" s="63"/>
      <c r="G53" s="63"/>
      <c r="H53" s="64"/>
      <c r="I53" s="64"/>
      <c r="J53" s="64"/>
      <c r="K53" s="64"/>
      <c r="L53" s="64"/>
      <c r="M53" s="64"/>
      <c r="N53" s="64"/>
      <c r="O53" s="64"/>
      <c r="P53" s="64"/>
      <c r="Q53" s="64"/>
      <c r="R53" s="64"/>
      <c r="S53" s="64"/>
      <c r="T53" s="64"/>
      <c r="U53" s="64"/>
      <c r="V53" s="64"/>
      <c r="W53" s="64"/>
      <c r="X53" s="64"/>
      <c r="Y53" s="64"/>
      <c r="Z53" s="64"/>
    </row>
    <row r="54" ht="12.75" customHeight="1">
      <c r="A54" s="108"/>
      <c r="B54" s="64"/>
      <c r="C54" s="64"/>
      <c r="D54" s="64"/>
      <c r="E54" s="64"/>
      <c r="F54" s="63"/>
      <c r="G54" s="63"/>
      <c r="H54" s="64"/>
      <c r="I54" s="64"/>
      <c r="J54" s="64"/>
      <c r="K54" s="64"/>
      <c r="L54" s="64"/>
      <c r="M54" s="64"/>
      <c r="N54" s="64"/>
      <c r="O54" s="64"/>
      <c r="P54" s="64"/>
      <c r="Q54" s="64"/>
      <c r="R54" s="64"/>
      <c r="S54" s="64"/>
      <c r="T54" s="64"/>
      <c r="U54" s="64"/>
      <c r="V54" s="64"/>
      <c r="W54" s="64"/>
      <c r="X54" s="64"/>
      <c r="Y54" s="64"/>
      <c r="Z54" s="64"/>
    </row>
    <row r="55" ht="12.75" customHeight="1">
      <c r="A55" s="108"/>
      <c r="B55" s="64"/>
      <c r="C55" s="64"/>
      <c r="D55" s="64"/>
      <c r="E55" s="64"/>
      <c r="F55" s="63"/>
      <c r="G55" s="63"/>
      <c r="H55" s="64"/>
      <c r="I55" s="64"/>
      <c r="J55" s="64"/>
      <c r="K55" s="64"/>
      <c r="L55" s="64"/>
      <c r="M55" s="64"/>
      <c r="N55" s="64"/>
      <c r="O55" s="64"/>
      <c r="P55" s="64"/>
      <c r="Q55" s="64"/>
      <c r="R55" s="64"/>
      <c r="S55" s="64"/>
      <c r="T55" s="64"/>
      <c r="U55" s="64"/>
      <c r="V55" s="64"/>
      <c r="W55" s="64"/>
      <c r="X55" s="64"/>
      <c r="Y55" s="64"/>
      <c r="Z55" s="64"/>
    </row>
    <row r="56" ht="12.75" customHeight="1">
      <c r="A56" s="108"/>
      <c r="B56" s="64"/>
      <c r="C56" s="64"/>
      <c r="D56" s="64"/>
      <c r="E56" s="64"/>
      <c r="F56" s="63"/>
      <c r="G56" s="63"/>
      <c r="H56" s="64"/>
      <c r="I56" s="64"/>
      <c r="J56" s="64"/>
      <c r="K56" s="64"/>
      <c r="L56" s="64"/>
      <c r="M56" s="64"/>
      <c r="N56" s="64"/>
      <c r="O56" s="64"/>
      <c r="P56" s="64"/>
      <c r="Q56" s="64"/>
      <c r="R56" s="64"/>
      <c r="S56" s="64"/>
      <c r="T56" s="64"/>
      <c r="U56" s="64"/>
      <c r="V56" s="64"/>
      <c r="W56" s="64"/>
      <c r="X56" s="64"/>
      <c r="Y56" s="64"/>
      <c r="Z56" s="64"/>
    </row>
    <row r="57" ht="12.75" customHeight="1">
      <c r="A57" s="108"/>
      <c r="B57" s="64"/>
      <c r="C57" s="64"/>
      <c r="D57" s="64"/>
      <c r="E57" s="64"/>
      <c r="F57" s="63"/>
      <c r="G57" s="63"/>
      <c r="H57" s="64"/>
      <c r="I57" s="64"/>
      <c r="J57" s="64"/>
      <c r="K57" s="64"/>
      <c r="L57" s="64"/>
      <c r="M57" s="64"/>
      <c r="N57" s="64"/>
      <c r="O57" s="64"/>
      <c r="P57" s="64"/>
      <c r="Q57" s="64"/>
      <c r="R57" s="64"/>
      <c r="S57" s="64"/>
      <c r="T57" s="64"/>
      <c r="U57" s="64"/>
      <c r="V57" s="64"/>
      <c r="W57" s="64"/>
      <c r="X57" s="64"/>
      <c r="Y57" s="64"/>
      <c r="Z57" s="64"/>
    </row>
    <row r="58" ht="12.75" customHeight="1">
      <c r="A58" s="108"/>
      <c r="B58" s="64"/>
      <c r="C58" s="64"/>
      <c r="D58" s="64"/>
      <c r="E58" s="64"/>
      <c r="F58" s="63"/>
      <c r="G58" s="63"/>
      <c r="H58" s="64"/>
      <c r="I58" s="64"/>
      <c r="J58" s="64"/>
      <c r="K58" s="64"/>
      <c r="L58" s="64"/>
      <c r="M58" s="64"/>
      <c r="N58" s="64"/>
      <c r="O58" s="64"/>
      <c r="P58" s="64"/>
      <c r="Q58" s="64"/>
      <c r="R58" s="64"/>
      <c r="S58" s="64"/>
      <c r="T58" s="64"/>
      <c r="U58" s="64"/>
      <c r="V58" s="64"/>
      <c r="W58" s="64"/>
      <c r="X58" s="64"/>
      <c r="Y58" s="64"/>
      <c r="Z58" s="64"/>
    </row>
    <row r="59" ht="12.75" customHeight="1">
      <c r="A59" s="108"/>
      <c r="B59" s="64"/>
      <c r="C59" s="64"/>
      <c r="D59" s="64"/>
      <c r="E59" s="64"/>
      <c r="F59" s="63"/>
      <c r="G59" s="63"/>
      <c r="H59" s="64"/>
      <c r="I59" s="64"/>
      <c r="J59" s="64"/>
      <c r="K59" s="64"/>
      <c r="L59" s="64"/>
      <c r="M59" s="64"/>
      <c r="N59" s="64"/>
      <c r="O59" s="64"/>
      <c r="P59" s="64"/>
      <c r="Q59" s="64"/>
      <c r="R59" s="64"/>
      <c r="S59" s="64"/>
      <c r="T59" s="64"/>
      <c r="U59" s="64"/>
      <c r="V59" s="64"/>
      <c r="W59" s="64"/>
      <c r="X59" s="64"/>
      <c r="Y59" s="64"/>
      <c r="Z59" s="64"/>
    </row>
    <row r="60" ht="12.75" customHeight="1">
      <c r="A60" s="108"/>
      <c r="B60" s="64"/>
      <c r="C60" s="64"/>
      <c r="D60" s="64"/>
      <c r="E60" s="64"/>
      <c r="F60" s="63"/>
      <c r="G60" s="63"/>
      <c r="H60" s="64"/>
      <c r="I60" s="64"/>
      <c r="J60" s="64"/>
      <c r="K60" s="64"/>
      <c r="L60" s="64"/>
      <c r="M60" s="64"/>
      <c r="N60" s="64"/>
      <c r="O60" s="64"/>
      <c r="P60" s="64"/>
      <c r="Q60" s="64"/>
      <c r="R60" s="64"/>
      <c r="S60" s="64"/>
      <c r="T60" s="64"/>
      <c r="U60" s="64"/>
      <c r="V60" s="64"/>
      <c r="W60" s="64"/>
      <c r="X60" s="64"/>
      <c r="Y60" s="64"/>
      <c r="Z60" s="64"/>
    </row>
    <row r="61" ht="12.75" customHeight="1">
      <c r="A61" s="108"/>
      <c r="B61" s="64"/>
      <c r="C61" s="64"/>
      <c r="D61" s="64"/>
      <c r="E61" s="64"/>
      <c r="F61" s="63"/>
      <c r="G61" s="63"/>
      <c r="H61" s="64"/>
      <c r="I61" s="64"/>
      <c r="J61" s="64"/>
      <c r="K61" s="64"/>
      <c r="L61" s="64"/>
      <c r="M61" s="64"/>
      <c r="N61" s="64"/>
      <c r="O61" s="64"/>
      <c r="P61" s="64"/>
      <c r="Q61" s="64"/>
      <c r="R61" s="64"/>
      <c r="S61" s="64"/>
      <c r="T61" s="64"/>
      <c r="U61" s="64"/>
      <c r="V61" s="64"/>
      <c r="W61" s="64"/>
      <c r="X61" s="64"/>
      <c r="Y61" s="64"/>
      <c r="Z61" s="64"/>
    </row>
    <row r="62" ht="12.75" customHeight="1">
      <c r="A62" s="108"/>
      <c r="B62" s="64"/>
      <c r="C62" s="64"/>
      <c r="D62" s="64"/>
      <c r="E62" s="64"/>
      <c r="F62" s="63"/>
      <c r="G62" s="63"/>
      <c r="H62" s="64"/>
      <c r="I62" s="64"/>
      <c r="J62" s="64"/>
      <c r="K62" s="64"/>
      <c r="L62" s="64"/>
      <c r="M62" s="64"/>
      <c r="N62" s="64"/>
      <c r="O62" s="64"/>
      <c r="P62" s="64"/>
      <c r="Q62" s="64"/>
      <c r="R62" s="64"/>
      <c r="S62" s="64"/>
      <c r="T62" s="64"/>
      <c r="U62" s="64"/>
      <c r="V62" s="64"/>
      <c r="W62" s="64"/>
      <c r="X62" s="64"/>
      <c r="Y62" s="64"/>
      <c r="Z62" s="64"/>
    </row>
    <row r="63" ht="12.75" customHeight="1">
      <c r="A63" s="108"/>
      <c r="B63" s="64"/>
      <c r="C63" s="64"/>
      <c r="D63" s="64"/>
      <c r="E63" s="64"/>
      <c r="F63" s="63"/>
      <c r="G63" s="63"/>
      <c r="H63" s="64"/>
      <c r="I63" s="64"/>
      <c r="J63" s="64"/>
      <c r="K63" s="64"/>
      <c r="L63" s="64"/>
      <c r="M63" s="64"/>
      <c r="N63" s="64"/>
      <c r="O63" s="64"/>
      <c r="P63" s="64"/>
      <c r="Q63" s="64"/>
      <c r="R63" s="64"/>
      <c r="S63" s="64"/>
      <c r="T63" s="64"/>
      <c r="U63" s="64"/>
      <c r="V63" s="64"/>
      <c r="W63" s="64"/>
      <c r="X63" s="64"/>
      <c r="Y63" s="64"/>
      <c r="Z63" s="64"/>
    </row>
    <row r="64" ht="12.75" customHeight="1">
      <c r="A64" s="108"/>
      <c r="B64" s="64"/>
      <c r="C64" s="64"/>
      <c r="D64" s="64"/>
      <c r="E64" s="64"/>
      <c r="F64" s="63"/>
      <c r="G64" s="63"/>
      <c r="H64" s="64"/>
      <c r="I64" s="64"/>
      <c r="J64" s="64"/>
      <c r="K64" s="64"/>
      <c r="L64" s="64"/>
      <c r="M64" s="64"/>
      <c r="N64" s="64"/>
      <c r="O64" s="64"/>
      <c r="P64" s="64"/>
      <c r="Q64" s="64"/>
      <c r="R64" s="64"/>
      <c r="S64" s="64"/>
      <c r="T64" s="64"/>
      <c r="U64" s="64"/>
      <c r="V64" s="64"/>
      <c r="W64" s="64"/>
      <c r="X64" s="64"/>
      <c r="Y64" s="64"/>
      <c r="Z64" s="64"/>
    </row>
    <row r="65" ht="12.75" customHeight="1">
      <c r="A65" s="108"/>
      <c r="B65" s="64"/>
      <c r="C65" s="64"/>
      <c r="D65" s="64"/>
      <c r="E65" s="64"/>
      <c r="F65" s="63"/>
      <c r="G65" s="63"/>
      <c r="H65" s="64"/>
      <c r="I65" s="64"/>
      <c r="J65" s="64"/>
      <c r="K65" s="64"/>
      <c r="L65" s="64"/>
      <c r="M65" s="64"/>
      <c r="N65" s="64"/>
      <c r="O65" s="64"/>
      <c r="P65" s="64"/>
      <c r="Q65" s="64"/>
      <c r="R65" s="64"/>
      <c r="S65" s="64"/>
      <c r="T65" s="64"/>
      <c r="U65" s="64"/>
      <c r="V65" s="64"/>
      <c r="W65" s="64"/>
      <c r="X65" s="64"/>
      <c r="Y65" s="64"/>
      <c r="Z65" s="64"/>
    </row>
    <row r="66" ht="12.75" customHeight="1">
      <c r="A66" s="108"/>
      <c r="B66" s="64"/>
      <c r="C66" s="64"/>
      <c r="D66" s="64"/>
      <c r="E66" s="64"/>
      <c r="F66" s="63"/>
      <c r="G66" s="63"/>
      <c r="H66" s="64"/>
      <c r="I66" s="64"/>
      <c r="J66" s="64"/>
      <c r="K66" s="64"/>
      <c r="L66" s="64"/>
      <c r="M66" s="64"/>
      <c r="N66" s="64"/>
      <c r="O66" s="64"/>
      <c r="P66" s="64"/>
      <c r="Q66" s="64"/>
      <c r="R66" s="64"/>
      <c r="S66" s="64"/>
      <c r="T66" s="64"/>
      <c r="U66" s="64"/>
      <c r="V66" s="64"/>
      <c r="W66" s="64"/>
      <c r="X66" s="64"/>
      <c r="Y66" s="64"/>
      <c r="Z66" s="64"/>
    </row>
    <row r="67" ht="12.75" customHeight="1">
      <c r="A67" s="108"/>
      <c r="B67" s="64"/>
      <c r="C67" s="64"/>
      <c r="D67" s="64"/>
      <c r="E67" s="64"/>
      <c r="F67" s="63"/>
      <c r="G67" s="63"/>
      <c r="H67" s="64"/>
      <c r="I67" s="64"/>
      <c r="J67" s="64"/>
      <c r="K67" s="64"/>
      <c r="L67" s="64"/>
      <c r="M67" s="64"/>
      <c r="N67" s="64"/>
      <c r="O67" s="64"/>
      <c r="P67" s="64"/>
      <c r="Q67" s="64"/>
      <c r="R67" s="64"/>
      <c r="S67" s="64"/>
      <c r="T67" s="64"/>
      <c r="U67" s="64"/>
      <c r="V67" s="64"/>
      <c r="W67" s="64"/>
      <c r="X67" s="64"/>
      <c r="Y67" s="64"/>
      <c r="Z67" s="64"/>
    </row>
    <row r="68" ht="12.75" customHeight="1">
      <c r="A68" s="108"/>
      <c r="B68" s="64"/>
      <c r="C68" s="64"/>
      <c r="D68" s="64"/>
      <c r="E68" s="64"/>
      <c r="F68" s="63"/>
      <c r="G68" s="63"/>
      <c r="H68" s="64"/>
      <c r="I68" s="64"/>
      <c r="J68" s="64"/>
      <c r="K68" s="64"/>
      <c r="L68" s="64"/>
      <c r="M68" s="64"/>
      <c r="N68" s="64"/>
      <c r="O68" s="64"/>
      <c r="P68" s="64"/>
      <c r="Q68" s="64"/>
      <c r="R68" s="64"/>
      <c r="S68" s="64"/>
      <c r="T68" s="64"/>
      <c r="U68" s="64"/>
      <c r="V68" s="64"/>
      <c r="W68" s="64"/>
      <c r="X68" s="64"/>
      <c r="Y68" s="64"/>
      <c r="Z68" s="64"/>
    </row>
    <row r="69" ht="12.75" customHeight="1">
      <c r="A69" s="108"/>
      <c r="B69" s="64"/>
      <c r="C69" s="64"/>
      <c r="D69" s="64"/>
      <c r="E69" s="64"/>
      <c r="F69" s="63"/>
      <c r="G69" s="63"/>
      <c r="H69" s="64"/>
      <c r="I69" s="64"/>
      <c r="J69" s="64"/>
      <c r="K69" s="64"/>
      <c r="L69" s="64"/>
      <c r="M69" s="64"/>
      <c r="N69" s="64"/>
      <c r="O69" s="64"/>
      <c r="P69" s="64"/>
      <c r="Q69" s="64"/>
      <c r="R69" s="64"/>
      <c r="S69" s="64"/>
      <c r="T69" s="64"/>
      <c r="U69" s="64"/>
      <c r="V69" s="64"/>
      <c r="W69" s="64"/>
      <c r="X69" s="64"/>
      <c r="Y69" s="64"/>
      <c r="Z69" s="64"/>
    </row>
    <row r="70" ht="12.75" customHeight="1">
      <c r="A70" s="108"/>
      <c r="B70" s="64"/>
      <c r="C70" s="64"/>
      <c r="D70" s="64"/>
      <c r="E70" s="64"/>
      <c r="F70" s="63"/>
      <c r="G70" s="63"/>
      <c r="H70" s="64"/>
      <c r="I70" s="64"/>
      <c r="J70" s="64"/>
      <c r="K70" s="64"/>
      <c r="L70" s="64"/>
      <c r="M70" s="64"/>
      <c r="N70" s="64"/>
      <c r="O70" s="64"/>
      <c r="P70" s="64"/>
      <c r="Q70" s="64"/>
      <c r="R70" s="64"/>
      <c r="S70" s="64"/>
      <c r="T70" s="64"/>
      <c r="U70" s="64"/>
      <c r="V70" s="64"/>
      <c r="W70" s="64"/>
      <c r="X70" s="64"/>
      <c r="Y70" s="64"/>
      <c r="Z70" s="64"/>
    </row>
    <row r="71" ht="12.75" customHeight="1">
      <c r="A71" s="108"/>
      <c r="B71" s="64"/>
      <c r="C71" s="64"/>
      <c r="D71" s="64"/>
      <c r="E71" s="64"/>
      <c r="F71" s="63"/>
      <c r="G71" s="63"/>
      <c r="H71" s="64"/>
      <c r="I71" s="64"/>
      <c r="J71" s="64"/>
      <c r="K71" s="64"/>
      <c r="L71" s="64"/>
      <c r="M71" s="64"/>
      <c r="N71" s="64"/>
      <c r="O71" s="64"/>
      <c r="P71" s="64"/>
      <c r="Q71" s="64"/>
      <c r="R71" s="64"/>
      <c r="S71" s="64"/>
      <c r="T71" s="64"/>
      <c r="U71" s="64"/>
      <c r="V71" s="64"/>
      <c r="W71" s="64"/>
      <c r="X71" s="64"/>
      <c r="Y71" s="64"/>
      <c r="Z71" s="64"/>
    </row>
    <row r="72" ht="12.75" customHeight="1">
      <c r="A72" s="108"/>
      <c r="B72" s="64"/>
      <c r="C72" s="64"/>
      <c r="D72" s="64"/>
      <c r="E72" s="64"/>
      <c r="F72" s="63"/>
      <c r="G72" s="63"/>
      <c r="H72" s="64"/>
      <c r="I72" s="64"/>
      <c r="J72" s="64"/>
      <c r="K72" s="64"/>
      <c r="L72" s="64"/>
      <c r="M72" s="64"/>
      <c r="N72" s="64"/>
      <c r="O72" s="64"/>
      <c r="P72" s="64"/>
      <c r="Q72" s="64"/>
      <c r="R72" s="64"/>
      <c r="S72" s="64"/>
      <c r="T72" s="64"/>
      <c r="U72" s="64"/>
      <c r="V72" s="64"/>
      <c r="W72" s="64"/>
      <c r="X72" s="64"/>
      <c r="Y72" s="64"/>
      <c r="Z72" s="64"/>
    </row>
    <row r="73" ht="12.75" customHeight="1">
      <c r="A73" s="108"/>
      <c r="B73" s="64"/>
      <c r="C73" s="64"/>
      <c r="D73" s="64"/>
      <c r="E73" s="64"/>
      <c r="F73" s="63"/>
      <c r="G73" s="63"/>
      <c r="H73" s="64"/>
      <c r="I73" s="64"/>
      <c r="J73" s="64"/>
      <c r="K73" s="64"/>
      <c r="L73" s="64"/>
      <c r="M73" s="64"/>
      <c r="N73" s="64"/>
      <c r="O73" s="64"/>
      <c r="P73" s="64"/>
      <c r="Q73" s="64"/>
      <c r="R73" s="64"/>
      <c r="S73" s="64"/>
      <c r="T73" s="64"/>
      <c r="U73" s="64"/>
      <c r="V73" s="64"/>
      <c r="W73" s="64"/>
      <c r="X73" s="64"/>
      <c r="Y73" s="64"/>
      <c r="Z73" s="64"/>
    </row>
    <row r="74" ht="12.75" customHeight="1">
      <c r="A74" s="108"/>
      <c r="B74" s="64"/>
      <c r="C74" s="64"/>
      <c r="D74" s="64"/>
      <c r="E74" s="64"/>
      <c r="F74" s="63"/>
      <c r="G74" s="63"/>
      <c r="H74" s="64"/>
      <c r="I74" s="64"/>
      <c r="J74" s="64"/>
      <c r="K74" s="64"/>
      <c r="L74" s="64"/>
      <c r="M74" s="64"/>
      <c r="N74" s="64"/>
      <c r="O74" s="64"/>
      <c r="P74" s="64"/>
      <c r="Q74" s="64"/>
      <c r="R74" s="64"/>
      <c r="S74" s="64"/>
      <c r="T74" s="64"/>
      <c r="U74" s="64"/>
      <c r="V74" s="64"/>
      <c r="W74" s="64"/>
      <c r="X74" s="64"/>
      <c r="Y74" s="64"/>
      <c r="Z74" s="64"/>
    </row>
    <row r="75" ht="12.75" customHeight="1">
      <c r="A75" s="108"/>
      <c r="B75" s="64"/>
      <c r="C75" s="64"/>
      <c r="D75" s="64"/>
      <c r="E75" s="64"/>
      <c r="F75" s="63"/>
      <c r="G75" s="63"/>
      <c r="H75" s="64"/>
      <c r="I75" s="64"/>
      <c r="J75" s="64"/>
      <c r="K75" s="64"/>
      <c r="L75" s="64"/>
      <c r="M75" s="64"/>
      <c r="N75" s="64"/>
      <c r="O75" s="64"/>
      <c r="P75" s="64"/>
      <c r="Q75" s="64"/>
      <c r="R75" s="64"/>
      <c r="S75" s="64"/>
      <c r="T75" s="64"/>
      <c r="U75" s="64"/>
      <c r="V75" s="64"/>
      <c r="W75" s="64"/>
      <c r="X75" s="64"/>
      <c r="Y75" s="64"/>
      <c r="Z75" s="64"/>
    </row>
    <row r="76" ht="12.75" customHeight="1">
      <c r="A76" s="108"/>
      <c r="B76" s="64"/>
      <c r="C76" s="64"/>
      <c r="D76" s="64"/>
      <c r="E76" s="64"/>
      <c r="F76" s="63"/>
      <c r="G76" s="63"/>
      <c r="H76" s="64"/>
      <c r="I76" s="64"/>
      <c r="J76" s="64"/>
      <c r="K76" s="64"/>
      <c r="L76" s="64"/>
      <c r="M76" s="64"/>
      <c r="N76" s="64"/>
      <c r="O76" s="64"/>
      <c r="P76" s="64"/>
      <c r="Q76" s="64"/>
      <c r="R76" s="64"/>
      <c r="S76" s="64"/>
      <c r="T76" s="64"/>
      <c r="U76" s="64"/>
      <c r="V76" s="64"/>
      <c r="W76" s="64"/>
      <c r="X76" s="64"/>
      <c r="Y76" s="64"/>
      <c r="Z76" s="64"/>
    </row>
    <row r="77" ht="12.75" customHeight="1">
      <c r="A77" s="108"/>
      <c r="B77" s="64"/>
      <c r="C77" s="64"/>
      <c r="D77" s="64"/>
      <c r="E77" s="64"/>
      <c r="F77" s="63"/>
      <c r="G77" s="63"/>
      <c r="H77" s="64"/>
      <c r="I77" s="64"/>
      <c r="J77" s="64"/>
      <c r="K77" s="64"/>
      <c r="L77" s="64"/>
      <c r="M77" s="64"/>
      <c r="N77" s="64"/>
      <c r="O77" s="64"/>
      <c r="P77" s="64"/>
      <c r="Q77" s="64"/>
      <c r="R77" s="64"/>
      <c r="S77" s="64"/>
      <c r="T77" s="64"/>
      <c r="U77" s="64"/>
      <c r="V77" s="64"/>
      <c r="W77" s="64"/>
      <c r="X77" s="64"/>
      <c r="Y77" s="64"/>
      <c r="Z77" s="64"/>
    </row>
    <row r="78" ht="12.75" customHeight="1">
      <c r="A78" s="108"/>
      <c r="B78" s="64"/>
      <c r="C78" s="64"/>
      <c r="D78" s="64"/>
      <c r="E78" s="64"/>
      <c r="F78" s="63"/>
      <c r="G78" s="63"/>
      <c r="H78" s="64"/>
      <c r="I78" s="64"/>
      <c r="J78" s="64"/>
      <c r="K78" s="64"/>
      <c r="L78" s="64"/>
      <c r="M78" s="64"/>
      <c r="N78" s="64"/>
      <c r="O78" s="64"/>
      <c r="P78" s="64"/>
      <c r="Q78" s="64"/>
      <c r="R78" s="64"/>
      <c r="S78" s="64"/>
      <c r="T78" s="64"/>
      <c r="U78" s="64"/>
      <c r="V78" s="64"/>
      <c r="W78" s="64"/>
      <c r="X78" s="64"/>
      <c r="Y78" s="64"/>
      <c r="Z78" s="64"/>
    </row>
    <row r="79" ht="12.75" customHeight="1">
      <c r="A79" s="108"/>
      <c r="B79" s="64"/>
      <c r="C79" s="64"/>
      <c r="D79" s="64"/>
      <c r="E79" s="64"/>
      <c r="F79" s="63"/>
      <c r="G79" s="63"/>
      <c r="H79" s="64"/>
      <c r="I79" s="64"/>
      <c r="J79" s="64"/>
      <c r="K79" s="64"/>
      <c r="L79" s="64"/>
      <c r="M79" s="64"/>
      <c r="N79" s="64"/>
      <c r="O79" s="64"/>
      <c r="P79" s="64"/>
      <c r="Q79" s="64"/>
      <c r="R79" s="64"/>
      <c r="S79" s="64"/>
      <c r="T79" s="64"/>
      <c r="U79" s="64"/>
      <c r="V79" s="64"/>
      <c r="W79" s="64"/>
      <c r="X79" s="64"/>
      <c r="Y79" s="64"/>
      <c r="Z79" s="64"/>
    </row>
    <row r="80" ht="12.75" customHeight="1">
      <c r="A80" s="108"/>
      <c r="B80" s="64"/>
      <c r="C80" s="64"/>
      <c r="D80" s="64"/>
      <c r="E80" s="64"/>
      <c r="F80" s="63"/>
      <c r="G80" s="63"/>
      <c r="H80" s="64"/>
      <c r="I80" s="64"/>
      <c r="J80" s="64"/>
      <c r="K80" s="64"/>
      <c r="L80" s="64"/>
      <c r="M80" s="64"/>
      <c r="N80" s="64"/>
      <c r="O80" s="64"/>
      <c r="P80" s="64"/>
      <c r="Q80" s="64"/>
      <c r="R80" s="64"/>
      <c r="S80" s="64"/>
      <c r="T80" s="64"/>
      <c r="U80" s="64"/>
      <c r="V80" s="64"/>
      <c r="W80" s="64"/>
      <c r="X80" s="64"/>
      <c r="Y80" s="64"/>
      <c r="Z80" s="64"/>
    </row>
    <row r="81" ht="12.75" customHeight="1">
      <c r="A81" s="108"/>
      <c r="B81" s="64"/>
      <c r="C81" s="64"/>
      <c r="D81" s="64"/>
      <c r="E81" s="64"/>
      <c r="F81" s="63"/>
      <c r="G81" s="63"/>
      <c r="H81" s="64"/>
      <c r="I81" s="64"/>
      <c r="J81" s="64"/>
      <c r="K81" s="64"/>
      <c r="L81" s="64"/>
      <c r="M81" s="64"/>
      <c r="N81" s="64"/>
      <c r="O81" s="64"/>
      <c r="P81" s="64"/>
      <c r="Q81" s="64"/>
      <c r="R81" s="64"/>
      <c r="S81" s="64"/>
      <c r="T81" s="64"/>
      <c r="U81" s="64"/>
      <c r="V81" s="64"/>
      <c r="W81" s="64"/>
      <c r="X81" s="64"/>
      <c r="Y81" s="64"/>
      <c r="Z81" s="64"/>
    </row>
    <row r="82" ht="12.75" customHeight="1">
      <c r="A82" s="108"/>
      <c r="B82" s="64"/>
      <c r="C82" s="64"/>
      <c r="D82" s="64"/>
      <c r="E82" s="64"/>
      <c r="F82" s="63"/>
      <c r="G82" s="63"/>
      <c r="H82" s="64"/>
      <c r="I82" s="64"/>
      <c r="J82" s="64"/>
      <c r="K82" s="64"/>
      <c r="L82" s="64"/>
      <c r="M82" s="64"/>
      <c r="N82" s="64"/>
      <c r="O82" s="64"/>
      <c r="P82" s="64"/>
      <c r="Q82" s="64"/>
      <c r="R82" s="64"/>
      <c r="S82" s="64"/>
      <c r="T82" s="64"/>
      <c r="U82" s="64"/>
      <c r="V82" s="64"/>
      <c r="W82" s="64"/>
      <c r="X82" s="64"/>
      <c r="Y82" s="64"/>
      <c r="Z82" s="64"/>
    </row>
    <row r="83" ht="12.75" customHeight="1">
      <c r="A83" s="108"/>
      <c r="B83" s="64"/>
      <c r="C83" s="64"/>
      <c r="D83" s="64"/>
      <c r="E83" s="64"/>
      <c r="F83" s="63"/>
      <c r="G83" s="63"/>
      <c r="H83" s="64"/>
      <c r="I83" s="64"/>
      <c r="J83" s="64"/>
      <c r="K83" s="64"/>
      <c r="L83" s="64"/>
      <c r="M83" s="64"/>
      <c r="N83" s="64"/>
      <c r="O83" s="64"/>
      <c r="P83" s="64"/>
      <c r="Q83" s="64"/>
      <c r="R83" s="64"/>
      <c r="S83" s="64"/>
      <c r="T83" s="64"/>
      <c r="U83" s="64"/>
      <c r="V83" s="64"/>
      <c r="W83" s="64"/>
      <c r="X83" s="64"/>
      <c r="Y83" s="64"/>
      <c r="Z83" s="64"/>
    </row>
    <row r="84" ht="12.75" customHeight="1">
      <c r="A84" s="108"/>
      <c r="B84" s="64"/>
      <c r="C84" s="64"/>
      <c r="D84" s="64"/>
      <c r="E84" s="64"/>
      <c r="F84" s="63"/>
      <c r="G84" s="63"/>
      <c r="H84" s="64"/>
      <c r="I84" s="64"/>
      <c r="J84" s="64"/>
      <c r="K84" s="64"/>
      <c r="L84" s="64"/>
      <c r="M84" s="64"/>
      <c r="N84" s="64"/>
      <c r="O84" s="64"/>
      <c r="P84" s="64"/>
      <c r="Q84" s="64"/>
      <c r="R84" s="64"/>
      <c r="S84" s="64"/>
      <c r="T84" s="64"/>
      <c r="U84" s="64"/>
      <c r="V84" s="64"/>
      <c r="W84" s="64"/>
      <c r="X84" s="64"/>
      <c r="Y84" s="64"/>
      <c r="Z84" s="64"/>
    </row>
    <row r="85" ht="12.75" customHeight="1">
      <c r="A85" s="108"/>
      <c r="B85" s="64"/>
      <c r="C85" s="64"/>
      <c r="D85" s="64"/>
      <c r="E85" s="64"/>
      <c r="F85" s="63"/>
      <c r="G85" s="63"/>
      <c r="H85" s="64"/>
      <c r="I85" s="64"/>
      <c r="J85" s="64"/>
      <c r="K85" s="64"/>
      <c r="L85" s="64"/>
      <c r="M85" s="64"/>
      <c r="N85" s="64"/>
      <c r="O85" s="64"/>
      <c r="P85" s="64"/>
      <c r="Q85" s="64"/>
      <c r="R85" s="64"/>
      <c r="S85" s="64"/>
      <c r="T85" s="64"/>
      <c r="U85" s="64"/>
      <c r="V85" s="64"/>
      <c r="W85" s="64"/>
      <c r="X85" s="64"/>
      <c r="Y85" s="64"/>
      <c r="Z85" s="64"/>
    </row>
    <row r="86" ht="12.75" customHeight="1">
      <c r="A86" s="108"/>
      <c r="B86" s="64"/>
      <c r="C86" s="64"/>
      <c r="D86" s="64"/>
      <c r="E86" s="64"/>
      <c r="F86" s="63"/>
      <c r="G86" s="63"/>
      <c r="H86" s="64"/>
      <c r="I86" s="64"/>
      <c r="J86" s="64"/>
      <c r="K86" s="64"/>
      <c r="L86" s="64"/>
      <c r="M86" s="64"/>
      <c r="N86" s="64"/>
      <c r="O86" s="64"/>
      <c r="P86" s="64"/>
      <c r="Q86" s="64"/>
      <c r="R86" s="64"/>
      <c r="S86" s="64"/>
      <c r="T86" s="64"/>
      <c r="U86" s="64"/>
      <c r="V86" s="64"/>
      <c r="W86" s="64"/>
      <c r="X86" s="64"/>
      <c r="Y86" s="64"/>
      <c r="Z86" s="64"/>
    </row>
    <row r="87" ht="12.75" customHeight="1">
      <c r="A87" s="108"/>
      <c r="B87" s="64"/>
      <c r="C87" s="64"/>
      <c r="D87" s="64"/>
      <c r="E87" s="64"/>
      <c r="F87" s="63"/>
      <c r="G87" s="63"/>
      <c r="H87" s="64"/>
      <c r="I87" s="64"/>
      <c r="J87" s="64"/>
      <c r="K87" s="64"/>
      <c r="L87" s="64"/>
      <c r="M87" s="64"/>
      <c r="N87" s="64"/>
      <c r="O87" s="64"/>
      <c r="P87" s="64"/>
      <c r="Q87" s="64"/>
      <c r="R87" s="64"/>
      <c r="S87" s="64"/>
      <c r="T87" s="64"/>
      <c r="U87" s="64"/>
      <c r="V87" s="64"/>
      <c r="W87" s="64"/>
      <c r="X87" s="64"/>
      <c r="Y87" s="64"/>
      <c r="Z87" s="64"/>
    </row>
    <row r="88" ht="12.75" customHeight="1">
      <c r="A88" s="108"/>
      <c r="B88" s="64"/>
      <c r="C88" s="64"/>
      <c r="D88" s="64"/>
      <c r="E88" s="64"/>
      <c r="F88" s="63"/>
      <c r="G88" s="63"/>
      <c r="H88" s="64"/>
      <c r="I88" s="64"/>
      <c r="J88" s="64"/>
      <c r="K88" s="64"/>
      <c r="L88" s="64"/>
      <c r="M88" s="64"/>
      <c r="N88" s="64"/>
      <c r="O88" s="64"/>
      <c r="P88" s="64"/>
      <c r="Q88" s="64"/>
      <c r="R88" s="64"/>
      <c r="S88" s="64"/>
      <c r="T88" s="64"/>
      <c r="U88" s="64"/>
      <c r="V88" s="64"/>
      <c r="W88" s="64"/>
      <c r="X88" s="64"/>
      <c r="Y88" s="64"/>
      <c r="Z88" s="64"/>
    </row>
    <row r="89" ht="12.75" customHeight="1">
      <c r="A89" s="108"/>
      <c r="B89" s="64"/>
      <c r="C89" s="64"/>
      <c r="D89" s="64"/>
      <c r="E89" s="64"/>
      <c r="F89" s="63"/>
      <c r="G89" s="63"/>
      <c r="H89" s="64"/>
      <c r="I89" s="64"/>
      <c r="J89" s="64"/>
      <c r="K89" s="64"/>
      <c r="L89" s="64"/>
      <c r="M89" s="64"/>
      <c r="N89" s="64"/>
      <c r="O89" s="64"/>
      <c r="P89" s="64"/>
      <c r="Q89" s="64"/>
      <c r="R89" s="64"/>
      <c r="S89" s="64"/>
      <c r="T89" s="64"/>
      <c r="U89" s="64"/>
      <c r="V89" s="64"/>
      <c r="W89" s="64"/>
      <c r="X89" s="64"/>
      <c r="Y89" s="64"/>
      <c r="Z89" s="64"/>
    </row>
    <row r="90" ht="12.75" customHeight="1">
      <c r="A90" s="108"/>
      <c r="B90" s="64"/>
      <c r="C90" s="64"/>
      <c r="D90" s="64"/>
      <c r="E90" s="64"/>
      <c r="F90" s="63"/>
      <c r="G90" s="63"/>
      <c r="H90" s="64"/>
      <c r="I90" s="64"/>
      <c r="J90" s="64"/>
      <c r="K90" s="64"/>
      <c r="L90" s="64"/>
      <c r="M90" s="64"/>
      <c r="N90" s="64"/>
      <c r="O90" s="64"/>
      <c r="P90" s="64"/>
      <c r="Q90" s="64"/>
      <c r="R90" s="64"/>
      <c r="S90" s="64"/>
      <c r="T90" s="64"/>
      <c r="U90" s="64"/>
      <c r="V90" s="64"/>
      <c r="W90" s="64"/>
      <c r="X90" s="64"/>
      <c r="Y90" s="64"/>
      <c r="Z90" s="64"/>
    </row>
    <row r="91" ht="12.75" customHeight="1">
      <c r="A91" s="108"/>
      <c r="B91" s="64"/>
      <c r="C91" s="64"/>
      <c r="D91" s="64"/>
      <c r="E91" s="64"/>
      <c r="F91" s="63"/>
      <c r="G91" s="63"/>
      <c r="H91" s="64"/>
      <c r="I91" s="64"/>
      <c r="J91" s="64"/>
      <c r="K91" s="64"/>
      <c r="L91" s="64"/>
      <c r="M91" s="64"/>
      <c r="N91" s="64"/>
      <c r="O91" s="64"/>
      <c r="P91" s="64"/>
      <c r="Q91" s="64"/>
      <c r="R91" s="64"/>
      <c r="S91" s="64"/>
      <c r="T91" s="64"/>
      <c r="U91" s="64"/>
      <c r="V91" s="64"/>
      <c r="W91" s="64"/>
      <c r="X91" s="64"/>
      <c r="Y91" s="64"/>
      <c r="Z91" s="64"/>
    </row>
    <row r="92" ht="12.75" customHeight="1">
      <c r="A92" s="108"/>
      <c r="B92" s="64"/>
      <c r="C92" s="64"/>
      <c r="D92" s="64"/>
      <c r="E92" s="64"/>
      <c r="F92" s="63"/>
      <c r="G92" s="63"/>
      <c r="H92" s="64"/>
      <c r="I92" s="64"/>
      <c r="J92" s="64"/>
      <c r="K92" s="64"/>
      <c r="L92" s="64"/>
      <c r="M92" s="64"/>
      <c r="N92" s="64"/>
      <c r="O92" s="64"/>
      <c r="P92" s="64"/>
      <c r="Q92" s="64"/>
      <c r="R92" s="64"/>
      <c r="S92" s="64"/>
      <c r="T92" s="64"/>
      <c r="U92" s="64"/>
      <c r="V92" s="64"/>
      <c r="W92" s="64"/>
      <c r="X92" s="64"/>
      <c r="Y92" s="64"/>
      <c r="Z92" s="64"/>
    </row>
    <row r="93" ht="12.75" customHeight="1">
      <c r="A93" s="108"/>
      <c r="B93" s="64"/>
      <c r="C93" s="64"/>
      <c r="D93" s="64"/>
      <c r="E93" s="64"/>
      <c r="F93" s="63"/>
      <c r="G93" s="63"/>
      <c r="H93" s="64"/>
      <c r="I93" s="64"/>
      <c r="J93" s="64"/>
      <c r="K93" s="64"/>
      <c r="L93" s="64"/>
      <c r="M93" s="64"/>
      <c r="N93" s="64"/>
      <c r="O93" s="64"/>
      <c r="P93" s="64"/>
      <c r="Q93" s="64"/>
      <c r="R93" s="64"/>
      <c r="S93" s="64"/>
      <c r="T93" s="64"/>
      <c r="U93" s="64"/>
      <c r="V93" s="64"/>
      <c r="W93" s="64"/>
      <c r="X93" s="64"/>
      <c r="Y93" s="64"/>
      <c r="Z93" s="64"/>
    </row>
    <row r="94" ht="12.75" customHeight="1">
      <c r="A94" s="108"/>
      <c r="B94" s="64"/>
      <c r="C94" s="64"/>
      <c r="D94" s="64"/>
      <c r="E94" s="64"/>
      <c r="F94" s="63"/>
      <c r="G94" s="63"/>
      <c r="H94" s="64"/>
      <c r="I94" s="64"/>
      <c r="J94" s="64"/>
      <c r="K94" s="64"/>
      <c r="L94" s="64"/>
      <c r="M94" s="64"/>
      <c r="N94" s="64"/>
      <c r="O94" s="64"/>
      <c r="P94" s="64"/>
      <c r="Q94" s="64"/>
      <c r="R94" s="64"/>
      <c r="S94" s="64"/>
      <c r="T94" s="64"/>
      <c r="U94" s="64"/>
      <c r="V94" s="64"/>
      <c r="W94" s="64"/>
      <c r="X94" s="64"/>
      <c r="Y94" s="64"/>
      <c r="Z94" s="64"/>
    </row>
    <row r="95" ht="12.75" customHeight="1">
      <c r="A95" s="108"/>
      <c r="B95" s="64"/>
      <c r="C95" s="64"/>
      <c r="D95" s="64"/>
      <c r="E95" s="64"/>
      <c r="F95" s="63"/>
      <c r="G95" s="63"/>
      <c r="H95" s="64"/>
      <c r="I95" s="64"/>
      <c r="J95" s="64"/>
      <c r="K95" s="64"/>
      <c r="L95" s="64"/>
      <c r="M95" s="64"/>
      <c r="N95" s="64"/>
      <c r="O95" s="64"/>
      <c r="P95" s="64"/>
      <c r="Q95" s="64"/>
      <c r="R95" s="64"/>
      <c r="S95" s="64"/>
      <c r="T95" s="64"/>
      <c r="U95" s="64"/>
      <c r="V95" s="64"/>
      <c r="W95" s="64"/>
      <c r="X95" s="64"/>
      <c r="Y95" s="64"/>
      <c r="Z95" s="64"/>
    </row>
    <row r="96" ht="12.75" customHeight="1">
      <c r="A96" s="108"/>
      <c r="B96" s="64"/>
      <c r="C96" s="64"/>
      <c r="D96" s="64"/>
      <c r="E96" s="64"/>
      <c r="F96" s="63"/>
      <c r="G96" s="63"/>
      <c r="H96" s="64"/>
      <c r="I96" s="64"/>
      <c r="J96" s="64"/>
      <c r="K96" s="64"/>
      <c r="L96" s="64"/>
      <c r="M96" s="64"/>
      <c r="N96" s="64"/>
      <c r="O96" s="64"/>
      <c r="P96" s="64"/>
      <c r="Q96" s="64"/>
      <c r="R96" s="64"/>
      <c r="S96" s="64"/>
      <c r="T96" s="64"/>
      <c r="U96" s="64"/>
      <c r="V96" s="64"/>
      <c r="W96" s="64"/>
      <c r="X96" s="64"/>
      <c r="Y96" s="64"/>
      <c r="Z96" s="64"/>
    </row>
    <row r="97" ht="12.75" customHeight="1">
      <c r="A97" s="108"/>
      <c r="B97" s="64"/>
      <c r="C97" s="64"/>
      <c r="D97" s="64"/>
      <c r="E97" s="64"/>
      <c r="F97" s="63"/>
      <c r="G97" s="63"/>
      <c r="H97" s="64"/>
      <c r="I97" s="64"/>
      <c r="J97" s="64"/>
      <c r="K97" s="64"/>
      <c r="L97" s="64"/>
      <c r="M97" s="64"/>
      <c r="N97" s="64"/>
      <c r="O97" s="64"/>
      <c r="P97" s="64"/>
      <c r="Q97" s="64"/>
      <c r="R97" s="64"/>
      <c r="S97" s="64"/>
      <c r="T97" s="64"/>
      <c r="U97" s="64"/>
      <c r="V97" s="64"/>
      <c r="W97" s="64"/>
      <c r="X97" s="64"/>
      <c r="Y97" s="64"/>
      <c r="Z97" s="64"/>
    </row>
    <row r="98" ht="12.75" customHeight="1">
      <c r="A98" s="108"/>
      <c r="B98" s="64"/>
      <c r="C98" s="64"/>
      <c r="D98" s="64"/>
      <c r="E98" s="64"/>
      <c r="F98" s="63"/>
      <c r="G98" s="63"/>
      <c r="H98" s="64"/>
      <c r="I98" s="64"/>
      <c r="J98" s="64"/>
      <c r="K98" s="64"/>
      <c r="L98" s="64"/>
      <c r="M98" s="64"/>
      <c r="N98" s="64"/>
      <c r="O98" s="64"/>
      <c r="P98" s="64"/>
      <c r="Q98" s="64"/>
      <c r="R98" s="64"/>
      <c r="S98" s="64"/>
      <c r="T98" s="64"/>
      <c r="U98" s="64"/>
      <c r="V98" s="64"/>
      <c r="W98" s="64"/>
      <c r="X98" s="64"/>
      <c r="Y98" s="64"/>
      <c r="Z98" s="64"/>
    </row>
    <row r="99" ht="12.75" customHeight="1">
      <c r="A99" s="108"/>
      <c r="B99" s="64"/>
      <c r="C99" s="64"/>
      <c r="D99" s="64"/>
      <c r="E99" s="64"/>
      <c r="F99" s="63"/>
      <c r="G99" s="63"/>
      <c r="H99" s="64"/>
      <c r="I99" s="64"/>
      <c r="J99" s="64"/>
      <c r="K99" s="64"/>
      <c r="L99" s="64"/>
      <c r="M99" s="64"/>
      <c r="N99" s="64"/>
      <c r="O99" s="64"/>
      <c r="P99" s="64"/>
      <c r="Q99" s="64"/>
      <c r="R99" s="64"/>
      <c r="S99" s="64"/>
      <c r="T99" s="64"/>
      <c r="U99" s="64"/>
      <c r="V99" s="64"/>
      <c r="W99" s="64"/>
      <c r="X99" s="64"/>
      <c r="Y99" s="64"/>
      <c r="Z99" s="64"/>
    </row>
    <row r="100" ht="12.75" customHeight="1">
      <c r="A100" s="108"/>
      <c r="B100" s="64"/>
      <c r="C100" s="64"/>
      <c r="D100" s="64"/>
      <c r="E100" s="64"/>
      <c r="F100" s="63"/>
      <c r="G100" s="63"/>
      <c r="H100" s="64"/>
      <c r="I100" s="64"/>
      <c r="J100" s="64"/>
      <c r="K100" s="64"/>
      <c r="L100" s="64"/>
      <c r="M100" s="64"/>
      <c r="N100" s="64"/>
      <c r="O100" s="64"/>
      <c r="P100" s="64"/>
      <c r="Q100" s="64"/>
      <c r="R100" s="64"/>
      <c r="S100" s="64"/>
      <c r="T100" s="64"/>
      <c r="U100" s="64"/>
      <c r="V100" s="64"/>
      <c r="W100" s="64"/>
      <c r="X100" s="64"/>
      <c r="Y100" s="64"/>
      <c r="Z100" s="64"/>
    </row>
    <row r="101" ht="12.75" customHeight="1">
      <c r="A101" s="108"/>
      <c r="B101" s="64"/>
      <c r="C101" s="64"/>
      <c r="D101" s="64"/>
      <c r="E101" s="64"/>
      <c r="F101" s="63"/>
      <c r="G101" s="63"/>
      <c r="H101" s="64"/>
      <c r="I101" s="64"/>
      <c r="J101" s="64"/>
      <c r="K101" s="64"/>
      <c r="L101" s="64"/>
      <c r="M101" s="64"/>
      <c r="N101" s="64"/>
      <c r="O101" s="64"/>
      <c r="P101" s="64"/>
      <c r="Q101" s="64"/>
      <c r="R101" s="64"/>
      <c r="S101" s="64"/>
      <c r="T101" s="64"/>
      <c r="U101" s="64"/>
      <c r="V101" s="64"/>
      <c r="W101" s="64"/>
      <c r="X101" s="64"/>
      <c r="Y101" s="64"/>
      <c r="Z101" s="64"/>
    </row>
    <row r="102" ht="12.75" customHeight="1">
      <c r="A102" s="108"/>
      <c r="B102" s="64"/>
      <c r="C102" s="64"/>
      <c r="D102" s="64"/>
      <c r="E102" s="64"/>
      <c r="F102" s="63"/>
      <c r="G102" s="63"/>
      <c r="H102" s="64"/>
      <c r="I102" s="64"/>
      <c r="J102" s="64"/>
      <c r="K102" s="64"/>
      <c r="L102" s="64"/>
      <c r="M102" s="64"/>
      <c r="N102" s="64"/>
      <c r="O102" s="64"/>
      <c r="P102" s="64"/>
      <c r="Q102" s="64"/>
      <c r="R102" s="64"/>
      <c r="S102" s="64"/>
      <c r="T102" s="64"/>
      <c r="U102" s="64"/>
      <c r="V102" s="64"/>
      <c r="W102" s="64"/>
      <c r="X102" s="64"/>
      <c r="Y102" s="64"/>
      <c r="Z102" s="64"/>
    </row>
    <row r="103" ht="12.75" customHeight="1">
      <c r="A103" s="108"/>
      <c r="B103" s="64"/>
      <c r="C103" s="64"/>
      <c r="D103" s="64"/>
      <c r="E103" s="64"/>
      <c r="F103" s="63"/>
      <c r="G103" s="63"/>
      <c r="H103" s="64"/>
      <c r="I103" s="64"/>
      <c r="J103" s="64"/>
      <c r="K103" s="64"/>
      <c r="L103" s="64"/>
      <c r="M103" s="64"/>
      <c r="N103" s="64"/>
      <c r="O103" s="64"/>
      <c r="P103" s="64"/>
      <c r="Q103" s="64"/>
      <c r="R103" s="64"/>
      <c r="S103" s="64"/>
      <c r="T103" s="64"/>
      <c r="U103" s="64"/>
      <c r="V103" s="64"/>
      <c r="W103" s="64"/>
      <c r="X103" s="64"/>
      <c r="Y103" s="64"/>
      <c r="Z103" s="64"/>
    </row>
    <row r="104" ht="12.75" customHeight="1">
      <c r="A104" s="108"/>
      <c r="B104" s="64"/>
      <c r="C104" s="64"/>
      <c r="D104" s="64"/>
      <c r="E104" s="64"/>
      <c r="F104" s="63"/>
      <c r="G104" s="63"/>
      <c r="H104" s="64"/>
      <c r="I104" s="64"/>
      <c r="J104" s="64"/>
      <c r="K104" s="64"/>
      <c r="L104" s="64"/>
      <c r="M104" s="64"/>
      <c r="N104" s="64"/>
      <c r="O104" s="64"/>
      <c r="P104" s="64"/>
      <c r="Q104" s="64"/>
      <c r="R104" s="64"/>
      <c r="S104" s="64"/>
      <c r="T104" s="64"/>
      <c r="U104" s="64"/>
      <c r="V104" s="64"/>
      <c r="W104" s="64"/>
      <c r="X104" s="64"/>
      <c r="Y104" s="64"/>
      <c r="Z104" s="64"/>
    </row>
    <row r="105" ht="12.75" customHeight="1">
      <c r="A105" s="108"/>
      <c r="B105" s="64"/>
      <c r="C105" s="64"/>
      <c r="D105" s="64"/>
      <c r="E105" s="64"/>
      <c r="F105" s="63"/>
      <c r="G105" s="63"/>
      <c r="H105" s="64"/>
      <c r="I105" s="64"/>
      <c r="J105" s="64"/>
      <c r="K105" s="64"/>
      <c r="L105" s="64"/>
      <c r="M105" s="64"/>
      <c r="N105" s="64"/>
      <c r="O105" s="64"/>
      <c r="P105" s="64"/>
      <c r="Q105" s="64"/>
      <c r="R105" s="64"/>
      <c r="S105" s="64"/>
      <c r="T105" s="64"/>
      <c r="U105" s="64"/>
      <c r="V105" s="64"/>
      <c r="W105" s="64"/>
      <c r="X105" s="64"/>
      <c r="Y105" s="64"/>
      <c r="Z105" s="64"/>
    </row>
    <row r="106" ht="12.75" customHeight="1">
      <c r="A106" s="108"/>
      <c r="B106" s="64"/>
      <c r="C106" s="64"/>
      <c r="D106" s="64"/>
      <c r="E106" s="64"/>
      <c r="F106" s="63"/>
      <c r="G106" s="63"/>
      <c r="H106" s="64"/>
      <c r="I106" s="64"/>
      <c r="J106" s="64"/>
      <c r="K106" s="64"/>
      <c r="L106" s="64"/>
      <c r="M106" s="64"/>
      <c r="N106" s="64"/>
      <c r="O106" s="64"/>
      <c r="P106" s="64"/>
      <c r="Q106" s="64"/>
      <c r="R106" s="64"/>
      <c r="S106" s="64"/>
      <c r="T106" s="64"/>
      <c r="U106" s="64"/>
      <c r="V106" s="64"/>
      <c r="W106" s="64"/>
      <c r="X106" s="64"/>
      <c r="Y106" s="64"/>
      <c r="Z106" s="64"/>
    </row>
    <row r="107" ht="12.75" customHeight="1">
      <c r="A107" s="108"/>
      <c r="B107" s="64"/>
      <c r="C107" s="64"/>
      <c r="D107" s="64"/>
      <c r="E107" s="64"/>
      <c r="F107" s="63"/>
      <c r="G107" s="63"/>
      <c r="H107" s="64"/>
      <c r="I107" s="64"/>
      <c r="J107" s="64"/>
      <c r="K107" s="64"/>
      <c r="L107" s="64"/>
      <c r="M107" s="64"/>
      <c r="N107" s="64"/>
      <c r="O107" s="64"/>
      <c r="P107" s="64"/>
      <c r="Q107" s="64"/>
      <c r="R107" s="64"/>
      <c r="S107" s="64"/>
      <c r="T107" s="64"/>
      <c r="U107" s="64"/>
      <c r="V107" s="64"/>
      <c r="W107" s="64"/>
      <c r="X107" s="64"/>
      <c r="Y107" s="64"/>
      <c r="Z107" s="64"/>
    </row>
    <row r="108" ht="12.75" customHeight="1">
      <c r="A108" s="108"/>
      <c r="B108" s="64"/>
      <c r="C108" s="64"/>
      <c r="D108" s="64"/>
      <c r="E108" s="64"/>
      <c r="F108" s="63"/>
      <c r="G108" s="63"/>
      <c r="H108" s="64"/>
      <c r="I108" s="64"/>
      <c r="J108" s="64"/>
      <c r="K108" s="64"/>
      <c r="L108" s="64"/>
      <c r="M108" s="64"/>
      <c r="N108" s="64"/>
      <c r="O108" s="64"/>
      <c r="P108" s="64"/>
      <c r="Q108" s="64"/>
      <c r="R108" s="64"/>
      <c r="S108" s="64"/>
      <c r="T108" s="64"/>
      <c r="U108" s="64"/>
      <c r="V108" s="64"/>
      <c r="W108" s="64"/>
      <c r="X108" s="64"/>
      <c r="Y108" s="64"/>
      <c r="Z108" s="64"/>
    </row>
    <row r="109" ht="12.75" customHeight="1">
      <c r="A109" s="108"/>
      <c r="B109" s="64"/>
      <c r="C109" s="64"/>
      <c r="D109" s="64"/>
      <c r="E109" s="64"/>
      <c r="F109" s="63"/>
      <c r="G109" s="63"/>
      <c r="H109" s="64"/>
      <c r="I109" s="64"/>
      <c r="J109" s="64"/>
      <c r="K109" s="64"/>
      <c r="L109" s="64"/>
      <c r="M109" s="64"/>
      <c r="N109" s="64"/>
      <c r="O109" s="64"/>
      <c r="P109" s="64"/>
      <c r="Q109" s="64"/>
      <c r="R109" s="64"/>
      <c r="S109" s="64"/>
      <c r="T109" s="64"/>
      <c r="U109" s="64"/>
      <c r="V109" s="64"/>
      <c r="W109" s="64"/>
      <c r="X109" s="64"/>
      <c r="Y109" s="64"/>
      <c r="Z109" s="64"/>
    </row>
    <row r="110" ht="12.75" customHeight="1">
      <c r="A110" s="108"/>
      <c r="B110" s="64"/>
      <c r="C110" s="64"/>
      <c r="D110" s="64"/>
      <c r="E110" s="64"/>
      <c r="F110" s="63"/>
      <c r="G110" s="63"/>
      <c r="H110" s="64"/>
      <c r="I110" s="64"/>
      <c r="J110" s="64"/>
      <c r="K110" s="64"/>
      <c r="L110" s="64"/>
      <c r="M110" s="64"/>
      <c r="N110" s="64"/>
      <c r="O110" s="64"/>
      <c r="P110" s="64"/>
      <c r="Q110" s="64"/>
      <c r="R110" s="64"/>
      <c r="S110" s="64"/>
      <c r="T110" s="64"/>
      <c r="U110" s="64"/>
      <c r="V110" s="64"/>
      <c r="W110" s="64"/>
      <c r="X110" s="64"/>
      <c r="Y110" s="64"/>
      <c r="Z110" s="64"/>
    </row>
    <row r="111" ht="12.75" customHeight="1">
      <c r="A111" s="108"/>
      <c r="B111" s="64"/>
      <c r="C111" s="64"/>
      <c r="D111" s="64"/>
      <c r="E111" s="64"/>
      <c r="F111" s="63"/>
      <c r="G111" s="63"/>
      <c r="H111" s="64"/>
      <c r="I111" s="64"/>
      <c r="J111" s="64"/>
      <c r="K111" s="64"/>
      <c r="L111" s="64"/>
      <c r="M111" s="64"/>
      <c r="N111" s="64"/>
      <c r="O111" s="64"/>
      <c r="P111" s="64"/>
      <c r="Q111" s="64"/>
      <c r="R111" s="64"/>
      <c r="S111" s="64"/>
      <c r="T111" s="64"/>
      <c r="U111" s="64"/>
      <c r="V111" s="64"/>
      <c r="W111" s="64"/>
      <c r="X111" s="64"/>
      <c r="Y111" s="64"/>
      <c r="Z111" s="64"/>
    </row>
    <row r="112" ht="12.75" customHeight="1">
      <c r="A112" s="108"/>
      <c r="B112" s="64"/>
      <c r="C112" s="64"/>
      <c r="D112" s="64"/>
      <c r="E112" s="64"/>
      <c r="F112" s="63"/>
      <c r="G112" s="63"/>
      <c r="H112" s="64"/>
      <c r="I112" s="64"/>
      <c r="J112" s="64"/>
      <c r="K112" s="64"/>
      <c r="L112" s="64"/>
      <c r="M112" s="64"/>
      <c r="N112" s="64"/>
      <c r="O112" s="64"/>
      <c r="P112" s="64"/>
      <c r="Q112" s="64"/>
      <c r="R112" s="64"/>
      <c r="S112" s="64"/>
      <c r="T112" s="64"/>
      <c r="U112" s="64"/>
      <c r="V112" s="64"/>
      <c r="W112" s="64"/>
      <c r="X112" s="64"/>
      <c r="Y112" s="64"/>
      <c r="Z112" s="64"/>
    </row>
    <row r="113" ht="12.75" customHeight="1">
      <c r="A113" s="108"/>
      <c r="B113" s="64"/>
      <c r="C113" s="64"/>
      <c r="D113" s="64"/>
      <c r="E113" s="64"/>
      <c r="F113" s="63"/>
      <c r="G113" s="63"/>
      <c r="H113" s="64"/>
      <c r="I113" s="64"/>
      <c r="J113" s="64"/>
      <c r="K113" s="64"/>
      <c r="L113" s="64"/>
      <c r="M113" s="64"/>
      <c r="N113" s="64"/>
      <c r="O113" s="64"/>
      <c r="P113" s="64"/>
      <c r="Q113" s="64"/>
      <c r="R113" s="64"/>
      <c r="S113" s="64"/>
      <c r="T113" s="64"/>
      <c r="U113" s="64"/>
      <c r="V113" s="64"/>
      <c r="W113" s="64"/>
      <c r="X113" s="64"/>
      <c r="Y113" s="64"/>
      <c r="Z113" s="64"/>
    </row>
    <row r="114" ht="12.75" customHeight="1">
      <c r="A114" s="108"/>
      <c r="B114" s="64"/>
      <c r="C114" s="64"/>
      <c r="D114" s="64"/>
      <c r="E114" s="64"/>
      <c r="F114" s="63"/>
      <c r="G114" s="63"/>
      <c r="H114" s="64"/>
      <c r="I114" s="64"/>
      <c r="J114" s="64"/>
      <c r="K114" s="64"/>
      <c r="L114" s="64"/>
      <c r="M114" s="64"/>
      <c r="N114" s="64"/>
      <c r="O114" s="64"/>
      <c r="P114" s="64"/>
      <c r="Q114" s="64"/>
      <c r="R114" s="64"/>
      <c r="S114" s="64"/>
      <c r="T114" s="64"/>
      <c r="U114" s="64"/>
      <c r="V114" s="64"/>
      <c r="W114" s="64"/>
      <c r="X114" s="64"/>
      <c r="Y114" s="64"/>
      <c r="Z114" s="64"/>
    </row>
    <row r="115" ht="12.75" customHeight="1">
      <c r="A115" s="108"/>
      <c r="B115" s="64"/>
      <c r="C115" s="64"/>
      <c r="D115" s="64"/>
      <c r="E115" s="64"/>
      <c r="F115" s="63"/>
      <c r="G115" s="63"/>
      <c r="H115" s="64"/>
      <c r="I115" s="64"/>
      <c r="J115" s="64"/>
      <c r="K115" s="64"/>
      <c r="L115" s="64"/>
      <c r="M115" s="64"/>
      <c r="N115" s="64"/>
      <c r="O115" s="64"/>
      <c r="P115" s="64"/>
      <c r="Q115" s="64"/>
      <c r="R115" s="64"/>
      <c r="S115" s="64"/>
      <c r="T115" s="64"/>
      <c r="U115" s="64"/>
      <c r="V115" s="64"/>
      <c r="W115" s="64"/>
      <c r="X115" s="64"/>
      <c r="Y115" s="64"/>
      <c r="Z115" s="64"/>
    </row>
    <row r="116" ht="12.75" customHeight="1">
      <c r="A116" s="108"/>
      <c r="B116" s="64"/>
      <c r="C116" s="64"/>
      <c r="D116" s="64"/>
      <c r="E116" s="64"/>
      <c r="F116" s="63"/>
      <c r="G116" s="63"/>
      <c r="H116" s="64"/>
      <c r="I116" s="64"/>
      <c r="J116" s="64"/>
      <c r="K116" s="64"/>
      <c r="L116" s="64"/>
      <c r="M116" s="64"/>
      <c r="N116" s="64"/>
      <c r="O116" s="64"/>
      <c r="P116" s="64"/>
      <c r="Q116" s="64"/>
      <c r="R116" s="64"/>
      <c r="S116" s="64"/>
      <c r="T116" s="64"/>
      <c r="U116" s="64"/>
      <c r="V116" s="64"/>
      <c r="W116" s="64"/>
      <c r="X116" s="64"/>
      <c r="Y116" s="64"/>
      <c r="Z116" s="64"/>
    </row>
    <row r="117" ht="12.75" customHeight="1">
      <c r="A117" s="108"/>
      <c r="B117" s="64"/>
      <c r="C117" s="64"/>
      <c r="D117" s="64"/>
      <c r="E117" s="64"/>
      <c r="F117" s="63"/>
      <c r="G117" s="63"/>
      <c r="H117" s="64"/>
      <c r="I117" s="64"/>
      <c r="J117" s="64"/>
      <c r="K117" s="64"/>
      <c r="L117" s="64"/>
      <c r="M117" s="64"/>
      <c r="N117" s="64"/>
      <c r="O117" s="64"/>
      <c r="P117" s="64"/>
      <c r="Q117" s="64"/>
      <c r="R117" s="64"/>
      <c r="S117" s="64"/>
      <c r="T117" s="64"/>
      <c r="U117" s="64"/>
      <c r="V117" s="64"/>
      <c r="W117" s="64"/>
      <c r="X117" s="64"/>
      <c r="Y117" s="64"/>
      <c r="Z117" s="64"/>
    </row>
    <row r="118" ht="12.75" customHeight="1">
      <c r="A118" s="108"/>
      <c r="B118" s="64"/>
      <c r="C118" s="64"/>
      <c r="D118" s="64"/>
      <c r="E118" s="64"/>
      <c r="F118" s="63"/>
      <c r="G118" s="63"/>
      <c r="H118" s="64"/>
      <c r="I118" s="64"/>
      <c r="J118" s="64"/>
      <c r="K118" s="64"/>
      <c r="L118" s="64"/>
      <c r="M118" s="64"/>
      <c r="N118" s="64"/>
      <c r="O118" s="64"/>
      <c r="P118" s="64"/>
      <c r="Q118" s="64"/>
      <c r="R118" s="64"/>
      <c r="S118" s="64"/>
      <c r="T118" s="64"/>
      <c r="U118" s="64"/>
      <c r="V118" s="64"/>
      <c r="W118" s="64"/>
      <c r="X118" s="64"/>
      <c r="Y118" s="64"/>
      <c r="Z118" s="64"/>
    </row>
    <row r="119" ht="12.75" customHeight="1">
      <c r="A119" s="108"/>
      <c r="B119" s="64"/>
      <c r="C119" s="64"/>
      <c r="D119" s="64"/>
      <c r="E119" s="64"/>
      <c r="F119" s="63"/>
      <c r="G119" s="63"/>
      <c r="H119" s="64"/>
      <c r="I119" s="64"/>
      <c r="J119" s="64"/>
      <c r="K119" s="64"/>
      <c r="L119" s="64"/>
      <c r="M119" s="64"/>
      <c r="N119" s="64"/>
      <c r="O119" s="64"/>
      <c r="P119" s="64"/>
      <c r="Q119" s="64"/>
      <c r="R119" s="64"/>
      <c r="S119" s="64"/>
      <c r="T119" s="64"/>
      <c r="U119" s="64"/>
      <c r="V119" s="64"/>
      <c r="W119" s="64"/>
      <c r="X119" s="64"/>
      <c r="Y119" s="64"/>
      <c r="Z119" s="64"/>
    </row>
    <row r="120" ht="12.75" customHeight="1">
      <c r="A120" s="108"/>
      <c r="B120" s="64"/>
      <c r="C120" s="64"/>
      <c r="D120" s="64"/>
      <c r="E120" s="64"/>
      <c r="F120" s="63"/>
      <c r="G120" s="63"/>
      <c r="H120" s="64"/>
      <c r="I120" s="64"/>
      <c r="J120" s="64"/>
      <c r="K120" s="64"/>
      <c r="L120" s="64"/>
      <c r="M120" s="64"/>
      <c r="N120" s="64"/>
      <c r="O120" s="64"/>
      <c r="P120" s="64"/>
      <c r="Q120" s="64"/>
      <c r="R120" s="64"/>
      <c r="S120" s="64"/>
      <c r="T120" s="64"/>
      <c r="U120" s="64"/>
      <c r="V120" s="64"/>
      <c r="W120" s="64"/>
      <c r="X120" s="64"/>
      <c r="Y120" s="64"/>
      <c r="Z120" s="64"/>
    </row>
    <row r="121" ht="12.75" customHeight="1">
      <c r="A121" s="108"/>
      <c r="B121" s="64"/>
      <c r="C121" s="64"/>
      <c r="D121" s="64"/>
      <c r="E121" s="64"/>
      <c r="F121" s="63"/>
      <c r="G121" s="63"/>
      <c r="H121" s="64"/>
      <c r="I121" s="64"/>
      <c r="J121" s="64"/>
      <c r="K121" s="64"/>
      <c r="L121" s="64"/>
      <c r="M121" s="64"/>
      <c r="N121" s="64"/>
      <c r="O121" s="64"/>
      <c r="P121" s="64"/>
      <c r="Q121" s="64"/>
      <c r="R121" s="64"/>
      <c r="S121" s="64"/>
      <c r="T121" s="64"/>
      <c r="U121" s="64"/>
      <c r="V121" s="64"/>
      <c r="W121" s="64"/>
      <c r="X121" s="64"/>
      <c r="Y121" s="64"/>
      <c r="Z121" s="64"/>
    </row>
    <row r="122" ht="12.75" customHeight="1">
      <c r="A122" s="108"/>
      <c r="B122" s="64"/>
      <c r="C122" s="64"/>
      <c r="D122" s="64"/>
      <c r="E122" s="64"/>
      <c r="F122" s="63"/>
      <c r="G122" s="63"/>
      <c r="H122" s="64"/>
      <c r="I122" s="64"/>
      <c r="J122" s="64"/>
      <c r="K122" s="64"/>
      <c r="L122" s="64"/>
      <c r="M122" s="64"/>
      <c r="N122" s="64"/>
      <c r="O122" s="64"/>
      <c r="P122" s="64"/>
      <c r="Q122" s="64"/>
      <c r="R122" s="64"/>
      <c r="S122" s="64"/>
      <c r="T122" s="64"/>
      <c r="U122" s="64"/>
      <c r="V122" s="64"/>
      <c r="W122" s="64"/>
      <c r="X122" s="64"/>
      <c r="Y122" s="64"/>
      <c r="Z122" s="64"/>
    </row>
    <row r="123" ht="12.75" customHeight="1">
      <c r="A123" s="108"/>
      <c r="B123" s="64"/>
      <c r="C123" s="64"/>
      <c r="D123" s="64"/>
      <c r="E123" s="64"/>
      <c r="F123" s="63"/>
      <c r="G123" s="63"/>
      <c r="H123" s="64"/>
      <c r="I123" s="64"/>
      <c r="J123" s="64"/>
      <c r="K123" s="64"/>
      <c r="L123" s="64"/>
      <c r="M123" s="64"/>
      <c r="N123" s="64"/>
      <c r="O123" s="64"/>
      <c r="P123" s="64"/>
      <c r="Q123" s="64"/>
      <c r="R123" s="64"/>
      <c r="S123" s="64"/>
      <c r="T123" s="64"/>
      <c r="U123" s="64"/>
      <c r="V123" s="64"/>
      <c r="W123" s="64"/>
      <c r="X123" s="64"/>
      <c r="Y123" s="64"/>
      <c r="Z123" s="64"/>
    </row>
    <row r="124" ht="12.75" customHeight="1">
      <c r="A124" s="108"/>
      <c r="B124" s="64"/>
      <c r="C124" s="64"/>
      <c r="D124" s="64"/>
      <c r="E124" s="64"/>
      <c r="F124" s="63"/>
      <c r="G124" s="63"/>
      <c r="H124" s="64"/>
      <c r="I124" s="64"/>
      <c r="J124" s="64"/>
      <c r="K124" s="64"/>
      <c r="L124" s="64"/>
      <c r="M124" s="64"/>
      <c r="N124" s="64"/>
      <c r="O124" s="64"/>
      <c r="P124" s="64"/>
      <c r="Q124" s="64"/>
      <c r="R124" s="64"/>
      <c r="S124" s="64"/>
      <c r="T124" s="64"/>
      <c r="U124" s="64"/>
      <c r="V124" s="64"/>
      <c r="W124" s="64"/>
      <c r="X124" s="64"/>
      <c r="Y124" s="64"/>
      <c r="Z124" s="64"/>
    </row>
    <row r="125" ht="12.75" customHeight="1">
      <c r="A125" s="108"/>
      <c r="B125" s="64"/>
      <c r="C125" s="64"/>
      <c r="D125" s="64"/>
      <c r="E125" s="64"/>
      <c r="F125" s="63"/>
      <c r="G125" s="63"/>
      <c r="H125" s="64"/>
      <c r="I125" s="64"/>
      <c r="J125" s="64"/>
      <c r="K125" s="64"/>
      <c r="L125" s="64"/>
      <c r="M125" s="64"/>
      <c r="N125" s="64"/>
      <c r="O125" s="64"/>
      <c r="P125" s="64"/>
      <c r="Q125" s="64"/>
      <c r="R125" s="64"/>
      <c r="S125" s="64"/>
      <c r="T125" s="64"/>
      <c r="U125" s="64"/>
      <c r="V125" s="64"/>
      <c r="W125" s="64"/>
      <c r="X125" s="64"/>
      <c r="Y125" s="64"/>
      <c r="Z125" s="64"/>
    </row>
    <row r="126" ht="12.75" customHeight="1">
      <c r="A126" s="108"/>
      <c r="B126" s="64"/>
      <c r="C126" s="64"/>
      <c r="D126" s="64"/>
      <c r="E126" s="64"/>
      <c r="F126" s="63"/>
      <c r="G126" s="63"/>
      <c r="H126" s="64"/>
      <c r="I126" s="64"/>
      <c r="J126" s="64"/>
      <c r="K126" s="64"/>
      <c r="L126" s="64"/>
      <c r="M126" s="64"/>
      <c r="N126" s="64"/>
      <c r="O126" s="64"/>
      <c r="P126" s="64"/>
      <c r="Q126" s="64"/>
      <c r="R126" s="64"/>
      <c r="S126" s="64"/>
      <c r="T126" s="64"/>
      <c r="U126" s="64"/>
      <c r="V126" s="64"/>
      <c r="W126" s="64"/>
      <c r="X126" s="64"/>
      <c r="Y126" s="64"/>
      <c r="Z126" s="64"/>
    </row>
    <row r="127" ht="12.75" customHeight="1">
      <c r="A127" s="108"/>
      <c r="B127" s="64"/>
      <c r="C127" s="64"/>
      <c r="D127" s="64"/>
      <c r="E127" s="64"/>
      <c r="F127" s="63"/>
      <c r="G127" s="63"/>
      <c r="H127" s="64"/>
      <c r="I127" s="64"/>
      <c r="J127" s="64"/>
      <c r="K127" s="64"/>
      <c r="L127" s="64"/>
      <c r="M127" s="64"/>
      <c r="N127" s="64"/>
      <c r="O127" s="64"/>
      <c r="P127" s="64"/>
      <c r="Q127" s="64"/>
      <c r="R127" s="64"/>
      <c r="S127" s="64"/>
      <c r="T127" s="64"/>
      <c r="U127" s="64"/>
      <c r="V127" s="64"/>
      <c r="W127" s="64"/>
      <c r="X127" s="64"/>
      <c r="Y127" s="64"/>
      <c r="Z127" s="64"/>
    </row>
    <row r="128" ht="12.75" customHeight="1">
      <c r="A128" s="108"/>
      <c r="B128" s="64"/>
      <c r="C128" s="64"/>
      <c r="D128" s="64"/>
      <c r="E128" s="64"/>
      <c r="F128" s="63"/>
      <c r="G128" s="63"/>
      <c r="H128" s="64"/>
      <c r="I128" s="64"/>
      <c r="J128" s="64"/>
      <c r="K128" s="64"/>
      <c r="L128" s="64"/>
      <c r="M128" s="64"/>
      <c r="N128" s="64"/>
      <c r="O128" s="64"/>
      <c r="P128" s="64"/>
      <c r="Q128" s="64"/>
      <c r="R128" s="64"/>
      <c r="S128" s="64"/>
      <c r="T128" s="64"/>
      <c r="U128" s="64"/>
      <c r="V128" s="64"/>
      <c r="W128" s="64"/>
      <c r="X128" s="64"/>
      <c r="Y128" s="64"/>
      <c r="Z128" s="64"/>
    </row>
    <row r="129" ht="12.75" customHeight="1">
      <c r="A129" s="108"/>
      <c r="B129" s="64"/>
      <c r="C129" s="64"/>
      <c r="D129" s="64"/>
      <c r="E129" s="64"/>
      <c r="F129" s="63"/>
      <c r="G129" s="63"/>
      <c r="H129" s="64"/>
      <c r="I129" s="64"/>
      <c r="J129" s="64"/>
      <c r="K129" s="64"/>
      <c r="L129" s="64"/>
      <c r="M129" s="64"/>
      <c r="N129" s="64"/>
      <c r="O129" s="64"/>
      <c r="P129" s="64"/>
      <c r="Q129" s="64"/>
      <c r="R129" s="64"/>
      <c r="S129" s="64"/>
      <c r="T129" s="64"/>
      <c r="U129" s="64"/>
      <c r="V129" s="64"/>
      <c r="W129" s="64"/>
      <c r="X129" s="64"/>
      <c r="Y129" s="64"/>
      <c r="Z129" s="64"/>
    </row>
    <row r="130" ht="12.75" customHeight="1">
      <c r="A130" s="108"/>
      <c r="B130" s="64"/>
      <c r="C130" s="64"/>
      <c r="D130" s="64"/>
      <c r="E130" s="64"/>
      <c r="F130" s="63"/>
      <c r="G130" s="63"/>
      <c r="H130" s="64"/>
      <c r="I130" s="64"/>
      <c r="J130" s="64"/>
      <c r="K130" s="64"/>
      <c r="L130" s="64"/>
      <c r="M130" s="64"/>
      <c r="N130" s="64"/>
      <c r="O130" s="64"/>
      <c r="P130" s="64"/>
      <c r="Q130" s="64"/>
      <c r="R130" s="64"/>
      <c r="S130" s="64"/>
      <c r="T130" s="64"/>
      <c r="U130" s="64"/>
      <c r="V130" s="64"/>
      <c r="W130" s="64"/>
      <c r="X130" s="64"/>
      <c r="Y130" s="64"/>
      <c r="Z130" s="64"/>
    </row>
    <row r="131" ht="12.75" customHeight="1">
      <c r="A131" s="108"/>
      <c r="B131" s="64"/>
      <c r="C131" s="64"/>
      <c r="D131" s="64"/>
      <c r="E131" s="64"/>
      <c r="F131" s="63"/>
      <c r="G131" s="63"/>
      <c r="H131" s="64"/>
      <c r="I131" s="64"/>
      <c r="J131" s="64"/>
      <c r="K131" s="64"/>
      <c r="L131" s="64"/>
      <c r="M131" s="64"/>
      <c r="N131" s="64"/>
      <c r="O131" s="64"/>
      <c r="P131" s="64"/>
      <c r="Q131" s="64"/>
      <c r="R131" s="64"/>
      <c r="S131" s="64"/>
      <c r="T131" s="64"/>
      <c r="U131" s="64"/>
      <c r="V131" s="64"/>
      <c r="W131" s="64"/>
      <c r="X131" s="64"/>
      <c r="Y131" s="64"/>
      <c r="Z131" s="64"/>
    </row>
    <row r="132" ht="12.75" customHeight="1">
      <c r="A132" s="108"/>
      <c r="B132" s="64"/>
      <c r="C132" s="64"/>
      <c r="D132" s="64"/>
      <c r="E132" s="64"/>
      <c r="F132" s="63"/>
      <c r="G132" s="63"/>
      <c r="H132" s="64"/>
      <c r="I132" s="64"/>
      <c r="J132" s="64"/>
      <c r="K132" s="64"/>
      <c r="L132" s="64"/>
      <c r="M132" s="64"/>
      <c r="N132" s="64"/>
      <c r="O132" s="64"/>
      <c r="P132" s="64"/>
      <c r="Q132" s="64"/>
      <c r="R132" s="64"/>
      <c r="S132" s="64"/>
      <c r="T132" s="64"/>
      <c r="U132" s="64"/>
      <c r="V132" s="64"/>
      <c r="W132" s="64"/>
      <c r="X132" s="64"/>
      <c r="Y132" s="64"/>
      <c r="Z132" s="64"/>
    </row>
    <row r="133" ht="12.75" customHeight="1">
      <c r="A133" s="108"/>
      <c r="B133" s="64"/>
      <c r="C133" s="64"/>
      <c r="D133" s="64"/>
      <c r="E133" s="64"/>
      <c r="F133" s="63"/>
      <c r="G133" s="63"/>
      <c r="H133" s="64"/>
      <c r="I133" s="64"/>
      <c r="J133" s="64"/>
      <c r="K133" s="64"/>
      <c r="L133" s="64"/>
      <c r="M133" s="64"/>
      <c r="N133" s="64"/>
      <c r="O133" s="64"/>
      <c r="P133" s="64"/>
      <c r="Q133" s="64"/>
      <c r="R133" s="64"/>
      <c r="S133" s="64"/>
      <c r="T133" s="64"/>
      <c r="U133" s="64"/>
      <c r="V133" s="64"/>
      <c r="W133" s="64"/>
      <c r="X133" s="64"/>
      <c r="Y133" s="64"/>
      <c r="Z133" s="64"/>
    </row>
    <row r="134" ht="12.75" customHeight="1">
      <c r="A134" s="108"/>
      <c r="B134" s="64"/>
      <c r="C134" s="64"/>
      <c r="D134" s="64"/>
      <c r="E134" s="64"/>
      <c r="F134" s="63"/>
      <c r="G134" s="63"/>
      <c r="H134" s="64"/>
      <c r="I134" s="64"/>
      <c r="J134" s="64"/>
      <c r="K134" s="64"/>
      <c r="L134" s="64"/>
      <c r="M134" s="64"/>
      <c r="N134" s="64"/>
      <c r="O134" s="64"/>
      <c r="P134" s="64"/>
      <c r="Q134" s="64"/>
      <c r="R134" s="64"/>
      <c r="S134" s="64"/>
      <c r="T134" s="64"/>
      <c r="U134" s="64"/>
      <c r="V134" s="64"/>
      <c r="W134" s="64"/>
      <c r="X134" s="64"/>
      <c r="Y134" s="64"/>
      <c r="Z134" s="64"/>
    </row>
    <row r="135" ht="12.75" customHeight="1">
      <c r="A135" s="108"/>
      <c r="B135" s="64"/>
      <c r="C135" s="64"/>
      <c r="D135" s="64"/>
      <c r="E135" s="64"/>
      <c r="F135" s="63"/>
      <c r="G135" s="63"/>
      <c r="H135" s="64"/>
      <c r="I135" s="64"/>
      <c r="J135" s="64"/>
      <c r="K135" s="64"/>
      <c r="L135" s="64"/>
      <c r="M135" s="64"/>
      <c r="N135" s="64"/>
      <c r="O135" s="64"/>
      <c r="P135" s="64"/>
      <c r="Q135" s="64"/>
      <c r="R135" s="64"/>
      <c r="S135" s="64"/>
      <c r="T135" s="64"/>
      <c r="U135" s="64"/>
      <c r="V135" s="64"/>
      <c r="W135" s="64"/>
      <c r="X135" s="64"/>
      <c r="Y135" s="64"/>
      <c r="Z135" s="64"/>
    </row>
    <row r="136" ht="12.75" customHeight="1">
      <c r="A136" s="108"/>
      <c r="B136" s="64"/>
      <c r="C136" s="64"/>
      <c r="D136" s="64"/>
      <c r="E136" s="64"/>
      <c r="F136" s="63"/>
      <c r="G136" s="63"/>
      <c r="H136" s="64"/>
      <c r="I136" s="64"/>
      <c r="J136" s="64"/>
      <c r="K136" s="64"/>
      <c r="L136" s="64"/>
      <c r="M136" s="64"/>
      <c r="N136" s="64"/>
      <c r="O136" s="64"/>
      <c r="P136" s="64"/>
      <c r="Q136" s="64"/>
      <c r="R136" s="64"/>
      <c r="S136" s="64"/>
      <c r="T136" s="64"/>
      <c r="U136" s="64"/>
      <c r="V136" s="64"/>
      <c r="W136" s="64"/>
      <c r="X136" s="64"/>
      <c r="Y136" s="64"/>
      <c r="Z136" s="64"/>
    </row>
    <row r="137" ht="12.75" customHeight="1">
      <c r="A137" s="108"/>
      <c r="B137" s="64"/>
      <c r="C137" s="64"/>
      <c r="D137" s="64"/>
      <c r="E137" s="64"/>
      <c r="F137" s="63"/>
      <c r="G137" s="63"/>
      <c r="H137" s="64"/>
      <c r="I137" s="64"/>
      <c r="J137" s="64"/>
      <c r="K137" s="64"/>
      <c r="L137" s="64"/>
      <c r="M137" s="64"/>
      <c r="N137" s="64"/>
      <c r="O137" s="64"/>
      <c r="P137" s="64"/>
      <c r="Q137" s="64"/>
      <c r="R137" s="64"/>
      <c r="S137" s="64"/>
      <c r="T137" s="64"/>
      <c r="U137" s="64"/>
      <c r="V137" s="64"/>
      <c r="W137" s="64"/>
      <c r="X137" s="64"/>
      <c r="Y137" s="64"/>
      <c r="Z137" s="64"/>
    </row>
    <row r="138" ht="12.75" customHeight="1">
      <c r="A138" s="108"/>
      <c r="B138" s="64"/>
      <c r="C138" s="64"/>
      <c r="D138" s="64"/>
      <c r="E138" s="64"/>
      <c r="F138" s="63"/>
      <c r="G138" s="63"/>
      <c r="H138" s="64"/>
      <c r="I138" s="64"/>
      <c r="J138" s="64"/>
      <c r="K138" s="64"/>
      <c r="L138" s="64"/>
      <c r="M138" s="64"/>
      <c r="N138" s="64"/>
      <c r="O138" s="64"/>
      <c r="P138" s="64"/>
      <c r="Q138" s="64"/>
      <c r="R138" s="64"/>
      <c r="S138" s="64"/>
      <c r="T138" s="64"/>
      <c r="U138" s="64"/>
      <c r="V138" s="64"/>
      <c r="W138" s="64"/>
      <c r="X138" s="64"/>
      <c r="Y138" s="64"/>
      <c r="Z138" s="64"/>
    </row>
    <row r="139" ht="12.75" customHeight="1">
      <c r="A139" s="108"/>
      <c r="B139" s="64"/>
      <c r="C139" s="64"/>
      <c r="D139" s="64"/>
      <c r="E139" s="64"/>
      <c r="F139" s="63"/>
      <c r="G139" s="63"/>
      <c r="H139" s="64"/>
      <c r="I139" s="64"/>
      <c r="J139" s="64"/>
      <c r="K139" s="64"/>
      <c r="L139" s="64"/>
      <c r="M139" s="64"/>
      <c r="N139" s="64"/>
      <c r="O139" s="64"/>
      <c r="P139" s="64"/>
      <c r="Q139" s="64"/>
      <c r="R139" s="64"/>
      <c r="S139" s="64"/>
      <c r="T139" s="64"/>
      <c r="U139" s="64"/>
      <c r="V139" s="64"/>
      <c r="W139" s="64"/>
      <c r="X139" s="64"/>
      <c r="Y139" s="64"/>
      <c r="Z139" s="64"/>
    </row>
    <row r="140" ht="12.75" customHeight="1">
      <c r="A140" s="108"/>
      <c r="B140" s="64"/>
      <c r="C140" s="64"/>
      <c r="D140" s="64"/>
      <c r="E140" s="64"/>
      <c r="F140" s="63"/>
      <c r="G140" s="63"/>
      <c r="H140" s="64"/>
      <c r="I140" s="64"/>
      <c r="J140" s="64"/>
      <c r="K140" s="64"/>
      <c r="L140" s="64"/>
      <c r="M140" s="64"/>
      <c r="N140" s="64"/>
      <c r="O140" s="64"/>
      <c r="P140" s="64"/>
      <c r="Q140" s="64"/>
      <c r="R140" s="64"/>
      <c r="S140" s="64"/>
      <c r="T140" s="64"/>
      <c r="U140" s="64"/>
      <c r="V140" s="64"/>
      <c r="W140" s="64"/>
      <c r="X140" s="64"/>
      <c r="Y140" s="64"/>
      <c r="Z140" s="64"/>
    </row>
    <row r="141" ht="12.75" customHeight="1">
      <c r="A141" s="108"/>
      <c r="B141" s="64"/>
      <c r="C141" s="64"/>
      <c r="D141" s="64"/>
      <c r="E141" s="64"/>
      <c r="F141" s="63"/>
      <c r="G141" s="63"/>
      <c r="H141" s="64"/>
      <c r="I141" s="64"/>
      <c r="J141" s="64"/>
      <c r="K141" s="64"/>
      <c r="L141" s="64"/>
      <c r="M141" s="64"/>
      <c r="N141" s="64"/>
      <c r="O141" s="64"/>
      <c r="P141" s="64"/>
      <c r="Q141" s="64"/>
      <c r="R141" s="64"/>
      <c r="S141" s="64"/>
      <c r="T141" s="64"/>
      <c r="U141" s="64"/>
      <c r="V141" s="64"/>
      <c r="W141" s="64"/>
      <c r="X141" s="64"/>
      <c r="Y141" s="64"/>
      <c r="Z141" s="64"/>
    </row>
    <row r="142" ht="12.75" customHeight="1">
      <c r="A142" s="108"/>
      <c r="B142" s="64"/>
      <c r="C142" s="64"/>
      <c r="D142" s="64"/>
      <c r="E142" s="64"/>
      <c r="F142" s="63"/>
      <c r="G142" s="63"/>
      <c r="H142" s="64"/>
      <c r="I142" s="64"/>
      <c r="J142" s="64"/>
      <c r="K142" s="64"/>
      <c r="L142" s="64"/>
      <c r="M142" s="64"/>
      <c r="N142" s="64"/>
      <c r="O142" s="64"/>
      <c r="P142" s="64"/>
      <c r="Q142" s="64"/>
      <c r="R142" s="64"/>
      <c r="S142" s="64"/>
      <c r="T142" s="64"/>
      <c r="U142" s="64"/>
      <c r="V142" s="64"/>
      <c r="W142" s="64"/>
      <c r="X142" s="64"/>
      <c r="Y142" s="64"/>
      <c r="Z142" s="64"/>
    </row>
    <row r="143" ht="12.75" customHeight="1">
      <c r="A143" s="108"/>
      <c r="B143" s="64"/>
      <c r="C143" s="64"/>
      <c r="D143" s="64"/>
      <c r="E143" s="64"/>
      <c r="F143" s="63"/>
      <c r="G143" s="63"/>
      <c r="H143" s="64"/>
      <c r="I143" s="64"/>
      <c r="J143" s="64"/>
      <c r="K143" s="64"/>
      <c r="L143" s="64"/>
      <c r="M143" s="64"/>
      <c r="N143" s="64"/>
      <c r="O143" s="64"/>
      <c r="P143" s="64"/>
      <c r="Q143" s="64"/>
      <c r="R143" s="64"/>
      <c r="S143" s="64"/>
      <c r="T143" s="64"/>
      <c r="U143" s="64"/>
      <c r="V143" s="64"/>
      <c r="W143" s="64"/>
      <c r="X143" s="64"/>
      <c r="Y143" s="64"/>
      <c r="Z143" s="64"/>
    </row>
    <row r="144" ht="12.75" customHeight="1">
      <c r="A144" s="108"/>
      <c r="B144" s="64"/>
      <c r="C144" s="64"/>
      <c r="D144" s="64"/>
      <c r="E144" s="64"/>
      <c r="F144" s="63"/>
      <c r="G144" s="63"/>
      <c r="H144" s="64"/>
      <c r="I144" s="64"/>
      <c r="J144" s="64"/>
      <c r="K144" s="64"/>
      <c r="L144" s="64"/>
      <c r="M144" s="64"/>
      <c r="N144" s="64"/>
      <c r="O144" s="64"/>
      <c r="P144" s="64"/>
      <c r="Q144" s="64"/>
      <c r="R144" s="64"/>
      <c r="S144" s="64"/>
      <c r="T144" s="64"/>
      <c r="U144" s="64"/>
      <c r="V144" s="64"/>
      <c r="W144" s="64"/>
      <c r="X144" s="64"/>
      <c r="Y144" s="64"/>
      <c r="Z144" s="64"/>
    </row>
    <row r="145" ht="12.75" customHeight="1">
      <c r="A145" s="108"/>
      <c r="B145" s="64"/>
      <c r="C145" s="64"/>
      <c r="D145" s="64"/>
      <c r="E145" s="64"/>
      <c r="F145" s="63"/>
      <c r="G145" s="63"/>
      <c r="H145" s="64"/>
      <c r="I145" s="64"/>
      <c r="J145" s="64"/>
      <c r="K145" s="64"/>
      <c r="L145" s="64"/>
      <c r="M145" s="64"/>
      <c r="N145" s="64"/>
      <c r="O145" s="64"/>
      <c r="P145" s="64"/>
      <c r="Q145" s="64"/>
      <c r="R145" s="64"/>
      <c r="S145" s="64"/>
      <c r="T145" s="64"/>
      <c r="U145" s="64"/>
      <c r="V145" s="64"/>
      <c r="W145" s="64"/>
      <c r="X145" s="64"/>
      <c r="Y145" s="64"/>
      <c r="Z145" s="64"/>
    </row>
    <row r="146" ht="12.75" customHeight="1">
      <c r="A146" s="108"/>
      <c r="B146" s="64"/>
      <c r="C146" s="64"/>
      <c r="D146" s="64"/>
      <c r="E146" s="64"/>
      <c r="F146" s="63"/>
      <c r="G146" s="63"/>
      <c r="H146" s="64"/>
      <c r="I146" s="64"/>
      <c r="J146" s="64"/>
      <c r="K146" s="64"/>
      <c r="L146" s="64"/>
      <c r="M146" s="64"/>
      <c r="N146" s="64"/>
      <c r="O146" s="64"/>
      <c r="P146" s="64"/>
      <c r="Q146" s="64"/>
      <c r="R146" s="64"/>
      <c r="S146" s="64"/>
      <c r="T146" s="64"/>
      <c r="U146" s="64"/>
      <c r="V146" s="64"/>
      <c r="W146" s="64"/>
      <c r="X146" s="64"/>
      <c r="Y146" s="64"/>
      <c r="Z146" s="64"/>
    </row>
    <row r="147" ht="12.75" customHeight="1">
      <c r="A147" s="108"/>
      <c r="B147" s="64"/>
      <c r="C147" s="64"/>
      <c r="D147" s="64"/>
      <c r="E147" s="64"/>
      <c r="F147" s="63"/>
      <c r="G147" s="63"/>
      <c r="H147" s="64"/>
      <c r="I147" s="64"/>
      <c r="J147" s="64"/>
      <c r="K147" s="64"/>
      <c r="L147" s="64"/>
      <c r="M147" s="64"/>
      <c r="N147" s="64"/>
      <c r="O147" s="64"/>
      <c r="P147" s="64"/>
      <c r="Q147" s="64"/>
      <c r="R147" s="64"/>
      <c r="S147" s="64"/>
      <c r="T147" s="64"/>
      <c r="U147" s="64"/>
      <c r="V147" s="64"/>
      <c r="W147" s="64"/>
      <c r="X147" s="64"/>
      <c r="Y147" s="64"/>
      <c r="Z147" s="64"/>
    </row>
    <row r="148" ht="12.75" customHeight="1">
      <c r="A148" s="108"/>
      <c r="B148" s="64"/>
      <c r="C148" s="64"/>
      <c r="D148" s="64"/>
      <c r="E148" s="64"/>
      <c r="F148" s="63"/>
      <c r="G148" s="63"/>
      <c r="H148" s="64"/>
      <c r="I148" s="64"/>
      <c r="J148" s="64"/>
      <c r="K148" s="64"/>
      <c r="L148" s="64"/>
      <c r="M148" s="64"/>
      <c r="N148" s="64"/>
      <c r="O148" s="64"/>
      <c r="P148" s="64"/>
      <c r="Q148" s="64"/>
      <c r="R148" s="64"/>
      <c r="S148" s="64"/>
      <c r="T148" s="64"/>
      <c r="U148" s="64"/>
      <c r="V148" s="64"/>
      <c r="W148" s="64"/>
      <c r="X148" s="64"/>
      <c r="Y148" s="64"/>
      <c r="Z148" s="64"/>
    </row>
    <row r="149" ht="12.75" customHeight="1">
      <c r="A149" s="108"/>
      <c r="B149" s="64"/>
      <c r="C149" s="64"/>
      <c r="D149" s="64"/>
      <c r="E149" s="64"/>
      <c r="F149" s="63"/>
      <c r="G149" s="63"/>
      <c r="H149" s="64"/>
      <c r="I149" s="64"/>
      <c r="J149" s="64"/>
      <c r="K149" s="64"/>
      <c r="L149" s="64"/>
      <c r="M149" s="64"/>
      <c r="N149" s="64"/>
      <c r="O149" s="64"/>
      <c r="P149" s="64"/>
      <c r="Q149" s="64"/>
      <c r="R149" s="64"/>
      <c r="S149" s="64"/>
      <c r="T149" s="64"/>
      <c r="U149" s="64"/>
      <c r="V149" s="64"/>
      <c r="W149" s="64"/>
      <c r="X149" s="64"/>
      <c r="Y149" s="64"/>
      <c r="Z149" s="64"/>
    </row>
    <row r="150" ht="12.75" customHeight="1">
      <c r="A150" s="108"/>
      <c r="B150" s="64"/>
      <c r="C150" s="64"/>
      <c r="D150" s="64"/>
      <c r="E150" s="64"/>
      <c r="F150" s="63"/>
      <c r="G150" s="63"/>
      <c r="H150" s="64"/>
      <c r="I150" s="64"/>
      <c r="J150" s="64"/>
      <c r="K150" s="64"/>
      <c r="L150" s="64"/>
      <c r="M150" s="64"/>
      <c r="N150" s="64"/>
      <c r="O150" s="64"/>
      <c r="P150" s="64"/>
      <c r="Q150" s="64"/>
      <c r="R150" s="64"/>
      <c r="S150" s="64"/>
      <c r="T150" s="64"/>
      <c r="U150" s="64"/>
      <c r="V150" s="64"/>
      <c r="W150" s="64"/>
      <c r="X150" s="64"/>
      <c r="Y150" s="64"/>
      <c r="Z150" s="64"/>
    </row>
    <row r="151" ht="12.75" customHeight="1">
      <c r="A151" s="108"/>
      <c r="B151" s="64"/>
      <c r="C151" s="64"/>
      <c r="D151" s="64"/>
      <c r="E151" s="64"/>
      <c r="F151" s="63"/>
      <c r="G151" s="63"/>
      <c r="H151" s="64"/>
      <c r="I151" s="64"/>
      <c r="J151" s="64"/>
      <c r="K151" s="64"/>
      <c r="L151" s="64"/>
      <c r="M151" s="64"/>
      <c r="N151" s="64"/>
      <c r="O151" s="64"/>
      <c r="P151" s="64"/>
      <c r="Q151" s="64"/>
      <c r="R151" s="64"/>
      <c r="S151" s="64"/>
      <c r="T151" s="64"/>
      <c r="U151" s="64"/>
      <c r="V151" s="64"/>
      <c r="W151" s="64"/>
      <c r="X151" s="64"/>
      <c r="Y151" s="64"/>
      <c r="Z151" s="64"/>
    </row>
    <row r="152" ht="12.75" customHeight="1">
      <c r="A152" s="108"/>
      <c r="B152" s="64"/>
      <c r="C152" s="64"/>
      <c r="D152" s="64"/>
      <c r="E152" s="64"/>
      <c r="F152" s="63"/>
      <c r="G152" s="63"/>
      <c r="H152" s="64"/>
      <c r="I152" s="64"/>
      <c r="J152" s="64"/>
      <c r="K152" s="64"/>
      <c r="L152" s="64"/>
      <c r="M152" s="64"/>
      <c r="N152" s="64"/>
      <c r="O152" s="64"/>
      <c r="P152" s="64"/>
      <c r="Q152" s="64"/>
      <c r="R152" s="64"/>
      <c r="S152" s="64"/>
      <c r="T152" s="64"/>
      <c r="U152" s="64"/>
      <c r="V152" s="64"/>
      <c r="W152" s="64"/>
      <c r="X152" s="64"/>
      <c r="Y152" s="64"/>
      <c r="Z152" s="64"/>
    </row>
    <row r="153" ht="12.75" customHeight="1">
      <c r="A153" s="108"/>
      <c r="B153" s="64"/>
      <c r="C153" s="64"/>
      <c r="D153" s="64"/>
      <c r="E153" s="64"/>
      <c r="F153" s="63"/>
      <c r="G153" s="63"/>
      <c r="H153" s="64"/>
      <c r="I153" s="64"/>
      <c r="J153" s="64"/>
      <c r="K153" s="64"/>
      <c r="L153" s="64"/>
      <c r="M153" s="64"/>
      <c r="N153" s="64"/>
      <c r="O153" s="64"/>
      <c r="P153" s="64"/>
      <c r="Q153" s="64"/>
      <c r="R153" s="64"/>
      <c r="S153" s="64"/>
      <c r="T153" s="64"/>
      <c r="U153" s="64"/>
      <c r="V153" s="64"/>
      <c r="W153" s="64"/>
      <c r="X153" s="64"/>
      <c r="Y153" s="64"/>
      <c r="Z153" s="64"/>
    </row>
    <row r="154" ht="12.75" customHeight="1">
      <c r="A154" s="108"/>
      <c r="B154" s="64"/>
      <c r="C154" s="64"/>
      <c r="D154" s="64"/>
      <c r="E154" s="64"/>
      <c r="F154" s="63"/>
      <c r="G154" s="63"/>
      <c r="H154" s="64"/>
      <c r="I154" s="64"/>
      <c r="J154" s="64"/>
      <c r="K154" s="64"/>
      <c r="L154" s="64"/>
      <c r="M154" s="64"/>
      <c r="N154" s="64"/>
      <c r="O154" s="64"/>
      <c r="P154" s="64"/>
      <c r="Q154" s="64"/>
      <c r="R154" s="64"/>
      <c r="S154" s="64"/>
      <c r="T154" s="64"/>
      <c r="U154" s="64"/>
      <c r="V154" s="64"/>
      <c r="W154" s="64"/>
      <c r="X154" s="64"/>
      <c r="Y154" s="64"/>
      <c r="Z154" s="64"/>
    </row>
    <row r="155" ht="12.75" customHeight="1">
      <c r="A155" s="108"/>
      <c r="B155" s="64"/>
      <c r="C155" s="64"/>
      <c r="D155" s="64"/>
      <c r="E155" s="64"/>
      <c r="F155" s="63"/>
      <c r="G155" s="63"/>
      <c r="H155" s="64"/>
      <c r="I155" s="64"/>
      <c r="J155" s="64"/>
      <c r="K155" s="64"/>
      <c r="L155" s="64"/>
      <c r="M155" s="64"/>
      <c r="N155" s="64"/>
      <c r="O155" s="64"/>
      <c r="P155" s="64"/>
      <c r="Q155" s="64"/>
      <c r="R155" s="64"/>
      <c r="S155" s="64"/>
      <c r="T155" s="64"/>
      <c r="U155" s="64"/>
      <c r="V155" s="64"/>
      <c r="W155" s="64"/>
      <c r="X155" s="64"/>
      <c r="Y155" s="64"/>
      <c r="Z155" s="64"/>
    </row>
    <row r="156" ht="12.75" customHeight="1">
      <c r="A156" s="108"/>
      <c r="B156" s="64"/>
      <c r="C156" s="64"/>
      <c r="D156" s="64"/>
      <c r="E156" s="64"/>
      <c r="F156" s="63"/>
      <c r="G156" s="63"/>
      <c r="H156" s="64"/>
      <c r="I156" s="64"/>
      <c r="J156" s="64"/>
      <c r="K156" s="64"/>
      <c r="L156" s="64"/>
      <c r="M156" s="64"/>
      <c r="N156" s="64"/>
      <c r="O156" s="64"/>
      <c r="P156" s="64"/>
      <c r="Q156" s="64"/>
      <c r="R156" s="64"/>
      <c r="S156" s="64"/>
      <c r="T156" s="64"/>
      <c r="U156" s="64"/>
      <c r="V156" s="64"/>
      <c r="W156" s="64"/>
      <c r="X156" s="64"/>
      <c r="Y156" s="64"/>
      <c r="Z156" s="64"/>
    </row>
    <row r="157" ht="12.75" customHeight="1">
      <c r="A157" s="108"/>
      <c r="B157" s="64"/>
      <c r="C157" s="64"/>
      <c r="D157" s="64"/>
      <c r="E157" s="64"/>
      <c r="F157" s="63"/>
      <c r="G157" s="63"/>
      <c r="H157" s="64"/>
      <c r="I157" s="64"/>
      <c r="J157" s="64"/>
      <c r="K157" s="64"/>
      <c r="L157" s="64"/>
      <c r="M157" s="64"/>
      <c r="N157" s="64"/>
      <c r="O157" s="64"/>
      <c r="P157" s="64"/>
      <c r="Q157" s="64"/>
      <c r="R157" s="64"/>
      <c r="S157" s="64"/>
      <c r="T157" s="64"/>
      <c r="U157" s="64"/>
      <c r="V157" s="64"/>
      <c r="W157" s="64"/>
      <c r="X157" s="64"/>
      <c r="Y157" s="64"/>
      <c r="Z157" s="64"/>
    </row>
    <row r="158" ht="12.75" customHeight="1">
      <c r="A158" s="108"/>
      <c r="B158" s="64"/>
      <c r="C158" s="64"/>
      <c r="D158" s="64"/>
      <c r="E158" s="64"/>
      <c r="F158" s="63"/>
      <c r="G158" s="63"/>
      <c r="H158" s="64"/>
      <c r="I158" s="64"/>
      <c r="J158" s="64"/>
      <c r="K158" s="64"/>
      <c r="L158" s="64"/>
      <c r="M158" s="64"/>
      <c r="N158" s="64"/>
      <c r="O158" s="64"/>
      <c r="P158" s="64"/>
      <c r="Q158" s="64"/>
      <c r="R158" s="64"/>
      <c r="S158" s="64"/>
      <c r="T158" s="64"/>
      <c r="U158" s="64"/>
      <c r="V158" s="64"/>
      <c r="W158" s="64"/>
      <c r="X158" s="64"/>
      <c r="Y158" s="64"/>
      <c r="Z158" s="64"/>
    </row>
    <row r="159" ht="12.75" customHeight="1">
      <c r="A159" s="108"/>
      <c r="B159" s="64"/>
      <c r="C159" s="64"/>
      <c r="D159" s="64"/>
      <c r="E159" s="64"/>
      <c r="F159" s="63"/>
      <c r="G159" s="63"/>
      <c r="H159" s="64"/>
      <c r="I159" s="64"/>
      <c r="J159" s="64"/>
      <c r="K159" s="64"/>
      <c r="L159" s="64"/>
      <c r="M159" s="64"/>
      <c r="N159" s="64"/>
      <c r="O159" s="64"/>
      <c r="P159" s="64"/>
      <c r="Q159" s="64"/>
      <c r="R159" s="64"/>
      <c r="S159" s="64"/>
      <c r="T159" s="64"/>
      <c r="U159" s="64"/>
      <c r="V159" s="64"/>
      <c r="W159" s="64"/>
      <c r="X159" s="64"/>
      <c r="Y159" s="64"/>
      <c r="Z159" s="64"/>
    </row>
    <row r="160" ht="12.75" customHeight="1">
      <c r="A160" s="108"/>
      <c r="B160" s="64"/>
      <c r="C160" s="64"/>
      <c r="D160" s="64"/>
      <c r="E160" s="64"/>
      <c r="F160" s="63"/>
      <c r="G160" s="63"/>
      <c r="H160" s="64"/>
      <c r="I160" s="64"/>
      <c r="J160" s="64"/>
      <c r="K160" s="64"/>
      <c r="L160" s="64"/>
      <c r="M160" s="64"/>
      <c r="N160" s="64"/>
      <c r="O160" s="64"/>
      <c r="P160" s="64"/>
      <c r="Q160" s="64"/>
      <c r="R160" s="64"/>
      <c r="S160" s="64"/>
      <c r="T160" s="64"/>
      <c r="U160" s="64"/>
      <c r="V160" s="64"/>
      <c r="W160" s="64"/>
      <c r="X160" s="64"/>
      <c r="Y160" s="64"/>
      <c r="Z160" s="64"/>
    </row>
    <row r="161" ht="12.75" customHeight="1">
      <c r="A161" s="108"/>
      <c r="B161" s="64"/>
      <c r="C161" s="64"/>
      <c r="D161" s="64"/>
      <c r="E161" s="64"/>
      <c r="F161" s="63"/>
      <c r="G161" s="63"/>
      <c r="H161" s="64"/>
      <c r="I161" s="64"/>
      <c r="J161" s="64"/>
      <c r="K161" s="64"/>
      <c r="L161" s="64"/>
      <c r="M161" s="64"/>
      <c r="N161" s="64"/>
      <c r="O161" s="64"/>
      <c r="P161" s="64"/>
      <c r="Q161" s="64"/>
      <c r="R161" s="64"/>
      <c r="S161" s="64"/>
      <c r="T161" s="64"/>
      <c r="U161" s="64"/>
      <c r="V161" s="64"/>
      <c r="W161" s="64"/>
      <c r="X161" s="64"/>
      <c r="Y161" s="64"/>
      <c r="Z161" s="64"/>
    </row>
    <row r="162" ht="12.75" customHeight="1">
      <c r="A162" s="108"/>
      <c r="B162" s="64"/>
      <c r="C162" s="64"/>
      <c r="D162" s="64"/>
      <c r="E162" s="64"/>
      <c r="F162" s="63"/>
      <c r="G162" s="63"/>
      <c r="H162" s="64"/>
      <c r="I162" s="64"/>
      <c r="J162" s="64"/>
      <c r="K162" s="64"/>
      <c r="L162" s="64"/>
      <c r="M162" s="64"/>
      <c r="N162" s="64"/>
      <c r="O162" s="64"/>
      <c r="P162" s="64"/>
      <c r="Q162" s="64"/>
      <c r="R162" s="64"/>
      <c r="S162" s="64"/>
      <c r="T162" s="64"/>
      <c r="U162" s="64"/>
      <c r="V162" s="64"/>
      <c r="W162" s="64"/>
      <c r="X162" s="64"/>
      <c r="Y162" s="64"/>
      <c r="Z162" s="64"/>
    </row>
    <row r="163" ht="12.75" customHeight="1">
      <c r="A163" s="108"/>
      <c r="B163" s="64"/>
      <c r="C163" s="64"/>
      <c r="D163" s="64"/>
      <c r="E163" s="64"/>
      <c r="F163" s="63"/>
      <c r="G163" s="63"/>
      <c r="H163" s="64"/>
      <c r="I163" s="64"/>
      <c r="J163" s="64"/>
      <c r="K163" s="64"/>
      <c r="L163" s="64"/>
      <c r="M163" s="64"/>
      <c r="N163" s="64"/>
      <c r="O163" s="64"/>
      <c r="P163" s="64"/>
      <c r="Q163" s="64"/>
      <c r="R163" s="64"/>
      <c r="S163" s="64"/>
      <c r="T163" s="64"/>
      <c r="U163" s="64"/>
      <c r="V163" s="64"/>
      <c r="W163" s="64"/>
      <c r="X163" s="64"/>
      <c r="Y163" s="64"/>
      <c r="Z163" s="64"/>
    </row>
    <row r="164" ht="12.75" customHeight="1">
      <c r="A164" s="108"/>
      <c r="B164" s="64"/>
      <c r="C164" s="64"/>
      <c r="D164" s="64"/>
      <c r="E164" s="64"/>
      <c r="F164" s="63"/>
      <c r="G164" s="63"/>
      <c r="H164" s="64"/>
      <c r="I164" s="64"/>
      <c r="J164" s="64"/>
      <c r="K164" s="64"/>
      <c r="L164" s="64"/>
      <c r="M164" s="64"/>
      <c r="N164" s="64"/>
      <c r="O164" s="64"/>
      <c r="P164" s="64"/>
      <c r="Q164" s="64"/>
      <c r="R164" s="64"/>
      <c r="S164" s="64"/>
      <c r="T164" s="64"/>
      <c r="U164" s="64"/>
      <c r="V164" s="64"/>
      <c r="W164" s="64"/>
      <c r="X164" s="64"/>
      <c r="Y164" s="64"/>
      <c r="Z164" s="64"/>
    </row>
    <row r="165" ht="12.75" customHeight="1">
      <c r="A165" s="108"/>
      <c r="B165" s="64"/>
      <c r="C165" s="64"/>
      <c r="D165" s="64"/>
      <c r="E165" s="64"/>
      <c r="F165" s="63"/>
      <c r="G165" s="63"/>
      <c r="H165" s="64"/>
      <c r="I165" s="64"/>
      <c r="J165" s="64"/>
      <c r="K165" s="64"/>
      <c r="L165" s="64"/>
      <c r="M165" s="64"/>
      <c r="N165" s="64"/>
      <c r="O165" s="64"/>
      <c r="P165" s="64"/>
      <c r="Q165" s="64"/>
      <c r="R165" s="64"/>
      <c r="S165" s="64"/>
      <c r="T165" s="64"/>
      <c r="U165" s="64"/>
      <c r="V165" s="64"/>
      <c r="W165" s="64"/>
      <c r="X165" s="64"/>
      <c r="Y165" s="64"/>
      <c r="Z165" s="64"/>
    </row>
    <row r="166" ht="12.75" customHeight="1">
      <c r="A166" s="108"/>
      <c r="B166" s="64"/>
      <c r="C166" s="64"/>
      <c r="D166" s="64"/>
      <c r="E166" s="64"/>
      <c r="F166" s="63"/>
      <c r="G166" s="63"/>
      <c r="H166" s="64"/>
      <c r="I166" s="64"/>
      <c r="J166" s="64"/>
      <c r="K166" s="64"/>
      <c r="L166" s="64"/>
      <c r="M166" s="64"/>
      <c r="N166" s="64"/>
      <c r="O166" s="64"/>
      <c r="P166" s="64"/>
      <c r="Q166" s="64"/>
      <c r="R166" s="64"/>
      <c r="S166" s="64"/>
      <c r="T166" s="64"/>
      <c r="U166" s="64"/>
      <c r="V166" s="64"/>
      <c r="W166" s="64"/>
      <c r="X166" s="64"/>
      <c r="Y166" s="64"/>
      <c r="Z166" s="64"/>
    </row>
    <row r="167" ht="12.75" customHeight="1">
      <c r="A167" s="108"/>
      <c r="B167" s="64"/>
      <c r="C167" s="64"/>
      <c r="D167" s="64"/>
      <c r="E167" s="64"/>
      <c r="F167" s="63"/>
      <c r="G167" s="63"/>
      <c r="H167" s="64"/>
      <c r="I167" s="64"/>
      <c r="J167" s="64"/>
      <c r="K167" s="64"/>
      <c r="L167" s="64"/>
      <c r="M167" s="64"/>
      <c r="N167" s="64"/>
      <c r="O167" s="64"/>
      <c r="P167" s="64"/>
      <c r="Q167" s="64"/>
      <c r="R167" s="64"/>
      <c r="S167" s="64"/>
      <c r="T167" s="64"/>
      <c r="U167" s="64"/>
      <c r="V167" s="64"/>
      <c r="W167" s="64"/>
      <c r="X167" s="64"/>
      <c r="Y167" s="64"/>
      <c r="Z167" s="64"/>
    </row>
    <row r="168" ht="12.75" customHeight="1">
      <c r="A168" s="108"/>
      <c r="B168" s="64"/>
      <c r="C168" s="64"/>
      <c r="D168" s="64"/>
      <c r="E168" s="64"/>
      <c r="F168" s="63"/>
      <c r="G168" s="63"/>
      <c r="H168" s="64"/>
      <c r="I168" s="64"/>
      <c r="J168" s="64"/>
      <c r="K168" s="64"/>
      <c r="L168" s="64"/>
      <c r="M168" s="64"/>
      <c r="N168" s="64"/>
      <c r="O168" s="64"/>
      <c r="P168" s="64"/>
      <c r="Q168" s="64"/>
      <c r="R168" s="64"/>
      <c r="S168" s="64"/>
      <c r="T168" s="64"/>
      <c r="U168" s="64"/>
      <c r="V168" s="64"/>
      <c r="W168" s="64"/>
      <c r="X168" s="64"/>
      <c r="Y168" s="64"/>
      <c r="Z168" s="64"/>
    </row>
    <row r="169" ht="12.75" customHeight="1">
      <c r="A169" s="108"/>
      <c r="B169" s="64"/>
      <c r="C169" s="64"/>
      <c r="D169" s="64"/>
      <c r="E169" s="64"/>
      <c r="F169" s="63"/>
      <c r="G169" s="63"/>
      <c r="H169" s="64"/>
      <c r="I169" s="64"/>
      <c r="J169" s="64"/>
      <c r="K169" s="64"/>
      <c r="L169" s="64"/>
      <c r="M169" s="64"/>
      <c r="N169" s="64"/>
      <c r="O169" s="64"/>
      <c r="P169" s="64"/>
      <c r="Q169" s="64"/>
      <c r="R169" s="64"/>
      <c r="S169" s="64"/>
      <c r="T169" s="64"/>
      <c r="U169" s="64"/>
      <c r="V169" s="64"/>
      <c r="W169" s="64"/>
      <c r="X169" s="64"/>
      <c r="Y169" s="64"/>
      <c r="Z169" s="64"/>
    </row>
    <row r="170" ht="12.75" customHeight="1">
      <c r="A170" s="108"/>
      <c r="B170" s="64"/>
      <c r="C170" s="64"/>
      <c r="D170" s="64"/>
      <c r="E170" s="64"/>
      <c r="F170" s="63"/>
      <c r="G170" s="63"/>
      <c r="H170" s="64"/>
      <c r="I170" s="64"/>
      <c r="J170" s="64"/>
      <c r="K170" s="64"/>
      <c r="L170" s="64"/>
      <c r="M170" s="64"/>
      <c r="N170" s="64"/>
      <c r="O170" s="64"/>
      <c r="P170" s="64"/>
      <c r="Q170" s="64"/>
      <c r="R170" s="64"/>
      <c r="S170" s="64"/>
      <c r="T170" s="64"/>
      <c r="U170" s="64"/>
      <c r="V170" s="64"/>
      <c r="W170" s="64"/>
      <c r="X170" s="64"/>
      <c r="Y170" s="64"/>
      <c r="Z170" s="64"/>
    </row>
    <row r="171" ht="12.75" customHeight="1">
      <c r="A171" s="108"/>
      <c r="B171" s="64"/>
      <c r="C171" s="64"/>
      <c r="D171" s="64"/>
      <c r="E171" s="64"/>
      <c r="F171" s="63"/>
      <c r="G171" s="63"/>
      <c r="H171" s="64"/>
      <c r="I171" s="64"/>
      <c r="J171" s="64"/>
      <c r="K171" s="64"/>
      <c r="L171" s="64"/>
      <c r="M171" s="64"/>
      <c r="N171" s="64"/>
      <c r="O171" s="64"/>
      <c r="P171" s="64"/>
      <c r="Q171" s="64"/>
      <c r="R171" s="64"/>
      <c r="S171" s="64"/>
      <c r="T171" s="64"/>
      <c r="U171" s="64"/>
      <c r="V171" s="64"/>
      <c r="W171" s="64"/>
      <c r="X171" s="64"/>
      <c r="Y171" s="64"/>
      <c r="Z171" s="64"/>
    </row>
    <row r="172" ht="12.75" customHeight="1">
      <c r="A172" s="108"/>
      <c r="B172" s="64"/>
      <c r="C172" s="64"/>
      <c r="D172" s="64"/>
      <c r="E172" s="64"/>
      <c r="F172" s="63"/>
      <c r="G172" s="63"/>
      <c r="H172" s="64"/>
      <c r="I172" s="64"/>
      <c r="J172" s="64"/>
      <c r="K172" s="64"/>
      <c r="L172" s="64"/>
      <c r="M172" s="64"/>
      <c r="N172" s="64"/>
      <c r="O172" s="64"/>
      <c r="P172" s="64"/>
      <c r="Q172" s="64"/>
      <c r="R172" s="64"/>
      <c r="S172" s="64"/>
      <c r="T172" s="64"/>
      <c r="U172" s="64"/>
      <c r="V172" s="64"/>
      <c r="W172" s="64"/>
      <c r="X172" s="64"/>
      <c r="Y172" s="64"/>
      <c r="Z172" s="64"/>
    </row>
    <row r="173" ht="12.75" customHeight="1">
      <c r="A173" s="108"/>
      <c r="B173" s="64"/>
      <c r="C173" s="64"/>
      <c r="D173" s="64"/>
      <c r="E173" s="64"/>
      <c r="F173" s="63"/>
      <c r="G173" s="63"/>
      <c r="H173" s="64"/>
      <c r="I173" s="64"/>
      <c r="J173" s="64"/>
      <c r="K173" s="64"/>
      <c r="L173" s="64"/>
      <c r="M173" s="64"/>
      <c r="N173" s="64"/>
      <c r="O173" s="64"/>
      <c r="P173" s="64"/>
      <c r="Q173" s="64"/>
      <c r="R173" s="64"/>
      <c r="S173" s="64"/>
      <c r="T173" s="64"/>
      <c r="U173" s="64"/>
      <c r="V173" s="64"/>
      <c r="W173" s="64"/>
      <c r="X173" s="64"/>
      <c r="Y173" s="64"/>
      <c r="Z173" s="64"/>
    </row>
    <row r="174" ht="12.75" customHeight="1">
      <c r="A174" s="108"/>
      <c r="B174" s="64"/>
      <c r="C174" s="64"/>
      <c r="D174" s="64"/>
      <c r="E174" s="64"/>
      <c r="F174" s="63"/>
      <c r="G174" s="63"/>
      <c r="H174" s="64"/>
      <c r="I174" s="64"/>
      <c r="J174" s="64"/>
      <c r="K174" s="64"/>
      <c r="L174" s="64"/>
      <c r="M174" s="64"/>
      <c r="N174" s="64"/>
      <c r="O174" s="64"/>
      <c r="P174" s="64"/>
      <c r="Q174" s="64"/>
      <c r="R174" s="64"/>
      <c r="S174" s="64"/>
      <c r="T174" s="64"/>
      <c r="U174" s="64"/>
      <c r="V174" s="64"/>
      <c r="W174" s="64"/>
      <c r="X174" s="64"/>
      <c r="Y174" s="64"/>
      <c r="Z174" s="64"/>
    </row>
    <row r="175" ht="12.75" customHeight="1">
      <c r="A175" s="108"/>
      <c r="B175" s="64"/>
      <c r="C175" s="64"/>
      <c r="D175" s="64"/>
      <c r="E175" s="64"/>
      <c r="F175" s="63"/>
      <c r="G175" s="63"/>
      <c r="H175" s="64"/>
      <c r="I175" s="64"/>
      <c r="J175" s="64"/>
      <c r="K175" s="64"/>
      <c r="L175" s="64"/>
      <c r="M175" s="64"/>
      <c r="N175" s="64"/>
      <c r="O175" s="64"/>
      <c r="P175" s="64"/>
      <c r="Q175" s="64"/>
      <c r="R175" s="64"/>
      <c r="S175" s="64"/>
      <c r="T175" s="64"/>
      <c r="U175" s="64"/>
      <c r="V175" s="64"/>
      <c r="W175" s="64"/>
      <c r="X175" s="64"/>
      <c r="Y175" s="64"/>
      <c r="Z175" s="64"/>
    </row>
    <row r="176" ht="12.75" customHeight="1">
      <c r="A176" s="108"/>
      <c r="B176" s="64"/>
      <c r="C176" s="64"/>
      <c r="D176" s="64"/>
      <c r="E176" s="64"/>
      <c r="F176" s="63"/>
      <c r="G176" s="63"/>
      <c r="H176" s="64"/>
      <c r="I176" s="64"/>
      <c r="J176" s="64"/>
      <c r="K176" s="64"/>
      <c r="L176" s="64"/>
      <c r="M176" s="64"/>
      <c r="N176" s="64"/>
      <c r="O176" s="64"/>
      <c r="P176" s="64"/>
      <c r="Q176" s="64"/>
      <c r="R176" s="64"/>
      <c r="S176" s="64"/>
      <c r="T176" s="64"/>
      <c r="U176" s="64"/>
      <c r="V176" s="64"/>
      <c r="W176" s="64"/>
      <c r="X176" s="64"/>
      <c r="Y176" s="64"/>
      <c r="Z176" s="64"/>
    </row>
    <row r="177" ht="12.75" customHeight="1">
      <c r="A177" s="108"/>
      <c r="B177" s="64"/>
      <c r="C177" s="64"/>
      <c r="D177" s="64"/>
      <c r="E177" s="64"/>
      <c r="F177" s="63"/>
      <c r="G177" s="63"/>
      <c r="H177" s="64"/>
      <c r="I177" s="64"/>
      <c r="J177" s="64"/>
      <c r="K177" s="64"/>
      <c r="L177" s="64"/>
      <c r="M177" s="64"/>
      <c r="N177" s="64"/>
      <c r="O177" s="64"/>
      <c r="P177" s="64"/>
      <c r="Q177" s="64"/>
      <c r="R177" s="64"/>
      <c r="S177" s="64"/>
      <c r="T177" s="64"/>
      <c r="U177" s="64"/>
      <c r="V177" s="64"/>
      <c r="W177" s="64"/>
      <c r="X177" s="64"/>
      <c r="Y177" s="64"/>
      <c r="Z177" s="64"/>
    </row>
    <row r="178" ht="12.75" customHeight="1">
      <c r="A178" s="108"/>
      <c r="B178" s="64"/>
      <c r="C178" s="64"/>
      <c r="D178" s="64"/>
      <c r="E178" s="64"/>
      <c r="F178" s="63"/>
      <c r="G178" s="63"/>
      <c r="H178" s="64"/>
      <c r="I178" s="64"/>
      <c r="J178" s="64"/>
      <c r="K178" s="64"/>
      <c r="L178" s="64"/>
      <c r="M178" s="64"/>
      <c r="N178" s="64"/>
      <c r="O178" s="64"/>
      <c r="P178" s="64"/>
      <c r="Q178" s="64"/>
      <c r="R178" s="64"/>
      <c r="S178" s="64"/>
      <c r="T178" s="64"/>
      <c r="U178" s="64"/>
      <c r="V178" s="64"/>
      <c r="W178" s="64"/>
      <c r="X178" s="64"/>
      <c r="Y178" s="64"/>
      <c r="Z178" s="64"/>
    </row>
    <row r="179" ht="12.75" customHeight="1">
      <c r="A179" s="108"/>
      <c r="B179" s="64"/>
      <c r="C179" s="64"/>
      <c r="D179" s="64"/>
      <c r="E179" s="64"/>
      <c r="F179" s="63"/>
      <c r="G179" s="63"/>
      <c r="H179" s="64"/>
      <c r="I179" s="64"/>
      <c r="J179" s="64"/>
      <c r="K179" s="64"/>
      <c r="L179" s="64"/>
      <c r="M179" s="64"/>
      <c r="N179" s="64"/>
      <c r="O179" s="64"/>
      <c r="P179" s="64"/>
      <c r="Q179" s="64"/>
      <c r="R179" s="64"/>
      <c r="S179" s="64"/>
      <c r="T179" s="64"/>
      <c r="U179" s="64"/>
      <c r="V179" s="64"/>
      <c r="W179" s="64"/>
      <c r="X179" s="64"/>
      <c r="Y179" s="64"/>
      <c r="Z179" s="64"/>
    </row>
    <row r="180" ht="12.75" customHeight="1">
      <c r="A180" s="108"/>
      <c r="B180" s="64"/>
      <c r="C180" s="64"/>
      <c r="D180" s="64"/>
      <c r="E180" s="64"/>
      <c r="F180" s="63"/>
      <c r="G180" s="63"/>
      <c r="H180" s="64"/>
      <c r="I180" s="64"/>
      <c r="J180" s="64"/>
      <c r="K180" s="64"/>
      <c r="L180" s="64"/>
      <c r="M180" s="64"/>
      <c r="N180" s="64"/>
      <c r="O180" s="64"/>
      <c r="P180" s="64"/>
      <c r="Q180" s="64"/>
      <c r="R180" s="64"/>
      <c r="S180" s="64"/>
      <c r="T180" s="64"/>
      <c r="U180" s="64"/>
      <c r="V180" s="64"/>
      <c r="W180" s="64"/>
      <c r="X180" s="64"/>
      <c r="Y180" s="64"/>
      <c r="Z180" s="64"/>
    </row>
    <row r="181" ht="12.75" customHeight="1">
      <c r="A181" s="108"/>
      <c r="B181" s="64"/>
      <c r="C181" s="64"/>
      <c r="D181" s="64"/>
      <c r="E181" s="64"/>
      <c r="F181" s="63"/>
      <c r="G181" s="63"/>
      <c r="H181" s="64"/>
      <c r="I181" s="64"/>
      <c r="J181" s="64"/>
      <c r="K181" s="64"/>
      <c r="L181" s="64"/>
      <c r="M181" s="64"/>
      <c r="N181" s="64"/>
      <c r="O181" s="64"/>
      <c r="P181" s="64"/>
      <c r="Q181" s="64"/>
      <c r="R181" s="64"/>
      <c r="S181" s="64"/>
      <c r="T181" s="64"/>
      <c r="U181" s="64"/>
      <c r="V181" s="64"/>
      <c r="W181" s="64"/>
      <c r="X181" s="64"/>
      <c r="Y181" s="64"/>
      <c r="Z181" s="64"/>
    </row>
    <row r="182" ht="12.75" customHeight="1">
      <c r="A182" s="108"/>
      <c r="B182" s="64"/>
      <c r="C182" s="64"/>
      <c r="D182" s="64"/>
      <c r="E182" s="64"/>
      <c r="F182" s="63"/>
      <c r="G182" s="63"/>
      <c r="H182" s="64"/>
      <c r="I182" s="64"/>
      <c r="J182" s="64"/>
      <c r="K182" s="64"/>
      <c r="L182" s="64"/>
      <c r="M182" s="64"/>
      <c r="N182" s="64"/>
      <c r="O182" s="64"/>
      <c r="P182" s="64"/>
      <c r="Q182" s="64"/>
      <c r="R182" s="64"/>
      <c r="S182" s="64"/>
      <c r="T182" s="64"/>
      <c r="U182" s="64"/>
      <c r="V182" s="64"/>
      <c r="W182" s="64"/>
      <c r="X182" s="64"/>
      <c r="Y182" s="64"/>
      <c r="Z182" s="64"/>
    </row>
    <row r="183" ht="12.75" customHeight="1">
      <c r="A183" s="108"/>
      <c r="B183" s="64"/>
      <c r="C183" s="64"/>
      <c r="D183" s="64"/>
      <c r="E183" s="64"/>
      <c r="F183" s="63"/>
      <c r="G183" s="63"/>
      <c r="H183" s="64"/>
      <c r="I183" s="64"/>
      <c r="J183" s="64"/>
      <c r="K183" s="64"/>
      <c r="L183" s="64"/>
      <c r="M183" s="64"/>
      <c r="N183" s="64"/>
      <c r="O183" s="64"/>
      <c r="P183" s="64"/>
      <c r="Q183" s="64"/>
      <c r="R183" s="64"/>
      <c r="S183" s="64"/>
      <c r="T183" s="64"/>
      <c r="U183" s="64"/>
      <c r="V183" s="64"/>
      <c r="W183" s="64"/>
      <c r="X183" s="64"/>
      <c r="Y183" s="64"/>
      <c r="Z183" s="64"/>
    </row>
    <row r="184" ht="12.75" customHeight="1">
      <c r="A184" s="108"/>
      <c r="B184" s="64"/>
      <c r="C184" s="64"/>
      <c r="D184" s="64"/>
      <c r="E184" s="64"/>
      <c r="F184" s="63"/>
      <c r="G184" s="63"/>
      <c r="H184" s="64"/>
      <c r="I184" s="64"/>
      <c r="J184" s="64"/>
      <c r="K184" s="64"/>
      <c r="L184" s="64"/>
      <c r="M184" s="64"/>
      <c r="N184" s="64"/>
      <c r="O184" s="64"/>
      <c r="P184" s="64"/>
      <c r="Q184" s="64"/>
      <c r="R184" s="64"/>
      <c r="S184" s="64"/>
      <c r="T184" s="64"/>
      <c r="U184" s="64"/>
      <c r="V184" s="64"/>
      <c r="W184" s="64"/>
      <c r="X184" s="64"/>
      <c r="Y184" s="64"/>
      <c r="Z184" s="64"/>
    </row>
    <row r="185" ht="12.75" customHeight="1">
      <c r="A185" s="108"/>
      <c r="B185" s="64"/>
      <c r="C185" s="64"/>
      <c r="D185" s="64"/>
      <c r="E185" s="64"/>
      <c r="F185" s="63"/>
      <c r="G185" s="63"/>
      <c r="H185" s="64"/>
      <c r="I185" s="64"/>
      <c r="J185" s="64"/>
      <c r="K185" s="64"/>
      <c r="L185" s="64"/>
      <c r="M185" s="64"/>
      <c r="N185" s="64"/>
      <c r="O185" s="64"/>
      <c r="P185" s="64"/>
      <c r="Q185" s="64"/>
      <c r="R185" s="64"/>
      <c r="S185" s="64"/>
      <c r="T185" s="64"/>
      <c r="U185" s="64"/>
      <c r="V185" s="64"/>
      <c r="W185" s="64"/>
      <c r="X185" s="64"/>
      <c r="Y185" s="64"/>
      <c r="Z185" s="64"/>
    </row>
    <row r="186" ht="12.75" customHeight="1">
      <c r="A186" s="108"/>
      <c r="B186" s="64"/>
      <c r="C186" s="64"/>
      <c r="D186" s="64"/>
      <c r="E186" s="64"/>
      <c r="F186" s="63"/>
      <c r="G186" s="63"/>
      <c r="H186" s="64"/>
      <c r="I186" s="64"/>
      <c r="J186" s="64"/>
      <c r="K186" s="64"/>
      <c r="L186" s="64"/>
      <c r="M186" s="64"/>
      <c r="N186" s="64"/>
      <c r="O186" s="64"/>
      <c r="P186" s="64"/>
      <c r="Q186" s="64"/>
      <c r="R186" s="64"/>
      <c r="S186" s="64"/>
      <c r="T186" s="64"/>
      <c r="U186" s="64"/>
      <c r="V186" s="64"/>
      <c r="W186" s="64"/>
      <c r="X186" s="64"/>
      <c r="Y186" s="64"/>
      <c r="Z186" s="64"/>
    </row>
    <row r="187" ht="12.75" customHeight="1">
      <c r="A187" s="108"/>
      <c r="B187" s="64"/>
      <c r="C187" s="64"/>
      <c r="D187" s="64"/>
      <c r="E187" s="64"/>
      <c r="F187" s="63"/>
      <c r="G187" s="63"/>
      <c r="H187" s="64"/>
      <c r="I187" s="64"/>
      <c r="J187" s="64"/>
      <c r="K187" s="64"/>
      <c r="L187" s="64"/>
      <c r="M187" s="64"/>
      <c r="N187" s="64"/>
      <c r="O187" s="64"/>
      <c r="P187" s="64"/>
      <c r="Q187" s="64"/>
      <c r="R187" s="64"/>
      <c r="S187" s="64"/>
      <c r="T187" s="64"/>
      <c r="U187" s="64"/>
      <c r="V187" s="64"/>
      <c r="W187" s="64"/>
      <c r="X187" s="64"/>
      <c r="Y187" s="64"/>
      <c r="Z187" s="64"/>
    </row>
    <row r="188" ht="12.75" customHeight="1">
      <c r="A188" s="108"/>
      <c r="B188" s="64"/>
      <c r="C188" s="64"/>
      <c r="D188" s="64"/>
      <c r="E188" s="64"/>
      <c r="F188" s="63"/>
      <c r="G188" s="63"/>
      <c r="H188" s="64"/>
      <c r="I188" s="64"/>
      <c r="J188" s="64"/>
      <c r="K188" s="64"/>
      <c r="L188" s="64"/>
      <c r="M188" s="64"/>
      <c r="N188" s="64"/>
      <c r="O188" s="64"/>
      <c r="P188" s="64"/>
      <c r="Q188" s="64"/>
      <c r="R188" s="64"/>
      <c r="S188" s="64"/>
      <c r="T188" s="64"/>
      <c r="U188" s="64"/>
      <c r="V188" s="64"/>
      <c r="W188" s="64"/>
      <c r="X188" s="64"/>
      <c r="Y188" s="64"/>
      <c r="Z188" s="64"/>
    </row>
    <row r="189" ht="12.75" customHeight="1">
      <c r="A189" s="108"/>
      <c r="B189" s="64"/>
      <c r="C189" s="64"/>
      <c r="D189" s="64"/>
      <c r="E189" s="64"/>
      <c r="F189" s="63"/>
      <c r="G189" s="63"/>
      <c r="H189" s="64"/>
      <c r="I189" s="64"/>
      <c r="J189" s="64"/>
      <c r="K189" s="64"/>
      <c r="L189" s="64"/>
      <c r="M189" s="64"/>
      <c r="N189" s="64"/>
      <c r="O189" s="64"/>
      <c r="P189" s="64"/>
      <c r="Q189" s="64"/>
      <c r="R189" s="64"/>
      <c r="S189" s="64"/>
      <c r="T189" s="64"/>
      <c r="U189" s="64"/>
      <c r="V189" s="64"/>
      <c r="W189" s="64"/>
      <c r="X189" s="64"/>
      <c r="Y189" s="64"/>
      <c r="Z189" s="64"/>
    </row>
    <row r="190" ht="12.75" customHeight="1">
      <c r="A190" s="108"/>
      <c r="B190" s="64"/>
      <c r="C190" s="64"/>
      <c r="D190" s="64"/>
      <c r="E190" s="64"/>
      <c r="F190" s="63"/>
      <c r="G190" s="63"/>
      <c r="H190" s="64"/>
      <c r="I190" s="64"/>
      <c r="J190" s="64"/>
      <c r="K190" s="64"/>
      <c r="L190" s="64"/>
      <c r="M190" s="64"/>
      <c r="N190" s="64"/>
      <c r="O190" s="64"/>
      <c r="P190" s="64"/>
      <c r="Q190" s="64"/>
      <c r="R190" s="64"/>
      <c r="S190" s="64"/>
      <c r="T190" s="64"/>
      <c r="U190" s="64"/>
      <c r="V190" s="64"/>
      <c r="W190" s="64"/>
      <c r="X190" s="64"/>
      <c r="Y190" s="64"/>
      <c r="Z190" s="64"/>
    </row>
    <row r="191" ht="12.75" customHeight="1">
      <c r="A191" s="108"/>
      <c r="B191" s="64"/>
      <c r="C191" s="64"/>
      <c r="D191" s="64"/>
      <c r="E191" s="64"/>
      <c r="F191" s="63"/>
      <c r="G191" s="63"/>
      <c r="H191" s="64"/>
      <c r="I191" s="64"/>
      <c r="J191" s="64"/>
      <c r="K191" s="64"/>
      <c r="L191" s="64"/>
      <c r="M191" s="64"/>
      <c r="N191" s="64"/>
      <c r="O191" s="64"/>
      <c r="P191" s="64"/>
      <c r="Q191" s="64"/>
      <c r="R191" s="64"/>
      <c r="S191" s="64"/>
      <c r="T191" s="64"/>
      <c r="U191" s="64"/>
      <c r="V191" s="64"/>
      <c r="W191" s="64"/>
      <c r="X191" s="64"/>
      <c r="Y191" s="64"/>
      <c r="Z191" s="64"/>
    </row>
    <row r="192" ht="12.75" customHeight="1">
      <c r="A192" s="108"/>
      <c r="B192" s="64"/>
      <c r="C192" s="64"/>
      <c r="D192" s="64"/>
      <c r="E192" s="64"/>
      <c r="F192" s="63"/>
      <c r="G192" s="63"/>
      <c r="H192" s="64"/>
      <c r="I192" s="64"/>
      <c r="J192" s="64"/>
      <c r="K192" s="64"/>
      <c r="L192" s="64"/>
      <c r="M192" s="64"/>
      <c r="N192" s="64"/>
      <c r="O192" s="64"/>
      <c r="P192" s="64"/>
      <c r="Q192" s="64"/>
      <c r="R192" s="64"/>
      <c r="S192" s="64"/>
      <c r="T192" s="64"/>
      <c r="U192" s="64"/>
      <c r="V192" s="64"/>
      <c r="W192" s="64"/>
      <c r="X192" s="64"/>
      <c r="Y192" s="64"/>
      <c r="Z192" s="64"/>
    </row>
    <row r="193" ht="12.75" customHeight="1">
      <c r="A193" s="108"/>
      <c r="B193" s="64"/>
      <c r="C193" s="64"/>
      <c r="D193" s="64"/>
      <c r="E193" s="64"/>
      <c r="F193" s="63"/>
      <c r="G193" s="63"/>
      <c r="H193" s="64"/>
      <c r="I193" s="64"/>
      <c r="J193" s="64"/>
      <c r="K193" s="64"/>
      <c r="L193" s="64"/>
      <c r="M193" s="64"/>
      <c r="N193" s="64"/>
      <c r="O193" s="64"/>
      <c r="P193" s="64"/>
      <c r="Q193" s="64"/>
      <c r="R193" s="64"/>
      <c r="S193" s="64"/>
      <c r="T193" s="64"/>
      <c r="U193" s="64"/>
      <c r="V193" s="64"/>
      <c r="W193" s="64"/>
      <c r="X193" s="64"/>
      <c r="Y193" s="64"/>
      <c r="Z193" s="64"/>
    </row>
    <row r="194" ht="12.75" customHeight="1">
      <c r="A194" s="108"/>
      <c r="B194" s="64"/>
      <c r="C194" s="64"/>
      <c r="D194" s="64"/>
      <c r="E194" s="64"/>
      <c r="F194" s="63"/>
      <c r="G194" s="63"/>
      <c r="H194" s="64"/>
      <c r="I194" s="64"/>
      <c r="J194" s="64"/>
      <c r="K194" s="64"/>
      <c r="L194" s="64"/>
      <c r="M194" s="64"/>
      <c r="N194" s="64"/>
      <c r="O194" s="64"/>
      <c r="P194" s="64"/>
      <c r="Q194" s="64"/>
      <c r="R194" s="64"/>
      <c r="S194" s="64"/>
      <c r="T194" s="64"/>
      <c r="U194" s="64"/>
      <c r="V194" s="64"/>
      <c r="W194" s="64"/>
      <c r="X194" s="64"/>
      <c r="Y194" s="64"/>
      <c r="Z194" s="64"/>
    </row>
    <row r="195" ht="12.75" customHeight="1">
      <c r="A195" s="108"/>
      <c r="B195" s="64"/>
      <c r="C195" s="64"/>
      <c r="D195" s="64"/>
      <c r="E195" s="64"/>
      <c r="F195" s="63"/>
      <c r="G195" s="63"/>
      <c r="H195" s="64"/>
      <c r="I195" s="64"/>
      <c r="J195" s="64"/>
      <c r="K195" s="64"/>
      <c r="L195" s="64"/>
      <c r="M195" s="64"/>
      <c r="N195" s="64"/>
      <c r="O195" s="64"/>
      <c r="P195" s="64"/>
      <c r="Q195" s="64"/>
      <c r="R195" s="64"/>
      <c r="S195" s="64"/>
      <c r="T195" s="64"/>
      <c r="U195" s="64"/>
      <c r="V195" s="64"/>
      <c r="W195" s="64"/>
      <c r="X195" s="64"/>
      <c r="Y195" s="64"/>
      <c r="Z195" s="64"/>
    </row>
    <row r="196" ht="12.75" customHeight="1">
      <c r="A196" s="108"/>
      <c r="B196" s="64"/>
      <c r="C196" s="64"/>
      <c r="D196" s="64"/>
      <c r="E196" s="64"/>
      <c r="F196" s="63"/>
      <c r="G196" s="63"/>
      <c r="H196" s="64"/>
      <c r="I196" s="64"/>
      <c r="J196" s="64"/>
      <c r="K196" s="64"/>
      <c r="L196" s="64"/>
      <c r="M196" s="64"/>
      <c r="N196" s="64"/>
      <c r="O196" s="64"/>
      <c r="P196" s="64"/>
      <c r="Q196" s="64"/>
      <c r="R196" s="64"/>
      <c r="S196" s="64"/>
      <c r="T196" s="64"/>
      <c r="U196" s="64"/>
      <c r="V196" s="64"/>
      <c r="W196" s="64"/>
      <c r="X196" s="64"/>
      <c r="Y196" s="64"/>
      <c r="Z196" s="64"/>
    </row>
    <row r="197" ht="12.75" customHeight="1">
      <c r="A197" s="108"/>
      <c r="B197" s="64"/>
      <c r="C197" s="64"/>
      <c r="D197" s="64"/>
      <c r="E197" s="64"/>
      <c r="F197" s="63"/>
      <c r="G197" s="63"/>
      <c r="H197" s="64"/>
      <c r="I197" s="64"/>
      <c r="J197" s="64"/>
      <c r="K197" s="64"/>
      <c r="L197" s="64"/>
      <c r="M197" s="64"/>
      <c r="N197" s="64"/>
      <c r="O197" s="64"/>
      <c r="P197" s="64"/>
      <c r="Q197" s="64"/>
      <c r="R197" s="64"/>
      <c r="S197" s="64"/>
      <c r="T197" s="64"/>
      <c r="U197" s="64"/>
      <c r="V197" s="64"/>
      <c r="W197" s="64"/>
      <c r="X197" s="64"/>
      <c r="Y197" s="64"/>
      <c r="Z197" s="64"/>
    </row>
    <row r="198" ht="12.75" customHeight="1">
      <c r="A198" s="108"/>
      <c r="B198" s="64"/>
      <c r="C198" s="64"/>
      <c r="D198" s="64"/>
      <c r="E198" s="64"/>
      <c r="F198" s="63"/>
      <c r="G198" s="63"/>
      <c r="H198" s="64"/>
      <c r="I198" s="64"/>
      <c r="J198" s="64"/>
      <c r="K198" s="64"/>
      <c r="L198" s="64"/>
      <c r="M198" s="64"/>
      <c r="N198" s="64"/>
      <c r="O198" s="64"/>
      <c r="P198" s="64"/>
      <c r="Q198" s="64"/>
      <c r="R198" s="64"/>
      <c r="S198" s="64"/>
      <c r="T198" s="64"/>
      <c r="U198" s="64"/>
      <c r="V198" s="64"/>
      <c r="W198" s="64"/>
      <c r="X198" s="64"/>
      <c r="Y198" s="64"/>
      <c r="Z198" s="64"/>
    </row>
    <row r="199" ht="12.75" customHeight="1">
      <c r="A199" s="108"/>
      <c r="B199" s="64"/>
      <c r="C199" s="64"/>
      <c r="D199" s="64"/>
      <c r="E199" s="64"/>
      <c r="F199" s="63"/>
      <c r="G199" s="63"/>
      <c r="H199" s="64"/>
      <c r="I199" s="64"/>
      <c r="J199" s="64"/>
      <c r="K199" s="64"/>
      <c r="L199" s="64"/>
      <c r="M199" s="64"/>
      <c r="N199" s="64"/>
      <c r="O199" s="64"/>
      <c r="P199" s="64"/>
      <c r="Q199" s="64"/>
      <c r="R199" s="64"/>
      <c r="S199" s="64"/>
      <c r="T199" s="64"/>
      <c r="U199" s="64"/>
      <c r="V199" s="64"/>
      <c r="W199" s="64"/>
      <c r="X199" s="64"/>
      <c r="Y199" s="64"/>
      <c r="Z199" s="64"/>
    </row>
    <row r="200" ht="12.75" customHeight="1">
      <c r="A200" s="108"/>
      <c r="B200" s="64"/>
      <c r="C200" s="64"/>
      <c r="D200" s="64"/>
      <c r="E200" s="64"/>
      <c r="F200" s="63"/>
      <c r="G200" s="63"/>
      <c r="H200" s="64"/>
      <c r="I200" s="64"/>
      <c r="J200" s="64"/>
      <c r="K200" s="64"/>
      <c r="L200" s="64"/>
      <c r="M200" s="64"/>
      <c r="N200" s="64"/>
      <c r="O200" s="64"/>
      <c r="P200" s="64"/>
      <c r="Q200" s="64"/>
      <c r="R200" s="64"/>
      <c r="S200" s="64"/>
      <c r="T200" s="64"/>
      <c r="U200" s="64"/>
      <c r="V200" s="64"/>
      <c r="W200" s="64"/>
      <c r="X200" s="64"/>
      <c r="Y200" s="64"/>
      <c r="Z200" s="64"/>
    </row>
    <row r="201" ht="12.75" customHeight="1">
      <c r="A201" s="108"/>
      <c r="B201" s="64"/>
      <c r="C201" s="64"/>
      <c r="D201" s="64"/>
      <c r="E201" s="64"/>
      <c r="F201" s="63"/>
      <c r="G201" s="63"/>
      <c r="H201" s="64"/>
      <c r="I201" s="64"/>
      <c r="J201" s="64"/>
      <c r="K201" s="64"/>
      <c r="L201" s="64"/>
      <c r="M201" s="64"/>
      <c r="N201" s="64"/>
      <c r="O201" s="64"/>
      <c r="P201" s="64"/>
      <c r="Q201" s="64"/>
      <c r="R201" s="64"/>
      <c r="S201" s="64"/>
      <c r="T201" s="64"/>
      <c r="U201" s="64"/>
      <c r="V201" s="64"/>
      <c r="W201" s="64"/>
      <c r="X201" s="64"/>
      <c r="Y201" s="64"/>
      <c r="Z201" s="64"/>
    </row>
    <row r="202" ht="12.75" customHeight="1">
      <c r="A202" s="108"/>
      <c r="B202" s="64"/>
      <c r="C202" s="64"/>
      <c r="D202" s="64"/>
      <c r="E202" s="64"/>
      <c r="F202" s="63"/>
      <c r="G202" s="63"/>
      <c r="H202" s="64"/>
      <c r="I202" s="64"/>
      <c r="J202" s="64"/>
      <c r="K202" s="64"/>
      <c r="L202" s="64"/>
      <c r="M202" s="64"/>
      <c r="N202" s="64"/>
      <c r="O202" s="64"/>
      <c r="P202" s="64"/>
      <c r="Q202" s="64"/>
      <c r="R202" s="64"/>
      <c r="S202" s="64"/>
      <c r="T202" s="64"/>
      <c r="U202" s="64"/>
      <c r="V202" s="64"/>
      <c r="W202" s="64"/>
      <c r="X202" s="64"/>
      <c r="Y202" s="64"/>
      <c r="Z202" s="64"/>
    </row>
    <row r="203" ht="12.75" customHeight="1">
      <c r="A203" s="108"/>
      <c r="B203" s="64"/>
      <c r="C203" s="64"/>
      <c r="D203" s="64"/>
      <c r="E203" s="64"/>
      <c r="F203" s="63"/>
      <c r="G203" s="63"/>
      <c r="H203" s="64"/>
      <c r="I203" s="64"/>
      <c r="J203" s="64"/>
      <c r="K203" s="64"/>
      <c r="L203" s="64"/>
      <c r="M203" s="64"/>
      <c r="N203" s="64"/>
      <c r="O203" s="64"/>
      <c r="P203" s="64"/>
      <c r="Q203" s="64"/>
      <c r="R203" s="64"/>
      <c r="S203" s="64"/>
      <c r="T203" s="64"/>
      <c r="U203" s="64"/>
      <c r="V203" s="64"/>
      <c r="W203" s="64"/>
      <c r="X203" s="64"/>
      <c r="Y203" s="64"/>
      <c r="Z203" s="64"/>
    </row>
    <row r="204" ht="12.75" customHeight="1">
      <c r="A204" s="108"/>
      <c r="B204" s="64"/>
      <c r="C204" s="64"/>
      <c r="D204" s="64"/>
      <c r="E204" s="64"/>
      <c r="F204" s="63"/>
      <c r="G204" s="63"/>
      <c r="H204" s="64"/>
      <c r="I204" s="64"/>
      <c r="J204" s="64"/>
      <c r="K204" s="64"/>
      <c r="L204" s="64"/>
      <c r="M204" s="64"/>
      <c r="N204" s="64"/>
      <c r="O204" s="64"/>
      <c r="P204" s="64"/>
      <c r="Q204" s="64"/>
      <c r="R204" s="64"/>
      <c r="S204" s="64"/>
      <c r="T204" s="64"/>
      <c r="U204" s="64"/>
      <c r="V204" s="64"/>
      <c r="W204" s="64"/>
      <c r="X204" s="64"/>
      <c r="Y204" s="64"/>
      <c r="Z204" s="64"/>
    </row>
    <row r="205" ht="12.75" customHeight="1">
      <c r="A205" s="108"/>
      <c r="B205" s="64"/>
      <c r="C205" s="64"/>
      <c r="D205" s="64"/>
      <c r="E205" s="64"/>
      <c r="F205" s="63"/>
      <c r="G205" s="63"/>
      <c r="H205" s="64"/>
      <c r="I205" s="64"/>
      <c r="J205" s="64"/>
      <c r="K205" s="64"/>
      <c r="L205" s="64"/>
      <c r="M205" s="64"/>
      <c r="N205" s="64"/>
      <c r="O205" s="64"/>
      <c r="P205" s="64"/>
      <c r="Q205" s="64"/>
      <c r="R205" s="64"/>
      <c r="S205" s="64"/>
      <c r="T205" s="64"/>
      <c r="U205" s="64"/>
      <c r="V205" s="64"/>
      <c r="W205" s="64"/>
      <c r="X205" s="64"/>
      <c r="Y205" s="64"/>
      <c r="Z205" s="64"/>
    </row>
    <row r="206" ht="12.75" customHeight="1">
      <c r="A206" s="108"/>
      <c r="B206" s="64"/>
      <c r="C206" s="64"/>
      <c r="D206" s="64"/>
      <c r="E206" s="64"/>
      <c r="F206" s="63"/>
      <c r="G206" s="63"/>
      <c r="H206" s="64"/>
      <c r="I206" s="64"/>
      <c r="J206" s="64"/>
      <c r="K206" s="64"/>
      <c r="L206" s="64"/>
      <c r="M206" s="64"/>
      <c r="N206" s="64"/>
      <c r="O206" s="64"/>
      <c r="P206" s="64"/>
      <c r="Q206" s="64"/>
      <c r="R206" s="64"/>
      <c r="S206" s="64"/>
      <c r="T206" s="64"/>
      <c r="U206" s="64"/>
      <c r="V206" s="64"/>
      <c r="W206" s="64"/>
      <c r="X206" s="64"/>
      <c r="Y206" s="64"/>
      <c r="Z206" s="64"/>
    </row>
    <row r="207" ht="12.75" customHeight="1">
      <c r="A207" s="108"/>
      <c r="B207" s="64"/>
      <c r="C207" s="64"/>
      <c r="D207" s="64"/>
      <c r="E207" s="64"/>
      <c r="F207" s="63"/>
      <c r="G207" s="63"/>
      <c r="H207" s="64"/>
      <c r="I207" s="64"/>
      <c r="J207" s="64"/>
      <c r="K207" s="64"/>
      <c r="L207" s="64"/>
      <c r="M207" s="64"/>
      <c r="N207" s="64"/>
      <c r="O207" s="64"/>
      <c r="P207" s="64"/>
      <c r="Q207" s="64"/>
      <c r="R207" s="64"/>
      <c r="S207" s="64"/>
      <c r="T207" s="64"/>
      <c r="U207" s="64"/>
      <c r="V207" s="64"/>
      <c r="W207" s="64"/>
      <c r="X207" s="64"/>
      <c r="Y207" s="64"/>
      <c r="Z207" s="64"/>
    </row>
    <row r="208" ht="12.75" customHeight="1">
      <c r="A208" s="108"/>
      <c r="B208" s="64"/>
      <c r="C208" s="64"/>
      <c r="D208" s="64"/>
      <c r="E208" s="64"/>
      <c r="F208" s="63"/>
      <c r="G208" s="63"/>
      <c r="H208" s="64"/>
      <c r="I208" s="64"/>
      <c r="J208" s="64"/>
      <c r="K208" s="64"/>
      <c r="L208" s="64"/>
      <c r="M208" s="64"/>
      <c r="N208" s="64"/>
      <c r="O208" s="64"/>
      <c r="P208" s="64"/>
      <c r="Q208" s="64"/>
      <c r="R208" s="64"/>
      <c r="S208" s="64"/>
      <c r="T208" s="64"/>
      <c r="U208" s="64"/>
      <c r="V208" s="64"/>
      <c r="W208" s="64"/>
      <c r="X208" s="64"/>
      <c r="Y208" s="64"/>
      <c r="Z208" s="64"/>
    </row>
    <row r="209" ht="12.75" customHeight="1">
      <c r="A209" s="108"/>
      <c r="B209" s="64"/>
      <c r="C209" s="64"/>
      <c r="D209" s="64"/>
      <c r="E209" s="64"/>
      <c r="F209" s="63"/>
      <c r="G209" s="63"/>
      <c r="H209" s="64"/>
      <c r="I209" s="64"/>
      <c r="J209" s="64"/>
      <c r="K209" s="64"/>
      <c r="L209" s="64"/>
      <c r="M209" s="64"/>
      <c r="N209" s="64"/>
      <c r="O209" s="64"/>
      <c r="P209" s="64"/>
      <c r="Q209" s="64"/>
      <c r="R209" s="64"/>
      <c r="S209" s="64"/>
      <c r="T209" s="64"/>
      <c r="U209" s="64"/>
      <c r="V209" s="64"/>
      <c r="W209" s="64"/>
      <c r="X209" s="64"/>
      <c r="Y209" s="64"/>
      <c r="Z209" s="64"/>
    </row>
    <row r="210" ht="12.75" customHeight="1">
      <c r="A210" s="108"/>
      <c r="B210" s="64"/>
      <c r="C210" s="64"/>
      <c r="D210" s="64"/>
      <c r="E210" s="64"/>
      <c r="F210" s="63"/>
      <c r="G210" s="63"/>
      <c r="H210" s="64"/>
      <c r="I210" s="64"/>
      <c r="J210" s="64"/>
      <c r="K210" s="64"/>
      <c r="L210" s="64"/>
      <c r="M210" s="64"/>
      <c r="N210" s="64"/>
      <c r="O210" s="64"/>
      <c r="P210" s="64"/>
      <c r="Q210" s="64"/>
      <c r="R210" s="64"/>
      <c r="S210" s="64"/>
      <c r="T210" s="64"/>
      <c r="U210" s="64"/>
      <c r="V210" s="64"/>
      <c r="W210" s="64"/>
      <c r="X210" s="64"/>
      <c r="Y210" s="64"/>
      <c r="Z210" s="64"/>
    </row>
    <row r="211" ht="12.75" customHeight="1">
      <c r="A211" s="108"/>
      <c r="B211" s="64"/>
      <c r="C211" s="64"/>
      <c r="D211" s="64"/>
      <c r="E211" s="64"/>
      <c r="F211" s="63"/>
      <c r="G211" s="63"/>
      <c r="H211" s="64"/>
      <c r="I211" s="64"/>
      <c r="J211" s="64"/>
      <c r="K211" s="64"/>
      <c r="L211" s="64"/>
      <c r="M211" s="64"/>
      <c r="N211" s="64"/>
      <c r="O211" s="64"/>
      <c r="P211" s="64"/>
      <c r="Q211" s="64"/>
      <c r="R211" s="64"/>
      <c r="S211" s="64"/>
      <c r="T211" s="64"/>
      <c r="U211" s="64"/>
      <c r="V211" s="64"/>
      <c r="W211" s="64"/>
      <c r="X211" s="64"/>
      <c r="Y211" s="64"/>
      <c r="Z211" s="64"/>
    </row>
    <row r="212" ht="12.75" customHeight="1">
      <c r="A212" s="108"/>
      <c r="B212" s="64"/>
      <c r="C212" s="64"/>
      <c r="D212" s="64"/>
      <c r="E212" s="64"/>
      <c r="F212" s="63"/>
      <c r="G212" s="63"/>
      <c r="H212" s="64"/>
      <c r="I212" s="64"/>
      <c r="J212" s="64"/>
      <c r="K212" s="64"/>
      <c r="L212" s="64"/>
      <c r="M212" s="64"/>
      <c r="N212" s="64"/>
      <c r="O212" s="64"/>
      <c r="P212" s="64"/>
      <c r="Q212" s="64"/>
      <c r="R212" s="64"/>
      <c r="S212" s="64"/>
      <c r="T212" s="64"/>
      <c r="U212" s="64"/>
      <c r="V212" s="64"/>
      <c r="W212" s="64"/>
      <c r="X212" s="64"/>
      <c r="Y212" s="64"/>
      <c r="Z212" s="64"/>
    </row>
    <row r="213" ht="12.75" customHeight="1">
      <c r="A213" s="108"/>
      <c r="B213" s="64"/>
      <c r="C213" s="64"/>
      <c r="D213" s="64"/>
      <c r="E213" s="64"/>
      <c r="F213" s="63"/>
      <c r="G213" s="63"/>
      <c r="H213" s="64"/>
      <c r="I213" s="64"/>
      <c r="J213" s="64"/>
      <c r="K213" s="64"/>
      <c r="L213" s="64"/>
      <c r="M213" s="64"/>
      <c r="N213" s="64"/>
      <c r="O213" s="64"/>
      <c r="P213" s="64"/>
      <c r="Q213" s="64"/>
      <c r="R213" s="64"/>
      <c r="S213" s="64"/>
      <c r="T213" s="64"/>
      <c r="U213" s="64"/>
      <c r="V213" s="64"/>
      <c r="W213" s="64"/>
      <c r="X213" s="64"/>
      <c r="Y213" s="64"/>
      <c r="Z213" s="64"/>
    </row>
    <row r="214" ht="12.75" customHeight="1">
      <c r="A214" s="108"/>
      <c r="B214" s="64"/>
      <c r="C214" s="64"/>
      <c r="D214" s="64"/>
      <c r="E214" s="64"/>
      <c r="F214" s="63"/>
      <c r="G214" s="63"/>
      <c r="H214" s="64"/>
      <c r="I214" s="64"/>
      <c r="J214" s="64"/>
      <c r="K214" s="64"/>
      <c r="L214" s="64"/>
      <c r="M214" s="64"/>
      <c r="N214" s="64"/>
      <c r="O214" s="64"/>
      <c r="P214" s="64"/>
      <c r="Q214" s="64"/>
      <c r="R214" s="64"/>
      <c r="S214" s="64"/>
      <c r="T214" s="64"/>
      <c r="U214" s="64"/>
      <c r="V214" s="64"/>
      <c r="W214" s="64"/>
      <c r="X214" s="64"/>
      <c r="Y214" s="64"/>
      <c r="Z214" s="64"/>
    </row>
    <row r="215" ht="12.75" customHeight="1">
      <c r="A215" s="108"/>
      <c r="B215" s="64"/>
      <c r="C215" s="64"/>
      <c r="D215" s="64"/>
      <c r="E215" s="64"/>
      <c r="F215" s="63"/>
      <c r="G215" s="63"/>
      <c r="H215" s="64"/>
      <c r="I215" s="64"/>
      <c r="J215" s="64"/>
      <c r="K215" s="64"/>
      <c r="L215" s="64"/>
      <c r="M215" s="64"/>
      <c r="N215" s="64"/>
      <c r="O215" s="64"/>
      <c r="P215" s="64"/>
      <c r="Q215" s="64"/>
      <c r="R215" s="64"/>
      <c r="S215" s="64"/>
      <c r="T215" s="64"/>
      <c r="U215" s="64"/>
      <c r="V215" s="64"/>
      <c r="W215" s="64"/>
      <c r="X215" s="64"/>
      <c r="Y215" s="64"/>
      <c r="Z215" s="64"/>
    </row>
    <row r="216" ht="12.75" customHeight="1">
      <c r="A216" s="108"/>
      <c r="B216" s="64"/>
      <c r="C216" s="64"/>
      <c r="D216" s="64"/>
      <c r="E216" s="64"/>
      <c r="F216" s="63"/>
      <c r="G216" s="63"/>
      <c r="H216" s="64"/>
      <c r="I216" s="64"/>
      <c r="J216" s="64"/>
      <c r="K216" s="64"/>
      <c r="L216" s="64"/>
      <c r="M216" s="64"/>
      <c r="N216" s="64"/>
      <c r="O216" s="64"/>
      <c r="P216" s="64"/>
      <c r="Q216" s="64"/>
      <c r="R216" s="64"/>
      <c r="S216" s="64"/>
      <c r="T216" s="64"/>
      <c r="U216" s="64"/>
      <c r="V216" s="64"/>
      <c r="W216" s="64"/>
      <c r="X216" s="64"/>
      <c r="Y216" s="64"/>
      <c r="Z216" s="64"/>
    </row>
    <row r="217" ht="12.75" customHeight="1">
      <c r="A217" s="108"/>
      <c r="B217" s="64"/>
      <c r="C217" s="64"/>
      <c r="D217" s="64"/>
      <c r="E217" s="64"/>
      <c r="F217" s="63"/>
      <c r="G217" s="63"/>
      <c r="H217" s="64"/>
      <c r="I217" s="64"/>
      <c r="J217" s="64"/>
      <c r="K217" s="64"/>
      <c r="L217" s="64"/>
      <c r="M217" s="64"/>
      <c r="N217" s="64"/>
      <c r="O217" s="64"/>
      <c r="P217" s="64"/>
      <c r="Q217" s="64"/>
      <c r="R217" s="64"/>
      <c r="S217" s="64"/>
      <c r="T217" s="64"/>
      <c r="U217" s="64"/>
      <c r="V217" s="64"/>
      <c r="W217" s="64"/>
      <c r="X217" s="64"/>
      <c r="Y217" s="64"/>
      <c r="Z217" s="64"/>
    </row>
    <row r="218" ht="12.75" customHeight="1">
      <c r="A218" s="108"/>
      <c r="B218" s="64"/>
      <c r="C218" s="64"/>
      <c r="D218" s="64"/>
      <c r="E218" s="64"/>
      <c r="F218" s="63"/>
      <c r="G218" s="63"/>
      <c r="H218" s="64"/>
      <c r="I218" s="64"/>
      <c r="J218" s="64"/>
      <c r="K218" s="64"/>
      <c r="L218" s="64"/>
      <c r="M218" s="64"/>
      <c r="N218" s="64"/>
      <c r="O218" s="64"/>
      <c r="P218" s="64"/>
      <c r="Q218" s="64"/>
      <c r="R218" s="64"/>
      <c r="S218" s="64"/>
      <c r="T218" s="64"/>
      <c r="U218" s="64"/>
      <c r="V218" s="64"/>
      <c r="W218" s="64"/>
      <c r="X218" s="64"/>
      <c r="Y218" s="64"/>
      <c r="Z218" s="64"/>
    </row>
    <row r="219" ht="12.75" customHeight="1">
      <c r="A219" s="108"/>
      <c r="B219" s="64"/>
      <c r="C219" s="64"/>
      <c r="D219" s="64"/>
      <c r="E219" s="64"/>
      <c r="F219" s="63"/>
      <c r="G219" s="63"/>
      <c r="H219" s="64"/>
      <c r="I219" s="64"/>
      <c r="J219" s="64"/>
      <c r="K219" s="64"/>
      <c r="L219" s="64"/>
      <c r="M219" s="64"/>
      <c r="N219" s="64"/>
      <c r="O219" s="64"/>
      <c r="P219" s="64"/>
      <c r="Q219" s="64"/>
      <c r="R219" s="64"/>
      <c r="S219" s="64"/>
      <c r="T219" s="64"/>
      <c r="U219" s="64"/>
      <c r="V219" s="64"/>
      <c r="W219" s="64"/>
      <c r="X219" s="64"/>
      <c r="Y219" s="64"/>
      <c r="Z219" s="64"/>
    </row>
    <row r="220" ht="12.75" customHeight="1">
      <c r="A220" s="108"/>
      <c r="B220" s="64"/>
      <c r="C220" s="64"/>
      <c r="D220" s="64"/>
      <c r="E220" s="64"/>
      <c r="F220" s="63"/>
      <c r="G220" s="63"/>
      <c r="H220" s="64"/>
      <c r="I220" s="64"/>
      <c r="J220" s="64"/>
      <c r="K220" s="64"/>
      <c r="L220" s="64"/>
      <c r="M220" s="64"/>
      <c r="N220" s="64"/>
      <c r="O220" s="64"/>
      <c r="P220" s="64"/>
      <c r="Q220" s="64"/>
      <c r="R220" s="64"/>
      <c r="S220" s="64"/>
      <c r="T220" s="64"/>
      <c r="U220" s="64"/>
      <c r="V220" s="64"/>
      <c r="W220" s="64"/>
      <c r="X220" s="64"/>
      <c r="Y220" s="64"/>
      <c r="Z220" s="64"/>
    </row>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C18:D18"/>
    <mergeCell ref="C19:D19"/>
    <mergeCell ref="C20:D20"/>
    <mergeCell ref="C11:D11"/>
    <mergeCell ref="C12:D12"/>
    <mergeCell ref="C13:D13"/>
    <mergeCell ref="C14:D14"/>
    <mergeCell ref="C15:D15"/>
    <mergeCell ref="C16:D16"/>
    <mergeCell ref="C17:D17"/>
  </mergeCells>
  <dataValidations>
    <dataValidation type="decimal" allowBlank="1" showErrorMessage="1" sqref="F12:F19">
      <formula1>0.0</formula1>
      <formula2>50.0</formula2>
    </dataValidation>
  </dataValidations>
  <printOptions/>
  <pageMargins bottom="0.75" footer="0.0" header="0.0" left="0.7" right="0.7" top="0.75"/>
  <pageSetup paperSize="9"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4A3B8"/>
    <pageSetUpPr/>
  </sheetPr>
  <sheetViews>
    <sheetView showGridLines="0" workbookViewId="0"/>
  </sheetViews>
  <sheetFormatPr customHeight="1" defaultColWidth="12.63" defaultRowHeight="15.0"/>
  <cols>
    <col customWidth="1" min="1" max="6" width="9.13"/>
  </cols>
  <sheetData>
    <row r="1" ht="18.0" customHeight="1">
      <c r="A1" s="2" t="s">
        <v>739</v>
      </c>
      <c r="B1" s="2" t="s">
        <v>740</v>
      </c>
    </row>
    <row r="2" ht="18.0" customHeight="1">
      <c r="A2" s="128" t="s">
        <v>22</v>
      </c>
      <c r="B2" s="128" t="s">
        <v>22</v>
      </c>
    </row>
    <row r="3" ht="18.0" customHeight="1">
      <c r="A3" s="128" t="s">
        <v>30</v>
      </c>
      <c r="B3" s="128" t="s">
        <v>30</v>
      </c>
    </row>
    <row r="4" ht="18.0" customHeight="1">
      <c r="A4" s="128" t="s">
        <v>34</v>
      </c>
      <c r="B4" s="128" t="s">
        <v>34</v>
      </c>
    </row>
    <row r="5" ht="18.0" customHeight="1">
      <c r="A5" s="128" t="s">
        <v>41</v>
      </c>
      <c r="B5" s="128" t="s">
        <v>41</v>
      </c>
    </row>
    <row r="6" ht="18.0" customHeight="1">
      <c r="A6" s="128" t="s">
        <v>49</v>
      </c>
      <c r="B6" s="128" t="s">
        <v>49</v>
      </c>
    </row>
    <row r="7" ht="18.0" customHeight="1">
      <c r="A7" s="128" t="s">
        <v>57</v>
      </c>
      <c r="B7" s="128" t="s">
        <v>57</v>
      </c>
    </row>
    <row r="8" ht="18.0" customHeight="1">
      <c r="A8" s="128" t="s">
        <v>63</v>
      </c>
      <c r="B8" s="128" t="s">
        <v>63</v>
      </c>
    </row>
    <row r="9" ht="18.0" customHeight="1">
      <c r="A9" s="128" t="s">
        <v>737</v>
      </c>
      <c r="B9" s="128" t="s">
        <v>737</v>
      </c>
    </row>
    <row r="10" ht="18.0" customHeight="1">
      <c r="A10" s="128" t="s">
        <v>159</v>
      </c>
      <c r="B10" s="128" t="s">
        <v>159</v>
      </c>
    </row>
    <row r="11" ht="18.0" customHeight="1">
      <c r="A11" s="128" t="s">
        <v>736</v>
      </c>
      <c r="B11" s="128" t="s">
        <v>736</v>
      </c>
    </row>
    <row r="12" ht="18.0" customHeight="1">
      <c r="A12" s="128" t="s">
        <v>123</v>
      </c>
      <c r="B12" s="128" t="s">
        <v>123</v>
      </c>
    </row>
    <row r="13" ht="18.0" customHeight="1">
      <c r="A13" s="128" t="s">
        <v>738</v>
      </c>
      <c r="B13" s="128" t="s">
        <v>738</v>
      </c>
    </row>
    <row r="14" ht="18.0" customHeight="1">
      <c r="A14" s="128" t="s">
        <v>141</v>
      </c>
      <c r="B14" s="128" t="s">
        <v>141</v>
      </c>
    </row>
    <row r="15" ht="18.0" customHeight="1">
      <c r="A15" s="128" t="s">
        <v>72</v>
      </c>
      <c r="B15" s="128" t="s">
        <v>72</v>
      </c>
    </row>
    <row r="16" ht="18.0" customHeight="1">
      <c r="A16" s="128" t="s">
        <v>118</v>
      </c>
      <c r="B16" s="128" t="s">
        <v>118</v>
      </c>
    </row>
    <row r="17" ht="18.0" customHeight="1">
      <c r="A17" s="128" t="s">
        <v>113</v>
      </c>
      <c r="B17" s="128" t="s">
        <v>113</v>
      </c>
    </row>
    <row r="18" ht="18.0" customHeight="1">
      <c r="A18" s="128" t="s">
        <v>155</v>
      </c>
      <c r="B18" s="128" t="s">
        <v>155</v>
      </c>
    </row>
    <row r="19" ht="18.0" customHeight="1">
      <c r="A19" s="128" t="s">
        <v>184</v>
      </c>
      <c r="B19" s="128" t="s">
        <v>184</v>
      </c>
    </row>
    <row r="20" ht="18.0" customHeight="1">
      <c r="A20" s="128" t="s">
        <v>166</v>
      </c>
      <c r="B20" s="128" t="s">
        <v>166</v>
      </c>
    </row>
    <row r="21" ht="18.0" customHeight="1">
      <c r="A21" s="128" t="s">
        <v>742</v>
      </c>
      <c r="B21" s="128" t="s">
        <v>97</v>
      </c>
    </row>
    <row r="22" ht="18.0" customHeight="1">
      <c r="B22" s="128" t="s">
        <v>29</v>
      </c>
    </row>
    <row r="23" ht="18.0" customHeight="1">
      <c r="B23" s="128" t="s">
        <v>705</v>
      </c>
    </row>
    <row r="24" ht="18.0" customHeight="1">
      <c r="B24" s="128" t="s">
        <v>70</v>
      </c>
    </row>
    <row r="25" ht="18.0" customHeight="1">
      <c r="B25" s="128" t="s">
        <v>742</v>
      </c>
    </row>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2026-09-16T05:57:19Z</dcterms:created>
  <dc:creator>Shihavuddin</dc:creator>
</cp:coreProperties>
</file>